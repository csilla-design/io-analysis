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clakatos1_worldbank_org/Documents/Desktop/Thailand/Data/IO time series/"/>
    </mc:Choice>
  </mc:AlternateContent>
  <xr:revisionPtr revIDLastSave="208" documentId="11_8D669EEB0F81BA965F03D89C06D0E82A06EF839F" xr6:coauthVersionLast="47" xr6:coauthVersionMax="47" xr10:uidLastSave="{5CBE7B54-44BF-4523-B868-369CBE95117A}"/>
  <bookViews>
    <workbookView minimized="1" xWindow="7320" yWindow="3765" windowWidth="21600" windowHeight="11055" firstSheet="3" activeTab="3" xr2:uid="{00000000-000D-0000-FFFF-FFFF00000000}"/>
  </bookViews>
  <sheets>
    <sheet name="pivot" sheetId="3" r:id="rId1"/>
    <sheet name="proc" sheetId="4" r:id="rId2"/>
    <sheet name="Sheet2" sheetId="7" r:id="rId3"/>
    <sheet name="Export orient" sheetId="5" r:id="rId4"/>
    <sheet name="Sheet1" sheetId="6" r:id="rId5"/>
    <sheet name="processed" sheetId="2" r:id="rId6"/>
    <sheet name="DataIO2021x58" sheetId="1" r:id="rId7"/>
  </sheets>
  <externalReferences>
    <externalReference r:id="rId8"/>
  </externalReferences>
  <definedNames>
    <definedName name="_xlnm._FilterDatabase" localSheetId="3" hidden="1">'Export orient'!$B$69:$E$126</definedName>
  </definedName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3" i="5"/>
  <c r="D61" i="5"/>
  <c r="C61" i="5"/>
  <c r="CC60" i="4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3" i="5"/>
  <c r="CC3" i="4"/>
  <c r="CC4" i="4"/>
  <c r="CC5" i="4"/>
  <c r="CC6" i="4"/>
  <c r="CC7" i="4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1" i="4"/>
  <c r="CC62" i="4"/>
  <c r="CC63" i="4"/>
  <c r="CC64" i="4"/>
  <c r="CC65" i="4"/>
  <c r="CC66" i="4"/>
  <c r="CC67" i="4"/>
  <c r="CC2" i="4"/>
  <c r="D4958" i="2"/>
  <c r="B4958" i="2"/>
  <c r="D4957" i="2"/>
  <c r="B4957" i="2"/>
  <c r="D4956" i="2"/>
  <c r="B4956" i="2"/>
  <c r="D4955" i="2"/>
  <c r="B4955" i="2"/>
  <c r="D4954" i="2"/>
  <c r="B4954" i="2"/>
  <c r="D4953" i="2"/>
  <c r="B4953" i="2"/>
  <c r="D4952" i="2"/>
  <c r="B4952" i="2"/>
  <c r="D4951" i="2"/>
  <c r="B4951" i="2"/>
  <c r="D4950" i="2"/>
  <c r="B4950" i="2"/>
  <c r="D4949" i="2"/>
  <c r="B4949" i="2"/>
  <c r="D4948" i="2"/>
  <c r="B4948" i="2"/>
  <c r="D4947" i="2"/>
  <c r="B4947" i="2"/>
  <c r="D4946" i="2"/>
  <c r="B4946" i="2"/>
  <c r="D4945" i="2"/>
  <c r="B4945" i="2"/>
  <c r="D4944" i="2"/>
  <c r="B4944" i="2"/>
  <c r="D4943" i="2"/>
  <c r="B4943" i="2"/>
  <c r="D4942" i="2"/>
  <c r="B4942" i="2"/>
  <c r="D4941" i="2"/>
  <c r="B4941" i="2"/>
  <c r="D4940" i="2"/>
  <c r="B4940" i="2"/>
  <c r="D4939" i="2"/>
  <c r="B4939" i="2"/>
  <c r="D4938" i="2"/>
  <c r="B4938" i="2"/>
  <c r="D4937" i="2"/>
  <c r="B4937" i="2"/>
  <c r="D4936" i="2"/>
  <c r="B4936" i="2"/>
  <c r="D4935" i="2"/>
  <c r="B4935" i="2"/>
  <c r="D4934" i="2"/>
  <c r="B4934" i="2"/>
  <c r="D4933" i="2"/>
  <c r="B4933" i="2"/>
  <c r="D4932" i="2"/>
  <c r="B4932" i="2"/>
  <c r="D4931" i="2"/>
  <c r="B4931" i="2"/>
  <c r="D4930" i="2"/>
  <c r="B4930" i="2"/>
  <c r="D4929" i="2"/>
  <c r="B4929" i="2"/>
  <c r="D4928" i="2"/>
  <c r="B4928" i="2"/>
  <c r="D4927" i="2"/>
  <c r="B4927" i="2"/>
  <c r="D4926" i="2"/>
  <c r="B4926" i="2"/>
  <c r="D4925" i="2"/>
  <c r="B4925" i="2"/>
  <c r="D4924" i="2"/>
  <c r="B4924" i="2"/>
  <c r="D4923" i="2"/>
  <c r="B4923" i="2"/>
  <c r="D4922" i="2"/>
  <c r="B4922" i="2"/>
  <c r="D4921" i="2"/>
  <c r="B4921" i="2"/>
  <c r="D4920" i="2"/>
  <c r="B4920" i="2"/>
  <c r="D4919" i="2"/>
  <c r="B4919" i="2"/>
  <c r="D4918" i="2"/>
  <c r="B4918" i="2"/>
  <c r="D4917" i="2"/>
  <c r="B4917" i="2"/>
  <c r="D4916" i="2"/>
  <c r="B4916" i="2"/>
  <c r="D4915" i="2"/>
  <c r="B4915" i="2"/>
  <c r="D4914" i="2"/>
  <c r="B4914" i="2"/>
  <c r="D4913" i="2"/>
  <c r="B4913" i="2"/>
  <c r="D4912" i="2"/>
  <c r="B4912" i="2"/>
  <c r="D4911" i="2"/>
  <c r="B4911" i="2"/>
  <c r="D4910" i="2"/>
  <c r="B4910" i="2"/>
  <c r="D4909" i="2"/>
  <c r="B4909" i="2"/>
  <c r="D4908" i="2"/>
  <c r="B4908" i="2"/>
  <c r="D4907" i="2"/>
  <c r="B4907" i="2"/>
  <c r="D4906" i="2"/>
  <c r="B4906" i="2"/>
  <c r="D4905" i="2"/>
  <c r="B4905" i="2"/>
  <c r="D4904" i="2"/>
  <c r="B4904" i="2"/>
  <c r="D4903" i="2"/>
  <c r="B4903" i="2"/>
  <c r="D4902" i="2"/>
  <c r="B4902" i="2"/>
  <c r="D4901" i="2"/>
  <c r="B4901" i="2"/>
  <c r="D4900" i="2"/>
  <c r="B4900" i="2"/>
  <c r="D4899" i="2"/>
  <c r="B4899" i="2"/>
  <c r="D4898" i="2"/>
  <c r="B4898" i="2"/>
  <c r="D4897" i="2"/>
  <c r="B4897" i="2"/>
  <c r="D4896" i="2"/>
  <c r="B4896" i="2"/>
  <c r="D4895" i="2"/>
  <c r="B4895" i="2"/>
  <c r="D4894" i="2"/>
  <c r="B4894" i="2"/>
  <c r="D4893" i="2"/>
  <c r="B4893" i="2"/>
  <c r="D4892" i="2"/>
  <c r="B4892" i="2"/>
  <c r="D4891" i="2"/>
  <c r="B4891" i="2"/>
  <c r="D4890" i="2"/>
  <c r="B4890" i="2"/>
  <c r="D4889" i="2"/>
  <c r="B4889" i="2"/>
  <c r="D4888" i="2"/>
  <c r="B4888" i="2"/>
  <c r="D4887" i="2"/>
  <c r="B4887" i="2"/>
  <c r="D4886" i="2"/>
  <c r="B4886" i="2"/>
  <c r="D4885" i="2"/>
  <c r="B4885" i="2"/>
  <c r="D4884" i="2"/>
  <c r="B4884" i="2"/>
  <c r="D4883" i="2"/>
  <c r="B4883" i="2"/>
  <c r="D4882" i="2"/>
  <c r="B4882" i="2"/>
  <c r="D4881" i="2"/>
  <c r="B4881" i="2"/>
  <c r="D4880" i="2"/>
  <c r="B4880" i="2"/>
  <c r="D4879" i="2"/>
  <c r="B4879" i="2"/>
  <c r="D4878" i="2"/>
  <c r="B4878" i="2"/>
  <c r="D4877" i="2"/>
  <c r="B4877" i="2"/>
  <c r="D4876" i="2"/>
  <c r="B4876" i="2"/>
  <c r="D4875" i="2"/>
  <c r="B4875" i="2"/>
  <c r="D4874" i="2"/>
  <c r="B4874" i="2"/>
  <c r="D4873" i="2"/>
  <c r="B4873" i="2"/>
  <c r="D4872" i="2"/>
  <c r="B4872" i="2"/>
  <c r="D4871" i="2"/>
  <c r="B4871" i="2"/>
  <c r="D4870" i="2"/>
  <c r="B4870" i="2"/>
  <c r="D4869" i="2"/>
  <c r="B4869" i="2"/>
  <c r="D4868" i="2"/>
  <c r="B4868" i="2"/>
  <c r="D4867" i="2"/>
  <c r="B4867" i="2"/>
  <c r="D4866" i="2"/>
  <c r="B4866" i="2"/>
  <c r="D4865" i="2"/>
  <c r="B4865" i="2"/>
  <c r="D4864" i="2"/>
  <c r="B4864" i="2"/>
  <c r="D4863" i="2"/>
  <c r="B4863" i="2"/>
  <c r="D4862" i="2"/>
  <c r="B4862" i="2"/>
  <c r="D4861" i="2"/>
  <c r="B4861" i="2"/>
  <c r="D4860" i="2"/>
  <c r="B4860" i="2"/>
  <c r="D4859" i="2"/>
  <c r="B4859" i="2"/>
  <c r="D4858" i="2"/>
  <c r="B4858" i="2"/>
  <c r="D4857" i="2"/>
  <c r="B4857" i="2"/>
  <c r="D4856" i="2"/>
  <c r="B4856" i="2"/>
  <c r="D4855" i="2"/>
  <c r="B4855" i="2"/>
  <c r="D4854" i="2"/>
  <c r="B4854" i="2"/>
  <c r="D4853" i="2"/>
  <c r="B4853" i="2"/>
  <c r="D4852" i="2"/>
  <c r="B4852" i="2"/>
  <c r="D4851" i="2"/>
  <c r="B4851" i="2"/>
  <c r="D4850" i="2"/>
  <c r="B4850" i="2"/>
  <c r="D4849" i="2"/>
  <c r="B4849" i="2"/>
  <c r="D4848" i="2"/>
  <c r="B4848" i="2"/>
  <c r="D4847" i="2"/>
  <c r="B4847" i="2"/>
  <c r="D4846" i="2"/>
  <c r="B4846" i="2"/>
  <c r="D4845" i="2"/>
  <c r="B4845" i="2"/>
  <c r="D4844" i="2"/>
  <c r="B4844" i="2"/>
  <c r="D4843" i="2"/>
  <c r="B4843" i="2"/>
  <c r="D4842" i="2"/>
  <c r="B4842" i="2"/>
  <c r="D4841" i="2"/>
  <c r="B4841" i="2"/>
  <c r="D4840" i="2"/>
  <c r="B4840" i="2"/>
  <c r="D4839" i="2"/>
  <c r="B4839" i="2"/>
  <c r="D4838" i="2"/>
  <c r="B4838" i="2"/>
  <c r="D4837" i="2"/>
  <c r="B4837" i="2"/>
  <c r="D4836" i="2"/>
  <c r="B4836" i="2"/>
  <c r="D4835" i="2"/>
  <c r="B4835" i="2"/>
  <c r="D4834" i="2"/>
  <c r="B4834" i="2"/>
  <c r="D4833" i="2"/>
  <c r="B4833" i="2"/>
  <c r="D4832" i="2"/>
  <c r="B4832" i="2"/>
  <c r="D4831" i="2"/>
  <c r="B4831" i="2"/>
  <c r="D4830" i="2"/>
  <c r="B4830" i="2"/>
  <c r="D4829" i="2"/>
  <c r="B4829" i="2"/>
  <c r="D4828" i="2"/>
  <c r="B4828" i="2"/>
  <c r="D4827" i="2"/>
  <c r="B4827" i="2"/>
  <c r="D4826" i="2"/>
  <c r="B4826" i="2"/>
  <c r="D4825" i="2"/>
  <c r="B4825" i="2"/>
  <c r="D4824" i="2"/>
  <c r="B4824" i="2"/>
  <c r="D4823" i="2"/>
  <c r="B4823" i="2"/>
  <c r="D4822" i="2"/>
  <c r="B4822" i="2"/>
  <c r="D4821" i="2"/>
  <c r="B4821" i="2"/>
  <c r="D4820" i="2"/>
  <c r="B4820" i="2"/>
  <c r="D4819" i="2"/>
  <c r="B4819" i="2"/>
  <c r="D4818" i="2"/>
  <c r="B4818" i="2"/>
  <c r="D4817" i="2"/>
  <c r="B4817" i="2"/>
  <c r="D4816" i="2"/>
  <c r="B4816" i="2"/>
  <c r="D4815" i="2"/>
  <c r="B4815" i="2"/>
  <c r="D4814" i="2"/>
  <c r="B4814" i="2"/>
  <c r="D4813" i="2"/>
  <c r="B4813" i="2"/>
  <c r="D4812" i="2"/>
  <c r="B4812" i="2"/>
  <c r="D4811" i="2"/>
  <c r="B4811" i="2"/>
  <c r="D4810" i="2"/>
  <c r="B4810" i="2"/>
  <c r="D4809" i="2"/>
  <c r="B4809" i="2"/>
  <c r="D4808" i="2"/>
  <c r="B4808" i="2"/>
  <c r="D4807" i="2"/>
  <c r="B4807" i="2"/>
  <c r="D4806" i="2"/>
  <c r="B4806" i="2"/>
  <c r="D4805" i="2"/>
  <c r="B4805" i="2"/>
  <c r="D4804" i="2"/>
  <c r="B4804" i="2"/>
  <c r="D4803" i="2"/>
  <c r="B4803" i="2"/>
  <c r="D4802" i="2"/>
  <c r="B4802" i="2"/>
  <c r="D4801" i="2"/>
  <c r="B4801" i="2"/>
  <c r="D4800" i="2"/>
  <c r="B4800" i="2"/>
  <c r="D4799" i="2"/>
  <c r="B4799" i="2"/>
  <c r="D4798" i="2"/>
  <c r="B4798" i="2"/>
  <c r="D4797" i="2"/>
  <c r="B4797" i="2"/>
  <c r="D4796" i="2"/>
  <c r="B4796" i="2"/>
  <c r="D4795" i="2"/>
  <c r="B4795" i="2"/>
  <c r="D4794" i="2"/>
  <c r="B4794" i="2"/>
  <c r="D4793" i="2"/>
  <c r="B4793" i="2"/>
  <c r="D4792" i="2"/>
  <c r="B4792" i="2"/>
  <c r="D4791" i="2"/>
  <c r="B4791" i="2"/>
  <c r="D4790" i="2"/>
  <c r="B4790" i="2"/>
  <c r="D4789" i="2"/>
  <c r="B4789" i="2"/>
  <c r="D4788" i="2"/>
  <c r="B4788" i="2"/>
  <c r="D4787" i="2"/>
  <c r="B4787" i="2"/>
  <c r="D4786" i="2"/>
  <c r="B4786" i="2"/>
  <c r="D4785" i="2"/>
  <c r="B4785" i="2"/>
  <c r="D4784" i="2"/>
  <c r="B4784" i="2"/>
  <c r="D4783" i="2"/>
  <c r="B4783" i="2"/>
  <c r="D4782" i="2"/>
  <c r="B4782" i="2"/>
  <c r="D4781" i="2"/>
  <c r="B4781" i="2"/>
  <c r="D4780" i="2"/>
  <c r="B4780" i="2"/>
  <c r="D4779" i="2"/>
  <c r="B4779" i="2"/>
  <c r="D4778" i="2"/>
  <c r="B4778" i="2"/>
  <c r="D4777" i="2"/>
  <c r="B4777" i="2"/>
  <c r="D4776" i="2"/>
  <c r="B4776" i="2"/>
  <c r="D4775" i="2"/>
  <c r="B4775" i="2"/>
  <c r="D4774" i="2"/>
  <c r="B4774" i="2"/>
  <c r="D4773" i="2"/>
  <c r="B4773" i="2"/>
  <c r="D4772" i="2"/>
  <c r="B4772" i="2"/>
  <c r="D4771" i="2"/>
  <c r="B4771" i="2"/>
  <c r="D4770" i="2"/>
  <c r="B4770" i="2"/>
  <c r="D4769" i="2"/>
  <c r="B4769" i="2"/>
  <c r="D4768" i="2"/>
  <c r="B4768" i="2"/>
  <c r="D4767" i="2"/>
  <c r="B4767" i="2"/>
  <c r="D4766" i="2"/>
  <c r="B4766" i="2"/>
  <c r="D4765" i="2"/>
  <c r="B4765" i="2"/>
  <c r="D4764" i="2"/>
  <c r="B4764" i="2"/>
  <c r="D4763" i="2"/>
  <c r="B4763" i="2"/>
  <c r="D4762" i="2"/>
  <c r="B4762" i="2"/>
  <c r="D4761" i="2"/>
  <c r="B4761" i="2"/>
  <c r="D4760" i="2"/>
  <c r="B4760" i="2"/>
  <c r="D4759" i="2"/>
  <c r="B4759" i="2"/>
  <c r="D4758" i="2"/>
  <c r="B4758" i="2"/>
  <c r="D4757" i="2"/>
  <c r="B4757" i="2"/>
  <c r="D4756" i="2"/>
  <c r="B4756" i="2"/>
  <c r="D4755" i="2"/>
  <c r="B4755" i="2"/>
  <c r="D4754" i="2"/>
  <c r="B4754" i="2"/>
  <c r="D4753" i="2"/>
  <c r="B4753" i="2"/>
  <c r="D4752" i="2"/>
  <c r="B4752" i="2"/>
  <c r="D4751" i="2"/>
  <c r="B4751" i="2"/>
  <c r="D4750" i="2"/>
  <c r="B4750" i="2"/>
  <c r="D4749" i="2"/>
  <c r="B4749" i="2"/>
  <c r="D4748" i="2"/>
  <c r="B4748" i="2"/>
  <c r="D4747" i="2"/>
  <c r="B4747" i="2"/>
  <c r="D4746" i="2"/>
  <c r="B4746" i="2"/>
  <c r="D4745" i="2"/>
  <c r="B4745" i="2"/>
  <c r="D4744" i="2"/>
  <c r="B4744" i="2"/>
  <c r="D4743" i="2"/>
  <c r="B4743" i="2"/>
  <c r="D4742" i="2"/>
  <c r="B4742" i="2"/>
  <c r="D4741" i="2"/>
  <c r="B4741" i="2"/>
  <c r="D4740" i="2"/>
  <c r="B4740" i="2"/>
  <c r="D4739" i="2"/>
  <c r="B4739" i="2"/>
  <c r="D4738" i="2"/>
  <c r="B4738" i="2"/>
  <c r="D4737" i="2"/>
  <c r="B4737" i="2"/>
  <c r="D4736" i="2"/>
  <c r="B4736" i="2"/>
  <c r="D4735" i="2"/>
  <c r="B4735" i="2"/>
  <c r="D4734" i="2"/>
  <c r="B4734" i="2"/>
  <c r="D4733" i="2"/>
  <c r="B4733" i="2"/>
  <c r="D4732" i="2"/>
  <c r="B4732" i="2"/>
  <c r="D4731" i="2"/>
  <c r="B4731" i="2"/>
  <c r="D4730" i="2"/>
  <c r="B4730" i="2"/>
  <c r="D4729" i="2"/>
  <c r="B4729" i="2"/>
  <c r="D4728" i="2"/>
  <c r="B4728" i="2"/>
  <c r="D4727" i="2"/>
  <c r="B4727" i="2"/>
  <c r="D4726" i="2"/>
  <c r="B4726" i="2"/>
  <c r="D4725" i="2"/>
  <c r="B4725" i="2"/>
  <c r="D4724" i="2"/>
  <c r="B4724" i="2"/>
  <c r="D4723" i="2"/>
  <c r="B4723" i="2"/>
  <c r="D4722" i="2"/>
  <c r="B4722" i="2"/>
  <c r="D4721" i="2"/>
  <c r="B4721" i="2"/>
  <c r="D4720" i="2"/>
  <c r="B4720" i="2"/>
  <c r="D4719" i="2"/>
  <c r="B4719" i="2"/>
  <c r="D4718" i="2"/>
  <c r="B4718" i="2"/>
  <c r="D4717" i="2"/>
  <c r="B4717" i="2"/>
  <c r="D4716" i="2"/>
  <c r="B4716" i="2"/>
  <c r="D4715" i="2"/>
  <c r="B4715" i="2"/>
  <c r="D4714" i="2"/>
  <c r="B4714" i="2"/>
  <c r="D4713" i="2"/>
  <c r="B4713" i="2"/>
  <c r="D4712" i="2"/>
  <c r="B4712" i="2"/>
  <c r="D4711" i="2"/>
  <c r="B4711" i="2"/>
  <c r="D4710" i="2"/>
  <c r="B4710" i="2"/>
  <c r="D4709" i="2"/>
  <c r="B4709" i="2"/>
  <c r="D4708" i="2"/>
  <c r="B4708" i="2"/>
  <c r="D4707" i="2"/>
  <c r="B4707" i="2"/>
  <c r="D4706" i="2"/>
  <c r="B4706" i="2"/>
  <c r="D4705" i="2"/>
  <c r="B4705" i="2"/>
  <c r="D4704" i="2"/>
  <c r="B4704" i="2"/>
  <c r="D4703" i="2"/>
  <c r="B4703" i="2"/>
  <c r="D4702" i="2"/>
  <c r="B4702" i="2"/>
  <c r="D4701" i="2"/>
  <c r="B4701" i="2"/>
  <c r="D4700" i="2"/>
  <c r="B4700" i="2"/>
  <c r="D4699" i="2"/>
  <c r="B4699" i="2"/>
  <c r="D4698" i="2"/>
  <c r="B4698" i="2"/>
  <c r="D4697" i="2"/>
  <c r="B4697" i="2"/>
  <c r="D4696" i="2"/>
  <c r="B4696" i="2"/>
  <c r="D4695" i="2"/>
  <c r="B4695" i="2"/>
  <c r="D4694" i="2"/>
  <c r="B4694" i="2"/>
  <c r="D4693" i="2"/>
  <c r="B4693" i="2"/>
  <c r="D4692" i="2"/>
  <c r="B4692" i="2"/>
  <c r="D4691" i="2"/>
  <c r="B4691" i="2"/>
  <c r="D4690" i="2"/>
  <c r="B4690" i="2"/>
  <c r="D4689" i="2"/>
  <c r="B4689" i="2"/>
  <c r="D4688" i="2"/>
  <c r="B4688" i="2"/>
  <c r="D4687" i="2"/>
  <c r="B4687" i="2"/>
  <c r="D4686" i="2"/>
  <c r="B4686" i="2"/>
  <c r="D4685" i="2"/>
  <c r="B4685" i="2"/>
  <c r="D4684" i="2"/>
  <c r="B4684" i="2"/>
  <c r="D4683" i="2"/>
  <c r="B4683" i="2"/>
  <c r="D4682" i="2"/>
  <c r="B4682" i="2"/>
  <c r="D4681" i="2"/>
  <c r="B4681" i="2"/>
  <c r="D4680" i="2"/>
  <c r="B4680" i="2"/>
  <c r="D4679" i="2"/>
  <c r="B4679" i="2"/>
  <c r="D4678" i="2"/>
  <c r="B4678" i="2"/>
  <c r="D4677" i="2"/>
  <c r="B4677" i="2"/>
  <c r="D4676" i="2"/>
  <c r="B4676" i="2"/>
  <c r="D4675" i="2"/>
  <c r="B4675" i="2"/>
  <c r="D4674" i="2"/>
  <c r="B4674" i="2"/>
  <c r="D4673" i="2"/>
  <c r="B4673" i="2"/>
  <c r="D4672" i="2"/>
  <c r="B4672" i="2"/>
  <c r="D4671" i="2"/>
  <c r="B4671" i="2"/>
  <c r="D4670" i="2"/>
  <c r="B4670" i="2"/>
  <c r="D4669" i="2"/>
  <c r="B4669" i="2"/>
  <c r="D4668" i="2"/>
  <c r="B4668" i="2"/>
  <c r="D4667" i="2"/>
  <c r="B4667" i="2"/>
  <c r="D4666" i="2"/>
  <c r="B4666" i="2"/>
  <c r="D4665" i="2"/>
  <c r="B4665" i="2"/>
  <c r="D4664" i="2"/>
  <c r="B4664" i="2"/>
  <c r="D4663" i="2"/>
  <c r="B4663" i="2"/>
  <c r="D4662" i="2"/>
  <c r="B4662" i="2"/>
  <c r="D4661" i="2"/>
  <c r="B4661" i="2"/>
  <c r="D4660" i="2"/>
  <c r="B4660" i="2"/>
  <c r="D4659" i="2"/>
  <c r="B4659" i="2"/>
  <c r="D4658" i="2"/>
  <c r="B4658" i="2"/>
  <c r="D4657" i="2"/>
  <c r="B4657" i="2"/>
  <c r="D4656" i="2"/>
  <c r="B4656" i="2"/>
  <c r="D4655" i="2"/>
  <c r="B4655" i="2"/>
  <c r="D4654" i="2"/>
  <c r="B4654" i="2"/>
  <c r="D4653" i="2"/>
  <c r="B4653" i="2"/>
  <c r="D4652" i="2"/>
  <c r="B4652" i="2"/>
  <c r="D4651" i="2"/>
  <c r="B4651" i="2"/>
  <c r="D4650" i="2"/>
  <c r="B4650" i="2"/>
  <c r="D4649" i="2"/>
  <c r="B4649" i="2"/>
  <c r="D4648" i="2"/>
  <c r="B4648" i="2"/>
  <c r="D4647" i="2"/>
  <c r="B4647" i="2"/>
  <c r="D4646" i="2"/>
  <c r="B4646" i="2"/>
  <c r="D4645" i="2"/>
  <c r="B4645" i="2"/>
  <c r="D4644" i="2"/>
  <c r="B4644" i="2"/>
  <c r="D4643" i="2"/>
  <c r="B4643" i="2"/>
  <c r="D4642" i="2"/>
  <c r="B4642" i="2"/>
  <c r="D4641" i="2"/>
  <c r="B4641" i="2"/>
  <c r="D4640" i="2"/>
  <c r="B4640" i="2"/>
  <c r="D4639" i="2"/>
  <c r="B4639" i="2"/>
  <c r="D4638" i="2"/>
  <c r="B4638" i="2"/>
  <c r="D4637" i="2"/>
  <c r="B4637" i="2"/>
  <c r="D4636" i="2"/>
  <c r="B4636" i="2"/>
  <c r="D4635" i="2"/>
  <c r="B4635" i="2"/>
  <c r="D4634" i="2"/>
  <c r="B4634" i="2"/>
  <c r="D4633" i="2"/>
  <c r="B4633" i="2"/>
  <c r="D4632" i="2"/>
  <c r="B4632" i="2"/>
  <c r="D4631" i="2"/>
  <c r="B4631" i="2"/>
  <c r="D4630" i="2"/>
  <c r="B4630" i="2"/>
  <c r="D4629" i="2"/>
  <c r="B4629" i="2"/>
  <c r="D4628" i="2"/>
  <c r="B4628" i="2"/>
  <c r="D4627" i="2"/>
  <c r="B4627" i="2"/>
  <c r="D4626" i="2"/>
  <c r="B4626" i="2"/>
  <c r="D4625" i="2"/>
  <c r="B4625" i="2"/>
  <c r="D4624" i="2"/>
  <c r="B4624" i="2"/>
  <c r="D4623" i="2"/>
  <c r="B4623" i="2"/>
  <c r="D4622" i="2"/>
  <c r="B4622" i="2"/>
  <c r="D4621" i="2"/>
  <c r="B4621" i="2"/>
  <c r="D4620" i="2"/>
  <c r="B4620" i="2"/>
  <c r="D4619" i="2"/>
  <c r="B4619" i="2"/>
  <c r="D4618" i="2"/>
  <c r="B4618" i="2"/>
  <c r="D4617" i="2"/>
  <c r="B4617" i="2"/>
  <c r="D4616" i="2"/>
  <c r="B4616" i="2"/>
  <c r="D4615" i="2"/>
  <c r="B4615" i="2"/>
  <c r="D4614" i="2"/>
  <c r="B4614" i="2"/>
  <c r="D4613" i="2"/>
  <c r="B4613" i="2"/>
  <c r="D4612" i="2"/>
  <c r="B4612" i="2"/>
  <c r="D4611" i="2"/>
  <c r="B4611" i="2"/>
  <c r="D4610" i="2"/>
  <c r="B4610" i="2"/>
  <c r="D4609" i="2"/>
  <c r="B4609" i="2"/>
  <c r="D4608" i="2"/>
  <c r="B4608" i="2"/>
  <c r="D4607" i="2"/>
  <c r="B4607" i="2"/>
  <c r="D4606" i="2"/>
  <c r="B4606" i="2"/>
  <c r="D4605" i="2"/>
  <c r="B4605" i="2"/>
  <c r="D4604" i="2"/>
  <c r="B4604" i="2"/>
  <c r="D4603" i="2"/>
  <c r="B4603" i="2"/>
  <c r="D4602" i="2"/>
  <c r="B4602" i="2"/>
  <c r="D4601" i="2"/>
  <c r="B4601" i="2"/>
  <c r="D4600" i="2"/>
  <c r="B4600" i="2"/>
  <c r="D4599" i="2"/>
  <c r="B4599" i="2"/>
  <c r="D4598" i="2"/>
  <c r="B4598" i="2"/>
  <c r="D4597" i="2"/>
  <c r="B4597" i="2"/>
  <c r="D4596" i="2"/>
  <c r="B4596" i="2"/>
  <c r="D4595" i="2"/>
  <c r="B4595" i="2"/>
  <c r="D4594" i="2"/>
  <c r="B4594" i="2"/>
  <c r="D4593" i="2"/>
  <c r="B4593" i="2"/>
  <c r="D4592" i="2"/>
  <c r="B4592" i="2"/>
  <c r="D4591" i="2"/>
  <c r="B4591" i="2"/>
  <c r="D4590" i="2"/>
  <c r="B4590" i="2"/>
  <c r="D4589" i="2"/>
  <c r="B4589" i="2"/>
  <c r="D4588" i="2"/>
  <c r="B4588" i="2"/>
  <c r="D4587" i="2"/>
  <c r="B4587" i="2"/>
  <c r="D4586" i="2"/>
  <c r="B4586" i="2"/>
  <c r="D4585" i="2"/>
  <c r="B4585" i="2"/>
  <c r="D4584" i="2"/>
  <c r="B4584" i="2"/>
  <c r="D4583" i="2"/>
  <c r="B4583" i="2"/>
  <c r="D4582" i="2"/>
  <c r="B4582" i="2"/>
  <c r="D4581" i="2"/>
  <c r="B4581" i="2"/>
  <c r="D4580" i="2"/>
  <c r="B4580" i="2"/>
  <c r="D4579" i="2"/>
  <c r="B4579" i="2"/>
  <c r="D4578" i="2"/>
  <c r="B4578" i="2"/>
  <c r="D4577" i="2"/>
  <c r="B4577" i="2"/>
  <c r="D4576" i="2"/>
  <c r="B4576" i="2"/>
  <c r="D4575" i="2"/>
  <c r="B4575" i="2"/>
  <c r="D4574" i="2"/>
  <c r="B4574" i="2"/>
  <c r="D4573" i="2"/>
  <c r="B4573" i="2"/>
  <c r="D4572" i="2"/>
  <c r="B4572" i="2"/>
  <c r="D4571" i="2"/>
  <c r="B4571" i="2"/>
  <c r="D4570" i="2"/>
  <c r="B4570" i="2"/>
  <c r="D4569" i="2"/>
  <c r="B4569" i="2"/>
  <c r="D4568" i="2"/>
  <c r="B4568" i="2"/>
  <c r="D4567" i="2"/>
  <c r="B4567" i="2"/>
  <c r="D4566" i="2"/>
  <c r="B4566" i="2"/>
  <c r="D4565" i="2"/>
  <c r="B4565" i="2"/>
  <c r="D4564" i="2"/>
  <c r="B4564" i="2"/>
  <c r="D4563" i="2"/>
  <c r="B4563" i="2"/>
  <c r="D4562" i="2"/>
  <c r="B4562" i="2"/>
  <c r="D4561" i="2"/>
  <c r="B4561" i="2"/>
  <c r="D4560" i="2"/>
  <c r="B4560" i="2"/>
  <c r="D4559" i="2"/>
  <c r="B4559" i="2"/>
  <c r="D4558" i="2"/>
  <c r="B4558" i="2"/>
  <c r="D4557" i="2"/>
  <c r="B4557" i="2"/>
  <c r="D4556" i="2"/>
  <c r="B4556" i="2"/>
  <c r="D4555" i="2"/>
  <c r="B4555" i="2"/>
  <c r="D4554" i="2"/>
  <c r="B4554" i="2"/>
  <c r="D4553" i="2"/>
  <c r="B4553" i="2"/>
  <c r="D4552" i="2"/>
  <c r="B4552" i="2"/>
  <c r="D4551" i="2"/>
  <c r="B4551" i="2"/>
  <c r="D4550" i="2"/>
  <c r="B4550" i="2"/>
  <c r="D4549" i="2"/>
  <c r="B4549" i="2"/>
  <c r="D4548" i="2"/>
  <c r="B4548" i="2"/>
  <c r="D4547" i="2"/>
  <c r="B4547" i="2"/>
  <c r="D4546" i="2"/>
  <c r="B4546" i="2"/>
  <c r="D4545" i="2"/>
  <c r="B4545" i="2"/>
  <c r="D4544" i="2"/>
  <c r="B4544" i="2"/>
  <c r="D4543" i="2"/>
  <c r="B4543" i="2"/>
  <c r="D4542" i="2"/>
  <c r="B4542" i="2"/>
  <c r="D4541" i="2"/>
  <c r="B4541" i="2"/>
  <c r="D4540" i="2"/>
  <c r="B4540" i="2"/>
  <c r="D4539" i="2"/>
  <c r="B4539" i="2"/>
  <c r="D4538" i="2"/>
  <c r="B4538" i="2"/>
  <c r="D4537" i="2"/>
  <c r="B4537" i="2"/>
  <c r="D4536" i="2"/>
  <c r="B4536" i="2"/>
  <c r="D4535" i="2"/>
  <c r="B4535" i="2"/>
  <c r="D4534" i="2"/>
  <c r="B4534" i="2"/>
  <c r="D4533" i="2"/>
  <c r="B4533" i="2"/>
  <c r="D4532" i="2"/>
  <c r="B4532" i="2"/>
  <c r="D4531" i="2"/>
  <c r="B4531" i="2"/>
  <c r="D4530" i="2"/>
  <c r="B4530" i="2"/>
  <c r="D4529" i="2"/>
  <c r="B4529" i="2"/>
  <c r="D4528" i="2"/>
  <c r="B4528" i="2"/>
  <c r="D4527" i="2"/>
  <c r="B4527" i="2"/>
  <c r="D4526" i="2"/>
  <c r="B4526" i="2"/>
  <c r="D4525" i="2"/>
  <c r="B4525" i="2"/>
  <c r="D4524" i="2"/>
  <c r="B4524" i="2"/>
  <c r="D4523" i="2"/>
  <c r="B4523" i="2"/>
  <c r="D4522" i="2"/>
  <c r="B4522" i="2"/>
  <c r="D4521" i="2"/>
  <c r="B4521" i="2"/>
  <c r="D4520" i="2"/>
  <c r="B4520" i="2"/>
  <c r="D4519" i="2"/>
  <c r="B4519" i="2"/>
  <c r="D4518" i="2"/>
  <c r="B4518" i="2"/>
  <c r="D4517" i="2"/>
  <c r="B4517" i="2"/>
  <c r="D4516" i="2"/>
  <c r="B4516" i="2"/>
  <c r="D4515" i="2"/>
  <c r="B4515" i="2"/>
  <c r="D4514" i="2"/>
  <c r="B4514" i="2"/>
  <c r="D4513" i="2"/>
  <c r="B4513" i="2"/>
  <c r="D4512" i="2"/>
  <c r="B4512" i="2"/>
  <c r="D4511" i="2"/>
  <c r="B4511" i="2"/>
  <c r="D4510" i="2"/>
  <c r="B4510" i="2"/>
  <c r="D4509" i="2"/>
  <c r="B4509" i="2"/>
  <c r="D4508" i="2"/>
  <c r="B4508" i="2"/>
  <c r="D4507" i="2"/>
  <c r="B4507" i="2"/>
  <c r="D4506" i="2"/>
  <c r="B4506" i="2"/>
  <c r="D4505" i="2"/>
  <c r="B4505" i="2"/>
  <c r="D4504" i="2"/>
  <c r="B4504" i="2"/>
  <c r="D4503" i="2"/>
  <c r="B4503" i="2"/>
  <c r="D4502" i="2"/>
  <c r="B4502" i="2"/>
  <c r="D4501" i="2"/>
  <c r="B4501" i="2"/>
  <c r="D4500" i="2"/>
  <c r="B4500" i="2"/>
  <c r="D4499" i="2"/>
  <c r="B4499" i="2"/>
  <c r="D4498" i="2"/>
  <c r="B4498" i="2"/>
  <c r="D4497" i="2"/>
  <c r="B4497" i="2"/>
  <c r="D4496" i="2"/>
  <c r="B4496" i="2"/>
  <c r="D4495" i="2"/>
  <c r="B4495" i="2"/>
  <c r="D4494" i="2"/>
  <c r="B4494" i="2"/>
  <c r="D4493" i="2"/>
  <c r="B4493" i="2"/>
  <c r="D4492" i="2"/>
  <c r="B4492" i="2"/>
  <c r="D4491" i="2"/>
  <c r="B4491" i="2"/>
  <c r="D4490" i="2"/>
  <c r="B4490" i="2"/>
  <c r="D4489" i="2"/>
  <c r="B4489" i="2"/>
  <c r="D4488" i="2"/>
  <c r="B4488" i="2"/>
  <c r="D4487" i="2"/>
  <c r="B4487" i="2"/>
  <c r="D4486" i="2"/>
  <c r="B4486" i="2"/>
  <c r="D4485" i="2"/>
  <c r="B4485" i="2"/>
  <c r="D4484" i="2"/>
  <c r="B4484" i="2"/>
  <c r="D4483" i="2"/>
  <c r="B4483" i="2"/>
  <c r="D4482" i="2"/>
  <c r="B4482" i="2"/>
  <c r="D4481" i="2"/>
  <c r="B4481" i="2"/>
  <c r="D4480" i="2"/>
  <c r="B4480" i="2"/>
  <c r="D4479" i="2"/>
  <c r="B4479" i="2"/>
  <c r="D4478" i="2"/>
  <c r="B4478" i="2"/>
  <c r="D4477" i="2"/>
  <c r="B4477" i="2"/>
  <c r="D4476" i="2"/>
  <c r="B4476" i="2"/>
  <c r="D4475" i="2"/>
  <c r="B4475" i="2"/>
  <c r="D4474" i="2"/>
  <c r="B4474" i="2"/>
  <c r="D4473" i="2"/>
  <c r="B4473" i="2"/>
  <c r="D4472" i="2"/>
  <c r="B4472" i="2"/>
  <c r="D4471" i="2"/>
  <c r="B4471" i="2"/>
  <c r="D4470" i="2"/>
  <c r="B4470" i="2"/>
  <c r="D4469" i="2"/>
  <c r="B4469" i="2"/>
  <c r="D4468" i="2"/>
  <c r="B4468" i="2"/>
  <c r="D4467" i="2"/>
  <c r="B4467" i="2"/>
  <c r="D4466" i="2"/>
  <c r="B4466" i="2"/>
  <c r="D4465" i="2"/>
  <c r="B4465" i="2"/>
  <c r="D4464" i="2"/>
  <c r="B4464" i="2"/>
  <c r="D4463" i="2"/>
  <c r="B4463" i="2"/>
  <c r="D4462" i="2"/>
  <c r="B4462" i="2"/>
  <c r="D4461" i="2"/>
  <c r="B4461" i="2"/>
  <c r="D4460" i="2"/>
  <c r="B4460" i="2"/>
  <c r="D4459" i="2"/>
  <c r="B4459" i="2"/>
  <c r="D4458" i="2"/>
  <c r="B4458" i="2"/>
  <c r="D4457" i="2"/>
  <c r="B4457" i="2"/>
  <c r="D4456" i="2"/>
  <c r="B4456" i="2"/>
  <c r="D4455" i="2"/>
  <c r="B4455" i="2"/>
  <c r="D4454" i="2"/>
  <c r="B4454" i="2"/>
  <c r="D4453" i="2"/>
  <c r="B4453" i="2"/>
  <c r="D4452" i="2"/>
  <c r="B4452" i="2"/>
  <c r="D4451" i="2"/>
  <c r="B4451" i="2"/>
  <c r="D4450" i="2"/>
  <c r="B4450" i="2"/>
  <c r="D4449" i="2"/>
  <c r="B4449" i="2"/>
  <c r="D4448" i="2"/>
  <c r="B4448" i="2"/>
  <c r="D4447" i="2"/>
  <c r="B4447" i="2"/>
  <c r="D4446" i="2"/>
  <c r="B4446" i="2"/>
  <c r="D4445" i="2"/>
  <c r="B4445" i="2"/>
  <c r="D4444" i="2"/>
  <c r="B4444" i="2"/>
  <c r="D4443" i="2"/>
  <c r="B4443" i="2"/>
  <c r="D4442" i="2"/>
  <c r="B4442" i="2"/>
  <c r="D4441" i="2"/>
  <c r="B4441" i="2"/>
  <c r="D4440" i="2"/>
  <c r="B4440" i="2"/>
  <c r="D4439" i="2"/>
  <c r="B4439" i="2"/>
  <c r="D4438" i="2"/>
  <c r="B4438" i="2"/>
  <c r="D4437" i="2"/>
  <c r="B4437" i="2"/>
  <c r="D4436" i="2"/>
  <c r="B4436" i="2"/>
  <c r="D4435" i="2"/>
  <c r="B4435" i="2"/>
  <c r="D4434" i="2"/>
  <c r="B4434" i="2"/>
  <c r="D4433" i="2"/>
  <c r="B4433" i="2"/>
  <c r="D4432" i="2"/>
  <c r="B4432" i="2"/>
  <c r="D4431" i="2"/>
  <c r="B4431" i="2"/>
  <c r="D4430" i="2"/>
  <c r="B4430" i="2"/>
  <c r="D4429" i="2"/>
  <c r="B4429" i="2"/>
  <c r="D4428" i="2"/>
  <c r="B4428" i="2"/>
  <c r="D4427" i="2"/>
  <c r="B4427" i="2"/>
  <c r="D4426" i="2"/>
  <c r="B4426" i="2"/>
  <c r="D4425" i="2"/>
  <c r="B4425" i="2"/>
  <c r="D4424" i="2"/>
  <c r="B4424" i="2"/>
  <c r="D4423" i="2"/>
  <c r="B4423" i="2"/>
  <c r="D4422" i="2"/>
  <c r="B4422" i="2"/>
  <c r="D4421" i="2"/>
  <c r="B4421" i="2"/>
  <c r="D4420" i="2"/>
  <c r="B4420" i="2"/>
  <c r="D4419" i="2"/>
  <c r="B4419" i="2"/>
  <c r="D4418" i="2"/>
  <c r="B4418" i="2"/>
  <c r="D4417" i="2"/>
  <c r="B4417" i="2"/>
  <c r="D4416" i="2"/>
  <c r="B4416" i="2"/>
  <c r="D4415" i="2"/>
  <c r="B4415" i="2"/>
  <c r="D4414" i="2"/>
  <c r="B4414" i="2"/>
  <c r="D4413" i="2"/>
  <c r="B4413" i="2"/>
  <c r="D4412" i="2"/>
  <c r="B4412" i="2"/>
  <c r="D4411" i="2"/>
  <c r="B4411" i="2"/>
  <c r="D4410" i="2"/>
  <c r="B4410" i="2"/>
  <c r="D4409" i="2"/>
  <c r="B4409" i="2"/>
  <c r="D4408" i="2"/>
  <c r="B4408" i="2"/>
  <c r="D4407" i="2"/>
  <c r="B4407" i="2"/>
  <c r="D4406" i="2"/>
  <c r="B4406" i="2"/>
  <c r="D4405" i="2"/>
  <c r="B4405" i="2"/>
  <c r="D4404" i="2"/>
  <c r="B4404" i="2"/>
  <c r="D4403" i="2"/>
  <c r="B4403" i="2"/>
  <c r="D4402" i="2"/>
  <c r="B4402" i="2"/>
  <c r="D4401" i="2"/>
  <c r="B4401" i="2"/>
  <c r="D4400" i="2"/>
  <c r="B4400" i="2"/>
  <c r="D4399" i="2"/>
  <c r="B4399" i="2"/>
  <c r="D4398" i="2"/>
  <c r="B4398" i="2"/>
  <c r="D4397" i="2"/>
  <c r="B4397" i="2"/>
  <c r="D4396" i="2"/>
  <c r="B4396" i="2"/>
  <c r="D4395" i="2"/>
  <c r="B4395" i="2"/>
  <c r="D4394" i="2"/>
  <c r="B4394" i="2"/>
  <c r="D4393" i="2"/>
  <c r="B4393" i="2"/>
  <c r="D4392" i="2"/>
  <c r="B4392" i="2"/>
  <c r="D4391" i="2"/>
  <c r="B4391" i="2"/>
  <c r="D4390" i="2"/>
  <c r="B4390" i="2"/>
  <c r="D4389" i="2"/>
  <c r="B4389" i="2"/>
  <c r="D4388" i="2"/>
  <c r="B4388" i="2"/>
  <c r="D4387" i="2"/>
  <c r="B4387" i="2"/>
  <c r="D4386" i="2"/>
  <c r="B4386" i="2"/>
  <c r="D4385" i="2"/>
  <c r="B4385" i="2"/>
  <c r="D4384" i="2"/>
  <c r="B4384" i="2"/>
  <c r="D4383" i="2"/>
  <c r="B4383" i="2"/>
  <c r="D4382" i="2"/>
  <c r="B4382" i="2"/>
  <c r="D4381" i="2"/>
  <c r="B4381" i="2"/>
  <c r="D4380" i="2"/>
  <c r="B4380" i="2"/>
  <c r="D4379" i="2"/>
  <c r="B4379" i="2"/>
  <c r="D4378" i="2"/>
  <c r="B4378" i="2"/>
  <c r="D4377" i="2"/>
  <c r="B4377" i="2"/>
  <c r="D4376" i="2"/>
  <c r="B4376" i="2"/>
  <c r="D4375" i="2"/>
  <c r="B4375" i="2"/>
  <c r="D4374" i="2"/>
  <c r="B4374" i="2"/>
  <c r="D4373" i="2"/>
  <c r="B4373" i="2"/>
  <c r="D4372" i="2"/>
  <c r="B4372" i="2"/>
  <c r="D4371" i="2"/>
  <c r="B4371" i="2"/>
  <c r="D4370" i="2"/>
  <c r="B4370" i="2"/>
  <c r="D4369" i="2"/>
  <c r="B4369" i="2"/>
  <c r="D4368" i="2"/>
  <c r="B4368" i="2"/>
  <c r="D4367" i="2"/>
  <c r="B4367" i="2"/>
  <c r="D4366" i="2"/>
  <c r="B4366" i="2"/>
  <c r="D4365" i="2"/>
  <c r="B4365" i="2"/>
  <c r="D4364" i="2"/>
  <c r="B4364" i="2"/>
  <c r="D4363" i="2"/>
  <c r="B4363" i="2"/>
  <c r="D4362" i="2"/>
  <c r="B4362" i="2"/>
  <c r="D4361" i="2"/>
  <c r="B4361" i="2"/>
  <c r="D4360" i="2"/>
  <c r="B4360" i="2"/>
  <c r="D4359" i="2"/>
  <c r="B4359" i="2"/>
  <c r="D4358" i="2"/>
  <c r="B4358" i="2"/>
  <c r="D4357" i="2"/>
  <c r="B4357" i="2"/>
  <c r="D4356" i="2"/>
  <c r="B4356" i="2"/>
  <c r="D4355" i="2"/>
  <c r="B4355" i="2"/>
  <c r="D4354" i="2"/>
  <c r="B4354" i="2"/>
  <c r="D4353" i="2"/>
  <c r="B4353" i="2"/>
  <c r="D4352" i="2"/>
  <c r="B4352" i="2"/>
  <c r="D4351" i="2"/>
  <c r="B4351" i="2"/>
  <c r="D4350" i="2"/>
  <c r="B4350" i="2"/>
  <c r="D4349" i="2"/>
  <c r="B4349" i="2"/>
  <c r="D4348" i="2"/>
  <c r="B4348" i="2"/>
  <c r="D4347" i="2"/>
  <c r="B4347" i="2"/>
  <c r="D4346" i="2"/>
  <c r="B4346" i="2"/>
  <c r="D4345" i="2"/>
  <c r="B4345" i="2"/>
  <c r="D4344" i="2"/>
  <c r="B4344" i="2"/>
  <c r="D4343" i="2"/>
  <c r="B4343" i="2"/>
  <c r="D4342" i="2"/>
  <c r="B4342" i="2"/>
  <c r="D4341" i="2"/>
  <c r="B4341" i="2"/>
  <c r="D4340" i="2"/>
  <c r="B4340" i="2"/>
  <c r="D4339" i="2"/>
  <c r="B4339" i="2"/>
  <c r="D4338" i="2"/>
  <c r="B4338" i="2"/>
  <c r="D4337" i="2"/>
  <c r="B4337" i="2"/>
  <c r="D4336" i="2"/>
  <c r="B4336" i="2"/>
  <c r="D4335" i="2"/>
  <c r="B4335" i="2"/>
  <c r="D4334" i="2"/>
  <c r="B4334" i="2"/>
  <c r="D4333" i="2"/>
  <c r="B4333" i="2"/>
  <c r="D4332" i="2"/>
  <c r="B4332" i="2"/>
  <c r="D4331" i="2"/>
  <c r="B4331" i="2"/>
  <c r="D4330" i="2"/>
  <c r="B4330" i="2"/>
  <c r="D4329" i="2"/>
  <c r="B4329" i="2"/>
  <c r="D4328" i="2"/>
  <c r="B4328" i="2"/>
  <c r="D4327" i="2"/>
  <c r="B4327" i="2"/>
  <c r="D4326" i="2"/>
  <c r="B4326" i="2"/>
  <c r="D4325" i="2"/>
  <c r="B4325" i="2"/>
  <c r="D4324" i="2"/>
  <c r="B4324" i="2"/>
  <c r="D4323" i="2"/>
  <c r="B4323" i="2"/>
  <c r="D4322" i="2"/>
  <c r="B4322" i="2"/>
  <c r="D4321" i="2"/>
  <c r="B4321" i="2"/>
  <c r="D4320" i="2"/>
  <c r="B4320" i="2"/>
  <c r="D4319" i="2"/>
  <c r="B4319" i="2"/>
  <c r="D4318" i="2"/>
  <c r="B4318" i="2"/>
  <c r="D4317" i="2"/>
  <c r="B4317" i="2"/>
  <c r="D4316" i="2"/>
  <c r="B4316" i="2"/>
  <c r="D4315" i="2"/>
  <c r="B4315" i="2"/>
  <c r="D4314" i="2"/>
  <c r="B4314" i="2"/>
  <c r="D4313" i="2"/>
  <c r="B4313" i="2"/>
  <c r="D4312" i="2"/>
  <c r="B4312" i="2"/>
  <c r="D4311" i="2"/>
  <c r="B4311" i="2"/>
  <c r="D4310" i="2"/>
  <c r="B4310" i="2"/>
  <c r="D4309" i="2"/>
  <c r="B4309" i="2"/>
  <c r="D4308" i="2"/>
  <c r="B4308" i="2"/>
  <c r="D4307" i="2"/>
  <c r="B4307" i="2"/>
  <c r="D4306" i="2"/>
  <c r="B4306" i="2"/>
  <c r="D4305" i="2"/>
  <c r="B4305" i="2"/>
  <c r="D4304" i="2"/>
  <c r="B4304" i="2"/>
  <c r="D4303" i="2"/>
  <c r="B4303" i="2"/>
  <c r="D4302" i="2"/>
  <c r="B4302" i="2"/>
  <c r="D4301" i="2"/>
  <c r="B4301" i="2"/>
  <c r="D4300" i="2"/>
  <c r="B4300" i="2"/>
  <c r="D4299" i="2"/>
  <c r="B4299" i="2"/>
  <c r="D4298" i="2"/>
  <c r="B4298" i="2"/>
  <c r="D4297" i="2"/>
  <c r="B4297" i="2"/>
  <c r="D4296" i="2"/>
  <c r="B4296" i="2"/>
  <c r="D4295" i="2"/>
  <c r="B4295" i="2"/>
  <c r="D4294" i="2"/>
  <c r="B4294" i="2"/>
  <c r="D4293" i="2"/>
  <c r="B4293" i="2"/>
  <c r="D4292" i="2"/>
  <c r="B4292" i="2"/>
  <c r="D4291" i="2"/>
  <c r="B4291" i="2"/>
  <c r="D4290" i="2"/>
  <c r="B4290" i="2"/>
  <c r="D4289" i="2"/>
  <c r="B4289" i="2"/>
  <c r="D4288" i="2"/>
  <c r="B4288" i="2"/>
  <c r="D4287" i="2"/>
  <c r="B4287" i="2"/>
  <c r="D4286" i="2"/>
  <c r="B4286" i="2"/>
  <c r="D4285" i="2"/>
  <c r="B4285" i="2"/>
  <c r="D4284" i="2"/>
  <c r="B4284" i="2"/>
  <c r="D4283" i="2"/>
  <c r="B4283" i="2"/>
  <c r="D4282" i="2"/>
  <c r="B4282" i="2"/>
  <c r="D4281" i="2"/>
  <c r="B4281" i="2"/>
  <c r="D4280" i="2"/>
  <c r="B4280" i="2"/>
  <c r="D4279" i="2"/>
  <c r="B4279" i="2"/>
  <c r="D4278" i="2"/>
  <c r="B4278" i="2"/>
  <c r="D4277" i="2"/>
  <c r="B4277" i="2"/>
  <c r="D4276" i="2"/>
  <c r="B4276" i="2"/>
  <c r="D4275" i="2"/>
  <c r="B4275" i="2"/>
  <c r="D4274" i="2"/>
  <c r="B4274" i="2"/>
  <c r="D4273" i="2"/>
  <c r="B4273" i="2"/>
  <c r="D4272" i="2"/>
  <c r="B4272" i="2"/>
  <c r="D4271" i="2"/>
  <c r="B4271" i="2"/>
  <c r="D4270" i="2"/>
  <c r="B4270" i="2"/>
  <c r="D4269" i="2"/>
  <c r="B4269" i="2"/>
  <c r="D4268" i="2"/>
  <c r="B4268" i="2"/>
  <c r="D4267" i="2"/>
  <c r="B4267" i="2"/>
  <c r="D4266" i="2"/>
  <c r="B4266" i="2"/>
  <c r="D4265" i="2"/>
  <c r="B4265" i="2"/>
  <c r="D4264" i="2"/>
  <c r="B4264" i="2"/>
  <c r="D4263" i="2"/>
  <c r="B4263" i="2"/>
  <c r="D4262" i="2"/>
  <c r="B4262" i="2"/>
  <c r="D4261" i="2"/>
  <c r="B4261" i="2"/>
  <c r="D4260" i="2"/>
  <c r="B4260" i="2"/>
  <c r="D4259" i="2"/>
  <c r="B4259" i="2"/>
  <c r="D4258" i="2"/>
  <c r="B4258" i="2"/>
  <c r="D4257" i="2"/>
  <c r="B4257" i="2"/>
  <c r="D4256" i="2"/>
  <c r="B4256" i="2"/>
  <c r="D4255" i="2"/>
  <c r="B4255" i="2"/>
  <c r="D4254" i="2"/>
  <c r="B4254" i="2"/>
  <c r="D4253" i="2"/>
  <c r="B4253" i="2"/>
  <c r="D4252" i="2"/>
  <c r="B4252" i="2"/>
  <c r="D4251" i="2"/>
  <c r="B4251" i="2"/>
  <c r="D4250" i="2"/>
  <c r="B4250" i="2"/>
  <c r="D4249" i="2"/>
  <c r="B4249" i="2"/>
  <c r="D4248" i="2"/>
  <c r="B4248" i="2"/>
  <c r="D4247" i="2"/>
  <c r="B4247" i="2"/>
  <c r="D4246" i="2"/>
  <c r="B4246" i="2"/>
  <c r="D4245" i="2"/>
  <c r="B4245" i="2"/>
  <c r="D4244" i="2"/>
  <c r="B4244" i="2"/>
  <c r="D4243" i="2"/>
  <c r="B4243" i="2"/>
  <c r="D4242" i="2"/>
  <c r="B4242" i="2"/>
  <c r="D4241" i="2"/>
  <c r="B4241" i="2"/>
  <c r="D4240" i="2"/>
  <c r="B4240" i="2"/>
  <c r="D4239" i="2"/>
  <c r="B4239" i="2"/>
  <c r="D4238" i="2"/>
  <c r="B4238" i="2"/>
  <c r="D4237" i="2"/>
  <c r="B4237" i="2"/>
  <c r="D4236" i="2"/>
  <c r="B4236" i="2"/>
  <c r="D4235" i="2"/>
  <c r="B4235" i="2"/>
  <c r="D4234" i="2"/>
  <c r="B4234" i="2"/>
  <c r="D4233" i="2"/>
  <c r="B4233" i="2"/>
  <c r="D4232" i="2"/>
  <c r="B4232" i="2"/>
  <c r="D4231" i="2"/>
  <c r="B4231" i="2"/>
  <c r="D4230" i="2"/>
  <c r="B4230" i="2"/>
  <c r="D4229" i="2"/>
  <c r="B4229" i="2"/>
  <c r="D4228" i="2"/>
  <c r="B4228" i="2"/>
  <c r="D4227" i="2"/>
  <c r="B4227" i="2"/>
  <c r="D4226" i="2"/>
  <c r="B4226" i="2"/>
  <c r="D4225" i="2"/>
  <c r="B4225" i="2"/>
  <c r="D4224" i="2"/>
  <c r="B4224" i="2"/>
  <c r="D4223" i="2"/>
  <c r="B4223" i="2"/>
  <c r="D4222" i="2"/>
  <c r="B4222" i="2"/>
  <c r="D4221" i="2"/>
  <c r="B4221" i="2"/>
  <c r="D4220" i="2"/>
  <c r="B4220" i="2"/>
  <c r="D4219" i="2"/>
  <c r="B4219" i="2"/>
  <c r="D4218" i="2"/>
  <c r="B4218" i="2"/>
  <c r="D4217" i="2"/>
  <c r="B4217" i="2"/>
  <c r="D4216" i="2"/>
  <c r="B4216" i="2"/>
  <c r="D4215" i="2"/>
  <c r="B4215" i="2"/>
  <c r="D4214" i="2"/>
  <c r="B4214" i="2"/>
  <c r="D4213" i="2"/>
  <c r="B4213" i="2"/>
  <c r="D4212" i="2"/>
  <c r="B4212" i="2"/>
  <c r="D4211" i="2"/>
  <c r="B4211" i="2"/>
  <c r="D4210" i="2"/>
  <c r="B4210" i="2"/>
  <c r="D4209" i="2"/>
  <c r="B4209" i="2"/>
  <c r="D4208" i="2"/>
  <c r="B4208" i="2"/>
  <c r="D4207" i="2"/>
  <c r="B4207" i="2"/>
  <c r="D4206" i="2"/>
  <c r="B4206" i="2"/>
  <c r="D4205" i="2"/>
  <c r="B4205" i="2"/>
  <c r="D4204" i="2"/>
  <c r="B4204" i="2"/>
  <c r="D4203" i="2"/>
  <c r="B4203" i="2"/>
  <c r="D4202" i="2"/>
  <c r="B4202" i="2"/>
  <c r="D4201" i="2"/>
  <c r="B4201" i="2"/>
  <c r="D4200" i="2"/>
  <c r="B4200" i="2"/>
  <c r="D4199" i="2"/>
  <c r="B4199" i="2"/>
  <c r="D4198" i="2"/>
  <c r="B4198" i="2"/>
  <c r="D4197" i="2"/>
  <c r="B4197" i="2"/>
  <c r="D4196" i="2"/>
  <c r="B4196" i="2"/>
  <c r="D4195" i="2"/>
  <c r="B4195" i="2"/>
  <c r="D4194" i="2"/>
  <c r="B4194" i="2"/>
  <c r="D4193" i="2"/>
  <c r="B4193" i="2"/>
  <c r="D4192" i="2"/>
  <c r="B4192" i="2"/>
  <c r="D4191" i="2"/>
  <c r="B4191" i="2"/>
  <c r="D4190" i="2"/>
  <c r="B4190" i="2"/>
  <c r="D4189" i="2"/>
  <c r="B4189" i="2"/>
  <c r="D4188" i="2"/>
  <c r="B4188" i="2"/>
  <c r="D4187" i="2"/>
  <c r="B4187" i="2"/>
  <c r="D4186" i="2"/>
  <c r="B4186" i="2"/>
  <c r="D4185" i="2"/>
  <c r="B4185" i="2"/>
  <c r="D4184" i="2"/>
  <c r="B4184" i="2"/>
  <c r="D4183" i="2"/>
  <c r="B4183" i="2"/>
  <c r="D4182" i="2"/>
  <c r="B4182" i="2"/>
  <c r="D4181" i="2"/>
  <c r="B4181" i="2"/>
  <c r="D4180" i="2"/>
  <c r="B4180" i="2"/>
  <c r="D4179" i="2"/>
  <c r="B4179" i="2"/>
  <c r="D4178" i="2"/>
  <c r="B4178" i="2"/>
  <c r="D4177" i="2"/>
  <c r="B4177" i="2"/>
  <c r="D4176" i="2"/>
  <c r="B4176" i="2"/>
  <c r="D4175" i="2"/>
  <c r="B4175" i="2"/>
  <c r="D4174" i="2"/>
  <c r="B4174" i="2"/>
  <c r="D4173" i="2"/>
  <c r="B4173" i="2"/>
  <c r="D4172" i="2"/>
  <c r="B4172" i="2"/>
  <c r="D4171" i="2"/>
  <c r="B4171" i="2"/>
  <c r="D4170" i="2"/>
  <c r="B4170" i="2"/>
  <c r="D4169" i="2"/>
  <c r="B4169" i="2"/>
  <c r="D4168" i="2"/>
  <c r="B4168" i="2"/>
  <c r="D4167" i="2"/>
  <c r="B4167" i="2"/>
  <c r="D4166" i="2"/>
  <c r="B4166" i="2"/>
  <c r="D4165" i="2"/>
  <c r="B4165" i="2"/>
  <c r="D4164" i="2"/>
  <c r="B4164" i="2"/>
  <c r="D4163" i="2"/>
  <c r="B4163" i="2"/>
  <c r="D4162" i="2"/>
  <c r="B4162" i="2"/>
  <c r="D4161" i="2"/>
  <c r="B4161" i="2"/>
  <c r="D4160" i="2"/>
  <c r="B4160" i="2"/>
  <c r="D4159" i="2"/>
  <c r="B4159" i="2"/>
  <c r="D4158" i="2"/>
  <c r="B4158" i="2"/>
  <c r="D4157" i="2"/>
  <c r="B4157" i="2"/>
  <c r="D4156" i="2"/>
  <c r="B4156" i="2"/>
  <c r="D4155" i="2"/>
  <c r="B4155" i="2"/>
  <c r="D4154" i="2"/>
  <c r="B4154" i="2"/>
  <c r="D4153" i="2"/>
  <c r="B4153" i="2"/>
  <c r="D4152" i="2"/>
  <c r="B4152" i="2"/>
  <c r="D4151" i="2"/>
  <c r="B4151" i="2"/>
  <c r="D4150" i="2"/>
  <c r="B4150" i="2"/>
  <c r="D4149" i="2"/>
  <c r="B4149" i="2"/>
  <c r="D4148" i="2"/>
  <c r="B4148" i="2"/>
  <c r="D4147" i="2"/>
  <c r="B4147" i="2"/>
  <c r="D4146" i="2"/>
  <c r="B4146" i="2"/>
  <c r="D4145" i="2"/>
  <c r="B4145" i="2"/>
  <c r="D4144" i="2"/>
  <c r="B4144" i="2"/>
  <c r="D4143" i="2"/>
  <c r="B4143" i="2"/>
  <c r="D4142" i="2"/>
  <c r="B4142" i="2"/>
  <c r="D4141" i="2"/>
  <c r="B4141" i="2"/>
  <c r="D4140" i="2"/>
  <c r="B4140" i="2"/>
  <c r="D4139" i="2"/>
  <c r="B4139" i="2"/>
  <c r="D4138" i="2"/>
  <c r="B4138" i="2"/>
  <c r="D4137" i="2"/>
  <c r="B4137" i="2"/>
  <c r="D4136" i="2"/>
  <c r="B4136" i="2"/>
  <c r="D4135" i="2"/>
  <c r="B4135" i="2"/>
  <c r="D4134" i="2"/>
  <c r="B4134" i="2"/>
  <c r="D4133" i="2"/>
  <c r="B4133" i="2"/>
  <c r="D4132" i="2"/>
  <c r="B4132" i="2"/>
  <c r="D4131" i="2"/>
  <c r="B4131" i="2"/>
  <c r="D4130" i="2"/>
  <c r="B4130" i="2"/>
  <c r="D4129" i="2"/>
  <c r="B4129" i="2"/>
  <c r="D4128" i="2"/>
  <c r="B4128" i="2"/>
  <c r="D4127" i="2"/>
  <c r="B4127" i="2"/>
  <c r="D4126" i="2"/>
  <c r="B4126" i="2"/>
  <c r="D4125" i="2"/>
  <c r="B4125" i="2"/>
  <c r="D4124" i="2"/>
  <c r="B4124" i="2"/>
  <c r="D4123" i="2"/>
  <c r="B4123" i="2"/>
  <c r="D4122" i="2"/>
  <c r="B4122" i="2"/>
  <c r="D4121" i="2"/>
  <c r="B4121" i="2"/>
  <c r="D4120" i="2"/>
  <c r="B4120" i="2"/>
  <c r="D4119" i="2"/>
  <c r="B4119" i="2"/>
  <c r="D4118" i="2"/>
  <c r="B4118" i="2"/>
  <c r="D4117" i="2"/>
  <c r="B4117" i="2"/>
  <c r="D4116" i="2"/>
  <c r="B4116" i="2"/>
  <c r="D4115" i="2"/>
  <c r="B4115" i="2"/>
  <c r="D4114" i="2"/>
  <c r="B4114" i="2"/>
  <c r="D4113" i="2"/>
  <c r="B4113" i="2"/>
  <c r="D4112" i="2"/>
  <c r="B4112" i="2"/>
  <c r="D4111" i="2"/>
  <c r="B4111" i="2"/>
  <c r="D4110" i="2"/>
  <c r="B4110" i="2"/>
  <c r="D4109" i="2"/>
  <c r="B4109" i="2"/>
  <c r="D4108" i="2"/>
  <c r="B4108" i="2"/>
  <c r="D4107" i="2"/>
  <c r="B4107" i="2"/>
  <c r="D4106" i="2"/>
  <c r="B4106" i="2"/>
  <c r="D4105" i="2"/>
  <c r="B4105" i="2"/>
  <c r="D4104" i="2"/>
  <c r="B4104" i="2"/>
  <c r="D4103" i="2"/>
  <c r="B4103" i="2"/>
  <c r="D4102" i="2"/>
  <c r="B4102" i="2"/>
  <c r="D4101" i="2"/>
  <c r="B4101" i="2"/>
  <c r="D4100" i="2"/>
  <c r="B4100" i="2"/>
  <c r="D4099" i="2"/>
  <c r="B4099" i="2"/>
  <c r="D4098" i="2"/>
  <c r="B4098" i="2"/>
  <c r="D4097" i="2"/>
  <c r="B4097" i="2"/>
  <c r="D4096" i="2"/>
  <c r="B4096" i="2"/>
  <c r="D4095" i="2"/>
  <c r="B4095" i="2"/>
  <c r="D4094" i="2"/>
  <c r="B4094" i="2"/>
  <c r="D4093" i="2"/>
  <c r="B4093" i="2"/>
  <c r="D4092" i="2"/>
  <c r="B4092" i="2"/>
  <c r="D4091" i="2"/>
  <c r="B4091" i="2"/>
  <c r="D4090" i="2"/>
  <c r="B4090" i="2"/>
  <c r="D4089" i="2"/>
  <c r="B4089" i="2"/>
  <c r="D4088" i="2"/>
  <c r="B4088" i="2"/>
  <c r="D4087" i="2"/>
  <c r="B4087" i="2"/>
  <c r="D4086" i="2"/>
  <c r="B4086" i="2"/>
  <c r="D4085" i="2"/>
  <c r="B4085" i="2"/>
  <c r="D4084" i="2"/>
  <c r="B4084" i="2"/>
  <c r="D4083" i="2"/>
  <c r="B4083" i="2"/>
  <c r="D4082" i="2"/>
  <c r="B4082" i="2"/>
  <c r="D4081" i="2"/>
  <c r="B4081" i="2"/>
  <c r="D4080" i="2"/>
  <c r="B4080" i="2"/>
  <c r="D4079" i="2"/>
  <c r="B4079" i="2"/>
  <c r="D4078" i="2"/>
  <c r="B4078" i="2"/>
  <c r="D4077" i="2"/>
  <c r="B4077" i="2"/>
  <c r="D4076" i="2"/>
  <c r="B4076" i="2"/>
  <c r="D4075" i="2"/>
  <c r="B4075" i="2"/>
  <c r="D4074" i="2"/>
  <c r="B4074" i="2"/>
  <c r="D4073" i="2"/>
  <c r="B4073" i="2"/>
  <c r="D4072" i="2"/>
  <c r="B4072" i="2"/>
  <c r="D4071" i="2"/>
  <c r="B4071" i="2"/>
  <c r="D4070" i="2"/>
  <c r="B4070" i="2"/>
  <c r="D4069" i="2"/>
  <c r="B4069" i="2"/>
  <c r="D4068" i="2"/>
  <c r="B4068" i="2"/>
  <c r="D4067" i="2"/>
  <c r="B4067" i="2"/>
  <c r="D4066" i="2"/>
  <c r="B4066" i="2"/>
  <c r="D4065" i="2"/>
  <c r="B4065" i="2"/>
  <c r="D4064" i="2"/>
  <c r="B4064" i="2"/>
  <c r="D4063" i="2"/>
  <c r="B4063" i="2"/>
  <c r="D4062" i="2"/>
  <c r="B4062" i="2"/>
  <c r="D4061" i="2"/>
  <c r="B4061" i="2"/>
  <c r="D4060" i="2"/>
  <c r="B4060" i="2"/>
  <c r="D4059" i="2"/>
  <c r="B4059" i="2"/>
  <c r="D4058" i="2"/>
  <c r="B4058" i="2"/>
  <c r="D4057" i="2"/>
  <c r="B4057" i="2"/>
  <c r="D4056" i="2"/>
  <c r="B4056" i="2"/>
  <c r="D4055" i="2"/>
  <c r="B4055" i="2"/>
  <c r="D4054" i="2"/>
  <c r="B4054" i="2"/>
  <c r="D4053" i="2"/>
  <c r="B4053" i="2"/>
  <c r="D4052" i="2"/>
  <c r="B4052" i="2"/>
  <c r="D4051" i="2"/>
  <c r="B4051" i="2"/>
  <c r="D4050" i="2"/>
  <c r="B4050" i="2"/>
  <c r="D4049" i="2"/>
  <c r="B4049" i="2"/>
  <c r="D4048" i="2"/>
  <c r="B4048" i="2"/>
  <c r="D4047" i="2"/>
  <c r="B4047" i="2"/>
  <c r="D4046" i="2"/>
  <c r="B4046" i="2"/>
  <c r="D4045" i="2"/>
  <c r="B4045" i="2"/>
  <c r="D4044" i="2"/>
  <c r="B4044" i="2"/>
  <c r="D4043" i="2"/>
  <c r="B4043" i="2"/>
  <c r="D4042" i="2"/>
  <c r="B4042" i="2"/>
  <c r="D4041" i="2"/>
  <c r="B4041" i="2"/>
  <c r="D4040" i="2"/>
  <c r="B4040" i="2"/>
  <c r="D4039" i="2"/>
  <c r="B4039" i="2"/>
  <c r="D4038" i="2"/>
  <c r="B4038" i="2"/>
  <c r="D4037" i="2"/>
  <c r="B4037" i="2"/>
  <c r="D4036" i="2"/>
  <c r="B4036" i="2"/>
  <c r="D4035" i="2"/>
  <c r="B4035" i="2"/>
  <c r="D4034" i="2"/>
  <c r="B4034" i="2"/>
  <c r="D4033" i="2"/>
  <c r="B4033" i="2"/>
  <c r="D4032" i="2"/>
  <c r="B4032" i="2"/>
  <c r="D4031" i="2"/>
  <c r="B4031" i="2"/>
  <c r="D4030" i="2"/>
  <c r="B4030" i="2"/>
  <c r="D4029" i="2"/>
  <c r="B4029" i="2"/>
  <c r="D4028" i="2"/>
  <c r="B4028" i="2"/>
  <c r="D4027" i="2"/>
  <c r="B4027" i="2"/>
  <c r="D4026" i="2"/>
  <c r="B4026" i="2"/>
  <c r="D4025" i="2"/>
  <c r="B4025" i="2"/>
  <c r="D4024" i="2"/>
  <c r="B4024" i="2"/>
  <c r="D4023" i="2"/>
  <c r="B4023" i="2"/>
  <c r="D4022" i="2"/>
  <c r="B4022" i="2"/>
  <c r="D4021" i="2"/>
  <c r="B4021" i="2"/>
  <c r="D4020" i="2"/>
  <c r="B4020" i="2"/>
  <c r="D4019" i="2"/>
  <c r="B4019" i="2"/>
  <c r="D4018" i="2"/>
  <c r="B4018" i="2"/>
  <c r="D4017" i="2"/>
  <c r="B4017" i="2"/>
  <c r="D4016" i="2"/>
  <c r="B4016" i="2"/>
  <c r="D4015" i="2"/>
  <c r="B4015" i="2"/>
  <c r="D4014" i="2"/>
  <c r="B4014" i="2"/>
  <c r="D4013" i="2"/>
  <c r="B4013" i="2"/>
  <c r="D4012" i="2"/>
  <c r="B4012" i="2"/>
  <c r="D4011" i="2"/>
  <c r="B4011" i="2"/>
  <c r="D4010" i="2"/>
  <c r="B4010" i="2"/>
  <c r="D4009" i="2"/>
  <c r="B4009" i="2"/>
  <c r="D4008" i="2"/>
  <c r="B4008" i="2"/>
  <c r="D4007" i="2"/>
  <c r="B4007" i="2"/>
  <c r="D4006" i="2"/>
  <c r="B4006" i="2"/>
  <c r="D4005" i="2"/>
  <c r="B4005" i="2"/>
  <c r="D4004" i="2"/>
  <c r="B4004" i="2"/>
  <c r="D4003" i="2"/>
  <c r="B4003" i="2"/>
  <c r="D4002" i="2"/>
  <c r="B4002" i="2"/>
  <c r="D4001" i="2"/>
  <c r="B4001" i="2"/>
  <c r="D4000" i="2"/>
  <c r="B4000" i="2"/>
  <c r="D3999" i="2"/>
  <c r="B3999" i="2"/>
  <c r="D3998" i="2"/>
  <c r="B3998" i="2"/>
  <c r="D3997" i="2"/>
  <c r="B3997" i="2"/>
  <c r="D3996" i="2"/>
  <c r="B3996" i="2"/>
  <c r="D3995" i="2"/>
  <c r="B3995" i="2"/>
  <c r="D3994" i="2"/>
  <c r="B3994" i="2"/>
  <c r="D3993" i="2"/>
  <c r="B3993" i="2"/>
  <c r="D3992" i="2"/>
  <c r="B3992" i="2"/>
  <c r="D3991" i="2"/>
  <c r="B3991" i="2"/>
  <c r="D3990" i="2"/>
  <c r="B3990" i="2"/>
  <c r="D3989" i="2"/>
  <c r="B3989" i="2"/>
  <c r="D3988" i="2"/>
  <c r="B3988" i="2"/>
  <c r="D3987" i="2"/>
  <c r="B3987" i="2"/>
  <c r="D3986" i="2"/>
  <c r="B3986" i="2"/>
  <c r="D3985" i="2"/>
  <c r="B3985" i="2"/>
  <c r="D3984" i="2"/>
  <c r="B3984" i="2"/>
  <c r="D3983" i="2"/>
  <c r="B3983" i="2"/>
  <c r="D3982" i="2"/>
  <c r="B3982" i="2"/>
  <c r="D3981" i="2"/>
  <c r="B3981" i="2"/>
  <c r="D3980" i="2"/>
  <c r="B3980" i="2"/>
  <c r="D3979" i="2"/>
  <c r="B3979" i="2"/>
  <c r="D3978" i="2"/>
  <c r="B3978" i="2"/>
  <c r="D3977" i="2"/>
  <c r="B3977" i="2"/>
  <c r="D3976" i="2"/>
  <c r="B3976" i="2"/>
  <c r="D3975" i="2"/>
  <c r="B3975" i="2"/>
  <c r="D3974" i="2"/>
  <c r="B3974" i="2"/>
  <c r="D3973" i="2"/>
  <c r="B3973" i="2"/>
  <c r="D3972" i="2"/>
  <c r="B3972" i="2"/>
  <c r="D3971" i="2"/>
  <c r="B3971" i="2"/>
  <c r="D3970" i="2"/>
  <c r="B3970" i="2"/>
  <c r="D3969" i="2"/>
  <c r="B3969" i="2"/>
  <c r="D3968" i="2"/>
  <c r="B3968" i="2"/>
  <c r="D3967" i="2"/>
  <c r="B3967" i="2"/>
  <c r="D3966" i="2"/>
  <c r="B3966" i="2"/>
  <c r="D3965" i="2"/>
  <c r="B3965" i="2"/>
  <c r="D3964" i="2"/>
  <c r="B3964" i="2"/>
  <c r="D3963" i="2"/>
  <c r="B3963" i="2"/>
  <c r="D3962" i="2"/>
  <c r="B3962" i="2"/>
  <c r="D3961" i="2"/>
  <c r="B3961" i="2"/>
  <c r="D3960" i="2"/>
  <c r="B3960" i="2"/>
  <c r="D3959" i="2"/>
  <c r="B3959" i="2"/>
  <c r="D3958" i="2"/>
  <c r="B3958" i="2"/>
  <c r="D3957" i="2"/>
  <c r="B3957" i="2"/>
  <c r="D3956" i="2"/>
  <c r="B3956" i="2"/>
  <c r="D3955" i="2"/>
  <c r="B3955" i="2"/>
  <c r="D3954" i="2"/>
  <c r="B3954" i="2"/>
  <c r="D3953" i="2"/>
  <c r="B3953" i="2"/>
  <c r="D3952" i="2"/>
  <c r="B3952" i="2"/>
  <c r="D3951" i="2"/>
  <c r="B3951" i="2"/>
  <c r="D3950" i="2"/>
  <c r="B3950" i="2"/>
  <c r="D3949" i="2"/>
  <c r="B3949" i="2"/>
  <c r="D3948" i="2"/>
  <c r="B3948" i="2"/>
  <c r="D3947" i="2"/>
  <c r="B3947" i="2"/>
  <c r="D3946" i="2"/>
  <c r="B3946" i="2"/>
  <c r="D3945" i="2"/>
  <c r="B3945" i="2"/>
  <c r="D3944" i="2"/>
  <c r="B3944" i="2"/>
  <c r="D3943" i="2"/>
  <c r="B3943" i="2"/>
  <c r="D3942" i="2"/>
  <c r="B3942" i="2"/>
  <c r="D3941" i="2"/>
  <c r="B3941" i="2"/>
  <c r="D3940" i="2"/>
  <c r="B3940" i="2"/>
  <c r="D3939" i="2"/>
  <c r="B3939" i="2"/>
  <c r="D3938" i="2"/>
  <c r="B3938" i="2"/>
  <c r="D3937" i="2"/>
  <c r="B3937" i="2"/>
  <c r="D3936" i="2"/>
  <c r="B3936" i="2"/>
  <c r="D3935" i="2"/>
  <c r="B3935" i="2"/>
  <c r="D3934" i="2"/>
  <c r="B3934" i="2"/>
  <c r="D3933" i="2"/>
  <c r="B3933" i="2"/>
  <c r="D3932" i="2"/>
  <c r="B3932" i="2"/>
  <c r="D3931" i="2"/>
  <c r="B3931" i="2"/>
  <c r="D3930" i="2"/>
  <c r="B3930" i="2"/>
  <c r="D3929" i="2"/>
  <c r="B3929" i="2"/>
  <c r="D3928" i="2"/>
  <c r="B3928" i="2"/>
  <c r="D3927" i="2"/>
  <c r="B3927" i="2"/>
  <c r="D3926" i="2"/>
  <c r="B3926" i="2"/>
  <c r="D3925" i="2"/>
  <c r="B3925" i="2"/>
  <c r="D3924" i="2"/>
  <c r="B3924" i="2"/>
  <c r="D3923" i="2"/>
  <c r="B3923" i="2"/>
  <c r="D3922" i="2"/>
  <c r="B3922" i="2"/>
  <c r="D3921" i="2"/>
  <c r="B3921" i="2"/>
  <c r="D3920" i="2"/>
  <c r="B3920" i="2"/>
  <c r="D3919" i="2"/>
  <c r="B3919" i="2"/>
  <c r="D3918" i="2"/>
  <c r="B3918" i="2"/>
  <c r="D3917" i="2"/>
  <c r="B3917" i="2"/>
  <c r="D3916" i="2"/>
  <c r="B3916" i="2"/>
  <c r="D3915" i="2"/>
  <c r="B3915" i="2"/>
  <c r="D3914" i="2"/>
  <c r="B3914" i="2"/>
  <c r="D3913" i="2"/>
  <c r="B3913" i="2"/>
  <c r="D3912" i="2"/>
  <c r="B3912" i="2"/>
  <c r="D3911" i="2"/>
  <c r="B3911" i="2"/>
  <c r="D3910" i="2"/>
  <c r="B3910" i="2"/>
  <c r="D3909" i="2"/>
  <c r="B3909" i="2"/>
  <c r="D3908" i="2"/>
  <c r="B3908" i="2"/>
  <c r="D3907" i="2"/>
  <c r="B3907" i="2"/>
  <c r="D3906" i="2"/>
  <c r="B3906" i="2"/>
  <c r="D3905" i="2"/>
  <c r="B3905" i="2"/>
  <c r="D3904" i="2"/>
  <c r="B3904" i="2"/>
  <c r="D3903" i="2"/>
  <c r="B3903" i="2"/>
  <c r="D3902" i="2"/>
  <c r="B3902" i="2"/>
  <c r="D3901" i="2"/>
  <c r="B3901" i="2"/>
  <c r="D3900" i="2"/>
  <c r="B3900" i="2"/>
  <c r="D3899" i="2"/>
  <c r="B3899" i="2"/>
  <c r="D3898" i="2"/>
  <c r="B3898" i="2"/>
  <c r="D3897" i="2"/>
  <c r="B3897" i="2"/>
  <c r="D3896" i="2"/>
  <c r="B3896" i="2"/>
  <c r="D3895" i="2"/>
  <c r="B3895" i="2"/>
  <c r="D3894" i="2"/>
  <c r="B3894" i="2"/>
  <c r="D3893" i="2"/>
  <c r="B3893" i="2"/>
  <c r="D3892" i="2"/>
  <c r="B3892" i="2"/>
  <c r="D3891" i="2"/>
  <c r="B3891" i="2"/>
  <c r="D3890" i="2"/>
  <c r="B3890" i="2"/>
  <c r="D3889" i="2"/>
  <c r="B3889" i="2"/>
  <c r="D3888" i="2"/>
  <c r="B3888" i="2"/>
  <c r="D3887" i="2"/>
  <c r="B3887" i="2"/>
  <c r="D3886" i="2"/>
  <c r="B3886" i="2"/>
  <c r="D3885" i="2"/>
  <c r="B3885" i="2"/>
  <c r="D3884" i="2"/>
  <c r="B3884" i="2"/>
  <c r="D3883" i="2"/>
  <c r="B3883" i="2"/>
  <c r="D3882" i="2"/>
  <c r="B3882" i="2"/>
  <c r="D3881" i="2"/>
  <c r="B3881" i="2"/>
  <c r="D3880" i="2"/>
  <c r="B3880" i="2"/>
  <c r="D3879" i="2"/>
  <c r="B3879" i="2"/>
  <c r="D3878" i="2"/>
  <c r="B3878" i="2"/>
  <c r="D3877" i="2"/>
  <c r="B3877" i="2"/>
  <c r="D3876" i="2"/>
  <c r="B3876" i="2"/>
  <c r="D3875" i="2"/>
  <c r="B3875" i="2"/>
  <c r="D3874" i="2"/>
  <c r="B3874" i="2"/>
  <c r="D3873" i="2"/>
  <c r="B3873" i="2"/>
  <c r="D3872" i="2"/>
  <c r="B3872" i="2"/>
  <c r="D3871" i="2"/>
  <c r="B3871" i="2"/>
  <c r="D3870" i="2"/>
  <c r="B3870" i="2"/>
  <c r="D3869" i="2"/>
  <c r="B3869" i="2"/>
  <c r="D3868" i="2"/>
  <c r="B3868" i="2"/>
  <c r="D3867" i="2"/>
  <c r="B3867" i="2"/>
  <c r="D3866" i="2"/>
  <c r="B3866" i="2"/>
  <c r="D3865" i="2"/>
  <c r="B3865" i="2"/>
  <c r="D3864" i="2"/>
  <c r="B3864" i="2"/>
  <c r="D3863" i="2"/>
  <c r="B3863" i="2"/>
  <c r="D3862" i="2"/>
  <c r="B3862" i="2"/>
  <c r="D3861" i="2"/>
  <c r="B3861" i="2"/>
  <c r="D3860" i="2"/>
  <c r="B3860" i="2"/>
  <c r="D3859" i="2"/>
  <c r="B3859" i="2"/>
  <c r="D3858" i="2"/>
  <c r="B3858" i="2"/>
  <c r="D3857" i="2"/>
  <c r="B3857" i="2"/>
  <c r="D3856" i="2"/>
  <c r="B3856" i="2"/>
  <c r="D3855" i="2"/>
  <c r="B3855" i="2"/>
  <c r="D3854" i="2"/>
  <c r="B3854" i="2"/>
  <c r="D3853" i="2"/>
  <c r="B3853" i="2"/>
  <c r="D3852" i="2"/>
  <c r="B3852" i="2"/>
  <c r="D3851" i="2"/>
  <c r="B3851" i="2"/>
  <c r="D3850" i="2"/>
  <c r="B3850" i="2"/>
  <c r="D3849" i="2"/>
  <c r="B3849" i="2"/>
  <c r="D3848" i="2"/>
  <c r="B3848" i="2"/>
  <c r="D3847" i="2"/>
  <c r="B3847" i="2"/>
  <c r="D3846" i="2"/>
  <c r="B3846" i="2"/>
  <c r="D3845" i="2"/>
  <c r="B3845" i="2"/>
  <c r="D3844" i="2"/>
  <c r="B3844" i="2"/>
  <c r="D3843" i="2"/>
  <c r="B3843" i="2"/>
  <c r="D3842" i="2"/>
  <c r="B3842" i="2"/>
  <c r="D3841" i="2"/>
  <c r="B3841" i="2"/>
  <c r="D3840" i="2"/>
  <c r="B3840" i="2"/>
  <c r="D3839" i="2"/>
  <c r="B3839" i="2"/>
  <c r="D3838" i="2"/>
  <c r="B3838" i="2"/>
  <c r="D3837" i="2"/>
  <c r="B3837" i="2"/>
  <c r="D3836" i="2"/>
  <c r="B3836" i="2"/>
  <c r="D3835" i="2"/>
  <c r="B3835" i="2"/>
  <c r="D3834" i="2"/>
  <c r="B3834" i="2"/>
  <c r="D3833" i="2"/>
  <c r="B3833" i="2"/>
  <c r="D3832" i="2"/>
  <c r="B3832" i="2"/>
  <c r="D3831" i="2"/>
  <c r="B3831" i="2"/>
  <c r="D3830" i="2"/>
  <c r="B3830" i="2"/>
  <c r="D3829" i="2"/>
  <c r="B3829" i="2"/>
  <c r="D3828" i="2"/>
  <c r="B3828" i="2"/>
  <c r="D3827" i="2"/>
  <c r="B3827" i="2"/>
  <c r="D3826" i="2"/>
  <c r="B3826" i="2"/>
  <c r="D3825" i="2"/>
  <c r="B3825" i="2"/>
  <c r="D3824" i="2"/>
  <c r="B3824" i="2"/>
  <c r="D3823" i="2"/>
  <c r="B3823" i="2"/>
  <c r="D3822" i="2"/>
  <c r="B3822" i="2"/>
  <c r="D3821" i="2"/>
  <c r="B3821" i="2"/>
  <c r="D3820" i="2"/>
  <c r="B3820" i="2"/>
  <c r="D3819" i="2"/>
  <c r="B3819" i="2"/>
  <c r="D3818" i="2"/>
  <c r="B3818" i="2"/>
  <c r="D3817" i="2"/>
  <c r="B3817" i="2"/>
  <c r="D3816" i="2"/>
  <c r="B3816" i="2"/>
  <c r="D3815" i="2"/>
  <c r="B3815" i="2"/>
  <c r="D3814" i="2"/>
  <c r="B3814" i="2"/>
  <c r="D3813" i="2"/>
  <c r="B3813" i="2"/>
  <c r="D3812" i="2"/>
  <c r="B3812" i="2"/>
  <c r="D3811" i="2"/>
  <c r="B3811" i="2"/>
  <c r="D3810" i="2"/>
  <c r="B3810" i="2"/>
  <c r="D3809" i="2"/>
  <c r="B3809" i="2"/>
  <c r="D3808" i="2"/>
  <c r="B3808" i="2"/>
  <c r="D3807" i="2"/>
  <c r="B3807" i="2"/>
  <c r="D3806" i="2"/>
  <c r="B3806" i="2"/>
  <c r="D3805" i="2"/>
  <c r="B3805" i="2"/>
  <c r="D3804" i="2"/>
  <c r="B3804" i="2"/>
  <c r="D3803" i="2"/>
  <c r="B3803" i="2"/>
  <c r="D3802" i="2"/>
  <c r="B3802" i="2"/>
  <c r="D3801" i="2"/>
  <c r="B3801" i="2"/>
  <c r="D3800" i="2"/>
  <c r="B3800" i="2"/>
  <c r="D3799" i="2"/>
  <c r="B3799" i="2"/>
  <c r="D3798" i="2"/>
  <c r="B3798" i="2"/>
  <c r="D3797" i="2"/>
  <c r="B3797" i="2"/>
  <c r="D3796" i="2"/>
  <c r="B3796" i="2"/>
  <c r="D3795" i="2"/>
  <c r="B3795" i="2"/>
  <c r="D3794" i="2"/>
  <c r="B3794" i="2"/>
  <c r="D3793" i="2"/>
  <c r="B3793" i="2"/>
  <c r="D3792" i="2"/>
  <c r="B3792" i="2"/>
  <c r="D3791" i="2"/>
  <c r="B3791" i="2"/>
  <c r="D3790" i="2"/>
  <c r="B3790" i="2"/>
  <c r="D3789" i="2"/>
  <c r="B3789" i="2"/>
  <c r="D3788" i="2"/>
  <c r="B3788" i="2"/>
  <c r="D3787" i="2"/>
  <c r="B3787" i="2"/>
  <c r="D3786" i="2"/>
  <c r="B3786" i="2"/>
  <c r="D3785" i="2"/>
  <c r="B3785" i="2"/>
  <c r="D3784" i="2"/>
  <c r="B3784" i="2"/>
  <c r="D3783" i="2"/>
  <c r="B3783" i="2"/>
  <c r="D3782" i="2"/>
  <c r="B3782" i="2"/>
  <c r="D3781" i="2"/>
  <c r="B3781" i="2"/>
  <c r="D3780" i="2"/>
  <c r="B3780" i="2"/>
  <c r="D3779" i="2"/>
  <c r="B3779" i="2"/>
  <c r="D3778" i="2"/>
  <c r="B3778" i="2"/>
  <c r="D3777" i="2"/>
  <c r="B3777" i="2"/>
  <c r="D3776" i="2"/>
  <c r="B3776" i="2"/>
  <c r="D3775" i="2"/>
  <c r="B3775" i="2"/>
  <c r="D3774" i="2"/>
  <c r="B3774" i="2"/>
  <c r="D3773" i="2"/>
  <c r="B3773" i="2"/>
  <c r="D3772" i="2"/>
  <c r="B3772" i="2"/>
  <c r="D3771" i="2"/>
  <c r="B3771" i="2"/>
  <c r="D3770" i="2"/>
  <c r="B3770" i="2"/>
  <c r="D3769" i="2"/>
  <c r="B3769" i="2"/>
  <c r="D3768" i="2"/>
  <c r="B3768" i="2"/>
  <c r="D3767" i="2"/>
  <c r="B3767" i="2"/>
  <c r="D3766" i="2"/>
  <c r="B3766" i="2"/>
  <c r="D3765" i="2"/>
  <c r="B3765" i="2"/>
  <c r="D3764" i="2"/>
  <c r="B3764" i="2"/>
  <c r="D3763" i="2"/>
  <c r="B3763" i="2"/>
  <c r="D3762" i="2"/>
  <c r="B3762" i="2"/>
  <c r="D3761" i="2"/>
  <c r="B3761" i="2"/>
  <c r="D3760" i="2"/>
  <c r="B3760" i="2"/>
  <c r="D3759" i="2"/>
  <c r="B3759" i="2"/>
  <c r="D3758" i="2"/>
  <c r="B3758" i="2"/>
  <c r="D3757" i="2"/>
  <c r="B3757" i="2"/>
  <c r="D3756" i="2"/>
  <c r="B3756" i="2"/>
  <c r="D3755" i="2"/>
  <c r="B3755" i="2"/>
  <c r="D3754" i="2"/>
  <c r="B3754" i="2"/>
  <c r="D3753" i="2"/>
  <c r="B3753" i="2"/>
  <c r="D3752" i="2"/>
  <c r="B3752" i="2"/>
  <c r="D3751" i="2"/>
  <c r="B3751" i="2"/>
  <c r="D3750" i="2"/>
  <c r="B3750" i="2"/>
  <c r="D3749" i="2"/>
  <c r="B3749" i="2"/>
  <c r="D3748" i="2"/>
  <c r="B3748" i="2"/>
  <c r="D3747" i="2"/>
  <c r="B3747" i="2"/>
  <c r="D3746" i="2"/>
  <c r="B3746" i="2"/>
  <c r="D3745" i="2"/>
  <c r="B3745" i="2"/>
  <c r="D3744" i="2"/>
  <c r="B3744" i="2"/>
  <c r="D3743" i="2"/>
  <c r="B3743" i="2"/>
  <c r="D3742" i="2"/>
  <c r="B3742" i="2"/>
  <c r="D3741" i="2"/>
  <c r="B3741" i="2"/>
  <c r="D3740" i="2"/>
  <c r="B3740" i="2"/>
  <c r="D3739" i="2"/>
  <c r="B3739" i="2"/>
  <c r="D3738" i="2"/>
  <c r="B3738" i="2"/>
  <c r="D3737" i="2"/>
  <c r="B3737" i="2"/>
  <c r="D3736" i="2"/>
  <c r="B3736" i="2"/>
  <c r="D3735" i="2"/>
  <c r="B3735" i="2"/>
  <c r="D3734" i="2"/>
  <c r="B3734" i="2"/>
  <c r="D3733" i="2"/>
  <c r="B3733" i="2"/>
  <c r="D3732" i="2"/>
  <c r="B3732" i="2"/>
  <c r="D3731" i="2"/>
  <c r="B3731" i="2"/>
  <c r="D3730" i="2"/>
  <c r="B3730" i="2"/>
  <c r="D3729" i="2"/>
  <c r="B3729" i="2"/>
  <c r="D3728" i="2"/>
  <c r="B3728" i="2"/>
  <c r="D3727" i="2"/>
  <c r="B3727" i="2"/>
  <c r="D3726" i="2"/>
  <c r="B3726" i="2"/>
  <c r="D3725" i="2"/>
  <c r="B3725" i="2"/>
  <c r="D3724" i="2"/>
  <c r="B3724" i="2"/>
  <c r="D3723" i="2"/>
  <c r="B3723" i="2"/>
  <c r="D3722" i="2"/>
  <c r="B3722" i="2"/>
  <c r="D3721" i="2"/>
  <c r="B3721" i="2"/>
  <c r="D3720" i="2"/>
  <c r="B3720" i="2"/>
  <c r="D3719" i="2"/>
  <c r="B3719" i="2"/>
  <c r="D3718" i="2"/>
  <c r="B3718" i="2"/>
  <c r="D3717" i="2"/>
  <c r="B3717" i="2"/>
  <c r="D3716" i="2"/>
  <c r="B3716" i="2"/>
  <c r="D3715" i="2"/>
  <c r="B3715" i="2"/>
  <c r="D3714" i="2"/>
  <c r="B3714" i="2"/>
  <c r="D3713" i="2"/>
  <c r="B3713" i="2"/>
  <c r="D3712" i="2"/>
  <c r="B3712" i="2"/>
  <c r="D3711" i="2"/>
  <c r="B3711" i="2"/>
  <c r="D3710" i="2"/>
  <c r="B3710" i="2"/>
  <c r="D3709" i="2"/>
  <c r="B3709" i="2"/>
  <c r="D3708" i="2"/>
  <c r="B3708" i="2"/>
  <c r="D3707" i="2"/>
  <c r="B3707" i="2"/>
  <c r="D3706" i="2"/>
  <c r="B3706" i="2"/>
  <c r="D3705" i="2"/>
  <c r="B3705" i="2"/>
  <c r="D3704" i="2"/>
  <c r="B3704" i="2"/>
  <c r="D3703" i="2"/>
  <c r="B3703" i="2"/>
  <c r="D3702" i="2"/>
  <c r="B3702" i="2"/>
  <c r="D3701" i="2"/>
  <c r="B3701" i="2"/>
  <c r="D3700" i="2"/>
  <c r="B3700" i="2"/>
  <c r="D3699" i="2"/>
  <c r="B3699" i="2"/>
  <c r="D3698" i="2"/>
  <c r="B3698" i="2"/>
  <c r="D3697" i="2"/>
  <c r="B3697" i="2"/>
  <c r="D3696" i="2"/>
  <c r="B3696" i="2"/>
  <c r="D3695" i="2"/>
  <c r="B3695" i="2"/>
  <c r="D3694" i="2"/>
  <c r="B3694" i="2"/>
  <c r="D3693" i="2"/>
  <c r="B3693" i="2"/>
  <c r="D3692" i="2"/>
  <c r="B3692" i="2"/>
  <c r="D3691" i="2"/>
  <c r="B3691" i="2"/>
  <c r="D3690" i="2"/>
  <c r="B3690" i="2"/>
  <c r="D3689" i="2"/>
  <c r="B3689" i="2"/>
  <c r="D3688" i="2"/>
  <c r="B3688" i="2"/>
  <c r="D3687" i="2"/>
  <c r="B3687" i="2"/>
  <c r="D3686" i="2"/>
  <c r="B3686" i="2"/>
  <c r="D3685" i="2"/>
  <c r="B3685" i="2"/>
  <c r="D3684" i="2"/>
  <c r="B3684" i="2"/>
  <c r="D3683" i="2"/>
  <c r="B3683" i="2"/>
  <c r="D3682" i="2"/>
  <c r="B3682" i="2"/>
  <c r="D3681" i="2"/>
  <c r="B3681" i="2"/>
  <c r="D3680" i="2"/>
  <c r="B3680" i="2"/>
  <c r="D3679" i="2"/>
  <c r="B3679" i="2"/>
  <c r="D3678" i="2"/>
  <c r="B3678" i="2"/>
  <c r="D3677" i="2"/>
  <c r="B3677" i="2"/>
  <c r="D3676" i="2"/>
  <c r="B3676" i="2"/>
  <c r="D3675" i="2"/>
  <c r="B3675" i="2"/>
  <c r="D3674" i="2"/>
  <c r="B3674" i="2"/>
  <c r="D3673" i="2"/>
  <c r="B3673" i="2"/>
  <c r="D3672" i="2"/>
  <c r="B3672" i="2"/>
  <c r="D3671" i="2"/>
  <c r="B3671" i="2"/>
  <c r="D3670" i="2"/>
  <c r="B3670" i="2"/>
  <c r="D3669" i="2"/>
  <c r="B3669" i="2"/>
  <c r="D3668" i="2"/>
  <c r="B3668" i="2"/>
  <c r="D3667" i="2"/>
  <c r="B3667" i="2"/>
  <c r="D3666" i="2"/>
  <c r="B3666" i="2"/>
  <c r="D3665" i="2"/>
  <c r="B3665" i="2"/>
  <c r="D3664" i="2"/>
  <c r="B3664" i="2"/>
  <c r="D3663" i="2"/>
  <c r="B3663" i="2"/>
  <c r="D3662" i="2"/>
  <c r="B3662" i="2"/>
  <c r="D3661" i="2"/>
  <c r="B3661" i="2"/>
  <c r="D3660" i="2"/>
  <c r="B3660" i="2"/>
  <c r="D3659" i="2"/>
  <c r="B3659" i="2"/>
  <c r="D3658" i="2"/>
  <c r="B3658" i="2"/>
  <c r="D3657" i="2"/>
  <c r="B3657" i="2"/>
  <c r="D3656" i="2"/>
  <c r="B3656" i="2"/>
  <c r="D3655" i="2"/>
  <c r="B3655" i="2"/>
  <c r="D3654" i="2"/>
  <c r="B3654" i="2"/>
  <c r="D3653" i="2"/>
  <c r="B3653" i="2"/>
  <c r="D3652" i="2"/>
  <c r="B3652" i="2"/>
  <c r="D3651" i="2"/>
  <c r="B3651" i="2"/>
  <c r="D3650" i="2"/>
  <c r="B3650" i="2"/>
  <c r="D3649" i="2"/>
  <c r="B3649" i="2"/>
  <c r="D3648" i="2"/>
  <c r="B3648" i="2"/>
  <c r="D3647" i="2"/>
  <c r="B3647" i="2"/>
  <c r="D3646" i="2"/>
  <c r="B3646" i="2"/>
  <c r="D3645" i="2"/>
  <c r="B3645" i="2"/>
  <c r="D3644" i="2"/>
  <c r="B3644" i="2"/>
  <c r="D3643" i="2"/>
  <c r="B3643" i="2"/>
  <c r="D3642" i="2"/>
  <c r="B3642" i="2"/>
  <c r="D3641" i="2"/>
  <c r="B3641" i="2"/>
  <c r="D3640" i="2"/>
  <c r="B3640" i="2"/>
  <c r="D3639" i="2"/>
  <c r="B3639" i="2"/>
  <c r="D3638" i="2"/>
  <c r="B3638" i="2"/>
  <c r="D3637" i="2"/>
  <c r="B3637" i="2"/>
  <c r="D3636" i="2"/>
  <c r="B3636" i="2"/>
  <c r="D3635" i="2"/>
  <c r="B3635" i="2"/>
  <c r="D3634" i="2"/>
  <c r="B3634" i="2"/>
  <c r="D3633" i="2"/>
  <c r="B3633" i="2"/>
  <c r="D3632" i="2"/>
  <c r="B3632" i="2"/>
  <c r="D3631" i="2"/>
  <c r="B3631" i="2"/>
  <c r="D3630" i="2"/>
  <c r="B3630" i="2"/>
  <c r="D3629" i="2"/>
  <c r="B3629" i="2"/>
  <c r="D3628" i="2"/>
  <c r="B3628" i="2"/>
  <c r="D3627" i="2"/>
  <c r="B3627" i="2"/>
  <c r="D3626" i="2"/>
  <c r="B3626" i="2"/>
  <c r="D3625" i="2"/>
  <c r="B3625" i="2"/>
  <c r="D3624" i="2"/>
  <c r="B3624" i="2"/>
  <c r="D3623" i="2"/>
  <c r="B3623" i="2"/>
  <c r="D3622" i="2"/>
  <c r="B3622" i="2"/>
  <c r="D3621" i="2"/>
  <c r="B3621" i="2"/>
  <c r="D3620" i="2"/>
  <c r="B3620" i="2"/>
  <c r="D3619" i="2"/>
  <c r="B3619" i="2"/>
  <c r="D3618" i="2"/>
  <c r="B3618" i="2"/>
  <c r="D3617" i="2"/>
  <c r="B3617" i="2"/>
  <c r="D3616" i="2"/>
  <c r="B3616" i="2"/>
  <c r="D3615" i="2"/>
  <c r="B3615" i="2"/>
  <c r="D3614" i="2"/>
  <c r="B3614" i="2"/>
  <c r="D3613" i="2"/>
  <c r="B3613" i="2"/>
  <c r="D3612" i="2"/>
  <c r="B3612" i="2"/>
  <c r="D3611" i="2"/>
  <c r="B3611" i="2"/>
  <c r="D3610" i="2"/>
  <c r="B3610" i="2"/>
  <c r="D3609" i="2"/>
  <c r="B3609" i="2"/>
  <c r="D3608" i="2"/>
  <c r="B3608" i="2"/>
  <c r="D3607" i="2"/>
  <c r="B3607" i="2"/>
  <c r="D3606" i="2"/>
  <c r="B3606" i="2"/>
  <c r="D3605" i="2"/>
  <c r="B3605" i="2"/>
  <c r="D3604" i="2"/>
  <c r="B3604" i="2"/>
  <c r="D3603" i="2"/>
  <c r="B3603" i="2"/>
  <c r="D3602" i="2"/>
  <c r="B3602" i="2"/>
  <c r="D3601" i="2"/>
  <c r="B3601" i="2"/>
  <c r="D3600" i="2"/>
  <c r="B3600" i="2"/>
  <c r="D3599" i="2"/>
  <c r="B3599" i="2"/>
  <c r="D3598" i="2"/>
  <c r="B3598" i="2"/>
  <c r="D3597" i="2"/>
  <c r="B3597" i="2"/>
  <c r="D3596" i="2"/>
  <c r="B3596" i="2"/>
  <c r="D3595" i="2"/>
  <c r="B3595" i="2"/>
  <c r="D3594" i="2"/>
  <c r="B3594" i="2"/>
  <c r="D3593" i="2"/>
  <c r="B3593" i="2"/>
  <c r="D3592" i="2"/>
  <c r="B3592" i="2"/>
  <c r="D3591" i="2"/>
  <c r="B3591" i="2"/>
  <c r="D3590" i="2"/>
  <c r="B3590" i="2"/>
  <c r="D3589" i="2"/>
  <c r="B3589" i="2"/>
  <c r="D3588" i="2"/>
  <c r="B3588" i="2"/>
  <c r="D3587" i="2"/>
  <c r="B3587" i="2"/>
  <c r="D3586" i="2"/>
  <c r="B3586" i="2"/>
  <c r="D3585" i="2"/>
  <c r="B3585" i="2"/>
  <c r="D3584" i="2"/>
  <c r="B3584" i="2"/>
  <c r="D3583" i="2"/>
  <c r="B3583" i="2"/>
  <c r="D3582" i="2"/>
  <c r="B3582" i="2"/>
  <c r="D3581" i="2"/>
  <c r="B3581" i="2"/>
  <c r="D3580" i="2"/>
  <c r="B3580" i="2"/>
  <c r="D3579" i="2"/>
  <c r="B3579" i="2"/>
  <c r="D3578" i="2"/>
  <c r="B3578" i="2"/>
  <c r="D3577" i="2"/>
  <c r="B3577" i="2"/>
  <c r="D3576" i="2"/>
  <c r="B3576" i="2"/>
  <c r="D3575" i="2"/>
  <c r="B3575" i="2"/>
  <c r="D3574" i="2"/>
  <c r="B3574" i="2"/>
  <c r="D3573" i="2"/>
  <c r="B3573" i="2"/>
  <c r="D3572" i="2"/>
  <c r="B3572" i="2"/>
  <c r="D3571" i="2"/>
  <c r="B3571" i="2"/>
  <c r="D3570" i="2"/>
  <c r="B3570" i="2"/>
  <c r="D3569" i="2"/>
  <c r="B3569" i="2"/>
  <c r="D3568" i="2"/>
  <c r="B3568" i="2"/>
  <c r="D3567" i="2"/>
  <c r="B3567" i="2"/>
  <c r="D3566" i="2"/>
  <c r="B3566" i="2"/>
  <c r="D3565" i="2"/>
  <c r="B3565" i="2"/>
  <c r="D3564" i="2"/>
  <c r="B3564" i="2"/>
  <c r="D3563" i="2"/>
  <c r="B3563" i="2"/>
  <c r="D3562" i="2"/>
  <c r="B3562" i="2"/>
  <c r="D3561" i="2"/>
  <c r="B3561" i="2"/>
  <c r="D3560" i="2"/>
  <c r="B3560" i="2"/>
  <c r="D3559" i="2"/>
  <c r="B3559" i="2"/>
  <c r="D3558" i="2"/>
  <c r="B3558" i="2"/>
  <c r="D3557" i="2"/>
  <c r="B3557" i="2"/>
  <c r="D3556" i="2"/>
  <c r="B3556" i="2"/>
  <c r="D3555" i="2"/>
  <c r="B3555" i="2"/>
  <c r="D3554" i="2"/>
  <c r="B3554" i="2"/>
  <c r="D3553" i="2"/>
  <c r="B3553" i="2"/>
  <c r="D3552" i="2"/>
  <c r="B3552" i="2"/>
  <c r="D3551" i="2"/>
  <c r="B3551" i="2"/>
  <c r="D3550" i="2"/>
  <c r="B3550" i="2"/>
  <c r="D3549" i="2"/>
  <c r="B3549" i="2"/>
  <c r="D3548" i="2"/>
  <c r="B3548" i="2"/>
  <c r="D3547" i="2"/>
  <c r="B3547" i="2"/>
  <c r="D3546" i="2"/>
  <c r="B3546" i="2"/>
  <c r="D3545" i="2"/>
  <c r="B3545" i="2"/>
  <c r="D3544" i="2"/>
  <c r="B3544" i="2"/>
  <c r="D3543" i="2"/>
  <c r="B3543" i="2"/>
  <c r="D3542" i="2"/>
  <c r="B3542" i="2"/>
  <c r="D3541" i="2"/>
  <c r="B3541" i="2"/>
  <c r="D3540" i="2"/>
  <c r="B3540" i="2"/>
  <c r="D3539" i="2"/>
  <c r="B3539" i="2"/>
  <c r="D3538" i="2"/>
  <c r="B3538" i="2"/>
  <c r="D3537" i="2"/>
  <c r="B3537" i="2"/>
  <c r="D3536" i="2"/>
  <c r="B3536" i="2"/>
  <c r="D3535" i="2"/>
  <c r="B3535" i="2"/>
  <c r="D3534" i="2"/>
  <c r="B3534" i="2"/>
  <c r="D3533" i="2"/>
  <c r="B3533" i="2"/>
  <c r="D3532" i="2"/>
  <c r="B3532" i="2"/>
  <c r="D3531" i="2"/>
  <c r="B3531" i="2"/>
  <c r="D3530" i="2"/>
  <c r="B3530" i="2"/>
  <c r="D3529" i="2"/>
  <c r="B3529" i="2"/>
  <c r="D3528" i="2"/>
  <c r="B3528" i="2"/>
  <c r="D3527" i="2"/>
  <c r="B3527" i="2"/>
  <c r="D3526" i="2"/>
  <c r="B3526" i="2"/>
  <c r="D3525" i="2"/>
  <c r="B3525" i="2"/>
  <c r="D3524" i="2"/>
  <c r="B3524" i="2"/>
  <c r="D3523" i="2"/>
  <c r="B3523" i="2"/>
  <c r="D3522" i="2"/>
  <c r="B3522" i="2"/>
  <c r="D3521" i="2"/>
  <c r="B3521" i="2"/>
  <c r="D3520" i="2"/>
  <c r="B3520" i="2"/>
  <c r="D3519" i="2"/>
  <c r="B3519" i="2"/>
  <c r="D3518" i="2"/>
  <c r="B3518" i="2"/>
  <c r="D3517" i="2"/>
  <c r="B3517" i="2"/>
  <c r="D3516" i="2"/>
  <c r="B3516" i="2"/>
  <c r="D3515" i="2"/>
  <c r="B3515" i="2"/>
  <c r="D3514" i="2"/>
  <c r="B3514" i="2"/>
  <c r="D3513" i="2"/>
  <c r="B3513" i="2"/>
  <c r="D3512" i="2"/>
  <c r="B3512" i="2"/>
  <c r="D3511" i="2"/>
  <c r="B3511" i="2"/>
  <c r="D3510" i="2"/>
  <c r="B3510" i="2"/>
  <c r="D3509" i="2"/>
  <c r="B3509" i="2"/>
  <c r="D3508" i="2"/>
  <c r="B3508" i="2"/>
  <c r="D3507" i="2"/>
  <c r="B3507" i="2"/>
  <c r="D3506" i="2"/>
  <c r="B3506" i="2"/>
  <c r="D3505" i="2"/>
  <c r="B3505" i="2"/>
  <c r="D3504" i="2"/>
  <c r="B3504" i="2"/>
  <c r="D3503" i="2"/>
  <c r="B3503" i="2"/>
  <c r="D3502" i="2"/>
  <c r="B3502" i="2"/>
  <c r="D3501" i="2"/>
  <c r="B3501" i="2"/>
  <c r="D3500" i="2"/>
  <c r="B3500" i="2"/>
  <c r="D3499" i="2"/>
  <c r="B3499" i="2"/>
  <c r="D3498" i="2"/>
  <c r="B3498" i="2"/>
  <c r="D3497" i="2"/>
  <c r="B3497" i="2"/>
  <c r="D3496" i="2"/>
  <c r="B3496" i="2"/>
  <c r="D3495" i="2"/>
  <c r="B3495" i="2"/>
  <c r="D3494" i="2"/>
  <c r="B3494" i="2"/>
  <c r="D3493" i="2"/>
  <c r="B3493" i="2"/>
  <c r="D3492" i="2"/>
  <c r="B3492" i="2"/>
  <c r="D3491" i="2"/>
  <c r="B3491" i="2"/>
  <c r="D3490" i="2"/>
  <c r="B3490" i="2"/>
  <c r="D3489" i="2"/>
  <c r="B3489" i="2"/>
  <c r="D3488" i="2"/>
  <c r="B3488" i="2"/>
  <c r="D3487" i="2"/>
  <c r="B3487" i="2"/>
  <c r="D3486" i="2"/>
  <c r="B3486" i="2"/>
  <c r="D3485" i="2"/>
  <c r="B3485" i="2"/>
  <c r="D3484" i="2"/>
  <c r="B3484" i="2"/>
  <c r="D3483" i="2"/>
  <c r="B3483" i="2"/>
  <c r="D3482" i="2"/>
  <c r="B3482" i="2"/>
  <c r="D3481" i="2"/>
  <c r="B3481" i="2"/>
  <c r="D3480" i="2"/>
  <c r="B3480" i="2"/>
  <c r="D3479" i="2"/>
  <c r="B3479" i="2"/>
  <c r="D3478" i="2"/>
  <c r="B3478" i="2"/>
  <c r="D3477" i="2"/>
  <c r="B3477" i="2"/>
  <c r="D3476" i="2"/>
  <c r="B3476" i="2"/>
  <c r="D3475" i="2"/>
  <c r="B3475" i="2"/>
  <c r="D3474" i="2"/>
  <c r="B3474" i="2"/>
  <c r="D3473" i="2"/>
  <c r="B3473" i="2"/>
  <c r="D3472" i="2"/>
  <c r="B3472" i="2"/>
  <c r="D3471" i="2"/>
  <c r="B3471" i="2"/>
  <c r="D3470" i="2"/>
  <c r="B3470" i="2"/>
  <c r="D3469" i="2"/>
  <c r="B3469" i="2"/>
  <c r="D3468" i="2"/>
  <c r="B3468" i="2"/>
  <c r="D3467" i="2"/>
  <c r="B3467" i="2"/>
  <c r="D3466" i="2"/>
  <c r="B3466" i="2"/>
  <c r="D3465" i="2"/>
  <c r="B3465" i="2"/>
  <c r="D3464" i="2"/>
  <c r="B3464" i="2"/>
  <c r="D3463" i="2"/>
  <c r="B3463" i="2"/>
  <c r="D3462" i="2"/>
  <c r="B3462" i="2"/>
  <c r="D3461" i="2"/>
  <c r="B3461" i="2"/>
  <c r="D3460" i="2"/>
  <c r="B3460" i="2"/>
  <c r="D3459" i="2"/>
  <c r="B3459" i="2"/>
  <c r="D3458" i="2"/>
  <c r="B3458" i="2"/>
  <c r="D3457" i="2"/>
  <c r="B3457" i="2"/>
  <c r="D3456" i="2"/>
  <c r="B3456" i="2"/>
  <c r="D3455" i="2"/>
  <c r="B3455" i="2"/>
  <c r="D3454" i="2"/>
  <c r="B3454" i="2"/>
  <c r="D3453" i="2"/>
  <c r="B3453" i="2"/>
  <c r="D3452" i="2"/>
  <c r="B3452" i="2"/>
  <c r="D3451" i="2"/>
  <c r="B3451" i="2"/>
  <c r="D3450" i="2"/>
  <c r="B3450" i="2"/>
  <c r="D3449" i="2"/>
  <c r="B3449" i="2"/>
  <c r="D3448" i="2"/>
  <c r="B3448" i="2"/>
  <c r="D3447" i="2"/>
  <c r="B3447" i="2"/>
  <c r="D3446" i="2"/>
  <c r="B3446" i="2"/>
  <c r="D3445" i="2"/>
  <c r="B3445" i="2"/>
  <c r="D3444" i="2"/>
  <c r="B3444" i="2"/>
  <c r="D3443" i="2"/>
  <c r="B3443" i="2"/>
  <c r="D3442" i="2"/>
  <c r="B3442" i="2"/>
  <c r="D3441" i="2"/>
  <c r="B3441" i="2"/>
  <c r="D3440" i="2"/>
  <c r="B3440" i="2"/>
  <c r="D3439" i="2"/>
  <c r="B3439" i="2"/>
  <c r="D3438" i="2"/>
  <c r="B3438" i="2"/>
  <c r="D3437" i="2"/>
  <c r="B3437" i="2"/>
  <c r="D3436" i="2"/>
  <c r="B3436" i="2"/>
  <c r="D3435" i="2"/>
  <c r="B3435" i="2"/>
  <c r="D3434" i="2"/>
  <c r="B3434" i="2"/>
  <c r="D3433" i="2"/>
  <c r="B3433" i="2"/>
  <c r="D3432" i="2"/>
  <c r="B3432" i="2"/>
  <c r="D3431" i="2"/>
  <c r="B3431" i="2"/>
  <c r="D3430" i="2"/>
  <c r="B3430" i="2"/>
  <c r="D3429" i="2"/>
  <c r="B3429" i="2"/>
  <c r="D3428" i="2"/>
  <c r="B3428" i="2"/>
  <c r="D3427" i="2"/>
  <c r="B3427" i="2"/>
  <c r="D3426" i="2"/>
  <c r="B3426" i="2"/>
  <c r="D3425" i="2"/>
  <c r="B3425" i="2"/>
  <c r="D3424" i="2"/>
  <c r="B3424" i="2"/>
  <c r="D3423" i="2"/>
  <c r="B3423" i="2"/>
  <c r="D3422" i="2"/>
  <c r="B3422" i="2"/>
  <c r="D3421" i="2"/>
  <c r="B3421" i="2"/>
  <c r="D3420" i="2"/>
  <c r="B3420" i="2"/>
  <c r="D3419" i="2"/>
  <c r="B3419" i="2"/>
  <c r="D3418" i="2"/>
  <c r="B3418" i="2"/>
  <c r="D3417" i="2"/>
  <c r="B3417" i="2"/>
  <c r="D3416" i="2"/>
  <c r="B3416" i="2"/>
  <c r="D3415" i="2"/>
  <c r="B3415" i="2"/>
  <c r="D3414" i="2"/>
  <c r="B3414" i="2"/>
  <c r="D3413" i="2"/>
  <c r="B3413" i="2"/>
  <c r="D3412" i="2"/>
  <c r="B3412" i="2"/>
  <c r="D3411" i="2"/>
  <c r="B3411" i="2"/>
  <c r="D3410" i="2"/>
  <c r="B3410" i="2"/>
  <c r="D3409" i="2"/>
  <c r="B3409" i="2"/>
  <c r="D3408" i="2"/>
  <c r="B3408" i="2"/>
  <c r="D3407" i="2"/>
  <c r="B3407" i="2"/>
  <c r="D3406" i="2"/>
  <c r="B3406" i="2"/>
  <c r="D3405" i="2"/>
  <c r="B3405" i="2"/>
  <c r="D3404" i="2"/>
  <c r="B3404" i="2"/>
  <c r="D3403" i="2"/>
  <c r="B3403" i="2"/>
  <c r="D3402" i="2"/>
  <c r="B3402" i="2"/>
  <c r="D3401" i="2"/>
  <c r="B3401" i="2"/>
  <c r="D3400" i="2"/>
  <c r="B3400" i="2"/>
  <c r="D3399" i="2"/>
  <c r="B3399" i="2"/>
  <c r="D3398" i="2"/>
  <c r="B3398" i="2"/>
  <c r="D3397" i="2"/>
  <c r="B3397" i="2"/>
  <c r="D3396" i="2"/>
  <c r="B3396" i="2"/>
  <c r="D3395" i="2"/>
  <c r="B3395" i="2"/>
  <c r="D3394" i="2"/>
  <c r="B3394" i="2"/>
  <c r="D3393" i="2"/>
  <c r="B3393" i="2"/>
  <c r="D3392" i="2"/>
  <c r="B3392" i="2"/>
  <c r="D3391" i="2"/>
  <c r="B3391" i="2"/>
  <c r="D3390" i="2"/>
  <c r="B3390" i="2"/>
  <c r="D3389" i="2"/>
  <c r="B3389" i="2"/>
  <c r="D3388" i="2"/>
  <c r="B3388" i="2"/>
  <c r="D3387" i="2"/>
  <c r="B3387" i="2"/>
  <c r="D3386" i="2"/>
  <c r="B3386" i="2"/>
  <c r="D3385" i="2"/>
  <c r="B3385" i="2"/>
  <c r="D3384" i="2"/>
  <c r="B3384" i="2"/>
  <c r="D3383" i="2"/>
  <c r="B3383" i="2"/>
  <c r="D3382" i="2"/>
  <c r="B3382" i="2"/>
  <c r="D3381" i="2"/>
  <c r="B3381" i="2"/>
  <c r="D3380" i="2"/>
  <c r="B3380" i="2"/>
  <c r="D3379" i="2"/>
  <c r="B3379" i="2"/>
  <c r="D3378" i="2"/>
  <c r="B3378" i="2"/>
  <c r="D3377" i="2"/>
  <c r="B3377" i="2"/>
  <c r="D3376" i="2"/>
  <c r="B3376" i="2"/>
  <c r="D3375" i="2"/>
  <c r="B3375" i="2"/>
  <c r="D3374" i="2"/>
  <c r="B3374" i="2"/>
  <c r="D3373" i="2"/>
  <c r="B3373" i="2"/>
  <c r="D3372" i="2"/>
  <c r="B3372" i="2"/>
  <c r="D3371" i="2"/>
  <c r="B3371" i="2"/>
  <c r="D3370" i="2"/>
  <c r="B3370" i="2"/>
  <c r="D3369" i="2"/>
  <c r="B3369" i="2"/>
  <c r="D3368" i="2"/>
  <c r="B3368" i="2"/>
  <c r="D3367" i="2"/>
  <c r="B3367" i="2"/>
  <c r="D3366" i="2"/>
  <c r="B3366" i="2"/>
  <c r="D3365" i="2"/>
  <c r="B3365" i="2"/>
  <c r="D3364" i="2"/>
  <c r="B3364" i="2"/>
  <c r="D3363" i="2"/>
  <c r="B3363" i="2"/>
  <c r="D3362" i="2"/>
  <c r="B3362" i="2"/>
  <c r="D3361" i="2"/>
  <c r="B3361" i="2"/>
  <c r="D3360" i="2"/>
  <c r="B3360" i="2"/>
  <c r="D3359" i="2"/>
  <c r="B3359" i="2"/>
  <c r="D3358" i="2"/>
  <c r="B3358" i="2"/>
  <c r="D3357" i="2"/>
  <c r="B3357" i="2"/>
  <c r="D3356" i="2"/>
  <c r="B3356" i="2"/>
  <c r="D3355" i="2"/>
  <c r="B3355" i="2"/>
  <c r="D3354" i="2"/>
  <c r="B3354" i="2"/>
  <c r="D3353" i="2"/>
  <c r="B3353" i="2"/>
  <c r="D3352" i="2"/>
  <c r="B3352" i="2"/>
  <c r="D3351" i="2"/>
  <c r="B3351" i="2"/>
  <c r="D3350" i="2"/>
  <c r="B3350" i="2"/>
  <c r="D3349" i="2"/>
  <c r="B3349" i="2"/>
  <c r="D3348" i="2"/>
  <c r="B3348" i="2"/>
  <c r="D3347" i="2"/>
  <c r="B3347" i="2"/>
  <c r="D3346" i="2"/>
  <c r="B3346" i="2"/>
  <c r="D3345" i="2"/>
  <c r="B3345" i="2"/>
  <c r="D3344" i="2"/>
  <c r="B3344" i="2"/>
  <c r="D3343" i="2"/>
  <c r="B3343" i="2"/>
  <c r="D3342" i="2"/>
  <c r="B3342" i="2"/>
  <c r="D3341" i="2"/>
  <c r="B3341" i="2"/>
  <c r="D3340" i="2"/>
  <c r="B3340" i="2"/>
  <c r="D3339" i="2"/>
  <c r="B3339" i="2"/>
  <c r="D3338" i="2"/>
  <c r="B3338" i="2"/>
  <c r="D3337" i="2"/>
  <c r="B3337" i="2"/>
  <c r="D3336" i="2"/>
  <c r="B3336" i="2"/>
  <c r="D3335" i="2"/>
  <c r="B3335" i="2"/>
  <c r="D3334" i="2"/>
  <c r="B3334" i="2"/>
  <c r="D3333" i="2"/>
  <c r="B3333" i="2"/>
  <c r="D3332" i="2"/>
  <c r="B3332" i="2"/>
  <c r="D3331" i="2"/>
  <c r="B3331" i="2"/>
  <c r="D3330" i="2"/>
  <c r="B3330" i="2"/>
  <c r="D3329" i="2"/>
  <c r="B3329" i="2"/>
  <c r="D3328" i="2"/>
  <c r="B3328" i="2"/>
  <c r="D3327" i="2"/>
  <c r="B3327" i="2"/>
  <c r="D3326" i="2"/>
  <c r="B3326" i="2"/>
  <c r="D3325" i="2"/>
  <c r="B3325" i="2"/>
  <c r="D3324" i="2"/>
  <c r="B3324" i="2"/>
  <c r="D3323" i="2"/>
  <c r="B3323" i="2"/>
  <c r="D3322" i="2"/>
  <c r="B3322" i="2"/>
  <c r="D3321" i="2"/>
  <c r="B3321" i="2"/>
  <c r="D3320" i="2"/>
  <c r="B3320" i="2"/>
  <c r="D3319" i="2"/>
  <c r="B3319" i="2"/>
  <c r="D3318" i="2"/>
  <c r="B3318" i="2"/>
  <c r="D3317" i="2"/>
  <c r="B3317" i="2"/>
  <c r="D3316" i="2"/>
  <c r="B3316" i="2"/>
  <c r="D3315" i="2"/>
  <c r="B3315" i="2"/>
  <c r="D3314" i="2"/>
  <c r="B3314" i="2"/>
  <c r="D3313" i="2"/>
  <c r="B3313" i="2"/>
  <c r="D3312" i="2"/>
  <c r="B3312" i="2"/>
  <c r="D3311" i="2"/>
  <c r="B3311" i="2"/>
  <c r="D3310" i="2"/>
  <c r="B3310" i="2"/>
  <c r="D3309" i="2"/>
  <c r="B3309" i="2"/>
  <c r="D3308" i="2"/>
  <c r="B3308" i="2"/>
  <c r="D3307" i="2"/>
  <c r="B3307" i="2"/>
  <c r="D3306" i="2"/>
  <c r="B3306" i="2"/>
  <c r="D3305" i="2"/>
  <c r="B3305" i="2"/>
  <c r="D3304" i="2"/>
  <c r="B3304" i="2"/>
  <c r="D3303" i="2"/>
  <c r="B3303" i="2"/>
  <c r="D3302" i="2"/>
  <c r="B3302" i="2"/>
  <c r="D3301" i="2"/>
  <c r="B3301" i="2"/>
  <c r="D3300" i="2"/>
  <c r="B3300" i="2"/>
  <c r="D3299" i="2"/>
  <c r="B3299" i="2"/>
  <c r="D3298" i="2"/>
  <c r="B3298" i="2"/>
  <c r="D3297" i="2"/>
  <c r="B3297" i="2"/>
  <c r="D3296" i="2"/>
  <c r="B3296" i="2"/>
  <c r="D3295" i="2"/>
  <c r="B3295" i="2"/>
  <c r="D3294" i="2"/>
  <c r="B3294" i="2"/>
  <c r="D3293" i="2"/>
  <c r="B3293" i="2"/>
  <c r="D3292" i="2"/>
  <c r="B3292" i="2"/>
  <c r="D3291" i="2"/>
  <c r="B3291" i="2"/>
  <c r="D3290" i="2"/>
  <c r="B3290" i="2"/>
  <c r="D3289" i="2"/>
  <c r="B3289" i="2"/>
  <c r="D3288" i="2"/>
  <c r="B3288" i="2"/>
  <c r="D3287" i="2"/>
  <c r="B3287" i="2"/>
  <c r="D3286" i="2"/>
  <c r="B3286" i="2"/>
  <c r="D3285" i="2"/>
  <c r="B3285" i="2"/>
  <c r="D3284" i="2"/>
  <c r="B3284" i="2"/>
  <c r="D3283" i="2"/>
  <c r="B3283" i="2"/>
  <c r="D3282" i="2"/>
  <c r="B3282" i="2"/>
  <c r="D3281" i="2"/>
  <c r="B3281" i="2"/>
  <c r="D3280" i="2"/>
  <c r="B3280" i="2"/>
  <c r="D3279" i="2"/>
  <c r="B3279" i="2"/>
  <c r="D3278" i="2"/>
  <c r="B3278" i="2"/>
  <c r="D3277" i="2"/>
  <c r="B3277" i="2"/>
  <c r="D3276" i="2"/>
  <c r="B3276" i="2"/>
  <c r="D3275" i="2"/>
  <c r="B3275" i="2"/>
  <c r="D3274" i="2"/>
  <c r="B3274" i="2"/>
  <c r="D3273" i="2"/>
  <c r="B3273" i="2"/>
  <c r="D3272" i="2"/>
  <c r="B3272" i="2"/>
  <c r="D3271" i="2"/>
  <c r="B3271" i="2"/>
  <c r="D3270" i="2"/>
  <c r="B3270" i="2"/>
  <c r="D3269" i="2"/>
  <c r="B3269" i="2"/>
  <c r="D3268" i="2"/>
  <c r="B3268" i="2"/>
  <c r="D3267" i="2"/>
  <c r="B3267" i="2"/>
  <c r="D3266" i="2"/>
  <c r="B3266" i="2"/>
  <c r="D3265" i="2"/>
  <c r="B3265" i="2"/>
  <c r="D3264" i="2"/>
  <c r="B3264" i="2"/>
  <c r="D3263" i="2"/>
  <c r="B3263" i="2"/>
  <c r="D3262" i="2"/>
  <c r="B3262" i="2"/>
  <c r="D3261" i="2"/>
  <c r="B3261" i="2"/>
  <c r="D3260" i="2"/>
  <c r="B3260" i="2"/>
  <c r="D3259" i="2"/>
  <c r="B3259" i="2"/>
  <c r="D3258" i="2"/>
  <c r="B3258" i="2"/>
  <c r="D3257" i="2"/>
  <c r="B3257" i="2"/>
  <c r="D3256" i="2"/>
  <c r="B3256" i="2"/>
  <c r="D3255" i="2"/>
  <c r="B3255" i="2"/>
  <c r="D3254" i="2"/>
  <c r="B3254" i="2"/>
  <c r="D3253" i="2"/>
  <c r="B3253" i="2"/>
  <c r="D3252" i="2"/>
  <c r="B3252" i="2"/>
  <c r="D3251" i="2"/>
  <c r="B3251" i="2"/>
  <c r="D3250" i="2"/>
  <c r="B3250" i="2"/>
  <c r="D3249" i="2"/>
  <c r="B3249" i="2"/>
  <c r="D3248" i="2"/>
  <c r="B3248" i="2"/>
  <c r="D3247" i="2"/>
  <c r="B3247" i="2"/>
  <c r="D3246" i="2"/>
  <c r="B3246" i="2"/>
  <c r="D3245" i="2"/>
  <c r="B3245" i="2"/>
  <c r="D3244" i="2"/>
  <c r="B3244" i="2"/>
  <c r="D3243" i="2"/>
  <c r="B3243" i="2"/>
  <c r="D3242" i="2"/>
  <c r="B3242" i="2"/>
  <c r="D3241" i="2"/>
  <c r="B3241" i="2"/>
  <c r="D3240" i="2"/>
  <c r="B3240" i="2"/>
  <c r="D3239" i="2"/>
  <c r="B3239" i="2"/>
  <c r="D3238" i="2"/>
  <c r="B3238" i="2"/>
  <c r="D3237" i="2"/>
  <c r="B3237" i="2"/>
  <c r="D3236" i="2"/>
  <c r="B3236" i="2"/>
  <c r="D3235" i="2"/>
  <c r="B3235" i="2"/>
  <c r="D3234" i="2"/>
  <c r="B3234" i="2"/>
  <c r="D3233" i="2"/>
  <c r="B3233" i="2"/>
  <c r="D3232" i="2"/>
  <c r="B3232" i="2"/>
  <c r="D3231" i="2"/>
  <c r="B3231" i="2"/>
  <c r="D3230" i="2"/>
  <c r="B3230" i="2"/>
  <c r="D3229" i="2"/>
  <c r="B3229" i="2"/>
  <c r="D3228" i="2"/>
  <c r="B3228" i="2"/>
  <c r="D3227" i="2"/>
  <c r="B3227" i="2"/>
  <c r="D3226" i="2"/>
  <c r="B3226" i="2"/>
  <c r="D3225" i="2"/>
  <c r="B3225" i="2"/>
  <c r="D3224" i="2"/>
  <c r="B3224" i="2"/>
  <c r="D3223" i="2"/>
  <c r="B3223" i="2"/>
  <c r="D3222" i="2"/>
  <c r="B3222" i="2"/>
  <c r="D3221" i="2"/>
  <c r="B3221" i="2"/>
  <c r="D3220" i="2"/>
  <c r="B3220" i="2"/>
  <c r="D3219" i="2"/>
  <c r="B3219" i="2"/>
  <c r="D3218" i="2"/>
  <c r="B3218" i="2"/>
  <c r="D3217" i="2"/>
  <c r="B3217" i="2"/>
  <c r="D3216" i="2"/>
  <c r="B3216" i="2"/>
  <c r="D3215" i="2"/>
  <c r="B3215" i="2"/>
  <c r="D3214" i="2"/>
  <c r="B3214" i="2"/>
  <c r="D3213" i="2"/>
  <c r="B3213" i="2"/>
  <c r="D3212" i="2"/>
  <c r="B3212" i="2"/>
  <c r="D3211" i="2"/>
  <c r="B3211" i="2"/>
  <c r="D3210" i="2"/>
  <c r="B3210" i="2"/>
  <c r="D3209" i="2"/>
  <c r="B3209" i="2"/>
  <c r="D3208" i="2"/>
  <c r="B3208" i="2"/>
  <c r="D3207" i="2"/>
  <c r="B3207" i="2"/>
  <c r="D3206" i="2"/>
  <c r="B3206" i="2"/>
  <c r="D3205" i="2"/>
  <c r="B3205" i="2"/>
  <c r="D3204" i="2"/>
  <c r="B3204" i="2"/>
  <c r="D3203" i="2"/>
  <c r="B3203" i="2"/>
  <c r="D3202" i="2"/>
  <c r="B3202" i="2"/>
  <c r="D3201" i="2"/>
  <c r="B3201" i="2"/>
  <c r="D3200" i="2"/>
  <c r="B3200" i="2"/>
  <c r="D3199" i="2"/>
  <c r="B3199" i="2"/>
  <c r="D3198" i="2"/>
  <c r="B3198" i="2"/>
  <c r="D3197" i="2"/>
  <c r="B3197" i="2"/>
  <c r="D3196" i="2"/>
  <c r="B3196" i="2"/>
  <c r="D3195" i="2"/>
  <c r="B3195" i="2"/>
  <c r="D3194" i="2"/>
  <c r="B3194" i="2"/>
  <c r="D3193" i="2"/>
  <c r="B3193" i="2"/>
  <c r="D3192" i="2"/>
  <c r="B3192" i="2"/>
  <c r="D3191" i="2"/>
  <c r="B3191" i="2"/>
  <c r="D3190" i="2"/>
  <c r="B3190" i="2"/>
  <c r="D3189" i="2"/>
  <c r="B3189" i="2"/>
  <c r="D3188" i="2"/>
  <c r="B3188" i="2"/>
  <c r="D3187" i="2"/>
  <c r="B3187" i="2"/>
  <c r="D3186" i="2"/>
  <c r="B3186" i="2"/>
  <c r="D3185" i="2"/>
  <c r="B3185" i="2"/>
  <c r="D3184" i="2"/>
  <c r="B3184" i="2"/>
  <c r="D3183" i="2"/>
  <c r="B3183" i="2"/>
  <c r="D3182" i="2"/>
  <c r="B3182" i="2"/>
  <c r="D3181" i="2"/>
  <c r="B3181" i="2"/>
  <c r="D3180" i="2"/>
  <c r="B3180" i="2"/>
  <c r="D3179" i="2"/>
  <c r="B3179" i="2"/>
  <c r="D3178" i="2"/>
  <c r="B3178" i="2"/>
  <c r="D3177" i="2"/>
  <c r="B3177" i="2"/>
  <c r="D3176" i="2"/>
  <c r="B3176" i="2"/>
  <c r="D3175" i="2"/>
  <c r="B3175" i="2"/>
  <c r="D3174" i="2"/>
  <c r="B3174" i="2"/>
  <c r="D3173" i="2"/>
  <c r="B3173" i="2"/>
  <c r="D3172" i="2"/>
  <c r="B3172" i="2"/>
  <c r="D3171" i="2"/>
  <c r="B3171" i="2"/>
  <c r="D3170" i="2"/>
  <c r="B3170" i="2"/>
  <c r="D3169" i="2"/>
  <c r="B3169" i="2"/>
  <c r="D3168" i="2"/>
  <c r="B3168" i="2"/>
  <c r="D3167" i="2"/>
  <c r="B3167" i="2"/>
  <c r="D3166" i="2"/>
  <c r="B3166" i="2"/>
  <c r="D3165" i="2"/>
  <c r="B3165" i="2"/>
  <c r="D3164" i="2"/>
  <c r="B3164" i="2"/>
  <c r="D3163" i="2"/>
  <c r="B3163" i="2"/>
  <c r="D3162" i="2"/>
  <c r="B3162" i="2"/>
  <c r="D3161" i="2"/>
  <c r="B3161" i="2"/>
  <c r="D3160" i="2"/>
  <c r="B3160" i="2"/>
  <c r="D3159" i="2"/>
  <c r="B3159" i="2"/>
  <c r="D3158" i="2"/>
  <c r="B3158" i="2"/>
  <c r="D3157" i="2"/>
  <c r="B3157" i="2"/>
  <c r="D3156" i="2"/>
  <c r="B3156" i="2"/>
  <c r="D3155" i="2"/>
  <c r="B3155" i="2"/>
  <c r="D3154" i="2"/>
  <c r="B3154" i="2"/>
  <c r="D3153" i="2"/>
  <c r="B3153" i="2"/>
  <c r="D3152" i="2"/>
  <c r="B3152" i="2"/>
  <c r="D3151" i="2"/>
  <c r="B3151" i="2"/>
  <c r="D3150" i="2"/>
  <c r="B3150" i="2"/>
  <c r="D3149" i="2"/>
  <c r="B3149" i="2"/>
  <c r="D3148" i="2"/>
  <c r="B3148" i="2"/>
  <c r="D3147" i="2"/>
  <c r="B3147" i="2"/>
  <c r="D3146" i="2"/>
  <c r="B3146" i="2"/>
  <c r="D3145" i="2"/>
  <c r="B3145" i="2"/>
  <c r="D3144" i="2"/>
  <c r="B3144" i="2"/>
  <c r="D3143" i="2"/>
  <c r="B3143" i="2"/>
  <c r="D3142" i="2"/>
  <c r="B3142" i="2"/>
  <c r="D3141" i="2"/>
  <c r="B3141" i="2"/>
  <c r="D3140" i="2"/>
  <c r="B3140" i="2"/>
  <c r="D3139" i="2"/>
  <c r="B3139" i="2"/>
  <c r="D3138" i="2"/>
  <c r="B3138" i="2"/>
  <c r="D3137" i="2"/>
  <c r="B3137" i="2"/>
  <c r="D3136" i="2"/>
  <c r="B3136" i="2"/>
  <c r="D3135" i="2"/>
  <c r="B3135" i="2"/>
  <c r="D3134" i="2"/>
  <c r="B3134" i="2"/>
  <c r="D3133" i="2"/>
  <c r="B3133" i="2"/>
  <c r="D3132" i="2"/>
  <c r="B3132" i="2"/>
  <c r="D3131" i="2"/>
  <c r="B3131" i="2"/>
  <c r="D3130" i="2"/>
  <c r="B3130" i="2"/>
  <c r="D3129" i="2"/>
  <c r="B3129" i="2"/>
  <c r="D3128" i="2"/>
  <c r="B3128" i="2"/>
  <c r="D3127" i="2"/>
  <c r="B3127" i="2"/>
  <c r="D3126" i="2"/>
  <c r="B3126" i="2"/>
  <c r="D3125" i="2"/>
  <c r="B3125" i="2"/>
  <c r="D3124" i="2"/>
  <c r="B3124" i="2"/>
  <c r="D3123" i="2"/>
  <c r="B3123" i="2"/>
  <c r="D3122" i="2"/>
  <c r="B3122" i="2"/>
  <c r="D3121" i="2"/>
  <c r="B3121" i="2"/>
  <c r="D3120" i="2"/>
  <c r="B3120" i="2"/>
  <c r="D3119" i="2"/>
  <c r="B3119" i="2"/>
  <c r="D3118" i="2"/>
  <c r="B3118" i="2"/>
  <c r="D3117" i="2"/>
  <c r="B3117" i="2"/>
  <c r="D3116" i="2"/>
  <c r="B3116" i="2"/>
  <c r="D3115" i="2"/>
  <c r="B3115" i="2"/>
  <c r="D3114" i="2"/>
  <c r="B3114" i="2"/>
  <c r="D3113" i="2"/>
  <c r="B3113" i="2"/>
  <c r="D3112" i="2"/>
  <c r="B3112" i="2"/>
  <c r="D3111" i="2"/>
  <c r="B3111" i="2"/>
  <c r="D3110" i="2"/>
  <c r="B3110" i="2"/>
  <c r="D3109" i="2"/>
  <c r="B3109" i="2"/>
  <c r="D3108" i="2"/>
  <c r="B3108" i="2"/>
  <c r="D3107" i="2"/>
  <c r="B3107" i="2"/>
  <c r="D3106" i="2"/>
  <c r="B3106" i="2"/>
  <c r="D3105" i="2"/>
  <c r="B3105" i="2"/>
  <c r="D3104" i="2"/>
  <c r="B3104" i="2"/>
  <c r="D3103" i="2"/>
  <c r="B3103" i="2"/>
  <c r="D3102" i="2"/>
  <c r="B3102" i="2"/>
  <c r="D3101" i="2"/>
  <c r="B3101" i="2"/>
  <c r="D3100" i="2"/>
  <c r="B3100" i="2"/>
  <c r="D3099" i="2"/>
  <c r="B3099" i="2"/>
  <c r="D3098" i="2"/>
  <c r="B3098" i="2"/>
  <c r="D3097" i="2"/>
  <c r="B3097" i="2"/>
  <c r="D3096" i="2"/>
  <c r="B3096" i="2"/>
  <c r="D3095" i="2"/>
  <c r="B3095" i="2"/>
  <c r="D3094" i="2"/>
  <c r="B3094" i="2"/>
  <c r="D3093" i="2"/>
  <c r="B3093" i="2"/>
  <c r="D3092" i="2"/>
  <c r="B3092" i="2"/>
  <c r="D3091" i="2"/>
  <c r="B3091" i="2"/>
  <c r="D3090" i="2"/>
  <c r="B3090" i="2"/>
  <c r="D3089" i="2"/>
  <c r="B3089" i="2"/>
  <c r="D3088" i="2"/>
  <c r="B3088" i="2"/>
  <c r="D3087" i="2"/>
  <c r="B3087" i="2"/>
  <c r="D3086" i="2"/>
  <c r="B3086" i="2"/>
  <c r="D3085" i="2"/>
  <c r="B3085" i="2"/>
  <c r="D3084" i="2"/>
  <c r="B3084" i="2"/>
  <c r="D3083" i="2"/>
  <c r="B3083" i="2"/>
  <c r="D3082" i="2"/>
  <c r="B3082" i="2"/>
  <c r="D3081" i="2"/>
  <c r="B3081" i="2"/>
  <c r="D3080" i="2"/>
  <c r="B3080" i="2"/>
  <c r="D3079" i="2"/>
  <c r="B3079" i="2"/>
  <c r="D3078" i="2"/>
  <c r="B3078" i="2"/>
  <c r="D3077" i="2"/>
  <c r="B3077" i="2"/>
  <c r="D3076" i="2"/>
  <c r="B3076" i="2"/>
  <c r="D3075" i="2"/>
  <c r="B3075" i="2"/>
  <c r="D3074" i="2"/>
  <c r="B3074" i="2"/>
  <c r="D3073" i="2"/>
  <c r="B3073" i="2"/>
  <c r="D3072" i="2"/>
  <c r="B3072" i="2"/>
  <c r="D3071" i="2"/>
  <c r="B3071" i="2"/>
  <c r="D3070" i="2"/>
  <c r="B3070" i="2"/>
  <c r="D3069" i="2"/>
  <c r="B3069" i="2"/>
  <c r="D3068" i="2"/>
  <c r="B3068" i="2"/>
  <c r="D3067" i="2"/>
  <c r="B3067" i="2"/>
  <c r="D3066" i="2"/>
  <c r="B3066" i="2"/>
  <c r="D3065" i="2"/>
  <c r="B3065" i="2"/>
  <c r="D3064" i="2"/>
  <c r="B3064" i="2"/>
  <c r="D3063" i="2"/>
  <c r="B3063" i="2"/>
  <c r="D3062" i="2"/>
  <c r="B3062" i="2"/>
  <c r="D3061" i="2"/>
  <c r="B3061" i="2"/>
  <c r="D3060" i="2"/>
  <c r="B3060" i="2"/>
  <c r="D3059" i="2"/>
  <c r="B3059" i="2"/>
  <c r="D3058" i="2"/>
  <c r="B3058" i="2"/>
  <c r="D3057" i="2"/>
  <c r="B3057" i="2"/>
  <c r="D3056" i="2"/>
  <c r="B3056" i="2"/>
  <c r="D3055" i="2"/>
  <c r="B3055" i="2"/>
  <c r="D3054" i="2"/>
  <c r="B3054" i="2"/>
  <c r="D3053" i="2"/>
  <c r="B3053" i="2"/>
  <c r="D3052" i="2"/>
  <c r="B3052" i="2"/>
  <c r="D3051" i="2"/>
  <c r="B3051" i="2"/>
  <c r="D3050" i="2"/>
  <c r="B3050" i="2"/>
  <c r="D3049" i="2"/>
  <c r="B3049" i="2"/>
  <c r="D3048" i="2"/>
  <c r="B3048" i="2"/>
  <c r="D3047" i="2"/>
  <c r="B3047" i="2"/>
  <c r="D3046" i="2"/>
  <c r="B3046" i="2"/>
  <c r="D3045" i="2"/>
  <c r="B3045" i="2"/>
  <c r="D3044" i="2"/>
  <c r="B3044" i="2"/>
  <c r="D3043" i="2"/>
  <c r="B3043" i="2"/>
  <c r="D3042" i="2"/>
  <c r="B3042" i="2"/>
  <c r="D3041" i="2"/>
  <c r="B3041" i="2"/>
  <c r="D3040" i="2"/>
  <c r="B3040" i="2"/>
  <c r="D3039" i="2"/>
  <c r="B3039" i="2"/>
  <c r="D3038" i="2"/>
  <c r="B3038" i="2"/>
  <c r="D3037" i="2"/>
  <c r="B3037" i="2"/>
  <c r="D3036" i="2"/>
  <c r="B3036" i="2"/>
  <c r="D3035" i="2"/>
  <c r="B3035" i="2"/>
  <c r="D3034" i="2"/>
  <c r="B3034" i="2"/>
  <c r="D3033" i="2"/>
  <c r="B3033" i="2"/>
  <c r="D3032" i="2"/>
  <c r="B3032" i="2"/>
  <c r="D3031" i="2"/>
  <c r="B3031" i="2"/>
  <c r="D3030" i="2"/>
  <c r="B3030" i="2"/>
  <c r="D3029" i="2"/>
  <c r="B3029" i="2"/>
  <c r="D3028" i="2"/>
  <c r="B3028" i="2"/>
  <c r="D3027" i="2"/>
  <c r="B3027" i="2"/>
  <c r="D3026" i="2"/>
  <c r="B3026" i="2"/>
  <c r="D3025" i="2"/>
  <c r="B3025" i="2"/>
  <c r="D3024" i="2"/>
  <c r="B3024" i="2"/>
  <c r="D3023" i="2"/>
  <c r="B3023" i="2"/>
  <c r="D3022" i="2"/>
  <c r="B3022" i="2"/>
  <c r="D3021" i="2"/>
  <c r="B3021" i="2"/>
  <c r="D3020" i="2"/>
  <c r="B3020" i="2"/>
  <c r="D3019" i="2"/>
  <c r="B3019" i="2"/>
  <c r="D3018" i="2"/>
  <c r="B3018" i="2"/>
  <c r="D3017" i="2"/>
  <c r="B3017" i="2"/>
  <c r="D3016" i="2"/>
  <c r="B3016" i="2"/>
  <c r="D3015" i="2"/>
  <c r="B3015" i="2"/>
  <c r="D3014" i="2"/>
  <c r="B3014" i="2"/>
  <c r="D3013" i="2"/>
  <c r="B3013" i="2"/>
  <c r="D3012" i="2"/>
  <c r="B3012" i="2"/>
  <c r="D3011" i="2"/>
  <c r="B3011" i="2"/>
  <c r="D3010" i="2"/>
  <c r="B3010" i="2"/>
  <c r="D3009" i="2"/>
  <c r="B3009" i="2"/>
  <c r="D3008" i="2"/>
  <c r="B3008" i="2"/>
  <c r="D3007" i="2"/>
  <c r="B3007" i="2"/>
  <c r="D3006" i="2"/>
  <c r="B3006" i="2"/>
  <c r="D3005" i="2"/>
  <c r="B3005" i="2"/>
  <c r="D3004" i="2"/>
  <c r="B3004" i="2"/>
  <c r="D3003" i="2"/>
  <c r="B3003" i="2"/>
  <c r="D3002" i="2"/>
  <c r="B3002" i="2"/>
  <c r="D3001" i="2"/>
  <c r="B3001" i="2"/>
  <c r="D3000" i="2"/>
  <c r="B3000" i="2"/>
  <c r="D2999" i="2"/>
  <c r="B2999" i="2"/>
  <c r="D2998" i="2"/>
  <c r="B2998" i="2"/>
  <c r="D2997" i="2"/>
  <c r="B2997" i="2"/>
  <c r="D2996" i="2"/>
  <c r="B2996" i="2"/>
  <c r="D2995" i="2"/>
  <c r="B2995" i="2"/>
  <c r="D2994" i="2"/>
  <c r="B2994" i="2"/>
  <c r="D2993" i="2"/>
  <c r="B2993" i="2"/>
  <c r="D2992" i="2"/>
  <c r="B2992" i="2"/>
  <c r="D2991" i="2"/>
  <c r="B2991" i="2"/>
  <c r="D2990" i="2"/>
  <c r="B2990" i="2"/>
  <c r="D2989" i="2"/>
  <c r="B2989" i="2"/>
  <c r="D2988" i="2"/>
  <c r="B2988" i="2"/>
  <c r="D2987" i="2"/>
  <c r="B2987" i="2"/>
  <c r="D2986" i="2"/>
  <c r="B2986" i="2"/>
  <c r="D2985" i="2"/>
  <c r="B2985" i="2"/>
  <c r="D2984" i="2"/>
  <c r="B2984" i="2"/>
  <c r="D2983" i="2"/>
  <c r="B2983" i="2"/>
  <c r="D2982" i="2"/>
  <c r="B2982" i="2"/>
  <c r="D2981" i="2"/>
  <c r="B2981" i="2"/>
  <c r="D2980" i="2"/>
  <c r="B2980" i="2"/>
  <c r="D2979" i="2"/>
  <c r="B2979" i="2"/>
  <c r="D2978" i="2"/>
  <c r="B2978" i="2"/>
  <c r="D2977" i="2"/>
  <c r="B2977" i="2"/>
  <c r="D2976" i="2"/>
  <c r="B2976" i="2"/>
  <c r="D2975" i="2"/>
  <c r="B2975" i="2"/>
  <c r="D2974" i="2"/>
  <c r="B2974" i="2"/>
  <c r="D2973" i="2"/>
  <c r="B2973" i="2"/>
  <c r="D2972" i="2"/>
  <c r="B2972" i="2"/>
  <c r="D2971" i="2"/>
  <c r="B2971" i="2"/>
  <c r="D2970" i="2"/>
  <c r="B2970" i="2"/>
  <c r="D2969" i="2"/>
  <c r="B2969" i="2"/>
  <c r="D2968" i="2"/>
  <c r="B2968" i="2"/>
  <c r="D2967" i="2"/>
  <c r="B2967" i="2"/>
  <c r="D2966" i="2"/>
  <c r="B2966" i="2"/>
  <c r="D2965" i="2"/>
  <c r="B2965" i="2"/>
  <c r="D2964" i="2"/>
  <c r="B2964" i="2"/>
  <c r="D2963" i="2"/>
  <c r="B2963" i="2"/>
  <c r="D2962" i="2"/>
  <c r="B2962" i="2"/>
  <c r="D2961" i="2"/>
  <c r="B2961" i="2"/>
  <c r="D2960" i="2"/>
  <c r="B2960" i="2"/>
  <c r="D2959" i="2"/>
  <c r="B2959" i="2"/>
  <c r="D2958" i="2"/>
  <c r="B2958" i="2"/>
  <c r="D2957" i="2"/>
  <c r="B2957" i="2"/>
  <c r="D2956" i="2"/>
  <c r="B2956" i="2"/>
  <c r="D2955" i="2"/>
  <c r="B2955" i="2"/>
  <c r="D2954" i="2"/>
  <c r="B2954" i="2"/>
  <c r="D2953" i="2"/>
  <c r="B2953" i="2"/>
  <c r="D2952" i="2"/>
  <c r="B2952" i="2"/>
  <c r="D2951" i="2"/>
  <c r="B2951" i="2"/>
  <c r="D2950" i="2"/>
  <c r="B2950" i="2"/>
  <c r="D2949" i="2"/>
  <c r="B2949" i="2"/>
  <c r="D2948" i="2"/>
  <c r="B2948" i="2"/>
  <c r="D2947" i="2"/>
  <c r="B2947" i="2"/>
  <c r="D2946" i="2"/>
  <c r="B2946" i="2"/>
  <c r="D2945" i="2"/>
  <c r="B2945" i="2"/>
  <c r="D2944" i="2"/>
  <c r="B2944" i="2"/>
  <c r="D2943" i="2"/>
  <c r="B2943" i="2"/>
  <c r="D2942" i="2"/>
  <c r="B2942" i="2"/>
  <c r="D2941" i="2"/>
  <c r="B2941" i="2"/>
  <c r="D2940" i="2"/>
  <c r="B2940" i="2"/>
  <c r="D2939" i="2"/>
  <c r="B2939" i="2"/>
  <c r="D2938" i="2"/>
  <c r="B2938" i="2"/>
  <c r="D2937" i="2"/>
  <c r="B2937" i="2"/>
  <c r="D2936" i="2"/>
  <c r="B2936" i="2"/>
  <c r="D2935" i="2"/>
  <c r="B2935" i="2"/>
  <c r="D2934" i="2"/>
  <c r="B2934" i="2"/>
  <c r="D2933" i="2"/>
  <c r="B2933" i="2"/>
  <c r="D2932" i="2"/>
  <c r="B2932" i="2"/>
  <c r="D2931" i="2"/>
  <c r="B2931" i="2"/>
  <c r="D2930" i="2"/>
  <c r="B2930" i="2"/>
  <c r="D2929" i="2"/>
  <c r="B2929" i="2"/>
  <c r="D2928" i="2"/>
  <c r="B2928" i="2"/>
  <c r="D2927" i="2"/>
  <c r="B2927" i="2"/>
  <c r="D2926" i="2"/>
  <c r="B2926" i="2"/>
  <c r="D2925" i="2"/>
  <c r="B2925" i="2"/>
  <c r="D2924" i="2"/>
  <c r="B2924" i="2"/>
  <c r="D2923" i="2"/>
  <c r="B2923" i="2"/>
  <c r="D2922" i="2"/>
  <c r="B2922" i="2"/>
  <c r="D2921" i="2"/>
  <c r="B2921" i="2"/>
  <c r="D2920" i="2"/>
  <c r="B2920" i="2"/>
  <c r="D2919" i="2"/>
  <c r="B2919" i="2"/>
  <c r="D2918" i="2"/>
  <c r="B2918" i="2"/>
  <c r="D2917" i="2"/>
  <c r="B2917" i="2"/>
  <c r="D2916" i="2"/>
  <c r="B2916" i="2"/>
  <c r="D2915" i="2"/>
  <c r="B2915" i="2"/>
  <c r="D2914" i="2"/>
  <c r="B2914" i="2"/>
  <c r="D2913" i="2"/>
  <c r="B2913" i="2"/>
  <c r="D2912" i="2"/>
  <c r="B2912" i="2"/>
  <c r="D2911" i="2"/>
  <c r="B2911" i="2"/>
  <c r="D2910" i="2"/>
  <c r="B2910" i="2"/>
  <c r="D2909" i="2"/>
  <c r="B2909" i="2"/>
  <c r="D2908" i="2"/>
  <c r="B2908" i="2"/>
  <c r="D2907" i="2"/>
  <c r="B2907" i="2"/>
  <c r="D2906" i="2"/>
  <c r="B2906" i="2"/>
  <c r="D2905" i="2"/>
  <c r="B2905" i="2"/>
  <c r="D2904" i="2"/>
  <c r="B2904" i="2"/>
  <c r="D2903" i="2"/>
  <c r="B2903" i="2"/>
  <c r="D2902" i="2"/>
  <c r="B2902" i="2"/>
  <c r="D2901" i="2"/>
  <c r="B2901" i="2"/>
  <c r="D2900" i="2"/>
  <c r="B2900" i="2"/>
  <c r="D2899" i="2"/>
  <c r="B2899" i="2"/>
  <c r="D2898" i="2"/>
  <c r="B2898" i="2"/>
  <c r="D2897" i="2"/>
  <c r="B2897" i="2"/>
  <c r="D2896" i="2"/>
  <c r="B2896" i="2"/>
  <c r="D2895" i="2"/>
  <c r="B2895" i="2"/>
  <c r="D2894" i="2"/>
  <c r="B2894" i="2"/>
  <c r="D2893" i="2"/>
  <c r="B2893" i="2"/>
  <c r="D2892" i="2"/>
  <c r="B2892" i="2"/>
  <c r="D2891" i="2"/>
  <c r="B2891" i="2"/>
  <c r="D2890" i="2"/>
  <c r="B2890" i="2"/>
  <c r="D2889" i="2"/>
  <c r="B2889" i="2"/>
  <c r="D2888" i="2"/>
  <c r="B2888" i="2"/>
  <c r="D2887" i="2"/>
  <c r="B2887" i="2"/>
  <c r="D2886" i="2"/>
  <c r="B2886" i="2"/>
  <c r="D2885" i="2"/>
  <c r="B2885" i="2"/>
  <c r="D2884" i="2"/>
  <c r="B2884" i="2"/>
  <c r="D2883" i="2"/>
  <c r="B2883" i="2"/>
  <c r="D2882" i="2"/>
  <c r="B2882" i="2"/>
  <c r="D2881" i="2"/>
  <c r="B2881" i="2"/>
  <c r="D2880" i="2"/>
  <c r="B2880" i="2"/>
  <c r="D2879" i="2"/>
  <c r="B2879" i="2"/>
  <c r="D2878" i="2"/>
  <c r="B2878" i="2"/>
  <c r="D2877" i="2"/>
  <c r="B2877" i="2"/>
  <c r="D2876" i="2"/>
  <c r="B2876" i="2"/>
  <c r="D2875" i="2"/>
  <c r="B2875" i="2"/>
  <c r="D2874" i="2"/>
  <c r="B2874" i="2"/>
  <c r="D2873" i="2"/>
  <c r="B2873" i="2"/>
  <c r="D2872" i="2"/>
  <c r="B2872" i="2"/>
  <c r="D2871" i="2"/>
  <c r="B2871" i="2"/>
  <c r="D2870" i="2"/>
  <c r="B2870" i="2"/>
  <c r="D2869" i="2"/>
  <c r="B2869" i="2"/>
  <c r="D2868" i="2"/>
  <c r="B2868" i="2"/>
  <c r="D2867" i="2"/>
  <c r="B2867" i="2"/>
  <c r="D2866" i="2"/>
  <c r="B2866" i="2"/>
  <c r="D2865" i="2"/>
  <c r="B2865" i="2"/>
  <c r="D2864" i="2"/>
  <c r="B2864" i="2"/>
  <c r="D2863" i="2"/>
  <c r="B2863" i="2"/>
  <c r="D2862" i="2"/>
  <c r="B2862" i="2"/>
  <c r="D2861" i="2"/>
  <c r="B2861" i="2"/>
  <c r="D2860" i="2"/>
  <c r="B2860" i="2"/>
  <c r="D2859" i="2"/>
  <c r="B2859" i="2"/>
  <c r="D2858" i="2"/>
  <c r="B2858" i="2"/>
  <c r="D2857" i="2"/>
  <c r="B2857" i="2"/>
  <c r="D2856" i="2"/>
  <c r="B2856" i="2"/>
  <c r="D2855" i="2"/>
  <c r="B2855" i="2"/>
  <c r="D2854" i="2"/>
  <c r="B2854" i="2"/>
  <c r="D2853" i="2"/>
  <c r="B2853" i="2"/>
  <c r="D2852" i="2"/>
  <c r="B2852" i="2"/>
  <c r="D2851" i="2"/>
  <c r="B2851" i="2"/>
  <c r="D2850" i="2"/>
  <c r="B2850" i="2"/>
  <c r="D2849" i="2"/>
  <c r="B2849" i="2"/>
  <c r="D2848" i="2"/>
  <c r="B2848" i="2"/>
  <c r="D2847" i="2"/>
  <c r="B2847" i="2"/>
  <c r="D2846" i="2"/>
  <c r="B2846" i="2"/>
  <c r="D2845" i="2"/>
  <c r="B2845" i="2"/>
  <c r="D2844" i="2"/>
  <c r="B2844" i="2"/>
  <c r="D2843" i="2"/>
  <c r="B2843" i="2"/>
  <c r="D2842" i="2"/>
  <c r="B2842" i="2"/>
  <c r="D2841" i="2"/>
  <c r="B2841" i="2"/>
  <c r="D2840" i="2"/>
  <c r="B2840" i="2"/>
  <c r="D2839" i="2"/>
  <c r="B2839" i="2"/>
  <c r="D2838" i="2"/>
  <c r="B2838" i="2"/>
  <c r="D2837" i="2"/>
  <c r="B2837" i="2"/>
  <c r="D2836" i="2"/>
  <c r="B2836" i="2"/>
  <c r="D2835" i="2"/>
  <c r="B2835" i="2"/>
  <c r="D2834" i="2"/>
  <c r="B2834" i="2"/>
  <c r="D2833" i="2"/>
  <c r="B2833" i="2"/>
  <c r="D2832" i="2"/>
  <c r="B2832" i="2"/>
  <c r="D2831" i="2"/>
  <c r="B2831" i="2"/>
  <c r="D2830" i="2"/>
  <c r="B2830" i="2"/>
  <c r="D2829" i="2"/>
  <c r="B2829" i="2"/>
  <c r="D2828" i="2"/>
  <c r="B2828" i="2"/>
  <c r="D2827" i="2"/>
  <c r="B2827" i="2"/>
  <c r="D2826" i="2"/>
  <c r="B2826" i="2"/>
  <c r="D2825" i="2"/>
  <c r="B2825" i="2"/>
  <c r="D2824" i="2"/>
  <c r="B2824" i="2"/>
  <c r="D2823" i="2"/>
  <c r="B2823" i="2"/>
  <c r="D2822" i="2"/>
  <c r="B2822" i="2"/>
  <c r="D2821" i="2"/>
  <c r="B2821" i="2"/>
  <c r="D2820" i="2"/>
  <c r="B2820" i="2"/>
  <c r="D2819" i="2"/>
  <c r="B2819" i="2"/>
  <c r="D2818" i="2"/>
  <c r="B2818" i="2"/>
  <c r="D2817" i="2"/>
  <c r="B2817" i="2"/>
  <c r="D2816" i="2"/>
  <c r="B2816" i="2"/>
  <c r="D2815" i="2"/>
  <c r="B2815" i="2"/>
  <c r="D2814" i="2"/>
  <c r="B2814" i="2"/>
  <c r="D2813" i="2"/>
  <c r="B2813" i="2"/>
  <c r="D2812" i="2"/>
  <c r="B2812" i="2"/>
  <c r="D2811" i="2"/>
  <c r="B2811" i="2"/>
  <c r="D2810" i="2"/>
  <c r="B2810" i="2"/>
  <c r="D2809" i="2"/>
  <c r="B2809" i="2"/>
  <c r="D2808" i="2"/>
  <c r="B2808" i="2"/>
  <c r="D2807" i="2"/>
  <c r="B2807" i="2"/>
  <c r="D2806" i="2"/>
  <c r="B2806" i="2"/>
  <c r="D2805" i="2"/>
  <c r="B2805" i="2"/>
  <c r="D2804" i="2"/>
  <c r="B2804" i="2"/>
  <c r="D2803" i="2"/>
  <c r="B2803" i="2"/>
  <c r="D2802" i="2"/>
  <c r="B2802" i="2"/>
  <c r="D2801" i="2"/>
  <c r="B2801" i="2"/>
  <c r="D2800" i="2"/>
  <c r="B2800" i="2"/>
  <c r="D2799" i="2"/>
  <c r="B2799" i="2"/>
  <c r="D2798" i="2"/>
  <c r="B2798" i="2"/>
  <c r="D2797" i="2"/>
  <c r="B2797" i="2"/>
  <c r="D2796" i="2"/>
  <c r="B2796" i="2"/>
  <c r="D2795" i="2"/>
  <c r="B2795" i="2"/>
  <c r="D2794" i="2"/>
  <c r="B2794" i="2"/>
  <c r="D2793" i="2"/>
  <c r="B2793" i="2"/>
  <c r="D2792" i="2"/>
  <c r="B2792" i="2"/>
  <c r="D2791" i="2"/>
  <c r="B2791" i="2"/>
  <c r="D2790" i="2"/>
  <c r="B2790" i="2"/>
  <c r="D2789" i="2"/>
  <c r="B2789" i="2"/>
  <c r="D2788" i="2"/>
  <c r="B2788" i="2"/>
  <c r="D2787" i="2"/>
  <c r="B2787" i="2"/>
  <c r="D2786" i="2"/>
  <c r="B2786" i="2"/>
  <c r="D2785" i="2"/>
  <c r="B2785" i="2"/>
  <c r="D2784" i="2"/>
  <c r="B2784" i="2"/>
  <c r="D2783" i="2"/>
  <c r="B2783" i="2"/>
  <c r="D2782" i="2"/>
  <c r="B2782" i="2"/>
  <c r="D2781" i="2"/>
  <c r="B2781" i="2"/>
  <c r="D2780" i="2"/>
  <c r="B2780" i="2"/>
  <c r="D2779" i="2"/>
  <c r="B2779" i="2"/>
  <c r="D2778" i="2"/>
  <c r="B2778" i="2"/>
  <c r="D2777" i="2"/>
  <c r="B2777" i="2"/>
  <c r="D2776" i="2"/>
  <c r="B2776" i="2"/>
  <c r="D2775" i="2"/>
  <c r="B2775" i="2"/>
  <c r="D2774" i="2"/>
  <c r="B2774" i="2"/>
  <c r="D2773" i="2"/>
  <c r="B2773" i="2"/>
  <c r="D2772" i="2"/>
  <c r="B2772" i="2"/>
  <c r="D2771" i="2"/>
  <c r="B2771" i="2"/>
  <c r="D2770" i="2"/>
  <c r="B2770" i="2"/>
  <c r="D2769" i="2"/>
  <c r="B2769" i="2"/>
  <c r="D2768" i="2"/>
  <c r="B2768" i="2"/>
  <c r="D2767" i="2"/>
  <c r="B2767" i="2"/>
  <c r="D2766" i="2"/>
  <c r="B2766" i="2"/>
  <c r="D2765" i="2"/>
  <c r="B2765" i="2"/>
  <c r="D2764" i="2"/>
  <c r="B2764" i="2"/>
  <c r="D2763" i="2"/>
  <c r="B2763" i="2"/>
  <c r="D2762" i="2"/>
  <c r="B2762" i="2"/>
  <c r="D2761" i="2"/>
  <c r="B2761" i="2"/>
  <c r="D2760" i="2"/>
  <c r="B2760" i="2"/>
  <c r="D2759" i="2"/>
  <c r="B2759" i="2"/>
  <c r="D2758" i="2"/>
  <c r="B2758" i="2"/>
  <c r="D2757" i="2"/>
  <c r="B2757" i="2"/>
  <c r="D2756" i="2"/>
  <c r="B2756" i="2"/>
  <c r="D2755" i="2"/>
  <c r="B2755" i="2"/>
  <c r="D2754" i="2"/>
  <c r="B2754" i="2"/>
  <c r="D2753" i="2"/>
  <c r="B2753" i="2"/>
  <c r="D2752" i="2"/>
  <c r="B2752" i="2"/>
  <c r="D2751" i="2"/>
  <c r="B2751" i="2"/>
  <c r="D2750" i="2"/>
  <c r="B2750" i="2"/>
  <c r="D2749" i="2"/>
  <c r="B2749" i="2"/>
  <c r="D2748" i="2"/>
  <c r="B2748" i="2"/>
  <c r="D2747" i="2"/>
  <c r="B2747" i="2"/>
  <c r="D2746" i="2"/>
  <c r="B2746" i="2"/>
  <c r="D2745" i="2"/>
  <c r="B2745" i="2"/>
  <c r="D2744" i="2"/>
  <c r="B2744" i="2"/>
  <c r="D2743" i="2"/>
  <c r="B2743" i="2"/>
  <c r="D2742" i="2"/>
  <c r="B2742" i="2"/>
  <c r="D2741" i="2"/>
  <c r="B2741" i="2"/>
  <c r="D2740" i="2"/>
  <c r="B2740" i="2"/>
  <c r="D2739" i="2"/>
  <c r="B2739" i="2"/>
  <c r="D2738" i="2"/>
  <c r="B2738" i="2"/>
  <c r="D2737" i="2"/>
  <c r="B2737" i="2"/>
  <c r="D2736" i="2"/>
  <c r="B2736" i="2"/>
  <c r="D2735" i="2"/>
  <c r="B2735" i="2"/>
  <c r="D2734" i="2"/>
  <c r="B2734" i="2"/>
  <c r="D2733" i="2"/>
  <c r="B2733" i="2"/>
  <c r="D2732" i="2"/>
  <c r="B2732" i="2"/>
  <c r="D2731" i="2"/>
  <c r="B2731" i="2"/>
  <c r="D2730" i="2"/>
  <c r="B2730" i="2"/>
  <c r="D2729" i="2"/>
  <c r="B2729" i="2"/>
  <c r="D2728" i="2"/>
  <c r="B2728" i="2"/>
  <c r="D2727" i="2"/>
  <c r="B2727" i="2"/>
  <c r="D2726" i="2"/>
  <c r="B2726" i="2"/>
  <c r="D2725" i="2"/>
  <c r="B2725" i="2"/>
  <c r="D2724" i="2"/>
  <c r="B2724" i="2"/>
  <c r="D2723" i="2"/>
  <c r="B2723" i="2"/>
  <c r="D2722" i="2"/>
  <c r="B2722" i="2"/>
  <c r="D2721" i="2"/>
  <c r="B2721" i="2"/>
  <c r="D2720" i="2"/>
  <c r="B2720" i="2"/>
  <c r="D2719" i="2"/>
  <c r="B2719" i="2"/>
  <c r="D2718" i="2"/>
  <c r="B2718" i="2"/>
  <c r="D2717" i="2"/>
  <c r="B2717" i="2"/>
  <c r="D2716" i="2"/>
  <c r="B2716" i="2"/>
  <c r="D2715" i="2"/>
  <c r="B2715" i="2"/>
  <c r="D2714" i="2"/>
  <c r="B2714" i="2"/>
  <c r="D2713" i="2"/>
  <c r="B2713" i="2"/>
  <c r="D2712" i="2"/>
  <c r="B2712" i="2"/>
  <c r="D2711" i="2"/>
  <c r="B2711" i="2"/>
  <c r="D2710" i="2"/>
  <c r="B2710" i="2"/>
  <c r="D2709" i="2"/>
  <c r="B2709" i="2"/>
  <c r="D2708" i="2"/>
  <c r="B2708" i="2"/>
  <c r="D2707" i="2"/>
  <c r="B2707" i="2"/>
  <c r="D2706" i="2"/>
  <c r="B2706" i="2"/>
  <c r="D2705" i="2"/>
  <c r="B2705" i="2"/>
  <c r="D2704" i="2"/>
  <c r="B2704" i="2"/>
  <c r="D2703" i="2"/>
  <c r="B2703" i="2"/>
  <c r="D2702" i="2"/>
  <c r="B2702" i="2"/>
  <c r="D2701" i="2"/>
  <c r="B2701" i="2"/>
  <c r="D2700" i="2"/>
  <c r="B2700" i="2"/>
  <c r="D2699" i="2"/>
  <c r="B2699" i="2"/>
  <c r="D2698" i="2"/>
  <c r="B2698" i="2"/>
  <c r="D2697" i="2"/>
  <c r="B2697" i="2"/>
  <c r="D2696" i="2"/>
  <c r="B2696" i="2"/>
  <c r="D2695" i="2"/>
  <c r="B2695" i="2"/>
  <c r="D2694" i="2"/>
  <c r="B2694" i="2"/>
  <c r="D2693" i="2"/>
  <c r="B2693" i="2"/>
  <c r="D2692" i="2"/>
  <c r="B2692" i="2"/>
  <c r="D2691" i="2"/>
  <c r="B2691" i="2"/>
  <c r="D2690" i="2"/>
  <c r="B2690" i="2"/>
  <c r="D2689" i="2"/>
  <c r="B2689" i="2"/>
  <c r="D2688" i="2"/>
  <c r="B2688" i="2"/>
  <c r="D2687" i="2"/>
  <c r="B2687" i="2"/>
  <c r="D2686" i="2"/>
  <c r="B2686" i="2"/>
  <c r="D2685" i="2"/>
  <c r="B2685" i="2"/>
  <c r="D2684" i="2"/>
  <c r="B2684" i="2"/>
  <c r="D2683" i="2"/>
  <c r="B2683" i="2"/>
  <c r="D2682" i="2"/>
  <c r="B2682" i="2"/>
  <c r="D2681" i="2"/>
  <c r="B2681" i="2"/>
  <c r="D2680" i="2"/>
  <c r="B2680" i="2"/>
  <c r="D2679" i="2"/>
  <c r="B2679" i="2"/>
  <c r="D2678" i="2"/>
  <c r="B2678" i="2"/>
  <c r="D2677" i="2"/>
  <c r="B2677" i="2"/>
  <c r="D2676" i="2"/>
  <c r="B2676" i="2"/>
  <c r="D2675" i="2"/>
  <c r="B2675" i="2"/>
  <c r="D2674" i="2"/>
  <c r="B2674" i="2"/>
  <c r="D2673" i="2"/>
  <c r="B2673" i="2"/>
  <c r="D2672" i="2"/>
  <c r="B2672" i="2"/>
  <c r="D2671" i="2"/>
  <c r="B2671" i="2"/>
  <c r="D2670" i="2"/>
  <c r="B2670" i="2"/>
  <c r="D2669" i="2"/>
  <c r="B2669" i="2"/>
  <c r="D2668" i="2"/>
  <c r="B2668" i="2"/>
  <c r="D2667" i="2"/>
  <c r="B2667" i="2"/>
  <c r="D2666" i="2"/>
  <c r="B2666" i="2"/>
  <c r="D2665" i="2"/>
  <c r="B2665" i="2"/>
  <c r="D2664" i="2"/>
  <c r="B2664" i="2"/>
  <c r="D2663" i="2"/>
  <c r="B2663" i="2"/>
  <c r="D2662" i="2"/>
  <c r="B2662" i="2"/>
  <c r="D2661" i="2"/>
  <c r="B2661" i="2"/>
  <c r="D2660" i="2"/>
  <c r="B2660" i="2"/>
  <c r="D2659" i="2"/>
  <c r="B2659" i="2"/>
  <c r="D2658" i="2"/>
  <c r="B2658" i="2"/>
  <c r="D2657" i="2"/>
  <c r="B2657" i="2"/>
  <c r="D2656" i="2"/>
  <c r="B2656" i="2"/>
  <c r="D2655" i="2"/>
  <c r="B2655" i="2"/>
  <c r="D2654" i="2"/>
  <c r="B2654" i="2"/>
  <c r="D2653" i="2"/>
  <c r="B2653" i="2"/>
  <c r="D2652" i="2"/>
  <c r="B2652" i="2"/>
  <c r="D2651" i="2"/>
  <c r="B2651" i="2"/>
  <c r="D2650" i="2"/>
  <c r="B2650" i="2"/>
  <c r="D2649" i="2"/>
  <c r="B2649" i="2"/>
  <c r="D2648" i="2"/>
  <c r="B2648" i="2"/>
  <c r="D2647" i="2"/>
  <c r="B2647" i="2"/>
  <c r="D2646" i="2"/>
  <c r="B2646" i="2"/>
  <c r="D2645" i="2"/>
  <c r="B2645" i="2"/>
  <c r="D2644" i="2"/>
  <c r="B2644" i="2"/>
  <c r="D2643" i="2"/>
  <c r="B2643" i="2"/>
  <c r="D2642" i="2"/>
  <c r="B2642" i="2"/>
  <c r="D2641" i="2"/>
  <c r="B2641" i="2"/>
  <c r="D2640" i="2"/>
  <c r="B2640" i="2"/>
  <c r="D2639" i="2"/>
  <c r="B2639" i="2"/>
  <c r="D2638" i="2"/>
  <c r="B2638" i="2"/>
  <c r="D2637" i="2"/>
  <c r="B2637" i="2"/>
  <c r="D2636" i="2"/>
  <c r="B2636" i="2"/>
  <c r="D2635" i="2"/>
  <c r="B2635" i="2"/>
  <c r="D2634" i="2"/>
  <c r="B2634" i="2"/>
  <c r="D2633" i="2"/>
  <c r="B2633" i="2"/>
  <c r="D2632" i="2"/>
  <c r="B2632" i="2"/>
  <c r="D2631" i="2"/>
  <c r="B2631" i="2"/>
  <c r="D2630" i="2"/>
  <c r="B2630" i="2"/>
  <c r="D2629" i="2"/>
  <c r="B2629" i="2"/>
  <c r="D2628" i="2"/>
  <c r="B2628" i="2"/>
  <c r="D2627" i="2"/>
  <c r="B2627" i="2"/>
  <c r="D2626" i="2"/>
  <c r="B2626" i="2"/>
  <c r="D2625" i="2"/>
  <c r="B2625" i="2"/>
  <c r="D2624" i="2"/>
  <c r="B2624" i="2"/>
  <c r="D2623" i="2"/>
  <c r="B2623" i="2"/>
  <c r="D2622" i="2"/>
  <c r="B2622" i="2"/>
  <c r="D2621" i="2"/>
  <c r="B2621" i="2"/>
  <c r="D2620" i="2"/>
  <c r="B2620" i="2"/>
  <c r="D2619" i="2"/>
  <c r="B2619" i="2"/>
  <c r="D2618" i="2"/>
  <c r="B2618" i="2"/>
  <c r="D2617" i="2"/>
  <c r="B2617" i="2"/>
  <c r="D2616" i="2"/>
  <c r="B2616" i="2"/>
  <c r="D2615" i="2"/>
  <c r="B2615" i="2"/>
  <c r="D2614" i="2"/>
  <c r="B2614" i="2"/>
  <c r="D2613" i="2"/>
  <c r="B2613" i="2"/>
  <c r="D2612" i="2"/>
  <c r="B2612" i="2"/>
  <c r="D2611" i="2"/>
  <c r="B2611" i="2"/>
  <c r="D2610" i="2"/>
  <c r="B2610" i="2"/>
  <c r="D2609" i="2"/>
  <c r="B2609" i="2"/>
  <c r="D2608" i="2"/>
  <c r="B2608" i="2"/>
  <c r="D2607" i="2"/>
  <c r="B2607" i="2"/>
  <c r="D2606" i="2"/>
  <c r="B2606" i="2"/>
  <c r="D2605" i="2"/>
  <c r="B2605" i="2"/>
  <c r="D2604" i="2"/>
  <c r="B2604" i="2"/>
  <c r="D2603" i="2"/>
  <c r="B2603" i="2"/>
  <c r="D2602" i="2"/>
  <c r="B2602" i="2"/>
  <c r="D2601" i="2"/>
  <c r="B2601" i="2"/>
  <c r="D2600" i="2"/>
  <c r="B2600" i="2"/>
  <c r="D2599" i="2"/>
  <c r="B2599" i="2"/>
  <c r="D2598" i="2"/>
  <c r="B2598" i="2"/>
  <c r="D2597" i="2"/>
  <c r="B2597" i="2"/>
  <c r="D2596" i="2"/>
  <c r="B2596" i="2"/>
  <c r="D2595" i="2"/>
  <c r="B2595" i="2"/>
  <c r="D2594" i="2"/>
  <c r="B2594" i="2"/>
  <c r="D2593" i="2"/>
  <c r="B2593" i="2"/>
  <c r="D2592" i="2"/>
  <c r="B2592" i="2"/>
  <c r="D2591" i="2"/>
  <c r="B2591" i="2"/>
  <c r="D2590" i="2"/>
  <c r="B2590" i="2"/>
  <c r="D2589" i="2"/>
  <c r="B2589" i="2"/>
  <c r="D2588" i="2"/>
  <c r="B2588" i="2"/>
  <c r="D2587" i="2"/>
  <c r="B2587" i="2"/>
  <c r="D2586" i="2"/>
  <c r="B2586" i="2"/>
  <c r="D2585" i="2"/>
  <c r="B2585" i="2"/>
  <c r="D2584" i="2"/>
  <c r="B2584" i="2"/>
  <c r="D2583" i="2"/>
  <c r="B2583" i="2"/>
  <c r="D2582" i="2"/>
  <c r="B2582" i="2"/>
  <c r="D2581" i="2"/>
  <c r="B2581" i="2"/>
  <c r="D2580" i="2"/>
  <c r="B2580" i="2"/>
  <c r="D2579" i="2"/>
  <c r="B2579" i="2"/>
  <c r="D2578" i="2"/>
  <c r="B2578" i="2"/>
  <c r="D2577" i="2"/>
  <c r="B2577" i="2"/>
  <c r="D2576" i="2"/>
  <c r="B2576" i="2"/>
  <c r="D2575" i="2"/>
  <c r="B2575" i="2"/>
  <c r="D2574" i="2"/>
  <c r="B2574" i="2"/>
  <c r="D2573" i="2"/>
  <c r="B2573" i="2"/>
  <c r="D2572" i="2"/>
  <c r="B2572" i="2"/>
  <c r="D2571" i="2"/>
  <c r="B2571" i="2"/>
  <c r="D2570" i="2"/>
  <c r="B2570" i="2"/>
  <c r="D2569" i="2"/>
  <c r="B2569" i="2"/>
  <c r="D2568" i="2"/>
  <c r="B2568" i="2"/>
  <c r="D2567" i="2"/>
  <c r="B2567" i="2"/>
  <c r="D2566" i="2"/>
  <c r="B2566" i="2"/>
  <c r="D2565" i="2"/>
  <c r="B2565" i="2"/>
  <c r="D2564" i="2"/>
  <c r="B2564" i="2"/>
  <c r="D2563" i="2"/>
  <c r="B2563" i="2"/>
  <c r="D2562" i="2"/>
  <c r="B2562" i="2"/>
  <c r="D2561" i="2"/>
  <c r="B2561" i="2"/>
  <c r="D2560" i="2"/>
  <c r="B2560" i="2"/>
  <c r="D2559" i="2"/>
  <c r="B2559" i="2"/>
  <c r="D2558" i="2"/>
  <c r="B2558" i="2"/>
  <c r="D2557" i="2"/>
  <c r="B2557" i="2"/>
  <c r="D2556" i="2"/>
  <c r="B2556" i="2"/>
  <c r="D2555" i="2"/>
  <c r="B2555" i="2"/>
  <c r="D2554" i="2"/>
  <c r="B2554" i="2"/>
  <c r="D2553" i="2"/>
  <c r="B2553" i="2"/>
  <c r="D2552" i="2"/>
  <c r="B2552" i="2"/>
  <c r="D2551" i="2"/>
  <c r="B2551" i="2"/>
  <c r="D2550" i="2"/>
  <c r="B2550" i="2"/>
  <c r="D2549" i="2"/>
  <c r="B2549" i="2"/>
  <c r="D2548" i="2"/>
  <c r="B2548" i="2"/>
  <c r="D2547" i="2"/>
  <c r="B2547" i="2"/>
  <c r="D2546" i="2"/>
  <c r="B2546" i="2"/>
  <c r="D2545" i="2"/>
  <c r="B2545" i="2"/>
  <c r="D2544" i="2"/>
  <c r="B2544" i="2"/>
  <c r="D2543" i="2"/>
  <c r="B2543" i="2"/>
  <c r="D2542" i="2"/>
  <c r="B2542" i="2"/>
  <c r="D2541" i="2"/>
  <c r="B2541" i="2"/>
  <c r="D2540" i="2"/>
  <c r="B2540" i="2"/>
  <c r="D2539" i="2"/>
  <c r="B2539" i="2"/>
  <c r="D2538" i="2"/>
  <c r="B2538" i="2"/>
  <c r="D2537" i="2"/>
  <c r="B2537" i="2"/>
  <c r="D2536" i="2"/>
  <c r="B2536" i="2"/>
  <c r="D2535" i="2"/>
  <c r="B2535" i="2"/>
  <c r="D2534" i="2"/>
  <c r="B2534" i="2"/>
  <c r="D2533" i="2"/>
  <c r="B2533" i="2"/>
  <c r="D2532" i="2"/>
  <c r="B2532" i="2"/>
  <c r="D2531" i="2"/>
  <c r="B2531" i="2"/>
  <c r="D2530" i="2"/>
  <c r="B2530" i="2"/>
  <c r="D2529" i="2"/>
  <c r="B2529" i="2"/>
  <c r="D2528" i="2"/>
  <c r="B2528" i="2"/>
  <c r="D2527" i="2"/>
  <c r="B2527" i="2"/>
  <c r="D2526" i="2"/>
  <c r="B2526" i="2"/>
  <c r="D2525" i="2"/>
  <c r="B2525" i="2"/>
  <c r="D2524" i="2"/>
  <c r="B2524" i="2"/>
  <c r="D2523" i="2"/>
  <c r="B2523" i="2"/>
  <c r="D2522" i="2"/>
  <c r="B2522" i="2"/>
  <c r="D2521" i="2"/>
  <c r="B2521" i="2"/>
  <c r="D2520" i="2"/>
  <c r="B2520" i="2"/>
  <c r="D2519" i="2"/>
  <c r="B2519" i="2"/>
  <c r="D2518" i="2"/>
  <c r="B2518" i="2"/>
  <c r="D2517" i="2"/>
  <c r="B2517" i="2"/>
  <c r="D2516" i="2"/>
  <c r="B2516" i="2"/>
  <c r="D2515" i="2"/>
  <c r="B2515" i="2"/>
  <c r="D2514" i="2"/>
  <c r="B2514" i="2"/>
  <c r="D2513" i="2"/>
  <c r="B2513" i="2"/>
  <c r="D2512" i="2"/>
  <c r="B2512" i="2"/>
  <c r="D2511" i="2"/>
  <c r="B2511" i="2"/>
  <c r="D2510" i="2"/>
  <c r="B2510" i="2"/>
  <c r="D2509" i="2"/>
  <c r="B2509" i="2"/>
  <c r="D2508" i="2"/>
  <c r="B2508" i="2"/>
  <c r="D2507" i="2"/>
  <c r="B2507" i="2"/>
  <c r="D2506" i="2"/>
  <c r="B2506" i="2"/>
  <c r="D2505" i="2"/>
  <c r="B2505" i="2"/>
  <c r="D2504" i="2"/>
  <c r="B2504" i="2"/>
  <c r="D2503" i="2"/>
  <c r="B2503" i="2"/>
  <c r="D2502" i="2"/>
  <c r="B2502" i="2"/>
  <c r="D2501" i="2"/>
  <c r="B2501" i="2"/>
  <c r="D2500" i="2"/>
  <c r="B2500" i="2"/>
  <c r="D2499" i="2"/>
  <c r="B2499" i="2"/>
  <c r="D2498" i="2"/>
  <c r="B2498" i="2"/>
  <c r="D2497" i="2"/>
  <c r="B2497" i="2"/>
  <c r="D2496" i="2"/>
  <c r="B2496" i="2"/>
  <c r="D2495" i="2"/>
  <c r="B2495" i="2"/>
  <c r="D2494" i="2"/>
  <c r="B2494" i="2"/>
  <c r="D2493" i="2"/>
  <c r="B2493" i="2"/>
  <c r="D2492" i="2"/>
  <c r="B2492" i="2"/>
  <c r="D2491" i="2"/>
  <c r="B2491" i="2"/>
  <c r="D2490" i="2"/>
  <c r="B2490" i="2"/>
  <c r="D2489" i="2"/>
  <c r="B2489" i="2"/>
  <c r="D2488" i="2"/>
  <c r="B2488" i="2"/>
  <c r="D2487" i="2"/>
  <c r="B2487" i="2"/>
  <c r="D2486" i="2"/>
  <c r="B2486" i="2"/>
  <c r="D2485" i="2"/>
  <c r="B2485" i="2"/>
  <c r="D2484" i="2"/>
  <c r="B2484" i="2"/>
  <c r="D2483" i="2"/>
  <c r="B2483" i="2"/>
  <c r="D2482" i="2"/>
  <c r="B2482" i="2"/>
  <c r="D2481" i="2"/>
  <c r="B2481" i="2"/>
  <c r="D2480" i="2"/>
  <c r="B2480" i="2"/>
  <c r="D2479" i="2"/>
  <c r="B2479" i="2"/>
  <c r="D2478" i="2"/>
  <c r="B2478" i="2"/>
  <c r="D2477" i="2"/>
  <c r="B2477" i="2"/>
  <c r="D2476" i="2"/>
  <c r="B2476" i="2"/>
  <c r="D2475" i="2"/>
  <c r="B2475" i="2"/>
  <c r="D2474" i="2"/>
  <c r="B2474" i="2"/>
  <c r="D2473" i="2"/>
  <c r="B2473" i="2"/>
  <c r="D2472" i="2"/>
  <c r="B2472" i="2"/>
  <c r="D2471" i="2"/>
  <c r="B2471" i="2"/>
  <c r="D2470" i="2"/>
  <c r="B2470" i="2"/>
  <c r="D2469" i="2"/>
  <c r="B2469" i="2"/>
  <c r="D2468" i="2"/>
  <c r="B2468" i="2"/>
  <c r="D2467" i="2"/>
  <c r="B2467" i="2"/>
  <c r="D2466" i="2"/>
  <c r="B2466" i="2"/>
  <c r="D2465" i="2"/>
  <c r="B2465" i="2"/>
  <c r="D2464" i="2"/>
  <c r="B2464" i="2"/>
  <c r="D2463" i="2"/>
  <c r="B2463" i="2"/>
  <c r="D2462" i="2"/>
  <c r="B2462" i="2"/>
  <c r="D2461" i="2"/>
  <c r="B2461" i="2"/>
  <c r="D2460" i="2"/>
  <c r="B2460" i="2"/>
  <c r="D2459" i="2"/>
  <c r="B2459" i="2"/>
  <c r="D2458" i="2"/>
  <c r="B2458" i="2"/>
  <c r="D2457" i="2"/>
  <c r="B2457" i="2"/>
  <c r="D2456" i="2"/>
  <c r="B2456" i="2"/>
  <c r="D2455" i="2"/>
  <c r="B2455" i="2"/>
  <c r="D2454" i="2"/>
  <c r="B2454" i="2"/>
  <c r="D2453" i="2"/>
  <c r="B2453" i="2"/>
  <c r="D2452" i="2"/>
  <c r="B2452" i="2"/>
  <c r="D2451" i="2"/>
  <c r="B2451" i="2"/>
  <c r="D2450" i="2"/>
  <c r="B2450" i="2"/>
  <c r="D2449" i="2"/>
  <c r="B2449" i="2"/>
  <c r="D2448" i="2"/>
  <c r="B2448" i="2"/>
  <c r="D2447" i="2"/>
  <c r="B2447" i="2"/>
  <c r="D2446" i="2"/>
  <c r="B2446" i="2"/>
  <c r="D2445" i="2"/>
  <c r="B2445" i="2"/>
  <c r="D2444" i="2"/>
  <c r="B2444" i="2"/>
  <c r="D2443" i="2"/>
  <c r="B2443" i="2"/>
  <c r="D2442" i="2"/>
  <c r="B2442" i="2"/>
  <c r="D2441" i="2"/>
  <c r="B2441" i="2"/>
  <c r="D2440" i="2"/>
  <c r="B2440" i="2"/>
  <c r="D2439" i="2"/>
  <c r="B2439" i="2"/>
  <c r="D2438" i="2"/>
  <c r="B2438" i="2"/>
  <c r="D2437" i="2"/>
  <c r="B2437" i="2"/>
  <c r="D2436" i="2"/>
  <c r="B2436" i="2"/>
  <c r="D2435" i="2"/>
  <c r="B2435" i="2"/>
  <c r="D2434" i="2"/>
  <c r="B2434" i="2"/>
  <c r="D2433" i="2"/>
  <c r="B2433" i="2"/>
  <c r="D2432" i="2"/>
  <c r="B2432" i="2"/>
  <c r="D2431" i="2"/>
  <c r="B2431" i="2"/>
  <c r="D2430" i="2"/>
  <c r="B2430" i="2"/>
  <c r="D2429" i="2"/>
  <c r="B2429" i="2"/>
  <c r="D2428" i="2"/>
  <c r="B2428" i="2"/>
  <c r="D2427" i="2"/>
  <c r="B2427" i="2"/>
  <c r="D2426" i="2"/>
  <c r="B2426" i="2"/>
  <c r="D2425" i="2"/>
  <c r="B2425" i="2"/>
  <c r="D2424" i="2"/>
  <c r="B2424" i="2"/>
  <c r="D2423" i="2"/>
  <c r="B2423" i="2"/>
  <c r="D2422" i="2"/>
  <c r="B2422" i="2"/>
  <c r="D2421" i="2"/>
  <c r="B2421" i="2"/>
  <c r="D2420" i="2"/>
  <c r="B2420" i="2"/>
  <c r="D2419" i="2"/>
  <c r="B2419" i="2"/>
  <c r="D2418" i="2"/>
  <c r="B2418" i="2"/>
  <c r="D2417" i="2"/>
  <c r="B2417" i="2"/>
  <c r="D2416" i="2"/>
  <c r="B2416" i="2"/>
  <c r="D2415" i="2"/>
  <c r="B2415" i="2"/>
  <c r="D2414" i="2"/>
  <c r="B2414" i="2"/>
  <c r="D2413" i="2"/>
  <c r="B2413" i="2"/>
  <c r="D2412" i="2"/>
  <c r="B2412" i="2"/>
  <c r="D2411" i="2"/>
  <c r="B2411" i="2"/>
  <c r="D2410" i="2"/>
  <c r="B2410" i="2"/>
  <c r="D2409" i="2"/>
  <c r="B2409" i="2"/>
  <c r="D2408" i="2"/>
  <c r="B2408" i="2"/>
  <c r="D2407" i="2"/>
  <c r="B2407" i="2"/>
  <c r="D2406" i="2"/>
  <c r="B2406" i="2"/>
  <c r="D2405" i="2"/>
  <c r="B2405" i="2"/>
  <c r="D2404" i="2"/>
  <c r="B2404" i="2"/>
  <c r="D2403" i="2"/>
  <c r="B2403" i="2"/>
  <c r="D2402" i="2"/>
  <c r="B2402" i="2"/>
  <c r="D2401" i="2"/>
  <c r="B2401" i="2"/>
  <c r="D2400" i="2"/>
  <c r="B2400" i="2"/>
  <c r="D2399" i="2"/>
  <c r="B2399" i="2"/>
  <c r="D2398" i="2"/>
  <c r="B2398" i="2"/>
  <c r="D2397" i="2"/>
  <c r="B2397" i="2"/>
  <c r="D2396" i="2"/>
  <c r="B2396" i="2"/>
  <c r="D2395" i="2"/>
  <c r="B2395" i="2"/>
  <c r="D2394" i="2"/>
  <c r="B2394" i="2"/>
  <c r="D2393" i="2"/>
  <c r="B2393" i="2"/>
  <c r="D2392" i="2"/>
  <c r="B2392" i="2"/>
  <c r="D2391" i="2"/>
  <c r="B2391" i="2"/>
  <c r="D2390" i="2"/>
  <c r="B2390" i="2"/>
  <c r="D2389" i="2"/>
  <c r="B2389" i="2"/>
  <c r="D2388" i="2"/>
  <c r="B2388" i="2"/>
  <c r="D2387" i="2"/>
  <c r="B2387" i="2"/>
  <c r="D2386" i="2"/>
  <c r="B2386" i="2"/>
  <c r="D2385" i="2"/>
  <c r="B2385" i="2"/>
  <c r="D2384" i="2"/>
  <c r="B2384" i="2"/>
  <c r="D2383" i="2"/>
  <c r="B2383" i="2"/>
  <c r="D2382" i="2"/>
  <c r="B2382" i="2"/>
  <c r="D2381" i="2"/>
  <c r="B2381" i="2"/>
  <c r="D2380" i="2"/>
  <c r="B2380" i="2"/>
  <c r="D2379" i="2"/>
  <c r="B2379" i="2"/>
  <c r="D2378" i="2"/>
  <c r="B2378" i="2"/>
  <c r="D2377" i="2"/>
  <c r="B2377" i="2"/>
  <c r="D2376" i="2"/>
  <c r="B2376" i="2"/>
  <c r="D2375" i="2"/>
  <c r="B2375" i="2"/>
  <c r="D2374" i="2"/>
  <c r="B2374" i="2"/>
  <c r="D2373" i="2"/>
  <c r="B2373" i="2"/>
  <c r="D2372" i="2"/>
  <c r="B2372" i="2"/>
  <c r="D2371" i="2"/>
  <c r="B2371" i="2"/>
  <c r="D2370" i="2"/>
  <c r="B2370" i="2"/>
  <c r="D2369" i="2"/>
  <c r="B2369" i="2"/>
  <c r="D2368" i="2"/>
  <c r="B2368" i="2"/>
  <c r="D2367" i="2"/>
  <c r="B2367" i="2"/>
  <c r="D2366" i="2"/>
  <c r="B2366" i="2"/>
  <c r="D2365" i="2"/>
  <c r="B2365" i="2"/>
  <c r="D2364" i="2"/>
  <c r="B2364" i="2"/>
  <c r="D2363" i="2"/>
  <c r="B2363" i="2"/>
  <c r="D2362" i="2"/>
  <c r="B2362" i="2"/>
  <c r="D2361" i="2"/>
  <c r="B2361" i="2"/>
  <c r="D2360" i="2"/>
  <c r="B2360" i="2"/>
  <c r="D2359" i="2"/>
  <c r="B2359" i="2"/>
  <c r="D2358" i="2"/>
  <c r="B2358" i="2"/>
  <c r="D2357" i="2"/>
  <c r="B2357" i="2"/>
  <c r="D2356" i="2"/>
  <c r="B2356" i="2"/>
  <c r="D2355" i="2"/>
  <c r="B2355" i="2"/>
  <c r="D2354" i="2"/>
  <c r="B2354" i="2"/>
  <c r="D2353" i="2"/>
  <c r="B2353" i="2"/>
  <c r="D2352" i="2"/>
  <c r="B2352" i="2"/>
  <c r="D2351" i="2"/>
  <c r="B2351" i="2"/>
  <c r="D2350" i="2"/>
  <c r="B2350" i="2"/>
  <c r="D2349" i="2"/>
  <c r="B2349" i="2"/>
  <c r="D2348" i="2"/>
  <c r="B2348" i="2"/>
  <c r="D2347" i="2"/>
  <c r="B2347" i="2"/>
  <c r="D2346" i="2"/>
  <c r="B2346" i="2"/>
  <c r="D2345" i="2"/>
  <c r="B2345" i="2"/>
  <c r="D2344" i="2"/>
  <c r="B2344" i="2"/>
  <c r="D2343" i="2"/>
  <c r="B2343" i="2"/>
  <c r="D2342" i="2"/>
  <c r="B2342" i="2"/>
  <c r="D2341" i="2"/>
  <c r="B2341" i="2"/>
  <c r="D2340" i="2"/>
  <c r="B2340" i="2"/>
  <c r="D2339" i="2"/>
  <c r="B2339" i="2"/>
  <c r="D2338" i="2"/>
  <c r="B2338" i="2"/>
  <c r="D2337" i="2"/>
  <c r="B2337" i="2"/>
  <c r="D2336" i="2"/>
  <c r="B2336" i="2"/>
  <c r="D2335" i="2"/>
  <c r="B2335" i="2"/>
  <c r="D2334" i="2"/>
  <c r="B2334" i="2"/>
  <c r="D2333" i="2"/>
  <c r="B2333" i="2"/>
  <c r="D2332" i="2"/>
  <c r="B2332" i="2"/>
  <c r="D2331" i="2"/>
  <c r="B2331" i="2"/>
  <c r="D2330" i="2"/>
  <c r="B2330" i="2"/>
  <c r="D2329" i="2"/>
  <c r="B2329" i="2"/>
  <c r="D2328" i="2"/>
  <c r="B2328" i="2"/>
  <c r="D2327" i="2"/>
  <c r="B2327" i="2"/>
  <c r="D2326" i="2"/>
  <c r="B2326" i="2"/>
  <c r="D2325" i="2"/>
  <c r="B2325" i="2"/>
  <c r="D2324" i="2"/>
  <c r="B2324" i="2"/>
  <c r="D2323" i="2"/>
  <c r="B2323" i="2"/>
  <c r="D2322" i="2"/>
  <c r="B2322" i="2"/>
  <c r="D2321" i="2"/>
  <c r="B2321" i="2"/>
  <c r="D2320" i="2"/>
  <c r="B2320" i="2"/>
  <c r="D2319" i="2"/>
  <c r="B2319" i="2"/>
  <c r="D2318" i="2"/>
  <c r="B2318" i="2"/>
  <c r="D2317" i="2"/>
  <c r="B2317" i="2"/>
  <c r="D2316" i="2"/>
  <c r="B2316" i="2"/>
  <c r="D2315" i="2"/>
  <c r="B2315" i="2"/>
  <c r="D2314" i="2"/>
  <c r="B2314" i="2"/>
  <c r="D2313" i="2"/>
  <c r="B2313" i="2"/>
  <c r="D2312" i="2"/>
  <c r="B2312" i="2"/>
  <c r="D2311" i="2"/>
  <c r="B2311" i="2"/>
  <c r="D2310" i="2"/>
  <c r="B2310" i="2"/>
  <c r="D2309" i="2"/>
  <c r="B2309" i="2"/>
  <c r="D2308" i="2"/>
  <c r="B2308" i="2"/>
  <c r="D2307" i="2"/>
  <c r="B2307" i="2"/>
  <c r="D2306" i="2"/>
  <c r="B2306" i="2"/>
  <c r="D2305" i="2"/>
  <c r="B2305" i="2"/>
  <c r="D2304" i="2"/>
  <c r="B2304" i="2"/>
  <c r="D2303" i="2"/>
  <c r="B2303" i="2"/>
  <c r="D2302" i="2"/>
  <c r="B2302" i="2"/>
  <c r="D2301" i="2"/>
  <c r="B2301" i="2"/>
  <c r="D2300" i="2"/>
  <c r="B2300" i="2"/>
  <c r="D2299" i="2"/>
  <c r="B2299" i="2"/>
  <c r="D2298" i="2"/>
  <c r="B2298" i="2"/>
  <c r="D2297" i="2"/>
  <c r="B2297" i="2"/>
  <c r="D2296" i="2"/>
  <c r="B2296" i="2"/>
  <c r="D2295" i="2"/>
  <c r="B2295" i="2"/>
  <c r="D2294" i="2"/>
  <c r="B2294" i="2"/>
  <c r="D2293" i="2"/>
  <c r="B2293" i="2"/>
  <c r="D2292" i="2"/>
  <c r="B2292" i="2"/>
  <c r="D2291" i="2"/>
  <c r="B2291" i="2"/>
  <c r="D2290" i="2"/>
  <c r="B2290" i="2"/>
  <c r="D2289" i="2"/>
  <c r="B2289" i="2"/>
  <c r="D2288" i="2"/>
  <c r="B2288" i="2"/>
  <c r="D2287" i="2"/>
  <c r="B2287" i="2"/>
  <c r="D2286" i="2"/>
  <c r="B2286" i="2"/>
  <c r="D2285" i="2"/>
  <c r="B2285" i="2"/>
  <c r="D2284" i="2"/>
  <c r="B2284" i="2"/>
  <c r="D2283" i="2"/>
  <c r="B2283" i="2"/>
  <c r="D2282" i="2"/>
  <c r="B2282" i="2"/>
  <c r="D2281" i="2"/>
  <c r="B2281" i="2"/>
  <c r="D2280" i="2"/>
  <c r="B2280" i="2"/>
  <c r="D2279" i="2"/>
  <c r="B2279" i="2"/>
  <c r="D2278" i="2"/>
  <c r="B2278" i="2"/>
  <c r="D2277" i="2"/>
  <c r="B2277" i="2"/>
  <c r="D2276" i="2"/>
  <c r="B2276" i="2"/>
  <c r="D2275" i="2"/>
  <c r="B2275" i="2"/>
  <c r="D2274" i="2"/>
  <c r="B2274" i="2"/>
  <c r="D2273" i="2"/>
  <c r="B2273" i="2"/>
  <c r="D2272" i="2"/>
  <c r="B2272" i="2"/>
  <c r="D2271" i="2"/>
  <c r="B2271" i="2"/>
  <c r="D2270" i="2"/>
  <c r="B2270" i="2"/>
  <c r="D2269" i="2"/>
  <c r="B2269" i="2"/>
  <c r="D2268" i="2"/>
  <c r="B2268" i="2"/>
  <c r="D2267" i="2"/>
  <c r="B2267" i="2"/>
  <c r="D2266" i="2"/>
  <c r="B2266" i="2"/>
  <c r="D2265" i="2"/>
  <c r="B2265" i="2"/>
  <c r="D2264" i="2"/>
  <c r="B2264" i="2"/>
  <c r="D2263" i="2"/>
  <c r="B2263" i="2"/>
  <c r="D2262" i="2"/>
  <c r="B2262" i="2"/>
  <c r="D2261" i="2"/>
  <c r="B2261" i="2"/>
  <c r="D2260" i="2"/>
  <c r="B2260" i="2"/>
  <c r="D2259" i="2"/>
  <c r="B2259" i="2"/>
  <c r="D2258" i="2"/>
  <c r="B2258" i="2"/>
  <c r="D2257" i="2"/>
  <c r="B2257" i="2"/>
  <c r="D2256" i="2"/>
  <c r="B2256" i="2"/>
  <c r="D2255" i="2"/>
  <c r="B2255" i="2"/>
  <c r="D2254" i="2"/>
  <c r="B2254" i="2"/>
  <c r="D2253" i="2"/>
  <c r="B2253" i="2"/>
  <c r="D2252" i="2"/>
  <c r="B2252" i="2"/>
  <c r="D2251" i="2"/>
  <c r="B2251" i="2"/>
  <c r="D2250" i="2"/>
  <c r="B2250" i="2"/>
  <c r="D2249" i="2"/>
  <c r="B2249" i="2"/>
  <c r="D2248" i="2"/>
  <c r="B2248" i="2"/>
  <c r="D2247" i="2"/>
  <c r="B2247" i="2"/>
  <c r="D2246" i="2"/>
  <c r="B2246" i="2"/>
  <c r="D2245" i="2"/>
  <c r="B2245" i="2"/>
  <c r="D2244" i="2"/>
  <c r="B2244" i="2"/>
  <c r="D2243" i="2"/>
  <c r="B2243" i="2"/>
  <c r="D2242" i="2"/>
  <c r="B2242" i="2"/>
  <c r="D2241" i="2"/>
  <c r="B2241" i="2"/>
  <c r="D2240" i="2"/>
  <c r="B2240" i="2"/>
  <c r="D2239" i="2"/>
  <c r="B2239" i="2"/>
  <c r="D2238" i="2"/>
  <c r="B2238" i="2"/>
  <c r="D2237" i="2"/>
  <c r="B2237" i="2"/>
  <c r="D2236" i="2"/>
  <c r="B2236" i="2"/>
  <c r="D2235" i="2"/>
  <c r="B2235" i="2"/>
  <c r="D2234" i="2"/>
  <c r="B2234" i="2"/>
  <c r="D2233" i="2"/>
  <c r="B2233" i="2"/>
  <c r="D2232" i="2"/>
  <c r="B2232" i="2"/>
  <c r="D2231" i="2"/>
  <c r="B2231" i="2"/>
  <c r="D2230" i="2"/>
  <c r="B2230" i="2"/>
  <c r="D2229" i="2"/>
  <c r="B2229" i="2"/>
  <c r="D2228" i="2"/>
  <c r="B2228" i="2"/>
  <c r="D2227" i="2"/>
  <c r="B2227" i="2"/>
  <c r="D2226" i="2"/>
  <c r="B2226" i="2"/>
  <c r="D2225" i="2"/>
  <c r="B2225" i="2"/>
  <c r="D2224" i="2"/>
  <c r="B2224" i="2"/>
  <c r="D2223" i="2"/>
  <c r="B2223" i="2"/>
  <c r="D2222" i="2"/>
  <c r="B2222" i="2"/>
  <c r="D2221" i="2"/>
  <c r="B2221" i="2"/>
  <c r="D2220" i="2"/>
  <c r="B2220" i="2"/>
  <c r="D2219" i="2"/>
  <c r="B2219" i="2"/>
  <c r="D2218" i="2"/>
  <c r="B2218" i="2"/>
  <c r="D2217" i="2"/>
  <c r="B2217" i="2"/>
  <c r="D2216" i="2"/>
  <c r="B2216" i="2"/>
  <c r="D2215" i="2"/>
  <c r="B2215" i="2"/>
  <c r="D2214" i="2"/>
  <c r="B2214" i="2"/>
  <c r="D2213" i="2"/>
  <c r="B2213" i="2"/>
  <c r="D2212" i="2"/>
  <c r="B2212" i="2"/>
  <c r="D2211" i="2"/>
  <c r="B2211" i="2"/>
  <c r="D2210" i="2"/>
  <c r="B2210" i="2"/>
  <c r="D2209" i="2"/>
  <c r="B2209" i="2"/>
  <c r="D2208" i="2"/>
  <c r="B2208" i="2"/>
  <c r="D2207" i="2"/>
  <c r="B2207" i="2"/>
  <c r="D2206" i="2"/>
  <c r="B2206" i="2"/>
  <c r="D2205" i="2"/>
  <c r="B2205" i="2"/>
  <c r="D2204" i="2"/>
  <c r="B2204" i="2"/>
  <c r="D2203" i="2"/>
  <c r="B2203" i="2"/>
  <c r="D2202" i="2"/>
  <c r="B2202" i="2"/>
  <c r="D2201" i="2"/>
  <c r="B2201" i="2"/>
  <c r="D2200" i="2"/>
  <c r="B2200" i="2"/>
  <c r="D2199" i="2"/>
  <c r="B2199" i="2"/>
  <c r="D2198" i="2"/>
  <c r="B2198" i="2"/>
  <c r="D2197" i="2"/>
  <c r="B2197" i="2"/>
  <c r="D2196" i="2"/>
  <c r="B2196" i="2"/>
  <c r="D2195" i="2"/>
  <c r="B2195" i="2"/>
  <c r="D2194" i="2"/>
  <c r="B2194" i="2"/>
  <c r="D2193" i="2"/>
  <c r="B2193" i="2"/>
  <c r="D2192" i="2"/>
  <c r="B2192" i="2"/>
  <c r="D2191" i="2"/>
  <c r="B2191" i="2"/>
  <c r="D2190" i="2"/>
  <c r="B2190" i="2"/>
  <c r="D2189" i="2"/>
  <c r="B2189" i="2"/>
  <c r="D2188" i="2"/>
  <c r="B2188" i="2"/>
  <c r="D2187" i="2"/>
  <c r="B2187" i="2"/>
  <c r="D2186" i="2"/>
  <c r="B2186" i="2"/>
  <c r="D2185" i="2"/>
  <c r="B2185" i="2"/>
  <c r="D2184" i="2"/>
  <c r="B2184" i="2"/>
  <c r="D2183" i="2"/>
  <c r="B2183" i="2"/>
  <c r="D2182" i="2"/>
  <c r="B2182" i="2"/>
  <c r="D2181" i="2"/>
  <c r="B2181" i="2"/>
  <c r="D2180" i="2"/>
  <c r="B2180" i="2"/>
  <c r="D2179" i="2"/>
  <c r="B2179" i="2"/>
  <c r="D2178" i="2"/>
  <c r="B2178" i="2"/>
  <c r="D2177" i="2"/>
  <c r="B2177" i="2"/>
  <c r="D2176" i="2"/>
  <c r="B2176" i="2"/>
  <c r="D2175" i="2"/>
  <c r="B2175" i="2"/>
  <c r="D2174" i="2"/>
  <c r="B2174" i="2"/>
  <c r="D2173" i="2"/>
  <c r="B2173" i="2"/>
  <c r="D2172" i="2"/>
  <c r="B2172" i="2"/>
  <c r="D2171" i="2"/>
  <c r="B2171" i="2"/>
  <c r="D2170" i="2"/>
  <c r="B2170" i="2"/>
  <c r="D2169" i="2"/>
  <c r="B2169" i="2"/>
  <c r="D2168" i="2"/>
  <c r="B2168" i="2"/>
  <c r="D2167" i="2"/>
  <c r="B2167" i="2"/>
  <c r="D2166" i="2"/>
  <c r="B2166" i="2"/>
  <c r="D2165" i="2"/>
  <c r="B2165" i="2"/>
  <c r="D2164" i="2"/>
  <c r="B2164" i="2"/>
  <c r="D2163" i="2"/>
  <c r="B2163" i="2"/>
  <c r="D2162" i="2"/>
  <c r="B2162" i="2"/>
  <c r="D2161" i="2"/>
  <c r="B2161" i="2"/>
  <c r="D2160" i="2"/>
  <c r="B2160" i="2"/>
  <c r="D2159" i="2"/>
  <c r="B2159" i="2"/>
  <c r="D2158" i="2"/>
  <c r="B2158" i="2"/>
  <c r="D2157" i="2"/>
  <c r="B2157" i="2"/>
  <c r="D2156" i="2"/>
  <c r="B2156" i="2"/>
  <c r="D2155" i="2"/>
  <c r="B2155" i="2"/>
  <c r="D2154" i="2"/>
  <c r="B2154" i="2"/>
  <c r="D2153" i="2"/>
  <c r="B2153" i="2"/>
  <c r="D2152" i="2"/>
  <c r="B2152" i="2"/>
  <c r="D2151" i="2"/>
  <c r="B2151" i="2"/>
  <c r="D2150" i="2"/>
  <c r="B2150" i="2"/>
  <c r="D2149" i="2"/>
  <c r="B2149" i="2"/>
  <c r="D2148" i="2"/>
  <c r="B2148" i="2"/>
  <c r="D2147" i="2"/>
  <c r="B2147" i="2"/>
  <c r="D2146" i="2"/>
  <c r="B2146" i="2"/>
  <c r="D2145" i="2"/>
  <c r="B2145" i="2"/>
  <c r="D2144" i="2"/>
  <c r="B2144" i="2"/>
  <c r="D2143" i="2"/>
  <c r="B2143" i="2"/>
  <c r="D2142" i="2"/>
  <c r="B2142" i="2"/>
  <c r="D2141" i="2"/>
  <c r="B2141" i="2"/>
  <c r="D2140" i="2"/>
  <c r="B2140" i="2"/>
  <c r="D2139" i="2"/>
  <c r="B2139" i="2"/>
  <c r="D2138" i="2"/>
  <c r="B2138" i="2"/>
  <c r="D2137" i="2"/>
  <c r="B2137" i="2"/>
  <c r="D2136" i="2"/>
  <c r="B2136" i="2"/>
  <c r="D2135" i="2"/>
  <c r="B2135" i="2"/>
  <c r="D2134" i="2"/>
  <c r="B2134" i="2"/>
  <c r="D2133" i="2"/>
  <c r="B2133" i="2"/>
  <c r="D2132" i="2"/>
  <c r="B2132" i="2"/>
  <c r="D2131" i="2"/>
  <c r="B2131" i="2"/>
  <c r="D2130" i="2"/>
  <c r="B2130" i="2"/>
  <c r="D2129" i="2"/>
  <c r="B2129" i="2"/>
  <c r="D2128" i="2"/>
  <c r="B2128" i="2"/>
  <c r="D2127" i="2"/>
  <c r="B2127" i="2"/>
  <c r="D2126" i="2"/>
  <c r="B2126" i="2"/>
  <c r="D2125" i="2"/>
  <c r="B2125" i="2"/>
  <c r="D2124" i="2"/>
  <c r="B2124" i="2"/>
  <c r="D2123" i="2"/>
  <c r="B2123" i="2"/>
  <c r="D2122" i="2"/>
  <c r="B2122" i="2"/>
  <c r="D2121" i="2"/>
  <c r="B2121" i="2"/>
  <c r="D2120" i="2"/>
  <c r="B2120" i="2"/>
  <c r="D2119" i="2"/>
  <c r="B2119" i="2"/>
  <c r="D2118" i="2"/>
  <c r="B2118" i="2"/>
  <c r="D2117" i="2"/>
  <c r="B2117" i="2"/>
  <c r="D2116" i="2"/>
  <c r="B2116" i="2"/>
  <c r="D2115" i="2"/>
  <c r="B2115" i="2"/>
  <c r="D2114" i="2"/>
  <c r="B2114" i="2"/>
  <c r="D2113" i="2"/>
  <c r="B2113" i="2"/>
  <c r="D2112" i="2"/>
  <c r="B2112" i="2"/>
  <c r="D2111" i="2"/>
  <c r="B2111" i="2"/>
  <c r="D2110" i="2"/>
  <c r="B2110" i="2"/>
  <c r="D2109" i="2"/>
  <c r="B2109" i="2"/>
  <c r="D2108" i="2"/>
  <c r="B2108" i="2"/>
  <c r="D2107" i="2"/>
  <c r="B2107" i="2"/>
  <c r="D2106" i="2"/>
  <c r="B2106" i="2"/>
  <c r="D2105" i="2"/>
  <c r="B2105" i="2"/>
  <c r="D2104" i="2"/>
  <c r="B2104" i="2"/>
  <c r="D2103" i="2"/>
  <c r="B2103" i="2"/>
  <c r="D2102" i="2"/>
  <c r="B2102" i="2"/>
  <c r="D2101" i="2"/>
  <c r="B2101" i="2"/>
  <c r="D2100" i="2"/>
  <c r="B2100" i="2"/>
  <c r="D2099" i="2"/>
  <c r="B2099" i="2"/>
  <c r="D2098" i="2"/>
  <c r="B2098" i="2"/>
  <c r="D2097" i="2"/>
  <c r="B2097" i="2"/>
  <c r="D2096" i="2"/>
  <c r="B2096" i="2"/>
  <c r="D2095" i="2"/>
  <c r="B2095" i="2"/>
  <c r="D2094" i="2"/>
  <c r="B2094" i="2"/>
  <c r="D2093" i="2"/>
  <c r="B2093" i="2"/>
  <c r="D2092" i="2"/>
  <c r="B2092" i="2"/>
  <c r="D2091" i="2"/>
  <c r="B2091" i="2"/>
  <c r="D2090" i="2"/>
  <c r="B2090" i="2"/>
  <c r="D2089" i="2"/>
  <c r="B2089" i="2"/>
  <c r="D2088" i="2"/>
  <c r="B2088" i="2"/>
  <c r="D2087" i="2"/>
  <c r="B2087" i="2"/>
  <c r="D2086" i="2"/>
  <c r="B2086" i="2"/>
  <c r="D2085" i="2"/>
  <c r="B2085" i="2"/>
  <c r="D2084" i="2"/>
  <c r="B2084" i="2"/>
  <c r="D2083" i="2"/>
  <c r="B2083" i="2"/>
  <c r="D2082" i="2"/>
  <c r="B2082" i="2"/>
  <c r="D2081" i="2"/>
  <c r="B2081" i="2"/>
  <c r="D2080" i="2"/>
  <c r="B2080" i="2"/>
  <c r="D2079" i="2"/>
  <c r="B2079" i="2"/>
  <c r="D2078" i="2"/>
  <c r="B2078" i="2"/>
  <c r="D2077" i="2"/>
  <c r="B2077" i="2"/>
  <c r="D2076" i="2"/>
  <c r="B2076" i="2"/>
  <c r="D2075" i="2"/>
  <c r="B2075" i="2"/>
  <c r="D2074" i="2"/>
  <c r="B2074" i="2"/>
  <c r="D2073" i="2"/>
  <c r="B2073" i="2"/>
  <c r="D2072" i="2"/>
  <c r="B2072" i="2"/>
  <c r="D2071" i="2"/>
  <c r="B2071" i="2"/>
  <c r="D2070" i="2"/>
  <c r="B2070" i="2"/>
  <c r="D2069" i="2"/>
  <c r="B2069" i="2"/>
  <c r="D2068" i="2"/>
  <c r="B2068" i="2"/>
  <c r="D2067" i="2"/>
  <c r="B2067" i="2"/>
  <c r="D2066" i="2"/>
  <c r="B2066" i="2"/>
  <c r="D2065" i="2"/>
  <c r="B2065" i="2"/>
  <c r="D2064" i="2"/>
  <c r="B2064" i="2"/>
  <c r="D2063" i="2"/>
  <c r="B2063" i="2"/>
  <c r="D2062" i="2"/>
  <c r="B2062" i="2"/>
  <c r="D2061" i="2"/>
  <c r="B2061" i="2"/>
  <c r="D2060" i="2"/>
  <c r="B2060" i="2"/>
  <c r="D2059" i="2"/>
  <c r="B2059" i="2"/>
  <c r="D2058" i="2"/>
  <c r="B2058" i="2"/>
  <c r="D2057" i="2"/>
  <c r="B2057" i="2"/>
  <c r="D2056" i="2"/>
  <c r="B2056" i="2"/>
  <c r="D2055" i="2"/>
  <c r="B2055" i="2"/>
  <c r="D2054" i="2"/>
  <c r="B2054" i="2"/>
  <c r="D2053" i="2"/>
  <c r="B2053" i="2"/>
  <c r="D2052" i="2"/>
  <c r="B2052" i="2"/>
  <c r="D2051" i="2"/>
  <c r="B2051" i="2"/>
  <c r="D2050" i="2"/>
  <c r="B2050" i="2"/>
  <c r="D2049" i="2"/>
  <c r="B2049" i="2"/>
  <c r="D2048" i="2"/>
  <c r="B2048" i="2"/>
  <c r="D2047" i="2"/>
  <c r="B2047" i="2"/>
  <c r="D2046" i="2"/>
  <c r="B2046" i="2"/>
  <c r="D2045" i="2"/>
  <c r="B2045" i="2"/>
  <c r="D2044" i="2"/>
  <c r="B2044" i="2"/>
  <c r="D2043" i="2"/>
  <c r="B2043" i="2"/>
  <c r="D2042" i="2"/>
  <c r="B2042" i="2"/>
  <c r="D2041" i="2"/>
  <c r="B2041" i="2"/>
  <c r="D2040" i="2"/>
  <c r="B2040" i="2"/>
  <c r="D2039" i="2"/>
  <c r="B2039" i="2"/>
  <c r="D2038" i="2"/>
  <c r="B2038" i="2"/>
  <c r="D2037" i="2"/>
  <c r="B2037" i="2"/>
  <c r="D2036" i="2"/>
  <c r="B2036" i="2"/>
  <c r="D2035" i="2"/>
  <c r="B2035" i="2"/>
  <c r="D2034" i="2"/>
  <c r="B2034" i="2"/>
  <c r="D2033" i="2"/>
  <c r="B2033" i="2"/>
  <c r="D2032" i="2"/>
  <c r="B2032" i="2"/>
  <c r="D2031" i="2"/>
  <c r="B2031" i="2"/>
  <c r="D2030" i="2"/>
  <c r="B2030" i="2"/>
  <c r="D2029" i="2"/>
  <c r="B2029" i="2"/>
  <c r="D2028" i="2"/>
  <c r="B2028" i="2"/>
  <c r="D2027" i="2"/>
  <c r="B2027" i="2"/>
  <c r="D2026" i="2"/>
  <c r="B2026" i="2"/>
  <c r="D2025" i="2"/>
  <c r="B2025" i="2"/>
  <c r="D2024" i="2"/>
  <c r="B2024" i="2"/>
  <c r="D2023" i="2"/>
  <c r="B2023" i="2"/>
  <c r="D2022" i="2"/>
  <c r="B2022" i="2"/>
  <c r="D2021" i="2"/>
  <c r="B2021" i="2"/>
  <c r="D2020" i="2"/>
  <c r="B2020" i="2"/>
  <c r="D2019" i="2"/>
  <c r="B2019" i="2"/>
  <c r="D2018" i="2"/>
  <c r="B2018" i="2"/>
  <c r="D2017" i="2"/>
  <c r="B2017" i="2"/>
  <c r="D2016" i="2"/>
  <c r="B2016" i="2"/>
  <c r="D2015" i="2"/>
  <c r="B2015" i="2"/>
  <c r="D2014" i="2"/>
  <c r="B2014" i="2"/>
  <c r="D2013" i="2"/>
  <c r="B2013" i="2"/>
  <c r="D2012" i="2"/>
  <c r="B2012" i="2"/>
  <c r="D2011" i="2"/>
  <c r="B2011" i="2"/>
  <c r="D2010" i="2"/>
  <c r="B2010" i="2"/>
  <c r="D2009" i="2"/>
  <c r="B2009" i="2"/>
  <c r="D2008" i="2"/>
  <c r="B2008" i="2"/>
  <c r="D2007" i="2"/>
  <c r="B2007" i="2"/>
  <c r="D2006" i="2"/>
  <c r="B2006" i="2"/>
  <c r="D2005" i="2"/>
  <c r="B2005" i="2"/>
  <c r="D2004" i="2"/>
  <c r="B2004" i="2"/>
  <c r="D2003" i="2"/>
  <c r="B2003" i="2"/>
  <c r="D2002" i="2"/>
  <c r="B2002" i="2"/>
  <c r="D2001" i="2"/>
  <c r="B2001" i="2"/>
  <c r="D2000" i="2"/>
  <c r="B2000" i="2"/>
  <c r="D1999" i="2"/>
  <c r="B1999" i="2"/>
  <c r="D1998" i="2"/>
  <c r="B1998" i="2"/>
  <c r="D1997" i="2"/>
  <c r="B1997" i="2"/>
  <c r="D1996" i="2"/>
  <c r="B1996" i="2"/>
  <c r="D1995" i="2"/>
  <c r="B1995" i="2"/>
  <c r="D1994" i="2"/>
  <c r="B1994" i="2"/>
  <c r="D1993" i="2"/>
  <c r="B1993" i="2"/>
  <c r="D1992" i="2"/>
  <c r="B1992" i="2"/>
  <c r="D1991" i="2"/>
  <c r="B1991" i="2"/>
  <c r="D1990" i="2"/>
  <c r="B1990" i="2"/>
  <c r="D1989" i="2"/>
  <c r="B1989" i="2"/>
  <c r="D1988" i="2"/>
  <c r="B1988" i="2"/>
  <c r="D1987" i="2"/>
  <c r="B1987" i="2"/>
  <c r="D1986" i="2"/>
  <c r="B1986" i="2"/>
  <c r="D1985" i="2"/>
  <c r="B1985" i="2"/>
  <c r="D1984" i="2"/>
  <c r="B1984" i="2"/>
  <c r="D1983" i="2"/>
  <c r="B1983" i="2"/>
  <c r="D1982" i="2"/>
  <c r="B1982" i="2"/>
  <c r="D1981" i="2"/>
  <c r="B1981" i="2"/>
  <c r="D1980" i="2"/>
  <c r="B1980" i="2"/>
  <c r="D1979" i="2"/>
  <c r="B1979" i="2"/>
  <c r="D1978" i="2"/>
  <c r="B1978" i="2"/>
  <c r="D1977" i="2"/>
  <c r="B1977" i="2"/>
  <c r="D1976" i="2"/>
  <c r="B1976" i="2"/>
  <c r="D1975" i="2"/>
  <c r="B1975" i="2"/>
  <c r="D1974" i="2"/>
  <c r="B1974" i="2"/>
  <c r="D1973" i="2"/>
  <c r="B1973" i="2"/>
  <c r="D1972" i="2"/>
  <c r="B1972" i="2"/>
  <c r="D1971" i="2"/>
  <c r="B1971" i="2"/>
  <c r="D1970" i="2"/>
  <c r="B1970" i="2"/>
  <c r="D1969" i="2"/>
  <c r="B1969" i="2"/>
  <c r="D1968" i="2"/>
  <c r="B1968" i="2"/>
  <c r="D1967" i="2"/>
  <c r="B1967" i="2"/>
  <c r="D1966" i="2"/>
  <c r="B1966" i="2"/>
  <c r="D1965" i="2"/>
  <c r="B1965" i="2"/>
  <c r="D1964" i="2"/>
  <c r="B1964" i="2"/>
  <c r="D1963" i="2"/>
  <c r="B1963" i="2"/>
  <c r="D1962" i="2"/>
  <c r="B1962" i="2"/>
  <c r="D1961" i="2"/>
  <c r="B1961" i="2"/>
  <c r="D1960" i="2"/>
  <c r="B1960" i="2"/>
  <c r="D1959" i="2"/>
  <c r="B1959" i="2"/>
  <c r="D1958" i="2"/>
  <c r="B1958" i="2"/>
  <c r="D1957" i="2"/>
  <c r="B1957" i="2"/>
  <c r="D1956" i="2"/>
  <c r="B1956" i="2"/>
  <c r="D1955" i="2"/>
  <c r="B1955" i="2"/>
  <c r="D1954" i="2"/>
  <c r="B1954" i="2"/>
  <c r="D1953" i="2"/>
  <c r="B1953" i="2"/>
  <c r="D1952" i="2"/>
  <c r="B1952" i="2"/>
  <c r="D1951" i="2"/>
  <c r="B1951" i="2"/>
  <c r="D1950" i="2"/>
  <c r="B1950" i="2"/>
  <c r="D1949" i="2"/>
  <c r="B1949" i="2"/>
  <c r="D1948" i="2"/>
  <c r="B1948" i="2"/>
  <c r="D1947" i="2"/>
  <c r="B1947" i="2"/>
  <c r="D1946" i="2"/>
  <c r="B1946" i="2"/>
  <c r="D1945" i="2"/>
  <c r="B1945" i="2"/>
  <c r="D1944" i="2"/>
  <c r="B1944" i="2"/>
  <c r="D1943" i="2"/>
  <c r="B1943" i="2"/>
  <c r="D1942" i="2"/>
  <c r="B1942" i="2"/>
  <c r="D1941" i="2"/>
  <c r="B1941" i="2"/>
  <c r="D1940" i="2"/>
  <c r="B1940" i="2"/>
  <c r="D1939" i="2"/>
  <c r="B1939" i="2"/>
  <c r="D1938" i="2"/>
  <c r="B1938" i="2"/>
  <c r="D1937" i="2"/>
  <c r="B1937" i="2"/>
  <c r="D1936" i="2"/>
  <c r="B1936" i="2"/>
  <c r="D1935" i="2"/>
  <c r="B1935" i="2"/>
  <c r="D1934" i="2"/>
  <c r="B1934" i="2"/>
  <c r="D1933" i="2"/>
  <c r="B1933" i="2"/>
  <c r="D1932" i="2"/>
  <c r="B1932" i="2"/>
  <c r="D1931" i="2"/>
  <c r="B1931" i="2"/>
  <c r="D1930" i="2"/>
  <c r="B1930" i="2"/>
  <c r="D1929" i="2"/>
  <c r="B1929" i="2"/>
  <c r="D1928" i="2"/>
  <c r="B1928" i="2"/>
  <c r="D1927" i="2"/>
  <c r="B1927" i="2"/>
  <c r="D1926" i="2"/>
  <c r="B1926" i="2"/>
  <c r="D1925" i="2"/>
  <c r="B1925" i="2"/>
  <c r="D1924" i="2"/>
  <c r="B1924" i="2"/>
  <c r="D1923" i="2"/>
  <c r="B1923" i="2"/>
  <c r="D1922" i="2"/>
  <c r="B1922" i="2"/>
  <c r="D1921" i="2"/>
  <c r="B1921" i="2"/>
  <c r="D1920" i="2"/>
  <c r="B1920" i="2"/>
  <c r="D1919" i="2"/>
  <c r="B1919" i="2"/>
  <c r="D1918" i="2"/>
  <c r="B1918" i="2"/>
  <c r="D1917" i="2"/>
  <c r="B1917" i="2"/>
  <c r="D1916" i="2"/>
  <c r="B1916" i="2"/>
  <c r="D1915" i="2"/>
  <c r="B1915" i="2"/>
  <c r="D1914" i="2"/>
  <c r="B1914" i="2"/>
  <c r="D1913" i="2"/>
  <c r="B1913" i="2"/>
  <c r="D1912" i="2"/>
  <c r="B1912" i="2"/>
  <c r="D1911" i="2"/>
  <c r="B1911" i="2"/>
  <c r="D1910" i="2"/>
  <c r="B1910" i="2"/>
  <c r="D1909" i="2"/>
  <c r="B1909" i="2"/>
  <c r="D1908" i="2"/>
  <c r="B1908" i="2"/>
  <c r="D1907" i="2"/>
  <c r="B1907" i="2"/>
  <c r="D1906" i="2"/>
  <c r="B1906" i="2"/>
  <c r="D1905" i="2"/>
  <c r="B1905" i="2"/>
  <c r="D1904" i="2"/>
  <c r="B1904" i="2"/>
  <c r="D1903" i="2"/>
  <c r="B1903" i="2"/>
  <c r="D1902" i="2"/>
  <c r="B1902" i="2"/>
  <c r="D1901" i="2"/>
  <c r="B1901" i="2"/>
  <c r="D1900" i="2"/>
  <c r="B1900" i="2"/>
  <c r="D1899" i="2"/>
  <c r="B1899" i="2"/>
  <c r="D1898" i="2"/>
  <c r="B1898" i="2"/>
  <c r="D1897" i="2"/>
  <c r="B1897" i="2"/>
  <c r="D1896" i="2"/>
  <c r="B1896" i="2"/>
  <c r="D1895" i="2"/>
  <c r="B1895" i="2"/>
  <c r="D1894" i="2"/>
  <c r="B1894" i="2"/>
  <c r="D1893" i="2"/>
  <c r="B1893" i="2"/>
  <c r="D1892" i="2"/>
  <c r="B1892" i="2"/>
  <c r="D1891" i="2"/>
  <c r="B1891" i="2"/>
  <c r="D1890" i="2"/>
  <c r="B1890" i="2"/>
  <c r="D1889" i="2"/>
  <c r="B1889" i="2"/>
  <c r="D1888" i="2"/>
  <c r="B1888" i="2"/>
  <c r="D1887" i="2"/>
  <c r="B1887" i="2"/>
  <c r="D1886" i="2"/>
  <c r="B1886" i="2"/>
  <c r="D1885" i="2"/>
  <c r="B1885" i="2"/>
  <c r="D1884" i="2"/>
  <c r="B1884" i="2"/>
  <c r="D1883" i="2"/>
  <c r="B1883" i="2"/>
  <c r="D1882" i="2"/>
  <c r="B1882" i="2"/>
  <c r="D1881" i="2"/>
  <c r="B1881" i="2"/>
  <c r="D1880" i="2"/>
  <c r="B1880" i="2"/>
  <c r="D1879" i="2"/>
  <c r="B1879" i="2"/>
  <c r="D1878" i="2"/>
  <c r="B1878" i="2"/>
  <c r="D1877" i="2"/>
  <c r="B1877" i="2"/>
  <c r="D1876" i="2"/>
  <c r="B1876" i="2"/>
  <c r="D1875" i="2"/>
  <c r="B1875" i="2"/>
  <c r="D1874" i="2"/>
  <c r="B1874" i="2"/>
  <c r="D1873" i="2"/>
  <c r="B1873" i="2"/>
  <c r="D1872" i="2"/>
  <c r="B1872" i="2"/>
  <c r="D1871" i="2"/>
  <c r="B1871" i="2"/>
  <c r="D1870" i="2"/>
  <c r="B1870" i="2"/>
  <c r="D1869" i="2"/>
  <c r="B1869" i="2"/>
  <c r="D1868" i="2"/>
  <c r="B1868" i="2"/>
  <c r="D1867" i="2"/>
  <c r="B1867" i="2"/>
  <c r="D1866" i="2"/>
  <c r="B1866" i="2"/>
  <c r="D1865" i="2"/>
  <c r="B1865" i="2"/>
  <c r="D1864" i="2"/>
  <c r="B1864" i="2"/>
  <c r="D1863" i="2"/>
  <c r="B1863" i="2"/>
  <c r="D1862" i="2"/>
  <c r="B1862" i="2"/>
  <c r="D1861" i="2"/>
  <c r="B1861" i="2"/>
  <c r="D1860" i="2"/>
  <c r="B1860" i="2"/>
  <c r="D1859" i="2"/>
  <c r="B1859" i="2"/>
  <c r="D1858" i="2"/>
  <c r="B1858" i="2"/>
  <c r="D1857" i="2"/>
  <c r="B1857" i="2"/>
  <c r="D1856" i="2"/>
  <c r="B1856" i="2"/>
  <c r="D1855" i="2"/>
  <c r="B1855" i="2"/>
  <c r="D1854" i="2"/>
  <c r="B1854" i="2"/>
  <c r="D1853" i="2"/>
  <c r="B1853" i="2"/>
  <c r="D1852" i="2"/>
  <c r="B1852" i="2"/>
  <c r="D1851" i="2"/>
  <c r="B1851" i="2"/>
  <c r="D1850" i="2"/>
  <c r="B1850" i="2"/>
  <c r="D1849" i="2"/>
  <c r="B1849" i="2"/>
  <c r="D1848" i="2"/>
  <c r="B1848" i="2"/>
  <c r="D1847" i="2"/>
  <c r="B1847" i="2"/>
  <c r="D1846" i="2"/>
  <c r="B1846" i="2"/>
  <c r="D1845" i="2"/>
  <c r="B1845" i="2"/>
  <c r="D1844" i="2"/>
  <c r="B1844" i="2"/>
  <c r="D1843" i="2"/>
  <c r="B1843" i="2"/>
  <c r="D1842" i="2"/>
  <c r="B1842" i="2"/>
  <c r="D1841" i="2"/>
  <c r="B1841" i="2"/>
  <c r="D1840" i="2"/>
  <c r="B1840" i="2"/>
  <c r="D1839" i="2"/>
  <c r="B1839" i="2"/>
  <c r="D1838" i="2"/>
  <c r="B1838" i="2"/>
  <c r="D1837" i="2"/>
  <c r="B1837" i="2"/>
  <c r="D1836" i="2"/>
  <c r="B1836" i="2"/>
  <c r="D1835" i="2"/>
  <c r="B1835" i="2"/>
  <c r="D1834" i="2"/>
  <c r="B1834" i="2"/>
  <c r="D1833" i="2"/>
  <c r="B1833" i="2"/>
  <c r="D1832" i="2"/>
  <c r="B1832" i="2"/>
  <c r="D1831" i="2"/>
  <c r="B1831" i="2"/>
  <c r="D1830" i="2"/>
  <c r="B1830" i="2"/>
  <c r="D1829" i="2"/>
  <c r="B1829" i="2"/>
  <c r="D1828" i="2"/>
  <c r="B1828" i="2"/>
  <c r="D1827" i="2"/>
  <c r="B1827" i="2"/>
  <c r="D1826" i="2"/>
  <c r="B1826" i="2"/>
  <c r="D1825" i="2"/>
  <c r="B1825" i="2"/>
  <c r="D1824" i="2"/>
  <c r="B1824" i="2"/>
  <c r="D1823" i="2"/>
  <c r="B1823" i="2"/>
  <c r="D1822" i="2"/>
  <c r="B1822" i="2"/>
  <c r="D1821" i="2"/>
  <c r="B1821" i="2"/>
  <c r="D1820" i="2"/>
  <c r="B1820" i="2"/>
  <c r="D1819" i="2"/>
  <c r="B1819" i="2"/>
  <c r="D1818" i="2"/>
  <c r="B1818" i="2"/>
  <c r="D1817" i="2"/>
  <c r="B1817" i="2"/>
  <c r="D1816" i="2"/>
  <c r="B1816" i="2"/>
  <c r="D1815" i="2"/>
  <c r="B1815" i="2"/>
  <c r="D1814" i="2"/>
  <c r="B1814" i="2"/>
  <c r="D1813" i="2"/>
  <c r="B1813" i="2"/>
  <c r="D1812" i="2"/>
  <c r="B1812" i="2"/>
  <c r="D1811" i="2"/>
  <c r="B1811" i="2"/>
  <c r="D1810" i="2"/>
  <c r="B1810" i="2"/>
  <c r="D1809" i="2"/>
  <c r="B1809" i="2"/>
  <c r="D1808" i="2"/>
  <c r="B1808" i="2"/>
  <c r="D1807" i="2"/>
  <c r="B1807" i="2"/>
  <c r="D1806" i="2"/>
  <c r="B1806" i="2"/>
  <c r="D1805" i="2"/>
  <c r="B1805" i="2"/>
  <c r="D1804" i="2"/>
  <c r="B1804" i="2"/>
  <c r="D1803" i="2"/>
  <c r="B1803" i="2"/>
  <c r="D1802" i="2"/>
  <c r="B1802" i="2"/>
  <c r="D1801" i="2"/>
  <c r="B1801" i="2"/>
  <c r="D1800" i="2"/>
  <c r="B1800" i="2"/>
  <c r="D1799" i="2"/>
  <c r="B1799" i="2"/>
  <c r="D1798" i="2"/>
  <c r="B1798" i="2"/>
  <c r="D1797" i="2"/>
  <c r="B1797" i="2"/>
  <c r="D1796" i="2"/>
  <c r="B1796" i="2"/>
  <c r="D1795" i="2"/>
  <c r="B1795" i="2"/>
  <c r="D1794" i="2"/>
  <c r="B1794" i="2"/>
  <c r="D1793" i="2"/>
  <c r="B1793" i="2"/>
  <c r="D1792" i="2"/>
  <c r="B1792" i="2"/>
  <c r="D1791" i="2"/>
  <c r="B1791" i="2"/>
  <c r="D1790" i="2"/>
  <c r="B1790" i="2"/>
  <c r="D1789" i="2"/>
  <c r="B1789" i="2"/>
  <c r="D1788" i="2"/>
  <c r="B1788" i="2"/>
  <c r="D1787" i="2"/>
  <c r="B1787" i="2"/>
  <c r="D1786" i="2"/>
  <c r="B1786" i="2"/>
  <c r="D1785" i="2"/>
  <c r="B1785" i="2"/>
  <c r="D1784" i="2"/>
  <c r="B1784" i="2"/>
  <c r="D1783" i="2"/>
  <c r="B1783" i="2"/>
  <c r="D1782" i="2"/>
  <c r="B1782" i="2"/>
  <c r="D1781" i="2"/>
  <c r="B1781" i="2"/>
  <c r="D1780" i="2"/>
  <c r="B1780" i="2"/>
  <c r="D1779" i="2"/>
  <c r="B1779" i="2"/>
  <c r="D1778" i="2"/>
  <c r="B1778" i="2"/>
  <c r="D1777" i="2"/>
  <c r="B1777" i="2"/>
  <c r="D1776" i="2"/>
  <c r="B1776" i="2"/>
  <c r="D1775" i="2"/>
  <c r="B1775" i="2"/>
  <c r="D1774" i="2"/>
  <c r="B1774" i="2"/>
  <c r="D1773" i="2"/>
  <c r="B1773" i="2"/>
  <c r="D1772" i="2"/>
  <c r="B1772" i="2"/>
  <c r="D1771" i="2"/>
  <c r="B1771" i="2"/>
  <c r="D1770" i="2"/>
  <c r="B1770" i="2"/>
  <c r="D1769" i="2"/>
  <c r="B1769" i="2"/>
  <c r="D1768" i="2"/>
  <c r="B1768" i="2"/>
  <c r="D1767" i="2"/>
  <c r="B1767" i="2"/>
  <c r="D1766" i="2"/>
  <c r="B1766" i="2"/>
  <c r="D1765" i="2"/>
  <c r="B1765" i="2"/>
  <c r="D1764" i="2"/>
  <c r="B1764" i="2"/>
  <c r="D1763" i="2"/>
  <c r="B1763" i="2"/>
  <c r="D1762" i="2"/>
  <c r="B1762" i="2"/>
  <c r="D1761" i="2"/>
  <c r="B1761" i="2"/>
  <c r="D1760" i="2"/>
  <c r="B1760" i="2"/>
  <c r="D1759" i="2"/>
  <c r="B1759" i="2"/>
  <c r="D1758" i="2"/>
  <c r="B1758" i="2"/>
  <c r="D1757" i="2"/>
  <c r="B1757" i="2"/>
  <c r="D1756" i="2"/>
  <c r="B1756" i="2"/>
  <c r="D1755" i="2"/>
  <c r="B1755" i="2"/>
  <c r="D1754" i="2"/>
  <c r="B1754" i="2"/>
  <c r="D1753" i="2"/>
  <c r="B1753" i="2"/>
  <c r="D1752" i="2"/>
  <c r="B1752" i="2"/>
  <c r="D1751" i="2"/>
  <c r="B1751" i="2"/>
  <c r="D1750" i="2"/>
  <c r="B1750" i="2"/>
  <c r="D1749" i="2"/>
  <c r="B1749" i="2"/>
  <c r="D1748" i="2"/>
  <c r="B1748" i="2"/>
  <c r="D1747" i="2"/>
  <c r="B1747" i="2"/>
  <c r="D1746" i="2"/>
  <c r="B1746" i="2"/>
  <c r="D1745" i="2"/>
  <c r="B1745" i="2"/>
  <c r="D1744" i="2"/>
  <c r="B1744" i="2"/>
  <c r="D1743" i="2"/>
  <c r="B1743" i="2"/>
  <c r="D1742" i="2"/>
  <c r="B1742" i="2"/>
  <c r="D1741" i="2"/>
  <c r="B1741" i="2"/>
  <c r="D1740" i="2"/>
  <c r="B1740" i="2"/>
  <c r="D1739" i="2"/>
  <c r="B1739" i="2"/>
  <c r="D1738" i="2"/>
  <c r="B1738" i="2"/>
  <c r="D1737" i="2"/>
  <c r="B1737" i="2"/>
  <c r="D1736" i="2"/>
  <c r="B1736" i="2"/>
  <c r="D1735" i="2"/>
  <c r="B1735" i="2"/>
  <c r="D1734" i="2"/>
  <c r="B1734" i="2"/>
  <c r="D1733" i="2"/>
  <c r="B1733" i="2"/>
  <c r="D1732" i="2"/>
  <c r="B1732" i="2"/>
  <c r="D1731" i="2"/>
  <c r="B1731" i="2"/>
  <c r="D1730" i="2"/>
  <c r="B1730" i="2"/>
  <c r="D1729" i="2"/>
  <c r="B1729" i="2"/>
  <c r="D1728" i="2"/>
  <c r="B1728" i="2"/>
  <c r="D1727" i="2"/>
  <c r="B1727" i="2"/>
  <c r="D1726" i="2"/>
  <c r="B1726" i="2"/>
  <c r="D1725" i="2"/>
  <c r="B1725" i="2"/>
  <c r="D1724" i="2"/>
  <c r="B1724" i="2"/>
  <c r="D1723" i="2"/>
  <c r="B1723" i="2"/>
  <c r="D1722" i="2"/>
  <c r="B1722" i="2"/>
  <c r="D1721" i="2"/>
  <c r="B1721" i="2"/>
  <c r="D1720" i="2"/>
  <c r="B1720" i="2"/>
  <c r="D1719" i="2"/>
  <c r="B1719" i="2"/>
  <c r="D1718" i="2"/>
  <c r="B1718" i="2"/>
  <c r="D1717" i="2"/>
  <c r="B1717" i="2"/>
  <c r="D1716" i="2"/>
  <c r="B1716" i="2"/>
  <c r="D1715" i="2"/>
  <c r="B1715" i="2"/>
  <c r="D1714" i="2"/>
  <c r="B1714" i="2"/>
  <c r="D1713" i="2"/>
  <c r="B1713" i="2"/>
  <c r="D1712" i="2"/>
  <c r="B1712" i="2"/>
  <c r="D1711" i="2"/>
  <c r="B1711" i="2"/>
  <c r="D1710" i="2"/>
  <c r="B1710" i="2"/>
  <c r="D1709" i="2"/>
  <c r="B1709" i="2"/>
  <c r="D1708" i="2"/>
  <c r="B1708" i="2"/>
  <c r="D1707" i="2"/>
  <c r="B1707" i="2"/>
  <c r="D1706" i="2"/>
  <c r="B1706" i="2"/>
  <c r="D1705" i="2"/>
  <c r="B1705" i="2"/>
  <c r="D1704" i="2"/>
  <c r="B1704" i="2"/>
  <c r="D1703" i="2"/>
  <c r="B1703" i="2"/>
  <c r="D1702" i="2"/>
  <c r="B1702" i="2"/>
  <c r="D1701" i="2"/>
  <c r="B1701" i="2"/>
  <c r="D1700" i="2"/>
  <c r="B1700" i="2"/>
  <c r="D1699" i="2"/>
  <c r="B1699" i="2"/>
  <c r="D1698" i="2"/>
  <c r="B1698" i="2"/>
  <c r="D1697" i="2"/>
  <c r="B1697" i="2"/>
  <c r="D1696" i="2"/>
  <c r="B1696" i="2"/>
  <c r="D1695" i="2"/>
  <c r="B1695" i="2"/>
  <c r="D1694" i="2"/>
  <c r="B1694" i="2"/>
  <c r="D1693" i="2"/>
  <c r="B1693" i="2"/>
  <c r="D1692" i="2"/>
  <c r="B1692" i="2"/>
  <c r="D1691" i="2"/>
  <c r="B1691" i="2"/>
  <c r="D1690" i="2"/>
  <c r="B1690" i="2"/>
  <c r="D1689" i="2"/>
  <c r="B1689" i="2"/>
  <c r="D1688" i="2"/>
  <c r="B1688" i="2"/>
  <c r="D1687" i="2"/>
  <c r="B1687" i="2"/>
  <c r="D1686" i="2"/>
  <c r="B1686" i="2"/>
  <c r="D1685" i="2"/>
  <c r="B1685" i="2"/>
  <c r="D1684" i="2"/>
  <c r="B1684" i="2"/>
  <c r="D1683" i="2"/>
  <c r="B1683" i="2"/>
  <c r="D1682" i="2"/>
  <c r="B1682" i="2"/>
  <c r="D1681" i="2"/>
  <c r="B1681" i="2"/>
  <c r="D1680" i="2"/>
  <c r="B1680" i="2"/>
  <c r="D1679" i="2"/>
  <c r="B1679" i="2"/>
  <c r="D1678" i="2"/>
  <c r="B1678" i="2"/>
  <c r="D1677" i="2"/>
  <c r="B1677" i="2"/>
  <c r="D1676" i="2"/>
  <c r="B1676" i="2"/>
  <c r="D1675" i="2"/>
  <c r="B1675" i="2"/>
  <c r="D1674" i="2"/>
  <c r="B1674" i="2"/>
  <c r="D1673" i="2"/>
  <c r="B1673" i="2"/>
  <c r="D1672" i="2"/>
  <c r="B1672" i="2"/>
  <c r="D1671" i="2"/>
  <c r="B1671" i="2"/>
  <c r="D1670" i="2"/>
  <c r="B1670" i="2"/>
  <c r="D1669" i="2"/>
  <c r="B1669" i="2"/>
  <c r="D1668" i="2"/>
  <c r="B1668" i="2"/>
  <c r="D1667" i="2"/>
  <c r="B1667" i="2"/>
  <c r="D1666" i="2"/>
  <c r="B1666" i="2"/>
  <c r="D1665" i="2"/>
  <c r="B1665" i="2"/>
  <c r="D1664" i="2"/>
  <c r="B1664" i="2"/>
  <c r="D1663" i="2"/>
  <c r="B1663" i="2"/>
  <c r="D1662" i="2"/>
  <c r="B1662" i="2"/>
  <c r="D1661" i="2"/>
  <c r="B1661" i="2"/>
  <c r="D1660" i="2"/>
  <c r="B1660" i="2"/>
  <c r="D1659" i="2"/>
  <c r="B1659" i="2"/>
  <c r="D1658" i="2"/>
  <c r="B1658" i="2"/>
  <c r="D1657" i="2"/>
  <c r="B1657" i="2"/>
  <c r="D1656" i="2"/>
  <c r="B1656" i="2"/>
  <c r="D1655" i="2"/>
  <c r="B1655" i="2"/>
  <c r="D1654" i="2"/>
  <c r="B1654" i="2"/>
  <c r="D1653" i="2"/>
  <c r="B1653" i="2"/>
  <c r="D1652" i="2"/>
  <c r="B1652" i="2"/>
  <c r="D1651" i="2"/>
  <c r="B1651" i="2"/>
  <c r="D1650" i="2"/>
  <c r="B1650" i="2"/>
  <c r="D1649" i="2"/>
  <c r="B1649" i="2"/>
  <c r="D1648" i="2"/>
  <c r="B1648" i="2"/>
  <c r="D1647" i="2"/>
  <c r="B1647" i="2"/>
  <c r="D1646" i="2"/>
  <c r="B1646" i="2"/>
  <c r="D1645" i="2"/>
  <c r="B1645" i="2"/>
  <c r="D1644" i="2"/>
  <c r="B1644" i="2"/>
  <c r="D1643" i="2"/>
  <c r="B1643" i="2"/>
  <c r="D1642" i="2"/>
  <c r="B1642" i="2"/>
  <c r="D1641" i="2"/>
  <c r="B1641" i="2"/>
  <c r="D1640" i="2"/>
  <c r="B1640" i="2"/>
  <c r="D1639" i="2"/>
  <c r="B1639" i="2"/>
  <c r="D1638" i="2"/>
  <c r="B1638" i="2"/>
  <c r="D1637" i="2"/>
  <c r="B1637" i="2"/>
  <c r="D1636" i="2"/>
  <c r="B1636" i="2"/>
  <c r="D1635" i="2"/>
  <c r="B1635" i="2"/>
  <c r="D1634" i="2"/>
  <c r="B1634" i="2"/>
  <c r="D1633" i="2"/>
  <c r="B1633" i="2"/>
  <c r="D1632" i="2"/>
  <c r="B1632" i="2"/>
  <c r="D1631" i="2"/>
  <c r="B1631" i="2"/>
  <c r="D1630" i="2"/>
  <c r="B1630" i="2"/>
  <c r="D1629" i="2"/>
  <c r="B1629" i="2"/>
  <c r="D1628" i="2"/>
  <c r="B1628" i="2"/>
  <c r="D1627" i="2"/>
  <c r="B1627" i="2"/>
  <c r="D1626" i="2"/>
  <c r="B1626" i="2"/>
  <c r="D1625" i="2"/>
  <c r="B1625" i="2"/>
  <c r="D1624" i="2"/>
  <c r="B1624" i="2"/>
  <c r="D1623" i="2"/>
  <c r="B1623" i="2"/>
  <c r="D1622" i="2"/>
  <c r="B1622" i="2"/>
  <c r="D1621" i="2"/>
  <c r="B1621" i="2"/>
  <c r="D1620" i="2"/>
  <c r="B1620" i="2"/>
  <c r="D1619" i="2"/>
  <c r="B1619" i="2"/>
  <c r="D1618" i="2"/>
  <c r="B1618" i="2"/>
  <c r="D1617" i="2"/>
  <c r="B1617" i="2"/>
  <c r="D1616" i="2"/>
  <c r="B1616" i="2"/>
  <c r="D1615" i="2"/>
  <c r="B1615" i="2"/>
  <c r="D1614" i="2"/>
  <c r="B1614" i="2"/>
  <c r="D1613" i="2"/>
  <c r="B1613" i="2"/>
  <c r="D1612" i="2"/>
  <c r="B1612" i="2"/>
  <c r="D1611" i="2"/>
  <c r="B1611" i="2"/>
  <c r="D1610" i="2"/>
  <c r="B1610" i="2"/>
  <c r="D1609" i="2"/>
  <c r="B1609" i="2"/>
  <c r="D1608" i="2"/>
  <c r="B1608" i="2"/>
  <c r="D1607" i="2"/>
  <c r="B1607" i="2"/>
  <c r="D1606" i="2"/>
  <c r="B1606" i="2"/>
  <c r="D1605" i="2"/>
  <c r="B1605" i="2"/>
  <c r="D1604" i="2"/>
  <c r="B1604" i="2"/>
  <c r="D1603" i="2"/>
  <c r="B1603" i="2"/>
  <c r="D1602" i="2"/>
  <c r="B1602" i="2"/>
  <c r="D1601" i="2"/>
  <c r="B1601" i="2"/>
  <c r="D1600" i="2"/>
  <c r="B1600" i="2"/>
  <c r="D1599" i="2"/>
  <c r="B1599" i="2"/>
  <c r="D1598" i="2"/>
  <c r="B1598" i="2"/>
  <c r="D1597" i="2"/>
  <c r="B1597" i="2"/>
  <c r="D1596" i="2"/>
  <c r="B1596" i="2"/>
  <c r="D1595" i="2"/>
  <c r="B1595" i="2"/>
  <c r="D1594" i="2"/>
  <c r="B1594" i="2"/>
  <c r="D1593" i="2"/>
  <c r="B1593" i="2"/>
  <c r="D1592" i="2"/>
  <c r="B1592" i="2"/>
  <c r="D1591" i="2"/>
  <c r="B1591" i="2"/>
  <c r="D1590" i="2"/>
  <c r="B1590" i="2"/>
  <c r="D1589" i="2"/>
  <c r="B1589" i="2"/>
  <c r="D1588" i="2"/>
  <c r="B1588" i="2"/>
  <c r="D1587" i="2"/>
  <c r="B1587" i="2"/>
  <c r="D1586" i="2"/>
  <c r="B1586" i="2"/>
  <c r="D1585" i="2"/>
  <c r="B1585" i="2"/>
  <c r="D1584" i="2"/>
  <c r="B1584" i="2"/>
  <c r="D1583" i="2"/>
  <c r="B1583" i="2"/>
  <c r="D1582" i="2"/>
  <c r="B1582" i="2"/>
  <c r="D1581" i="2"/>
  <c r="B1581" i="2"/>
  <c r="D1580" i="2"/>
  <c r="B1580" i="2"/>
  <c r="D1579" i="2"/>
  <c r="B1579" i="2"/>
  <c r="D1578" i="2"/>
  <c r="B1578" i="2"/>
  <c r="D1577" i="2"/>
  <c r="B1577" i="2"/>
  <c r="D1576" i="2"/>
  <c r="B1576" i="2"/>
  <c r="D1575" i="2"/>
  <c r="B1575" i="2"/>
  <c r="D1574" i="2"/>
  <c r="B1574" i="2"/>
  <c r="D1573" i="2"/>
  <c r="B1573" i="2"/>
  <c r="D1572" i="2"/>
  <c r="B1572" i="2"/>
  <c r="D1571" i="2"/>
  <c r="B1571" i="2"/>
  <c r="D1570" i="2"/>
  <c r="B1570" i="2"/>
  <c r="D1569" i="2"/>
  <c r="B1569" i="2"/>
  <c r="D1568" i="2"/>
  <c r="B1568" i="2"/>
  <c r="D1567" i="2"/>
  <c r="B1567" i="2"/>
  <c r="D1566" i="2"/>
  <c r="B1566" i="2"/>
  <c r="D1565" i="2"/>
  <c r="B1565" i="2"/>
  <c r="D1564" i="2"/>
  <c r="B1564" i="2"/>
  <c r="D1563" i="2"/>
  <c r="B1563" i="2"/>
  <c r="D1562" i="2"/>
  <c r="B1562" i="2"/>
  <c r="D1561" i="2"/>
  <c r="B1561" i="2"/>
  <c r="D1560" i="2"/>
  <c r="B1560" i="2"/>
  <c r="D1559" i="2"/>
  <c r="B1559" i="2"/>
  <c r="D1558" i="2"/>
  <c r="B1558" i="2"/>
  <c r="D1557" i="2"/>
  <c r="B1557" i="2"/>
  <c r="D1556" i="2"/>
  <c r="B1556" i="2"/>
  <c r="D1555" i="2"/>
  <c r="B1555" i="2"/>
  <c r="D1554" i="2"/>
  <c r="B1554" i="2"/>
  <c r="D1553" i="2"/>
  <c r="B1553" i="2"/>
  <c r="D1552" i="2"/>
  <c r="B1552" i="2"/>
  <c r="D1551" i="2"/>
  <c r="B1551" i="2"/>
  <c r="D1550" i="2"/>
  <c r="B1550" i="2"/>
  <c r="D1549" i="2"/>
  <c r="B1549" i="2"/>
  <c r="D1548" i="2"/>
  <c r="B1548" i="2"/>
  <c r="D1547" i="2"/>
  <c r="B1547" i="2"/>
  <c r="D1546" i="2"/>
  <c r="B1546" i="2"/>
  <c r="D1545" i="2"/>
  <c r="B1545" i="2"/>
  <c r="D1544" i="2"/>
  <c r="B1544" i="2"/>
  <c r="D1543" i="2"/>
  <c r="B1543" i="2"/>
  <c r="D1542" i="2"/>
  <c r="B1542" i="2"/>
  <c r="D1541" i="2"/>
  <c r="B1541" i="2"/>
  <c r="D1540" i="2"/>
  <c r="B1540" i="2"/>
  <c r="D1539" i="2"/>
  <c r="B1539" i="2"/>
  <c r="D1538" i="2"/>
  <c r="B1538" i="2"/>
  <c r="D1537" i="2"/>
  <c r="B1537" i="2"/>
  <c r="D1536" i="2"/>
  <c r="B1536" i="2"/>
  <c r="D1535" i="2"/>
  <c r="B1535" i="2"/>
  <c r="D1534" i="2"/>
  <c r="B1534" i="2"/>
  <c r="D1533" i="2"/>
  <c r="B1533" i="2"/>
  <c r="D1532" i="2"/>
  <c r="B1532" i="2"/>
  <c r="D1531" i="2"/>
  <c r="B1531" i="2"/>
  <c r="D1530" i="2"/>
  <c r="B1530" i="2"/>
  <c r="D1529" i="2"/>
  <c r="B1529" i="2"/>
  <c r="D1528" i="2"/>
  <c r="B1528" i="2"/>
  <c r="D1527" i="2"/>
  <c r="B1527" i="2"/>
  <c r="D1526" i="2"/>
  <c r="B1526" i="2"/>
  <c r="D1525" i="2"/>
  <c r="B1525" i="2"/>
  <c r="D1524" i="2"/>
  <c r="B1524" i="2"/>
  <c r="D1523" i="2"/>
  <c r="B1523" i="2"/>
  <c r="D1522" i="2"/>
  <c r="B1522" i="2"/>
  <c r="D1521" i="2"/>
  <c r="B1521" i="2"/>
  <c r="D1520" i="2"/>
  <c r="B1520" i="2"/>
  <c r="D1519" i="2"/>
  <c r="B1519" i="2"/>
  <c r="D1518" i="2"/>
  <c r="B1518" i="2"/>
  <c r="D1517" i="2"/>
  <c r="B1517" i="2"/>
  <c r="D1516" i="2"/>
  <c r="B1516" i="2"/>
  <c r="D1515" i="2"/>
  <c r="B1515" i="2"/>
  <c r="D1514" i="2"/>
  <c r="B1514" i="2"/>
  <c r="D1513" i="2"/>
  <c r="B1513" i="2"/>
  <c r="D1512" i="2"/>
  <c r="B1512" i="2"/>
  <c r="D1511" i="2"/>
  <c r="B1511" i="2"/>
  <c r="D1510" i="2"/>
  <c r="B1510" i="2"/>
  <c r="D1509" i="2"/>
  <c r="B1509" i="2"/>
  <c r="D1508" i="2"/>
  <c r="B1508" i="2"/>
  <c r="D1507" i="2"/>
  <c r="B1507" i="2"/>
  <c r="D1506" i="2"/>
  <c r="B1506" i="2"/>
  <c r="D1505" i="2"/>
  <c r="B1505" i="2"/>
  <c r="D1504" i="2"/>
  <c r="B1504" i="2"/>
  <c r="D1503" i="2"/>
  <c r="B1503" i="2"/>
  <c r="D1502" i="2"/>
  <c r="B1502" i="2"/>
  <c r="D1501" i="2"/>
  <c r="B1501" i="2"/>
  <c r="D1500" i="2"/>
  <c r="B1500" i="2"/>
  <c r="D1499" i="2"/>
  <c r="B1499" i="2"/>
  <c r="D1498" i="2"/>
  <c r="B1498" i="2"/>
  <c r="D1497" i="2"/>
  <c r="B1497" i="2"/>
  <c r="D1496" i="2"/>
  <c r="B1496" i="2"/>
  <c r="D1495" i="2"/>
  <c r="B1495" i="2"/>
  <c r="D1494" i="2"/>
  <c r="B1494" i="2"/>
  <c r="D1493" i="2"/>
  <c r="B1493" i="2"/>
  <c r="D1492" i="2"/>
  <c r="B1492" i="2"/>
  <c r="D1491" i="2"/>
  <c r="B1491" i="2"/>
  <c r="D1490" i="2"/>
  <c r="B1490" i="2"/>
  <c r="D1489" i="2"/>
  <c r="B1489" i="2"/>
  <c r="D1488" i="2"/>
  <c r="B1488" i="2"/>
  <c r="D1487" i="2"/>
  <c r="B1487" i="2"/>
  <c r="D1486" i="2"/>
  <c r="B1486" i="2"/>
  <c r="D1485" i="2"/>
  <c r="B1485" i="2"/>
  <c r="D1484" i="2"/>
  <c r="B1484" i="2"/>
  <c r="D1483" i="2"/>
  <c r="B1483" i="2"/>
  <c r="D1482" i="2"/>
  <c r="B1482" i="2"/>
  <c r="D1481" i="2"/>
  <c r="B1481" i="2"/>
  <c r="D1480" i="2"/>
  <c r="B1480" i="2"/>
  <c r="D1479" i="2"/>
  <c r="B1479" i="2"/>
  <c r="D1478" i="2"/>
  <c r="B1478" i="2"/>
  <c r="D1477" i="2"/>
  <c r="B1477" i="2"/>
  <c r="D1476" i="2"/>
  <c r="B1476" i="2"/>
  <c r="D1475" i="2"/>
  <c r="B1475" i="2"/>
  <c r="D1474" i="2"/>
  <c r="B1474" i="2"/>
  <c r="D1473" i="2"/>
  <c r="B1473" i="2"/>
  <c r="D1472" i="2"/>
  <c r="B1472" i="2"/>
  <c r="D1471" i="2"/>
  <c r="B1471" i="2"/>
  <c r="D1470" i="2"/>
  <c r="B1470" i="2"/>
  <c r="D1469" i="2"/>
  <c r="B1469" i="2"/>
  <c r="D1468" i="2"/>
  <c r="B1468" i="2"/>
  <c r="D1467" i="2"/>
  <c r="B1467" i="2"/>
  <c r="D1466" i="2"/>
  <c r="B1466" i="2"/>
  <c r="D1465" i="2"/>
  <c r="B1465" i="2"/>
  <c r="D1464" i="2"/>
  <c r="B1464" i="2"/>
  <c r="D1463" i="2"/>
  <c r="B1463" i="2"/>
  <c r="D1462" i="2"/>
  <c r="B1462" i="2"/>
  <c r="D1461" i="2"/>
  <c r="B1461" i="2"/>
  <c r="D1460" i="2"/>
  <c r="B1460" i="2"/>
  <c r="D1459" i="2"/>
  <c r="B1459" i="2"/>
  <c r="D1458" i="2"/>
  <c r="B1458" i="2"/>
  <c r="D1457" i="2"/>
  <c r="B1457" i="2"/>
  <c r="D1456" i="2"/>
  <c r="B1456" i="2"/>
  <c r="D1455" i="2"/>
  <c r="B1455" i="2"/>
  <c r="D1454" i="2"/>
  <c r="B1454" i="2"/>
  <c r="D1453" i="2"/>
  <c r="B1453" i="2"/>
  <c r="D1452" i="2"/>
  <c r="B1452" i="2"/>
  <c r="D1451" i="2"/>
  <c r="B1451" i="2"/>
  <c r="D1450" i="2"/>
  <c r="B1450" i="2"/>
  <c r="D1449" i="2"/>
  <c r="B1449" i="2"/>
  <c r="D1448" i="2"/>
  <c r="B1448" i="2"/>
  <c r="D1447" i="2"/>
  <c r="B1447" i="2"/>
  <c r="D1446" i="2"/>
  <c r="B1446" i="2"/>
  <c r="D1445" i="2"/>
  <c r="B1445" i="2"/>
  <c r="D1444" i="2"/>
  <c r="B1444" i="2"/>
  <c r="D1443" i="2"/>
  <c r="B1443" i="2"/>
  <c r="D1442" i="2"/>
  <c r="B1442" i="2"/>
  <c r="D1441" i="2"/>
  <c r="B1441" i="2"/>
  <c r="D1440" i="2"/>
  <c r="B1440" i="2"/>
  <c r="D1439" i="2"/>
  <c r="B1439" i="2"/>
  <c r="D1438" i="2"/>
  <c r="B1438" i="2"/>
  <c r="D1437" i="2"/>
  <c r="B1437" i="2"/>
  <c r="D1436" i="2"/>
  <c r="B1436" i="2"/>
  <c r="D1435" i="2"/>
  <c r="B1435" i="2"/>
  <c r="D1434" i="2"/>
  <c r="B1434" i="2"/>
  <c r="D1433" i="2"/>
  <c r="B1433" i="2"/>
  <c r="D1432" i="2"/>
  <c r="B1432" i="2"/>
  <c r="D1431" i="2"/>
  <c r="B1431" i="2"/>
  <c r="D1430" i="2"/>
  <c r="B1430" i="2"/>
  <c r="D1429" i="2"/>
  <c r="B1429" i="2"/>
  <c r="D1428" i="2"/>
  <c r="B1428" i="2"/>
  <c r="D1427" i="2"/>
  <c r="B1427" i="2"/>
  <c r="D1426" i="2"/>
  <c r="B1426" i="2"/>
  <c r="D1425" i="2"/>
  <c r="B1425" i="2"/>
  <c r="D1424" i="2"/>
  <c r="B1424" i="2"/>
  <c r="D1423" i="2"/>
  <c r="B1423" i="2"/>
  <c r="D1422" i="2"/>
  <c r="B1422" i="2"/>
  <c r="D1421" i="2"/>
  <c r="B1421" i="2"/>
  <c r="D1420" i="2"/>
  <c r="B1420" i="2"/>
  <c r="D1419" i="2"/>
  <c r="B1419" i="2"/>
  <c r="D1418" i="2"/>
  <c r="B1418" i="2"/>
  <c r="D1417" i="2"/>
  <c r="B1417" i="2"/>
  <c r="D1416" i="2"/>
  <c r="B1416" i="2"/>
  <c r="D1415" i="2"/>
  <c r="B1415" i="2"/>
  <c r="D1414" i="2"/>
  <c r="B1414" i="2"/>
  <c r="D1413" i="2"/>
  <c r="B1413" i="2"/>
  <c r="D1412" i="2"/>
  <c r="B1412" i="2"/>
  <c r="D1411" i="2"/>
  <c r="B1411" i="2"/>
  <c r="D1410" i="2"/>
  <c r="B1410" i="2"/>
  <c r="D1409" i="2"/>
  <c r="B1409" i="2"/>
  <c r="D1408" i="2"/>
  <c r="B1408" i="2"/>
  <c r="D1407" i="2"/>
  <c r="B1407" i="2"/>
  <c r="D1406" i="2"/>
  <c r="B1406" i="2"/>
  <c r="D1405" i="2"/>
  <c r="B1405" i="2"/>
  <c r="D1404" i="2"/>
  <c r="B1404" i="2"/>
  <c r="D1403" i="2"/>
  <c r="B1403" i="2"/>
  <c r="D1402" i="2"/>
  <c r="B1402" i="2"/>
  <c r="D1401" i="2"/>
  <c r="B1401" i="2"/>
  <c r="D1400" i="2"/>
  <c r="B1400" i="2"/>
  <c r="D1399" i="2"/>
  <c r="B1399" i="2"/>
  <c r="D1398" i="2"/>
  <c r="B1398" i="2"/>
  <c r="D1397" i="2"/>
  <c r="B1397" i="2"/>
  <c r="D1396" i="2"/>
  <c r="B1396" i="2"/>
  <c r="D1395" i="2"/>
  <c r="B1395" i="2"/>
  <c r="D1394" i="2"/>
  <c r="B1394" i="2"/>
  <c r="D1393" i="2"/>
  <c r="B1393" i="2"/>
  <c r="D1392" i="2"/>
  <c r="B1392" i="2"/>
  <c r="D1391" i="2"/>
  <c r="B1391" i="2"/>
  <c r="D1390" i="2"/>
  <c r="B1390" i="2"/>
  <c r="D1389" i="2"/>
  <c r="B1389" i="2"/>
  <c r="D1388" i="2"/>
  <c r="B1388" i="2"/>
  <c r="D1387" i="2"/>
  <c r="B1387" i="2"/>
  <c r="D1386" i="2"/>
  <c r="B1386" i="2"/>
  <c r="D1385" i="2"/>
  <c r="B1385" i="2"/>
  <c r="D1384" i="2"/>
  <c r="B1384" i="2"/>
  <c r="D1383" i="2"/>
  <c r="B1383" i="2"/>
  <c r="D1382" i="2"/>
  <c r="B1382" i="2"/>
  <c r="D1381" i="2"/>
  <c r="B1381" i="2"/>
  <c r="D1380" i="2"/>
  <c r="B1380" i="2"/>
  <c r="D1379" i="2"/>
  <c r="B1379" i="2"/>
  <c r="D1378" i="2"/>
  <c r="B1378" i="2"/>
  <c r="D1377" i="2"/>
  <c r="B1377" i="2"/>
  <c r="D1376" i="2"/>
  <c r="B1376" i="2"/>
  <c r="D1375" i="2"/>
  <c r="B1375" i="2"/>
  <c r="D1374" i="2"/>
  <c r="B1374" i="2"/>
  <c r="D1373" i="2"/>
  <c r="B1373" i="2"/>
  <c r="D1372" i="2"/>
  <c r="B1372" i="2"/>
  <c r="D1371" i="2"/>
  <c r="B1371" i="2"/>
  <c r="D1370" i="2"/>
  <c r="B1370" i="2"/>
  <c r="D1369" i="2"/>
  <c r="B1369" i="2"/>
  <c r="D1368" i="2"/>
  <c r="B1368" i="2"/>
  <c r="D1367" i="2"/>
  <c r="B1367" i="2"/>
  <c r="D1366" i="2"/>
  <c r="B1366" i="2"/>
  <c r="D1365" i="2"/>
  <c r="B1365" i="2"/>
  <c r="D1364" i="2"/>
  <c r="B1364" i="2"/>
  <c r="D1363" i="2"/>
  <c r="B1363" i="2"/>
  <c r="D1362" i="2"/>
  <c r="B1362" i="2"/>
  <c r="D1361" i="2"/>
  <c r="B1361" i="2"/>
  <c r="D1360" i="2"/>
  <c r="B1360" i="2"/>
  <c r="D1359" i="2"/>
  <c r="B1359" i="2"/>
  <c r="D1358" i="2"/>
  <c r="B1358" i="2"/>
  <c r="D1357" i="2"/>
  <c r="B1357" i="2"/>
  <c r="D1356" i="2"/>
  <c r="B1356" i="2"/>
  <c r="D1355" i="2"/>
  <c r="B1355" i="2"/>
  <c r="D1354" i="2"/>
  <c r="B1354" i="2"/>
  <c r="D1353" i="2"/>
  <c r="B1353" i="2"/>
  <c r="D1352" i="2"/>
  <c r="B1352" i="2"/>
  <c r="D1351" i="2"/>
  <c r="B1351" i="2"/>
  <c r="D1350" i="2"/>
  <c r="B1350" i="2"/>
  <c r="D1349" i="2"/>
  <c r="B1349" i="2"/>
  <c r="D1348" i="2"/>
  <c r="B1348" i="2"/>
  <c r="D1347" i="2"/>
  <c r="B1347" i="2"/>
  <c r="D1346" i="2"/>
  <c r="B1346" i="2"/>
  <c r="D1345" i="2"/>
  <c r="B1345" i="2"/>
  <c r="D1344" i="2"/>
  <c r="B1344" i="2"/>
  <c r="D1343" i="2"/>
  <c r="B1343" i="2"/>
  <c r="D1342" i="2"/>
  <c r="B1342" i="2"/>
  <c r="D1341" i="2"/>
  <c r="B1341" i="2"/>
  <c r="D1340" i="2"/>
  <c r="B1340" i="2"/>
  <c r="D1339" i="2"/>
  <c r="B1339" i="2"/>
  <c r="D1338" i="2"/>
  <c r="B1338" i="2"/>
  <c r="D1337" i="2"/>
  <c r="B1337" i="2"/>
  <c r="D1336" i="2"/>
  <c r="B1336" i="2"/>
  <c r="D1335" i="2"/>
  <c r="B1335" i="2"/>
  <c r="D1334" i="2"/>
  <c r="B1334" i="2"/>
  <c r="D1333" i="2"/>
  <c r="B1333" i="2"/>
  <c r="D1332" i="2"/>
  <c r="B1332" i="2"/>
  <c r="D1331" i="2"/>
  <c r="B1331" i="2"/>
  <c r="D1330" i="2"/>
  <c r="B1330" i="2"/>
  <c r="D1329" i="2"/>
  <c r="B1329" i="2"/>
  <c r="D1328" i="2"/>
  <c r="B1328" i="2"/>
  <c r="D1327" i="2"/>
  <c r="B1327" i="2"/>
  <c r="D1326" i="2"/>
  <c r="B1326" i="2"/>
  <c r="D1325" i="2"/>
  <c r="B1325" i="2"/>
  <c r="D1324" i="2"/>
  <c r="B1324" i="2"/>
  <c r="D1323" i="2"/>
  <c r="B1323" i="2"/>
  <c r="D1322" i="2"/>
  <c r="B1322" i="2"/>
  <c r="D1321" i="2"/>
  <c r="B1321" i="2"/>
  <c r="D1320" i="2"/>
  <c r="B1320" i="2"/>
  <c r="D1319" i="2"/>
  <c r="B1319" i="2"/>
  <c r="D1318" i="2"/>
  <c r="B1318" i="2"/>
  <c r="D1317" i="2"/>
  <c r="B1317" i="2"/>
  <c r="D1316" i="2"/>
  <c r="B1316" i="2"/>
  <c r="D1315" i="2"/>
  <c r="B1315" i="2"/>
  <c r="D1314" i="2"/>
  <c r="B1314" i="2"/>
  <c r="D1313" i="2"/>
  <c r="B1313" i="2"/>
  <c r="D1312" i="2"/>
  <c r="B1312" i="2"/>
  <c r="D1311" i="2"/>
  <c r="B1311" i="2"/>
  <c r="D1310" i="2"/>
  <c r="B1310" i="2"/>
  <c r="D1309" i="2"/>
  <c r="B1309" i="2"/>
  <c r="D1308" i="2"/>
  <c r="B1308" i="2"/>
  <c r="D1307" i="2"/>
  <c r="B1307" i="2"/>
  <c r="D1306" i="2"/>
  <c r="B1306" i="2"/>
  <c r="D1305" i="2"/>
  <c r="B1305" i="2"/>
  <c r="D1304" i="2"/>
  <c r="B1304" i="2"/>
  <c r="D1303" i="2"/>
  <c r="B1303" i="2"/>
  <c r="D1302" i="2"/>
  <c r="B1302" i="2"/>
  <c r="D1301" i="2"/>
  <c r="B1301" i="2"/>
  <c r="D1300" i="2"/>
  <c r="B1300" i="2"/>
  <c r="D1299" i="2"/>
  <c r="B1299" i="2"/>
  <c r="D1298" i="2"/>
  <c r="B1298" i="2"/>
  <c r="D1297" i="2"/>
  <c r="B1297" i="2"/>
  <c r="D1296" i="2"/>
  <c r="B1296" i="2"/>
  <c r="D1295" i="2"/>
  <c r="B1295" i="2"/>
  <c r="D1294" i="2"/>
  <c r="B1294" i="2"/>
  <c r="D1293" i="2"/>
  <c r="B1293" i="2"/>
  <c r="D1292" i="2"/>
  <c r="B1292" i="2"/>
  <c r="D1291" i="2"/>
  <c r="B1291" i="2"/>
  <c r="D1290" i="2"/>
  <c r="B1290" i="2"/>
  <c r="D1289" i="2"/>
  <c r="B1289" i="2"/>
  <c r="D1288" i="2"/>
  <c r="B1288" i="2"/>
  <c r="D1287" i="2"/>
  <c r="B1287" i="2"/>
  <c r="D1286" i="2"/>
  <c r="B1286" i="2"/>
  <c r="D1285" i="2"/>
  <c r="B1285" i="2"/>
  <c r="D1284" i="2"/>
  <c r="B1284" i="2"/>
  <c r="D1283" i="2"/>
  <c r="B1283" i="2"/>
  <c r="D1282" i="2"/>
  <c r="B1282" i="2"/>
  <c r="D1281" i="2"/>
  <c r="B1281" i="2"/>
  <c r="D1280" i="2"/>
  <c r="B1280" i="2"/>
  <c r="D1279" i="2"/>
  <c r="B1279" i="2"/>
  <c r="D1278" i="2"/>
  <c r="B1278" i="2"/>
  <c r="D1277" i="2"/>
  <c r="B1277" i="2"/>
  <c r="D1276" i="2"/>
  <c r="B1276" i="2"/>
  <c r="D1275" i="2"/>
  <c r="B1275" i="2"/>
  <c r="D1274" i="2"/>
  <c r="B1274" i="2"/>
  <c r="D1273" i="2"/>
  <c r="B1273" i="2"/>
  <c r="D1272" i="2"/>
  <c r="B1272" i="2"/>
  <c r="D1271" i="2"/>
  <c r="B1271" i="2"/>
  <c r="D1270" i="2"/>
  <c r="B1270" i="2"/>
  <c r="D1269" i="2"/>
  <c r="B1269" i="2"/>
  <c r="D1268" i="2"/>
  <c r="B1268" i="2"/>
  <c r="D1267" i="2"/>
  <c r="B1267" i="2"/>
  <c r="D1266" i="2"/>
  <c r="B1266" i="2"/>
  <c r="D1265" i="2"/>
  <c r="B1265" i="2"/>
  <c r="D1264" i="2"/>
  <c r="B1264" i="2"/>
  <c r="D1263" i="2"/>
  <c r="B1263" i="2"/>
  <c r="D1262" i="2"/>
  <c r="B1262" i="2"/>
  <c r="D1261" i="2"/>
  <c r="B1261" i="2"/>
  <c r="D1260" i="2"/>
  <c r="B1260" i="2"/>
  <c r="D1259" i="2"/>
  <c r="B1259" i="2"/>
  <c r="D1258" i="2"/>
  <c r="B1258" i="2"/>
  <c r="D1257" i="2"/>
  <c r="B1257" i="2"/>
  <c r="D1256" i="2"/>
  <c r="B1256" i="2"/>
  <c r="D1255" i="2"/>
  <c r="B1255" i="2"/>
  <c r="D1254" i="2"/>
  <c r="B1254" i="2"/>
  <c r="D1253" i="2"/>
  <c r="B1253" i="2"/>
  <c r="D1252" i="2"/>
  <c r="B1252" i="2"/>
  <c r="D1251" i="2"/>
  <c r="B1251" i="2"/>
  <c r="D1250" i="2"/>
  <c r="B1250" i="2"/>
  <c r="D1249" i="2"/>
  <c r="B1249" i="2"/>
  <c r="D1248" i="2"/>
  <c r="B1248" i="2"/>
  <c r="D1247" i="2"/>
  <c r="B1247" i="2"/>
  <c r="D1246" i="2"/>
  <c r="B1246" i="2"/>
  <c r="D1245" i="2"/>
  <c r="B1245" i="2"/>
  <c r="D1244" i="2"/>
  <c r="B1244" i="2"/>
  <c r="D1243" i="2"/>
  <c r="B1243" i="2"/>
  <c r="D1242" i="2"/>
  <c r="B1242" i="2"/>
  <c r="D1241" i="2"/>
  <c r="B1241" i="2"/>
  <c r="D1240" i="2"/>
  <c r="B1240" i="2"/>
  <c r="D1239" i="2"/>
  <c r="B1239" i="2"/>
  <c r="D1238" i="2"/>
  <c r="B1238" i="2"/>
  <c r="D1237" i="2"/>
  <c r="B1237" i="2"/>
  <c r="D1236" i="2"/>
  <c r="B1236" i="2"/>
  <c r="D1235" i="2"/>
  <c r="B1235" i="2"/>
  <c r="D1234" i="2"/>
  <c r="B1234" i="2"/>
  <c r="D1233" i="2"/>
  <c r="B1233" i="2"/>
  <c r="D1232" i="2"/>
  <c r="B1232" i="2"/>
  <c r="D1231" i="2"/>
  <c r="B1231" i="2"/>
  <c r="D1230" i="2"/>
  <c r="B1230" i="2"/>
  <c r="D1229" i="2"/>
  <c r="B1229" i="2"/>
  <c r="D1228" i="2"/>
  <c r="B1228" i="2"/>
  <c r="D1227" i="2"/>
  <c r="B1227" i="2"/>
  <c r="D1226" i="2"/>
  <c r="B1226" i="2"/>
  <c r="D1225" i="2"/>
  <c r="B1225" i="2"/>
  <c r="D1224" i="2"/>
  <c r="B1224" i="2"/>
  <c r="D1223" i="2"/>
  <c r="B1223" i="2"/>
  <c r="D1222" i="2"/>
  <c r="B1222" i="2"/>
  <c r="D1221" i="2"/>
  <c r="B1221" i="2"/>
  <c r="D1220" i="2"/>
  <c r="B1220" i="2"/>
  <c r="D1219" i="2"/>
  <c r="B1219" i="2"/>
  <c r="D1218" i="2"/>
  <c r="B1218" i="2"/>
  <c r="D1217" i="2"/>
  <c r="B1217" i="2"/>
  <c r="D1216" i="2"/>
  <c r="B1216" i="2"/>
  <c r="D1215" i="2"/>
  <c r="B1215" i="2"/>
  <c r="D1214" i="2"/>
  <c r="B1214" i="2"/>
  <c r="D1213" i="2"/>
  <c r="B1213" i="2"/>
  <c r="D1212" i="2"/>
  <c r="B1212" i="2"/>
  <c r="D1211" i="2"/>
  <c r="B1211" i="2"/>
  <c r="D1210" i="2"/>
  <c r="B1210" i="2"/>
  <c r="D1209" i="2"/>
  <c r="B1209" i="2"/>
  <c r="D1208" i="2"/>
  <c r="B1208" i="2"/>
  <c r="D1207" i="2"/>
  <c r="B1207" i="2"/>
  <c r="D1206" i="2"/>
  <c r="B1206" i="2"/>
  <c r="D1205" i="2"/>
  <c r="B1205" i="2"/>
  <c r="D1204" i="2"/>
  <c r="B1204" i="2"/>
  <c r="D1203" i="2"/>
  <c r="B1203" i="2"/>
  <c r="D1202" i="2"/>
  <c r="B1202" i="2"/>
  <c r="D1201" i="2"/>
  <c r="B1201" i="2"/>
  <c r="D1200" i="2"/>
  <c r="B1200" i="2"/>
  <c r="D1199" i="2"/>
  <c r="B1199" i="2"/>
  <c r="D1198" i="2"/>
  <c r="B1198" i="2"/>
  <c r="D1197" i="2"/>
  <c r="B1197" i="2"/>
  <c r="D1196" i="2"/>
  <c r="B1196" i="2"/>
  <c r="D1195" i="2"/>
  <c r="B1195" i="2"/>
  <c r="D1194" i="2"/>
  <c r="B1194" i="2"/>
  <c r="D1193" i="2"/>
  <c r="B1193" i="2"/>
  <c r="D1192" i="2"/>
  <c r="B1192" i="2"/>
  <c r="D1191" i="2"/>
  <c r="B1191" i="2"/>
  <c r="D1190" i="2"/>
  <c r="B1190" i="2"/>
  <c r="D1189" i="2"/>
  <c r="B1189" i="2"/>
  <c r="D1188" i="2"/>
  <c r="B1188" i="2"/>
  <c r="D1187" i="2"/>
  <c r="B1187" i="2"/>
  <c r="D1186" i="2"/>
  <c r="B1186" i="2"/>
  <c r="D1185" i="2"/>
  <c r="B1185" i="2"/>
  <c r="D1184" i="2"/>
  <c r="B1184" i="2"/>
  <c r="D1183" i="2"/>
  <c r="B1183" i="2"/>
  <c r="D1182" i="2"/>
  <c r="B1182" i="2"/>
  <c r="D1181" i="2"/>
  <c r="B1181" i="2"/>
  <c r="D1180" i="2"/>
  <c r="B1180" i="2"/>
  <c r="D1179" i="2"/>
  <c r="B1179" i="2"/>
  <c r="D1178" i="2"/>
  <c r="B1178" i="2"/>
  <c r="D1177" i="2"/>
  <c r="B1177" i="2"/>
  <c r="D1176" i="2"/>
  <c r="B1176" i="2"/>
  <c r="D1175" i="2"/>
  <c r="B1175" i="2"/>
  <c r="D1174" i="2"/>
  <c r="B1174" i="2"/>
  <c r="D1173" i="2"/>
  <c r="B1173" i="2"/>
  <c r="D1172" i="2"/>
  <c r="B1172" i="2"/>
  <c r="D1171" i="2"/>
  <c r="B1171" i="2"/>
  <c r="D1170" i="2"/>
  <c r="B1170" i="2"/>
  <c r="D1169" i="2"/>
  <c r="B1169" i="2"/>
  <c r="D1168" i="2"/>
  <c r="B1168" i="2"/>
  <c r="D1167" i="2"/>
  <c r="B1167" i="2"/>
  <c r="D1166" i="2"/>
  <c r="B1166" i="2"/>
  <c r="D1165" i="2"/>
  <c r="B1165" i="2"/>
  <c r="D1164" i="2"/>
  <c r="B1164" i="2"/>
  <c r="D1163" i="2"/>
  <c r="B1163" i="2"/>
  <c r="D1162" i="2"/>
  <c r="B1162" i="2"/>
  <c r="D1161" i="2"/>
  <c r="B1161" i="2"/>
  <c r="D1160" i="2"/>
  <c r="B1160" i="2"/>
  <c r="D1159" i="2"/>
  <c r="B1159" i="2"/>
  <c r="D1158" i="2"/>
  <c r="B1158" i="2"/>
  <c r="D1157" i="2"/>
  <c r="B1157" i="2"/>
  <c r="D1156" i="2"/>
  <c r="B1156" i="2"/>
  <c r="D1155" i="2"/>
  <c r="B1155" i="2"/>
  <c r="D1154" i="2"/>
  <c r="B1154" i="2"/>
  <c r="D1153" i="2"/>
  <c r="B1153" i="2"/>
  <c r="D1152" i="2"/>
  <c r="B1152" i="2"/>
  <c r="D1151" i="2"/>
  <c r="B1151" i="2"/>
  <c r="D1150" i="2"/>
  <c r="B1150" i="2"/>
  <c r="D1149" i="2"/>
  <c r="B1149" i="2"/>
  <c r="D1148" i="2"/>
  <c r="B1148" i="2"/>
  <c r="D1147" i="2"/>
  <c r="B1147" i="2"/>
  <c r="D1146" i="2"/>
  <c r="B1146" i="2"/>
  <c r="D1145" i="2"/>
  <c r="B1145" i="2"/>
  <c r="D1144" i="2"/>
  <c r="B1144" i="2"/>
  <c r="D1143" i="2"/>
  <c r="B1143" i="2"/>
  <c r="D1142" i="2"/>
  <c r="B1142" i="2"/>
  <c r="D1141" i="2"/>
  <c r="B1141" i="2"/>
  <c r="D1140" i="2"/>
  <c r="B1140" i="2"/>
  <c r="D1139" i="2"/>
  <c r="B1139" i="2"/>
  <c r="D1138" i="2"/>
  <c r="B1138" i="2"/>
  <c r="D1137" i="2"/>
  <c r="B1137" i="2"/>
  <c r="D1136" i="2"/>
  <c r="B1136" i="2"/>
  <c r="D1135" i="2"/>
  <c r="B1135" i="2"/>
  <c r="D1134" i="2"/>
  <c r="B1134" i="2"/>
  <c r="D1133" i="2"/>
  <c r="B1133" i="2"/>
  <c r="D1132" i="2"/>
  <c r="B1132" i="2"/>
  <c r="D1131" i="2"/>
  <c r="B1131" i="2"/>
  <c r="D1130" i="2"/>
  <c r="B1130" i="2"/>
  <c r="D1129" i="2"/>
  <c r="B1129" i="2"/>
  <c r="D1128" i="2"/>
  <c r="B1128" i="2"/>
  <c r="D1127" i="2"/>
  <c r="B1127" i="2"/>
  <c r="D1126" i="2"/>
  <c r="B1126" i="2"/>
  <c r="D1125" i="2"/>
  <c r="B1125" i="2"/>
  <c r="D1124" i="2"/>
  <c r="B1124" i="2"/>
  <c r="D1123" i="2"/>
  <c r="B1123" i="2"/>
  <c r="D1122" i="2"/>
  <c r="B1122" i="2"/>
  <c r="D1121" i="2"/>
  <c r="B1121" i="2"/>
  <c r="D1120" i="2"/>
  <c r="B1120" i="2"/>
  <c r="D1119" i="2"/>
  <c r="B1119" i="2"/>
  <c r="D1118" i="2"/>
  <c r="B1118" i="2"/>
  <c r="D1117" i="2"/>
  <c r="B1117" i="2"/>
  <c r="D1116" i="2"/>
  <c r="B1116" i="2"/>
  <c r="D1115" i="2"/>
  <c r="B1115" i="2"/>
  <c r="D1114" i="2"/>
  <c r="B1114" i="2"/>
  <c r="D1113" i="2"/>
  <c r="B1113" i="2"/>
  <c r="D1112" i="2"/>
  <c r="B1112" i="2"/>
  <c r="D1111" i="2"/>
  <c r="B1111" i="2"/>
  <c r="D1110" i="2"/>
  <c r="B1110" i="2"/>
  <c r="D1109" i="2"/>
  <c r="B1109" i="2"/>
  <c r="D1108" i="2"/>
  <c r="B1108" i="2"/>
  <c r="D1107" i="2"/>
  <c r="B1107" i="2"/>
  <c r="D1106" i="2"/>
  <c r="B1106" i="2"/>
  <c r="D1105" i="2"/>
  <c r="B1105" i="2"/>
  <c r="D1104" i="2"/>
  <c r="B1104" i="2"/>
  <c r="D1103" i="2"/>
  <c r="B1103" i="2"/>
  <c r="D1102" i="2"/>
  <c r="B1102" i="2"/>
  <c r="D1101" i="2"/>
  <c r="B1101" i="2"/>
  <c r="D1100" i="2"/>
  <c r="B1100" i="2"/>
  <c r="D1099" i="2"/>
  <c r="B1099" i="2"/>
  <c r="D1098" i="2"/>
  <c r="B1098" i="2"/>
  <c r="D1097" i="2"/>
  <c r="B1097" i="2"/>
  <c r="D1096" i="2"/>
  <c r="B1096" i="2"/>
  <c r="D1095" i="2"/>
  <c r="B1095" i="2"/>
  <c r="D1094" i="2"/>
  <c r="B1094" i="2"/>
  <c r="D1093" i="2"/>
  <c r="B1093" i="2"/>
  <c r="D1092" i="2"/>
  <c r="B1092" i="2"/>
  <c r="D1091" i="2"/>
  <c r="B1091" i="2"/>
  <c r="D1090" i="2"/>
  <c r="B1090" i="2"/>
  <c r="D1089" i="2"/>
  <c r="B1089" i="2"/>
  <c r="D1088" i="2"/>
  <c r="B1088" i="2"/>
  <c r="D1087" i="2"/>
  <c r="B1087" i="2"/>
  <c r="D1086" i="2"/>
  <c r="B1086" i="2"/>
  <c r="D1085" i="2"/>
  <c r="B1085" i="2"/>
  <c r="D1084" i="2"/>
  <c r="B1084" i="2"/>
  <c r="D1083" i="2"/>
  <c r="B1083" i="2"/>
  <c r="D1082" i="2"/>
  <c r="B1082" i="2"/>
  <c r="D1081" i="2"/>
  <c r="B1081" i="2"/>
  <c r="D1080" i="2"/>
  <c r="B1080" i="2"/>
  <c r="D1079" i="2"/>
  <c r="B1079" i="2"/>
  <c r="D1078" i="2"/>
  <c r="B1078" i="2"/>
  <c r="D1077" i="2"/>
  <c r="B1077" i="2"/>
  <c r="D1076" i="2"/>
  <c r="B1076" i="2"/>
  <c r="D1075" i="2"/>
  <c r="B1075" i="2"/>
  <c r="D1074" i="2"/>
  <c r="B1074" i="2"/>
  <c r="D1073" i="2"/>
  <c r="B1073" i="2"/>
  <c r="D1072" i="2"/>
  <c r="B1072" i="2"/>
  <c r="D1071" i="2"/>
  <c r="B1071" i="2"/>
  <c r="D1070" i="2"/>
  <c r="B1070" i="2"/>
  <c r="D1069" i="2"/>
  <c r="B1069" i="2"/>
  <c r="D1068" i="2"/>
  <c r="B1068" i="2"/>
  <c r="D1067" i="2"/>
  <c r="B1067" i="2"/>
  <c r="D1066" i="2"/>
  <c r="B1066" i="2"/>
  <c r="D1065" i="2"/>
  <c r="B1065" i="2"/>
  <c r="D1064" i="2"/>
  <c r="B1064" i="2"/>
  <c r="D1063" i="2"/>
  <c r="B1063" i="2"/>
  <c r="D1062" i="2"/>
  <c r="B1062" i="2"/>
  <c r="D1061" i="2"/>
  <c r="B1061" i="2"/>
  <c r="D1060" i="2"/>
  <c r="B1060" i="2"/>
  <c r="D1059" i="2"/>
  <c r="B1059" i="2"/>
  <c r="D1058" i="2"/>
  <c r="B1058" i="2"/>
  <c r="D1057" i="2"/>
  <c r="B1057" i="2"/>
  <c r="D1056" i="2"/>
  <c r="B1056" i="2"/>
  <c r="D1055" i="2"/>
  <c r="B1055" i="2"/>
  <c r="D1054" i="2"/>
  <c r="B1054" i="2"/>
  <c r="D1053" i="2"/>
  <c r="B1053" i="2"/>
  <c r="D1052" i="2"/>
  <c r="B1052" i="2"/>
  <c r="D1051" i="2"/>
  <c r="B1051" i="2"/>
  <c r="D1050" i="2"/>
  <c r="B1050" i="2"/>
  <c r="D1049" i="2"/>
  <c r="B1049" i="2"/>
  <c r="D1048" i="2"/>
  <c r="B1048" i="2"/>
  <c r="D1047" i="2"/>
  <c r="B1047" i="2"/>
  <c r="D1046" i="2"/>
  <c r="B1046" i="2"/>
  <c r="D1045" i="2"/>
  <c r="B1045" i="2"/>
  <c r="D1044" i="2"/>
  <c r="B1044" i="2"/>
  <c r="D1043" i="2"/>
  <c r="B1043" i="2"/>
  <c r="D1042" i="2"/>
  <c r="B1042" i="2"/>
  <c r="D1041" i="2"/>
  <c r="B1041" i="2"/>
  <c r="D1040" i="2"/>
  <c r="B1040" i="2"/>
  <c r="D1039" i="2"/>
  <c r="B1039" i="2"/>
  <c r="D1038" i="2"/>
  <c r="B1038" i="2"/>
  <c r="D1037" i="2"/>
  <c r="B1037" i="2"/>
  <c r="D1036" i="2"/>
  <c r="B1036" i="2"/>
  <c r="D1035" i="2"/>
  <c r="B1035" i="2"/>
  <c r="D1034" i="2"/>
  <c r="B1034" i="2"/>
  <c r="D1033" i="2"/>
  <c r="B1033" i="2"/>
  <c r="D1032" i="2"/>
  <c r="B1032" i="2"/>
  <c r="D1031" i="2"/>
  <c r="B1031" i="2"/>
  <c r="D1030" i="2"/>
  <c r="B1030" i="2"/>
  <c r="D1029" i="2"/>
  <c r="B1029" i="2"/>
  <c r="D1028" i="2"/>
  <c r="B1028" i="2"/>
  <c r="D1027" i="2"/>
  <c r="B1027" i="2"/>
  <c r="D1026" i="2"/>
  <c r="B1026" i="2"/>
  <c r="D1025" i="2"/>
  <c r="B1025" i="2"/>
  <c r="D1024" i="2"/>
  <c r="B1024" i="2"/>
  <c r="D1023" i="2"/>
  <c r="B1023" i="2"/>
  <c r="D1022" i="2"/>
  <c r="B1022" i="2"/>
  <c r="D1021" i="2"/>
  <c r="B1021" i="2"/>
  <c r="D1020" i="2"/>
  <c r="B1020" i="2"/>
  <c r="D1019" i="2"/>
  <c r="B1019" i="2"/>
  <c r="D1018" i="2"/>
  <c r="B1018" i="2"/>
  <c r="D1017" i="2"/>
  <c r="B1017" i="2"/>
  <c r="D1016" i="2"/>
  <c r="B1016" i="2"/>
  <c r="D1015" i="2"/>
  <c r="B1015" i="2"/>
  <c r="D1014" i="2"/>
  <c r="B1014" i="2"/>
  <c r="D1013" i="2"/>
  <c r="B1013" i="2"/>
  <c r="D1012" i="2"/>
  <c r="B1012" i="2"/>
  <c r="D1011" i="2"/>
  <c r="B1011" i="2"/>
  <c r="D1010" i="2"/>
  <c r="B1010" i="2"/>
  <c r="D1009" i="2"/>
  <c r="B1009" i="2"/>
  <c r="D1008" i="2"/>
  <c r="B1008" i="2"/>
  <c r="D1007" i="2"/>
  <c r="B1007" i="2"/>
  <c r="D1006" i="2"/>
  <c r="B1006" i="2"/>
  <c r="D1005" i="2"/>
  <c r="B1005" i="2"/>
  <c r="D1004" i="2"/>
  <c r="B1004" i="2"/>
  <c r="D1003" i="2"/>
  <c r="B1003" i="2"/>
  <c r="D1002" i="2"/>
  <c r="B1002" i="2"/>
  <c r="D1001" i="2"/>
  <c r="B1001" i="2"/>
  <c r="D1000" i="2"/>
  <c r="B1000" i="2"/>
  <c r="D999" i="2"/>
  <c r="B999" i="2"/>
  <c r="D998" i="2"/>
  <c r="B998" i="2"/>
  <c r="D997" i="2"/>
  <c r="B997" i="2"/>
  <c r="D996" i="2"/>
  <c r="B996" i="2"/>
  <c r="D995" i="2"/>
  <c r="B995" i="2"/>
  <c r="D994" i="2"/>
  <c r="B994" i="2"/>
  <c r="D993" i="2"/>
  <c r="B993" i="2"/>
  <c r="D992" i="2"/>
  <c r="B992" i="2"/>
  <c r="D991" i="2"/>
  <c r="B991" i="2"/>
  <c r="D990" i="2"/>
  <c r="B990" i="2"/>
  <c r="D989" i="2"/>
  <c r="B989" i="2"/>
  <c r="D988" i="2"/>
  <c r="B988" i="2"/>
  <c r="D987" i="2"/>
  <c r="B987" i="2"/>
  <c r="D986" i="2"/>
  <c r="B986" i="2"/>
  <c r="D985" i="2"/>
  <c r="B985" i="2"/>
  <c r="D984" i="2"/>
  <c r="B984" i="2"/>
  <c r="D983" i="2"/>
  <c r="B983" i="2"/>
  <c r="D982" i="2"/>
  <c r="B982" i="2"/>
  <c r="D981" i="2"/>
  <c r="B981" i="2"/>
  <c r="D980" i="2"/>
  <c r="B980" i="2"/>
  <c r="D979" i="2"/>
  <c r="B979" i="2"/>
  <c r="D978" i="2"/>
  <c r="B978" i="2"/>
  <c r="D977" i="2"/>
  <c r="B977" i="2"/>
  <c r="D976" i="2"/>
  <c r="B976" i="2"/>
  <c r="D975" i="2"/>
  <c r="B975" i="2"/>
  <c r="D974" i="2"/>
  <c r="B974" i="2"/>
  <c r="D973" i="2"/>
  <c r="B973" i="2"/>
  <c r="D972" i="2"/>
  <c r="B972" i="2"/>
  <c r="D971" i="2"/>
  <c r="B971" i="2"/>
  <c r="D970" i="2"/>
  <c r="B970" i="2"/>
  <c r="D969" i="2"/>
  <c r="B969" i="2"/>
  <c r="D968" i="2"/>
  <c r="B968" i="2"/>
  <c r="D967" i="2"/>
  <c r="B967" i="2"/>
  <c r="D966" i="2"/>
  <c r="B966" i="2"/>
  <c r="D965" i="2"/>
  <c r="B965" i="2"/>
  <c r="D964" i="2"/>
  <c r="B964" i="2"/>
  <c r="D963" i="2"/>
  <c r="B963" i="2"/>
  <c r="D962" i="2"/>
  <c r="B962" i="2"/>
  <c r="D961" i="2"/>
  <c r="B961" i="2"/>
  <c r="D960" i="2"/>
  <c r="B960" i="2"/>
  <c r="D959" i="2"/>
  <c r="B959" i="2"/>
  <c r="D958" i="2"/>
  <c r="B958" i="2"/>
  <c r="D957" i="2"/>
  <c r="B957" i="2"/>
  <c r="D956" i="2"/>
  <c r="B956" i="2"/>
  <c r="D955" i="2"/>
  <c r="B955" i="2"/>
  <c r="D954" i="2"/>
  <c r="B954" i="2"/>
  <c r="D953" i="2"/>
  <c r="B953" i="2"/>
  <c r="D952" i="2"/>
  <c r="B952" i="2"/>
  <c r="D951" i="2"/>
  <c r="B951" i="2"/>
  <c r="D950" i="2"/>
  <c r="B950" i="2"/>
  <c r="D949" i="2"/>
  <c r="B949" i="2"/>
  <c r="D948" i="2"/>
  <c r="B948" i="2"/>
  <c r="D947" i="2"/>
  <c r="B947" i="2"/>
  <c r="D946" i="2"/>
  <c r="B946" i="2"/>
  <c r="D945" i="2"/>
  <c r="B945" i="2"/>
  <c r="D944" i="2"/>
  <c r="B944" i="2"/>
  <c r="D943" i="2"/>
  <c r="B943" i="2"/>
  <c r="D942" i="2"/>
  <c r="B942" i="2"/>
  <c r="D941" i="2"/>
  <c r="B941" i="2"/>
  <c r="D940" i="2"/>
  <c r="B940" i="2"/>
  <c r="D939" i="2"/>
  <c r="B939" i="2"/>
  <c r="D938" i="2"/>
  <c r="B938" i="2"/>
  <c r="D937" i="2"/>
  <c r="B937" i="2"/>
  <c r="D936" i="2"/>
  <c r="B936" i="2"/>
  <c r="D935" i="2"/>
  <c r="B935" i="2"/>
  <c r="D934" i="2"/>
  <c r="B934" i="2"/>
  <c r="D933" i="2"/>
  <c r="B933" i="2"/>
  <c r="D932" i="2"/>
  <c r="B932" i="2"/>
  <c r="D931" i="2"/>
  <c r="B931" i="2"/>
  <c r="D930" i="2"/>
  <c r="B930" i="2"/>
  <c r="D929" i="2"/>
  <c r="B929" i="2"/>
  <c r="D928" i="2"/>
  <c r="B928" i="2"/>
  <c r="D927" i="2"/>
  <c r="B927" i="2"/>
  <c r="D926" i="2"/>
  <c r="B926" i="2"/>
  <c r="D925" i="2"/>
  <c r="B925" i="2"/>
  <c r="D924" i="2"/>
  <c r="B924" i="2"/>
  <c r="D923" i="2"/>
  <c r="B923" i="2"/>
  <c r="D922" i="2"/>
  <c r="B922" i="2"/>
  <c r="D921" i="2"/>
  <c r="B921" i="2"/>
  <c r="D920" i="2"/>
  <c r="B920" i="2"/>
  <c r="D919" i="2"/>
  <c r="B919" i="2"/>
  <c r="D918" i="2"/>
  <c r="B918" i="2"/>
  <c r="D917" i="2"/>
  <c r="B917" i="2"/>
  <c r="D916" i="2"/>
  <c r="B916" i="2"/>
  <c r="D915" i="2"/>
  <c r="B915" i="2"/>
  <c r="D914" i="2"/>
  <c r="B914" i="2"/>
  <c r="D913" i="2"/>
  <c r="B913" i="2"/>
  <c r="D912" i="2"/>
  <c r="B912" i="2"/>
  <c r="D911" i="2"/>
  <c r="B911" i="2"/>
  <c r="D910" i="2"/>
  <c r="B910" i="2"/>
  <c r="D909" i="2"/>
  <c r="B909" i="2"/>
  <c r="D908" i="2"/>
  <c r="B908" i="2"/>
  <c r="D907" i="2"/>
  <c r="B907" i="2"/>
  <c r="D906" i="2"/>
  <c r="B906" i="2"/>
  <c r="D905" i="2"/>
  <c r="B905" i="2"/>
  <c r="D904" i="2"/>
  <c r="B904" i="2"/>
  <c r="D903" i="2"/>
  <c r="B903" i="2"/>
  <c r="D902" i="2"/>
  <c r="B902" i="2"/>
  <c r="D901" i="2"/>
  <c r="B901" i="2"/>
  <c r="D900" i="2"/>
  <c r="B900" i="2"/>
  <c r="D899" i="2"/>
  <c r="B899" i="2"/>
  <c r="D898" i="2"/>
  <c r="B898" i="2"/>
  <c r="D897" i="2"/>
  <c r="B897" i="2"/>
  <c r="D896" i="2"/>
  <c r="B896" i="2"/>
  <c r="D895" i="2"/>
  <c r="B895" i="2"/>
  <c r="D894" i="2"/>
  <c r="B894" i="2"/>
  <c r="D893" i="2"/>
  <c r="B893" i="2"/>
  <c r="D892" i="2"/>
  <c r="B892" i="2"/>
  <c r="D891" i="2"/>
  <c r="B891" i="2"/>
  <c r="D890" i="2"/>
  <c r="B890" i="2"/>
  <c r="D889" i="2"/>
  <c r="B889" i="2"/>
  <c r="D888" i="2"/>
  <c r="B888" i="2"/>
  <c r="D887" i="2"/>
  <c r="B887" i="2"/>
  <c r="D886" i="2"/>
  <c r="B886" i="2"/>
  <c r="D885" i="2"/>
  <c r="B885" i="2"/>
  <c r="D884" i="2"/>
  <c r="B884" i="2"/>
  <c r="D883" i="2"/>
  <c r="B883" i="2"/>
  <c r="D882" i="2"/>
  <c r="B882" i="2"/>
  <c r="D881" i="2"/>
  <c r="B881" i="2"/>
  <c r="D880" i="2"/>
  <c r="B880" i="2"/>
  <c r="D879" i="2"/>
  <c r="B879" i="2"/>
  <c r="D878" i="2"/>
  <c r="B878" i="2"/>
  <c r="D877" i="2"/>
  <c r="B877" i="2"/>
  <c r="D876" i="2"/>
  <c r="B876" i="2"/>
  <c r="D875" i="2"/>
  <c r="B875" i="2"/>
  <c r="D874" i="2"/>
  <c r="B874" i="2"/>
  <c r="D873" i="2"/>
  <c r="B873" i="2"/>
  <c r="D872" i="2"/>
  <c r="B872" i="2"/>
  <c r="D871" i="2"/>
  <c r="B871" i="2"/>
  <c r="D870" i="2"/>
  <c r="B870" i="2"/>
  <c r="D869" i="2"/>
  <c r="B869" i="2"/>
  <c r="D868" i="2"/>
  <c r="B868" i="2"/>
  <c r="D867" i="2"/>
  <c r="B867" i="2"/>
  <c r="D866" i="2"/>
  <c r="B866" i="2"/>
  <c r="D865" i="2"/>
  <c r="B865" i="2"/>
  <c r="D864" i="2"/>
  <c r="B864" i="2"/>
  <c r="D863" i="2"/>
  <c r="B863" i="2"/>
  <c r="D862" i="2"/>
  <c r="B862" i="2"/>
  <c r="D861" i="2"/>
  <c r="B861" i="2"/>
  <c r="D860" i="2"/>
  <c r="B860" i="2"/>
  <c r="D859" i="2"/>
  <c r="B859" i="2"/>
  <c r="D858" i="2"/>
  <c r="B858" i="2"/>
  <c r="D857" i="2"/>
  <c r="B857" i="2"/>
  <c r="D856" i="2"/>
  <c r="B856" i="2"/>
  <c r="D855" i="2"/>
  <c r="B855" i="2"/>
  <c r="D854" i="2"/>
  <c r="B854" i="2"/>
  <c r="D853" i="2"/>
  <c r="B853" i="2"/>
  <c r="D852" i="2"/>
  <c r="B852" i="2"/>
  <c r="D851" i="2"/>
  <c r="B851" i="2"/>
  <c r="D850" i="2"/>
  <c r="B850" i="2"/>
  <c r="D849" i="2"/>
  <c r="B849" i="2"/>
  <c r="D848" i="2"/>
  <c r="B848" i="2"/>
  <c r="D847" i="2"/>
  <c r="B847" i="2"/>
  <c r="D846" i="2"/>
  <c r="B846" i="2"/>
  <c r="D845" i="2"/>
  <c r="B845" i="2"/>
  <c r="D844" i="2"/>
  <c r="B844" i="2"/>
  <c r="D843" i="2"/>
  <c r="B843" i="2"/>
  <c r="D842" i="2"/>
  <c r="B842" i="2"/>
  <c r="D841" i="2"/>
  <c r="B841" i="2"/>
  <c r="D840" i="2"/>
  <c r="B840" i="2"/>
  <c r="D839" i="2"/>
  <c r="B839" i="2"/>
  <c r="D838" i="2"/>
  <c r="B838" i="2"/>
  <c r="D837" i="2"/>
  <c r="B837" i="2"/>
  <c r="D836" i="2"/>
  <c r="B836" i="2"/>
  <c r="D835" i="2"/>
  <c r="B835" i="2"/>
  <c r="D834" i="2"/>
  <c r="B834" i="2"/>
  <c r="D833" i="2"/>
  <c r="B833" i="2"/>
  <c r="D832" i="2"/>
  <c r="B832" i="2"/>
  <c r="D831" i="2"/>
  <c r="B831" i="2"/>
  <c r="D830" i="2"/>
  <c r="B830" i="2"/>
  <c r="D829" i="2"/>
  <c r="B829" i="2"/>
  <c r="D828" i="2"/>
  <c r="B828" i="2"/>
  <c r="D827" i="2"/>
  <c r="B827" i="2"/>
  <c r="D826" i="2"/>
  <c r="B826" i="2"/>
  <c r="D825" i="2"/>
  <c r="B825" i="2"/>
  <c r="D824" i="2"/>
  <c r="B824" i="2"/>
  <c r="D823" i="2"/>
  <c r="B823" i="2"/>
  <c r="D822" i="2"/>
  <c r="B822" i="2"/>
  <c r="D821" i="2"/>
  <c r="B821" i="2"/>
  <c r="D820" i="2"/>
  <c r="B820" i="2"/>
  <c r="D819" i="2"/>
  <c r="B819" i="2"/>
  <c r="D818" i="2"/>
  <c r="B818" i="2"/>
  <c r="D817" i="2"/>
  <c r="B817" i="2"/>
  <c r="D816" i="2"/>
  <c r="B816" i="2"/>
  <c r="D815" i="2"/>
  <c r="B815" i="2"/>
  <c r="D814" i="2"/>
  <c r="B814" i="2"/>
  <c r="D813" i="2"/>
  <c r="B813" i="2"/>
  <c r="D812" i="2"/>
  <c r="B812" i="2"/>
  <c r="D811" i="2"/>
  <c r="B811" i="2"/>
  <c r="D810" i="2"/>
  <c r="B810" i="2"/>
  <c r="D809" i="2"/>
  <c r="B809" i="2"/>
  <c r="D808" i="2"/>
  <c r="B808" i="2"/>
  <c r="D807" i="2"/>
  <c r="B807" i="2"/>
  <c r="D806" i="2"/>
  <c r="B806" i="2"/>
  <c r="D805" i="2"/>
  <c r="B805" i="2"/>
  <c r="D804" i="2"/>
  <c r="B804" i="2"/>
  <c r="D803" i="2"/>
  <c r="B803" i="2"/>
  <c r="D802" i="2"/>
  <c r="B802" i="2"/>
  <c r="D801" i="2"/>
  <c r="B801" i="2"/>
  <c r="D800" i="2"/>
  <c r="B800" i="2"/>
  <c r="D799" i="2"/>
  <c r="B799" i="2"/>
  <c r="D798" i="2"/>
  <c r="B798" i="2"/>
  <c r="D797" i="2"/>
  <c r="B797" i="2"/>
  <c r="D796" i="2"/>
  <c r="B796" i="2"/>
  <c r="D795" i="2"/>
  <c r="B795" i="2"/>
  <c r="D794" i="2"/>
  <c r="B794" i="2"/>
  <c r="D793" i="2"/>
  <c r="B793" i="2"/>
  <c r="D792" i="2"/>
  <c r="B792" i="2"/>
  <c r="D791" i="2"/>
  <c r="B791" i="2"/>
  <c r="D790" i="2"/>
  <c r="B790" i="2"/>
  <c r="D789" i="2"/>
  <c r="B789" i="2"/>
  <c r="D788" i="2"/>
  <c r="B788" i="2"/>
  <c r="D787" i="2"/>
  <c r="B787" i="2"/>
  <c r="D786" i="2"/>
  <c r="B786" i="2"/>
  <c r="D785" i="2"/>
  <c r="B785" i="2"/>
  <c r="D784" i="2"/>
  <c r="B784" i="2"/>
  <c r="D783" i="2"/>
  <c r="B783" i="2"/>
  <c r="D782" i="2"/>
  <c r="B782" i="2"/>
  <c r="D781" i="2"/>
  <c r="B781" i="2"/>
  <c r="D780" i="2"/>
  <c r="B780" i="2"/>
  <c r="D779" i="2"/>
  <c r="B779" i="2"/>
  <c r="D778" i="2"/>
  <c r="B778" i="2"/>
  <c r="D777" i="2"/>
  <c r="B777" i="2"/>
  <c r="D776" i="2"/>
  <c r="B776" i="2"/>
  <c r="D775" i="2"/>
  <c r="B775" i="2"/>
  <c r="D774" i="2"/>
  <c r="B774" i="2"/>
  <c r="D773" i="2"/>
  <c r="B773" i="2"/>
  <c r="D772" i="2"/>
  <c r="B772" i="2"/>
  <c r="D771" i="2"/>
  <c r="B771" i="2"/>
  <c r="D770" i="2"/>
  <c r="B770" i="2"/>
  <c r="D769" i="2"/>
  <c r="B769" i="2"/>
  <c r="D768" i="2"/>
  <c r="B768" i="2"/>
  <c r="D767" i="2"/>
  <c r="B767" i="2"/>
  <c r="D766" i="2"/>
  <c r="B766" i="2"/>
  <c r="D765" i="2"/>
  <c r="B765" i="2"/>
  <c r="D764" i="2"/>
  <c r="B764" i="2"/>
  <c r="D763" i="2"/>
  <c r="B763" i="2"/>
  <c r="D762" i="2"/>
  <c r="B762" i="2"/>
  <c r="D761" i="2"/>
  <c r="B761" i="2"/>
  <c r="D760" i="2"/>
  <c r="B760" i="2"/>
  <c r="D759" i="2"/>
  <c r="B759" i="2"/>
  <c r="D758" i="2"/>
  <c r="B758" i="2"/>
  <c r="D757" i="2"/>
  <c r="B757" i="2"/>
  <c r="D756" i="2"/>
  <c r="B756" i="2"/>
  <c r="D755" i="2"/>
  <c r="B755" i="2"/>
  <c r="D754" i="2"/>
  <c r="B754" i="2"/>
  <c r="D753" i="2"/>
  <c r="B753" i="2"/>
  <c r="D752" i="2"/>
  <c r="B752" i="2"/>
  <c r="D751" i="2"/>
  <c r="B751" i="2"/>
  <c r="D750" i="2"/>
  <c r="B750" i="2"/>
  <c r="D749" i="2"/>
  <c r="B749" i="2"/>
  <c r="D748" i="2"/>
  <c r="B748" i="2"/>
  <c r="D747" i="2"/>
  <c r="B747" i="2"/>
  <c r="D746" i="2"/>
  <c r="B746" i="2"/>
  <c r="D745" i="2"/>
  <c r="B745" i="2"/>
  <c r="D744" i="2"/>
  <c r="B744" i="2"/>
  <c r="D743" i="2"/>
  <c r="B743" i="2"/>
  <c r="D742" i="2"/>
  <c r="B742" i="2"/>
  <c r="D741" i="2"/>
  <c r="B741" i="2"/>
  <c r="D740" i="2"/>
  <c r="B740" i="2"/>
  <c r="D739" i="2"/>
  <c r="B739" i="2"/>
  <c r="D738" i="2"/>
  <c r="B738" i="2"/>
  <c r="D737" i="2"/>
  <c r="B737" i="2"/>
  <c r="D736" i="2"/>
  <c r="B736" i="2"/>
  <c r="D735" i="2"/>
  <c r="B735" i="2"/>
  <c r="D734" i="2"/>
  <c r="B734" i="2"/>
  <c r="D733" i="2"/>
  <c r="B733" i="2"/>
  <c r="D732" i="2"/>
  <c r="B732" i="2"/>
  <c r="D731" i="2"/>
  <c r="B731" i="2"/>
  <c r="D730" i="2"/>
  <c r="B730" i="2"/>
  <c r="D729" i="2"/>
  <c r="B729" i="2"/>
  <c r="D728" i="2"/>
  <c r="B728" i="2"/>
  <c r="D727" i="2"/>
  <c r="B727" i="2"/>
  <c r="D726" i="2"/>
  <c r="B726" i="2"/>
  <c r="D725" i="2"/>
  <c r="B725" i="2"/>
  <c r="D724" i="2"/>
  <c r="B724" i="2"/>
  <c r="D723" i="2"/>
  <c r="B723" i="2"/>
  <c r="D722" i="2"/>
  <c r="B722" i="2"/>
  <c r="D721" i="2"/>
  <c r="B721" i="2"/>
  <c r="D720" i="2"/>
  <c r="B720" i="2"/>
  <c r="D719" i="2"/>
  <c r="B719" i="2"/>
  <c r="D718" i="2"/>
  <c r="B718" i="2"/>
  <c r="D717" i="2"/>
  <c r="B717" i="2"/>
  <c r="D716" i="2"/>
  <c r="B716" i="2"/>
  <c r="D715" i="2"/>
  <c r="B715" i="2"/>
  <c r="D714" i="2"/>
  <c r="B714" i="2"/>
  <c r="D713" i="2"/>
  <c r="B713" i="2"/>
  <c r="D712" i="2"/>
  <c r="B712" i="2"/>
  <c r="D711" i="2"/>
  <c r="B711" i="2"/>
  <c r="D710" i="2"/>
  <c r="B710" i="2"/>
  <c r="D709" i="2"/>
  <c r="B709" i="2"/>
  <c r="D708" i="2"/>
  <c r="B708" i="2"/>
  <c r="D707" i="2"/>
  <c r="B707" i="2"/>
  <c r="D706" i="2"/>
  <c r="B706" i="2"/>
  <c r="D705" i="2"/>
  <c r="B705" i="2"/>
  <c r="D704" i="2"/>
  <c r="B704" i="2"/>
  <c r="D703" i="2"/>
  <c r="B703" i="2"/>
  <c r="D702" i="2"/>
  <c r="B702" i="2"/>
  <c r="D701" i="2"/>
  <c r="B701" i="2"/>
  <c r="D700" i="2"/>
  <c r="B700" i="2"/>
  <c r="D699" i="2"/>
  <c r="B699" i="2"/>
  <c r="D698" i="2"/>
  <c r="B698" i="2"/>
  <c r="D697" i="2"/>
  <c r="B697" i="2"/>
  <c r="D696" i="2"/>
  <c r="B696" i="2"/>
  <c r="D695" i="2"/>
  <c r="B695" i="2"/>
  <c r="D694" i="2"/>
  <c r="B694" i="2"/>
  <c r="D693" i="2"/>
  <c r="B693" i="2"/>
  <c r="D692" i="2"/>
  <c r="B692" i="2"/>
  <c r="D691" i="2"/>
  <c r="B691" i="2"/>
  <c r="D690" i="2"/>
  <c r="B690" i="2"/>
  <c r="D689" i="2"/>
  <c r="B689" i="2"/>
  <c r="D688" i="2"/>
  <c r="B688" i="2"/>
  <c r="D687" i="2"/>
  <c r="B687" i="2"/>
  <c r="D686" i="2"/>
  <c r="B686" i="2"/>
  <c r="D685" i="2"/>
  <c r="B685" i="2"/>
  <c r="D684" i="2"/>
  <c r="B684" i="2"/>
  <c r="D683" i="2"/>
  <c r="B683" i="2"/>
  <c r="D682" i="2"/>
  <c r="B682" i="2"/>
  <c r="D681" i="2"/>
  <c r="B681" i="2"/>
  <c r="D680" i="2"/>
  <c r="B680" i="2"/>
  <c r="D679" i="2"/>
  <c r="B679" i="2"/>
  <c r="D678" i="2"/>
  <c r="B678" i="2"/>
  <c r="D677" i="2"/>
  <c r="B677" i="2"/>
  <c r="D676" i="2"/>
  <c r="B676" i="2"/>
  <c r="D675" i="2"/>
  <c r="B675" i="2"/>
  <c r="D674" i="2"/>
  <c r="B674" i="2"/>
  <c r="D673" i="2"/>
  <c r="B673" i="2"/>
  <c r="D672" i="2"/>
  <c r="B672" i="2"/>
  <c r="D671" i="2"/>
  <c r="B671" i="2"/>
  <c r="D670" i="2"/>
  <c r="B670" i="2"/>
  <c r="D669" i="2"/>
  <c r="B669" i="2"/>
  <c r="D668" i="2"/>
  <c r="B668" i="2"/>
  <c r="D667" i="2"/>
  <c r="B667" i="2"/>
  <c r="D666" i="2"/>
  <c r="B666" i="2"/>
  <c r="D665" i="2"/>
  <c r="B665" i="2"/>
  <c r="D664" i="2"/>
  <c r="B664" i="2"/>
  <c r="D663" i="2"/>
  <c r="B663" i="2"/>
  <c r="D662" i="2"/>
  <c r="B662" i="2"/>
  <c r="D661" i="2"/>
  <c r="B661" i="2"/>
  <c r="D660" i="2"/>
  <c r="B660" i="2"/>
  <c r="D659" i="2"/>
  <c r="B659" i="2"/>
  <c r="D658" i="2"/>
  <c r="B658" i="2"/>
  <c r="D657" i="2"/>
  <c r="B657" i="2"/>
  <c r="D656" i="2"/>
  <c r="B656" i="2"/>
  <c r="D655" i="2"/>
  <c r="B655" i="2"/>
  <c r="D654" i="2"/>
  <c r="B654" i="2"/>
  <c r="D653" i="2"/>
  <c r="B653" i="2"/>
  <c r="D652" i="2"/>
  <c r="B652" i="2"/>
  <c r="D651" i="2"/>
  <c r="B651" i="2"/>
  <c r="D650" i="2"/>
  <c r="B650" i="2"/>
  <c r="D649" i="2"/>
  <c r="B649" i="2"/>
  <c r="D648" i="2"/>
  <c r="B648" i="2"/>
  <c r="D647" i="2"/>
  <c r="B647" i="2"/>
  <c r="D646" i="2"/>
  <c r="B646" i="2"/>
  <c r="D645" i="2"/>
  <c r="B645" i="2"/>
  <c r="D644" i="2"/>
  <c r="B644" i="2"/>
  <c r="D643" i="2"/>
  <c r="B643" i="2"/>
  <c r="D642" i="2"/>
  <c r="B642" i="2"/>
  <c r="D641" i="2"/>
  <c r="B641" i="2"/>
  <c r="D640" i="2"/>
  <c r="B640" i="2"/>
  <c r="D639" i="2"/>
  <c r="B639" i="2"/>
  <c r="D638" i="2"/>
  <c r="B638" i="2"/>
  <c r="D637" i="2"/>
  <c r="B637" i="2"/>
  <c r="D636" i="2"/>
  <c r="B636" i="2"/>
  <c r="D635" i="2"/>
  <c r="B635" i="2"/>
  <c r="D634" i="2"/>
  <c r="B634" i="2"/>
  <c r="D633" i="2"/>
  <c r="B633" i="2"/>
  <c r="D632" i="2"/>
  <c r="B632" i="2"/>
  <c r="D631" i="2"/>
  <c r="B631" i="2"/>
  <c r="D630" i="2"/>
  <c r="B630" i="2"/>
  <c r="D629" i="2"/>
  <c r="B629" i="2"/>
  <c r="D628" i="2"/>
  <c r="B628" i="2"/>
  <c r="D627" i="2"/>
  <c r="B627" i="2"/>
  <c r="D626" i="2"/>
  <c r="B626" i="2"/>
  <c r="D625" i="2"/>
  <c r="B625" i="2"/>
  <c r="D624" i="2"/>
  <c r="B624" i="2"/>
  <c r="D623" i="2"/>
  <c r="B623" i="2"/>
  <c r="D622" i="2"/>
  <c r="B622" i="2"/>
  <c r="D621" i="2"/>
  <c r="B621" i="2"/>
  <c r="D620" i="2"/>
  <c r="B620" i="2"/>
  <c r="D619" i="2"/>
  <c r="B619" i="2"/>
  <c r="D618" i="2"/>
  <c r="B618" i="2"/>
  <c r="D617" i="2"/>
  <c r="B617" i="2"/>
  <c r="D616" i="2"/>
  <c r="B616" i="2"/>
  <c r="D615" i="2"/>
  <c r="B615" i="2"/>
  <c r="D614" i="2"/>
  <c r="B614" i="2"/>
  <c r="D613" i="2"/>
  <c r="B613" i="2"/>
  <c r="D612" i="2"/>
  <c r="B612" i="2"/>
  <c r="D611" i="2"/>
  <c r="B611" i="2"/>
  <c r="D610" i="2"/>
  <c r="B610" i="2"/>
  <c r="D609" i="2"/>
  <c r="B609" i="2"/>
  <c r="D608" i="2"/>
  <c r="B608" i="2"/>
  <c r="D607" i="2"/>
  <c r="B607" i="2"/>
  <c r="D606" i="2"/>
  <c r="B606" i="2"/>
  <c r="D605" i="2"/>
  <c r="B605" i="2"/>
  <c r="D604" i="2"/>
  <c r="B604" i="2"/>
  <c r="D603" i="2"/>
  <c r="B603" i="2"/>
  <c r="D602" i="2"/>
  <c r="B602" i="2"/>
  <c r="D601" i="2"/>
  <c r="B601" i="2"/>
  <c r="D600" i="2"/>
  <c r="B600" i="2"/>
  <c r="D599" i="2"/>
  <c r="B599" i="2"/>
  <c r="D598" i="2"/>
  <c r="B598" i="2"/>
  <c r="D597" i="2"/>
  <c r="B597" i="2"/>
  <c r="D596" i="2"/>
  <c r="B596" i="2"/>
  <c r="D595" i="2"/>
  <c r="B595" i="2"/>
  <c r="D594" i="2"/>
  <c r="B594" i="2"/>
  <c r="D593" i="2"/>
  <c r="B593" i="2"/>
  <c r="D592" i="2"/>
  <c r="B592" i="2"/>
  <c r="D591" i="2"/>
  <c r="B591" i="2"/>
  <c r="D590" i="2"/>
  <c r="B590" i="2"/>
  <c r="D589" i="2"/>
  <c r="B589" i="2"/>
  <c r="D588" i="2"/>
  <c r="B588" i="2"/>
  <c r="D587" i="2"/>
  <c r="B587" i="2"/>
  <c r="D586" i="2"/>
  <c r="B586" i="2"/>
  <c r="D585" i="2"/>
  <c r="B585" i="2"/>
  <c r="D584" i="2"/>
  <c r="B584" i="2"/>
  <c r="D583" i="2"/>
  <c r="B583" i="2"/>
  <c r="D582" i="2"/>
  <c r="B582" i="2"/>
  <c r="D581" i="2"/>
  <c r="B581" i="2"/>
  <c r="D580" i="2"/>
  <c r="B580" i="2"/>
  <c r="D579" i="2"/>
  <c r="B579" i="2"/>
  <c r="D578" i="2"/>
  <c r="B578" i="2"/>
  <c r="D577" i="2"/>
  <c r="B577" i="2"/>
  <c r="D576" i="2"/>
  <c r="B576" i="2"/>
  <c r="D575" i="2"/>
  <c r="B575" i="2"/>
  <c r="D574" i="2"/>
  <c r="B574" i="2"/>
  <c r="D573" i="2"/>
  <c r="B573" i="2"/>
  <c r="D572" i="2"/>
  <c r="B572" i="2"/>
  <c r="D571" i="2"/>
  <c r="B571" i="2"/>
  <c r="D570" i="2"/>
  <c r="B570" i="2"/>
  <c r="D569" i="2"/>
  <c r="B569" i="2"/>
  <c r="D568" i="2"/>
  <c r="B568" i="2"/>
  <c r="D567" i="2"/>
  <c r="B567" i="2"/>
  <c r="D566" i="2"/>
  <c r="B566" i="2"/>
  <c r="D565" i="2"/>
  <c r="B565" i="2"/>
  <c r="D564" i="2"/>
  <c r="B564" i="2"/>
  <c r="D563" i="2"/>
  <c r="B563" i="2"/>
  <c r="D562" i="2"/>
  <c r="B562" i="2"/>
  <c r="D561" i="2"/>
  <c r="B561" i="2"/>
  <c r="D560" i="2"/>
  <c r="B560" i="2"/>
  <c r="D559" i="2"/>
  <c r="B559" i="2"/>
  <c r="D558" i="2"/>
  <c r="B558" i="2"/>
  <c r="D557" i="2"/>
  <c r="B557" i="2"/>
  <c r="D556" i="2"/>
  <c r="B556" i="2"/>
  <c r="D555" i="2"/>
  <c r="B555" i="2"/>
  <c r="D554" i="2"/>
  <c r="B554" i="2"/>
  <c r="D553" i="2"/>
  <c r="B553" i="2"/>
  <c r="D552" i="2"/>
  <c r="B552" i="2"/>
  <c r="D551" i="2"/>
  <c r="B551" i="2"/>
  <c r="D550" i="2"/>
  <c r="B550" i="2"/>
  <c r="D549" i="2"/>
  <c r="B549" i="2"/>
  <c r="D548" i="2"/>
  <c r="B548" i="2"/>
  <c r="D547" i="2"/>
  <c r="B547" i="2"/>
  <c r="D546" i="2"/>
  <c r="B546" i="2"/>
  <c r="D545" i="2"/>
  <c r="B545" i="2"/>
  <c r="D544" i="2"/>
  <c r="B544" i="2"/>
  <c r="D543" i="2"/>
  <c r="B543" i="2"/>
  <c r="D542" i="2"/>
  <c r="B542" i="2"/>
  <c r="D541" i="2"/>
  <c r="B541" i="2"/>
  <c r="D540" i="2"/>
  <c r="B540" i="2"/>
  <c r="D539" i="2"/>
  <c r="B539" i="2"/>
  <c r="D538" i="2"/>
  <c r="B538" i="2"/>
  <c r="D537" i="2"/>
  <c r="B537" i="2"/>
  <c r="D536" i="2"/>
  <c r="B536" i="2"/>
  <c r="D535" i="2"/>
  <c r="B535" i="2"/>
  <c r="D534" i="2"/>
  <c r="B534" i="2"/>
  <c r="D533" i="2"/>
  <c r="B533" i="2"/>
  <c r="D532" i="2"/>
  <c r="B532" i="2"/>
  <c r="D531" i="2"/>
  <c r="B531" i="2"/>
  <c r="D530" i="2"/>
  <c r="B530" i="2"/>
  <c r="D529" i="2"/>
  <c r="B529" i="2"/>
  <c r="D528" i="2"/>
  <c r="B528" i="2"/>
  <c r="D527" i="2"/>
  <c r="B527" i="2"/>
  <c r="D526" i="2"/>
  <c r="B526" i="2"/>
  <c r="D525" i="2"/>
  <c r="B525" i="2"/>
  <c r="D524" i="2"/>
  <c r="B524" i="2"/>
  <c r="D523" i="2"/>
  <c r="B523" i="2"/>
  <c r="D522" i="2"/>
  <c r="B522" i="2"/>
  <c r="D521" i="2"/>
  <c r="B521" i="2"/>
  <c r="D520" i="2"/>
  <c r="B520" i="2"/>
  <c r="D519" i="2"/>
  <c r="B519" i="2"/>
  <c r="D518" i="2"/>
  <c r="B518" i="2"/>
  <c r="D517" i="2"/>
  <c r="B517" i="2"/>
  <c r="D516" i="2"/>
  <c r="B516" i="2"/>
  <c r="D515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459" i="2"/>
  <c r="D458" i="2"/>
  <c r="B458" i="2"/>
  <c r="D457" i="2"/>
  <c r="B457" i="2"/>
  <c r="D456" i="2"/>
  <c r="B456" i="2"/>
  <c r="D455" i="2"/>
  <c r="B455" i="2"/>
  <c r="D454" i="2"/>
  <c r="B454" i="2"/>
  <c r="D453" i="2"/>
  <c r="B453" i="2"/>
  <c r="D452" i="2"/>
  <c r="B452" i="2"/>
  <c r="D451" i="2"/>
  <c r="B451" i="2"/>
  <c r="D450" i="2"/>
  <c r="B450" i="2"/>
  <c r="D449" i="2"/>
  <c r="B449" i="2"/>
  <c r="D448" i="2"/>
  <c r="B448" i="2"/>
  <c r="D447" i="2"/>
  <c r="B447" i="2"/>
  <c r="D446" i="2"/>
  <c r="B446" i="2"/>
  <c r="D445" i="2"/>
  <c r="B445" i="2"/>
  <c r="D444" i="2"/>
  <c r="B444" i="2"/>
  <c r="D443" i="2"/>
  <c r="B443" i="2"/>
  <c r="D442" i="2"/>
  <c r="B442" i="2"/>
  <c r="D441" i="2"/>
  <c r="B441" i="2"/>
  <c r="D440" i="2"/>
  <c r="B440" i="2"/>
  <c r="D439" i="2"/>
  <c r="B439" i="2"/>
  <c r="D438" i="2"/>
  <c r="B438" i="2"/>
  <c r="D437" i="2"/>
  <c r="B437" i="2"/>
  <c r="D436" i="2"/>
  <c r="B436" i="2"/>
  <c r="D435" i="2"/>
  <c r="B435" i="2"/>
  <c r="D434" i="2"/>
  <c r="B434" i="2"/>
  <c r="D433" i="2"/>
  <c r="B433" i="2"/>
  <c r="D432" i="2"/>
  <c r="B432" i="2"/>
  <c r="D431" i="2"/>
  <c r="B431" i="2"/>
  <c r="D430" i="2"/>
  <c r="B430" i="2"/>
  <c r="D429" i="2"/>
  <c r="B429" i="2"/>
  <c r="D428" i="2"/>
  <c r="B428" i="2"/>
  <c r="D427" i="2"/>
  <c r="B427" i="2"/>
  <c r="D426" i="2"/>
  <c r="B426" i="2"/>
  <c r="D425" i="2"/>
  <c r="B425" i="2"/>
  <c r="D424" i="2"/>
  <c r="B424" i="2"/>
  <c r="D423" i="2"/>
  <c r="B423" i="2"/>
  <c r="D422" i="2"/>
  <c r="B422" i="2"/>
  <c r="D421" i="2"/>
  <c r="B421" i="2"/>
  <c r="D420" i="2"/>
  <c r="B420" i="2"/>
  <c r="D419" i="2"/>
  <c r="B419" i="2"/>
  <c r="D418" i="2"/>
  <c r="B418" i="2"/>
  <c r="D417" i="2"/>
  <c r="B417" i="2"/>
  <c r="D416" i="2"/>
  <c r="B416" i="2"/>
  <c r="D415" i="2"/>
  <c r="B415" i="2"/>
  <c r="D414" i="2"/>
  <c r="B414" i="2"/>
  <c r="D413" i="2"/>
  <c r="B413" i="2"/>
  <c r="D412" i="2"/>
  <c r="B412" i="2"/>
  <c r="D411" i="2"/>
  <c r="B411" i="2"/>
  <c r="D410" i="2"/>
  <c r="B410" i="2"/>
  <c r="D409" i="2"/>
  <c r="B409" i="2"/>
  <c r="D408" i="2"/>
  <c r="B408" i="2"/>
  <c r="D407" i="2"/>
  <c r="B407" i="2"/>
  <c r="D406" i="2"/>
  <c r="B406" i="2"/>
  <c r="D405" i="2"/>
  <c r="B405" i="2"/>
  <c r="D404" i="2"/>
  <c r="B404" i="2"/>
  <c r="D403" i="2"/>
  <c r="B403" i="2"/>
  <c r="D402" i="2"/>
  <c r="B402" i="2"/>
  <c r="D401" i="2"/>
  <c r="B401" i="2"/>
  <c r="D400" i="2"/>
  <c r="B400" i="2"/>
  <c r="D399" i="2"/>
  <c r="B399" i="2"/>
  <c r="D398" i="2"/>
  <c r="B398" i="2"/>
  <c r="D397" i="2"/>
  <c r="B397" i="2"/>
  <c r="D396" i="2"/>
  <c r="B396" i="2"/>
  <c r="D395" i="2"/>
  <c r="B395" i="2"/>
  <c r="D394" i="2"/>
  <c r="B394" i="2"/>
  <c r="D393" i="2"/>
  <c r="B393" i="2"/>
  <c r="D392" i="2"/>
  <c r="B392" i="2"/>
  <c r="D391" i="2"/>
  <c r="B391" i="2"/>
  <c r="D390" i="2"/>
  <c r="B390" i="2"/>
  <c r="D389" i="2"/>
  <c r="B389" i="2"/>
  <c r="D388" i="2"/>
  <c r="B388" i="2"/>
  <c r="D387" i="2"/>
  <c r="B387" i="2"/>
  <c r="D386" i="2"/>
  <c r="B386" i="2"/>
  <c r="D385" i="2"/>
  <c r="B385" i="2"/>
  <c r="D384" i="2"/>
  <c r="B384" i="2"/>
  <c r="D383" i="2"/>
  <c r="B383" i="2"/>
  <c r="D382" i="2"/>
  <c r="B382" i="2"/>
  <c r="D381" i="2"/>
  <c r="B381" i="2"/>
  <c r="D380" i="2"/>
  <c r="B380" i="2"/>
  <c r="D379" i="2"/>
  <c r="B379" i="2"/>
  <c r="D378" i="2"/>
  <c r="B378" i="2"/>
  <c r="D377" i="2"/>
  <c r="B377" i="2"/>
  <c r="D376" i="2"/>
  <c r="B376" i="2"/>
  <c r="D375" i="2"/>
  <c r="B375" i="2"/>
  <c r="D374" i="2"/>
  <c r="B374" i="2"/>
  <c r="D373" i="2"/>
  <c r="B373" i="2"/>
  <c r="D372" i="2"/>
  <c r="B372" i="2"/>
  <c r="D371" i="2"/>
  <c r="B371" i="2"/>
  <c r="D370" i="2"/>
  <c r="B370" i="2"/>
  <c r="D369" i="2"/>
  <c r="B369" i="2"/>
  <c r="D368" i="2"/>
  <c r="B368" i="2"/>
  <c r="D367" i="2"/>
  <c r="B367" i="2"/>
  <c r="D366" i="2"/>
  <c r="B366" i="2"/>
  <c r="D365" i="2"/>
  <c r="B365" i="2"/>
  <c r="D364" i="2"/>
  <c r="B364" i="2"/>
  <c r="D363" i="2"/>
  <c r="B363" i="2"/>
  <c r="D362" i="2"/>
  <c r="B362" i="2"/>
  <c r="D361" i="2"/>
  <c r="B361" i="2"/>
  <c r="D360" i="2"/>
  <c r="B360" i="2"/>
  <c r="D359" i="2"/>
  <c r="B359" i="2"/>
  <c r="D358" i="2"/>
  <c r="B358" i="2"/>
  <c r="D357" i="2"/>
  <c r="B357" i="2"/>
  <c r="D356" i="2"/>
  <c r="B356" i="2"/>
  <c r="D355" i="2"/>
  <c r="B355" i="2"/>
  <c r="D354" i="2"/>
  <c r="B354" i="2"/>
  <c r="D353" i="2"/>
  <c r="B353" i="2"/>
  <c r="D352" i="2"/>
  <c r="B352" i="2"/>
  <c r="D351" i="2"/>
  <c r="B351" i="2"/>
  <c r="D350" i="2"/>
  <c r="B350" i="2"/>
  <c r="D349" i="2"/>
  <c r="B349" i="2"/>
  <c r="D348" i="2"/>
  <c r="B348" i="2"/>
  <c r="D347" i="2"/>
  <c r="B347" i="2"/>
  <c r="D346" i="2"/>
  <c r="B346" i="2"/>
  <c r="D345" i="2"/>
  <c r="B345" i="2"/>
  <c r="D344" i="2"/>
  <c r="B344" i="2"/>
  <c r="D343" i="2"/>
  <c r="B343" i="2"/>
  <c r="D342" i="2"/>
  <c r="B342" i="2"/>
  <c r="D341" i="2"/>
  <c r="B341" i="2"/>
  <c r="D340" i="2"/>
  <c r="B340" i="2"/>
  <c r="D339" i="2"/>
  <c r="B339" i="2"/>
  <c r="D338" i="2"/>
  <c r="B338" i="2"/>
  <c r="D337" i="2"/>
  <c r="B337" i="2"/>
  <c r="D336" i="2"/>
  <c r="B336" i="2"/>
  <c r="D335" i="2"/>
  <c r="B335" i="2"/>
  <c r="D334" i="2"/>
  <c r="B334" i="2"/>
  <c r="D333" i="2"/>
  <c r="B333" i="2"/>
  <c r="D332" i="2"/>
  <c r="B332" i="2"/>
  <c r="D331" i="2"/>
  <c r="B331" i="2"/>
  <c r="D330" i="2"/>
  <c r="B330" i="2"/>
  <c r="D329" i="2"/>
  <c r="B329" i="2"/>
  <c r="D328" i="2"/>
  <c r="B328" i="2"/>
  <c r="D327" i="2"/>
  <c r="B327" i="2"/>
  <c r="D326" i="2"/>
  <c r="B326" i="2"/>
  <c r="D325" i="2"/>
  <c r="B325" i="2"/>
  <c r="D324" i="2"/>
  <c r="B324" i="2"/>
  <c r="D323" i="2"/>
  <c r="B323" i="2"/>
  <c r="D322" i="2"/>
  <c r="B322" i="2"/>
  <c r="D321" i="2"/>
  <c r="B321" i="2"/>
  <c r="D320" i="2"/>
  <c r="B320" i="2"/>
  <c r="D319" i="2"/>
  <c r="B319" i="2"/>
  <c r="D318" i="2"/>
  <c r="B318" i="2"/>
  <c r="D317" i="2"/>
  <c r="B317" i="2"/>
  <c r="D316" i="2"/>
  <c r="B316" i="2"/>
  <c r="D315" i="2"/>
  <c r="B315" i="2"/>
  <c r="D314" i="2"/>
  <c r="B314" i="2"/>
  <c r="D313" i="2"/>
  <c r="B313" i="2"/>
  <c r="D312" i="2"/>
  <c r="B312" i="2"/>
  <c r="D311" i="2"/>
  <c r="B311" i="2"/>
  <c r="D310" i="2"/>
  <c r="B310" i="2"/>
  <c r="D309" i="2"/>
  <c r="B309" i="2"/>
  <c r="D308" i="2"/>
  <c r="B308" i="2"/>
  <c r="D307" i="2"/>
  <c r="B307" i="2"/>
  <c r="D306" i="2"/>
  <c r="B306" i="2"/>
  <c r="D305" i="2"/>
  <c r="B305" i="2"/>
  <c r="D304" i="2"/>
  <c r="B304" i="2"/>
  <c r="D303" i="2"/>
  <c r="B303" i="2"/>
  <c r="D302" i="2"/>
  <c r="B302" i="2"/>
  <c r="D301" i="2"/>
  <c r="B301" i="2"/>
  <c r="D300" i="2"/>
  <c r="B300" i="2"/>
  <c r="D299" i="2"/>
  <c r="B299" i="2"/>
  <c r="D298" i="2"/>
  <c r="B298" i="2"/>
  <c r="D297" i="2"/>
  <c r="B297" i="2"/>
  <c r="D296" i="2"/>
  <c r="B296" i="2"/>
  <c r="D295" i="2"/>
  <c r="B295" i="2"/>
  <c r="D294" i="2"/>
  <c r="B294" i="2"/>
  <c r="D293" i="2"/>
  <c r="B293" i="2"/>
  <c r="D292" i="2"/>
  <c r="B292" i="2"/>
  <c r="D291" i="2"/>
  <c r="B291" i="2"/>
  <c r="D290" i="2"/>
  <c r="B290" i="2"/>
  <c r="D289" i="2"/>
  <c r="B289" i="2"/>
  <c r="D288" i="2"/>
  <c r="B288" i="2"/>
  <c r="D287" i="2"/>
  <c r="B287" i="2"/>
  <c r="D286" i="2"/>
  <c r="B286" i="2"/>
  <c r="D285" i="2"/>
  <c r="B285" i="2"/>
  <c r="D284" i="2"/>
  <c r="B284" i="2"/>
  <c r="D283" i="2"/>
  <c r="B283" i="2"/>
  <c r="D282" i="2"/>
  <c r="B282" i="2"/>
  <c r="D281" i="2"/>
  <c r="B281" i="2"/>
  <c r="D280" i="2"/>
  <c r="B280" i="2"/>
  <c r="D279" i="2"/>
  <c r="B279" i="2"/>
  <c r="D278" i="2"/>
  <c r="B278" i="2"/>
  <c r="D277" i="2"/>
  <c r="B277" i="2"/>
  <c r="D276" i="2"/>
  <c r="B276" i="2"/>
  <c r="D275" i="2"/>
  <c r="B275" i="2"/>
  <c r="D274" i="2"/>
  <c r="B274" i="2"/>
  <c r="D273" i="2"/>
  <c r="B273" i="2"/>
  <c r="D272" i="2"/>
  <c r="B272" i="2"/>
  <c r="D271" i="2"/>
  <c r="B271" i="2"/>
  <c r="D270" i="2"/>
  <c r="B270" i="2"/>
  <c r="D269" i="2"/>
  <c r="B269" i="2"/>
  <c r="D268" i="2"/>
  <c r="B268" i="2"/>
  <c r="D267" i="2"/>
  <c r="B267" i="2"/>
  <c r="D266" i="2"/>
  <c r="B266" i="2"/>
  <c r="D265" i="2"/>
  <c r="B265" i="2"/>
  <c r="D264" i="2"/>
  <c r="B264" i="2"/>
  <c r="D263" i="2"/>
  <c r="B263" i="2"/>
  <c r="D262" i="2"/>
  <c r="B262" i="2"/>
  <c r="D261" i="2"/>
  <c r="B261" i="2"/>
  <c r="D260" i="2"/>
  <c r="B260" i="2"/>
  <c r="D259" i="2"/>
  <c r="B259" i="2"/>
  <c r="D258" i="2"/>
  <c r="B258" i="2"/>
  <c r="D257" i="2"/>
  <c r="B257" i="2"/>
  <c r="D256" i="2"/>
  <c r="B256" i="2"/>
  <c r="D255" i="2"/>
  <c r="B255" i="2"/>
  <c r="D254" i="2"/>
  <c r="B254" i="2"/>
  <c r="D253" i="2"/>
  <c r="B253" i="2"/>
  <c r="D252" i="2"/>
  <c r="B252" i="2"/>
  <c r="D251" i="2"/>
  <c r="B251" i="2"/>
  <c r="D250" i="2"/>
  <c r="B250" i="2"/>
  <c r="D249" i="2"/>
  <c r="B249" i="2"/>
  <c r="D248" i="2"/>
  <c r="B248" i="2"/>
  <c r="D247" i="2"/>
  <c r="B247" i="2"/>
  <c r="D246" i="2"/>
  <c r="B246" i="2"/>
  <c r="D245" i="2"/>
  <c r="B245" i="2"/>
  <c r="D244" i="2"/>
  <c r="B244" i="2"/>
  <c r="D243" i="2"/>
  <c r="B243" i="2"/>
  <c r="D242" i="2"/>
  <c r="B242" i="2"/>
  <c r="D241" i="2"/>
  <c r="B241" i="2"/>
  <c r="D240" i="2"/>
  <c r="B240" i="2"/>
  <c r="D239" i="2"/>
  <c r="B239" i="2"/>
  <c r="D238" i="2"/>
  <c r="B238" i="2"/>
  <c r="D237" i="2"/>
  <c r="B237" i="2"/>
  <c r="D236" i="2"/>
  <c r="B236" i="2"/>
  <c r="D235" i="2"/>
  <c r="B235" i="2"/>
  <c r="D234" i="2"/>
  <c r="B234" i="2"/>
  <c r="D233" i="2"/>
  <c r="B233" i="2"/>
  <c r="D232" i="2"/>
  <c r="B232" i="2"/>
  <c r="D231" i="2"/>
  <c r="B231" i="2"/>
  <c r="D230" i="2"/>
  <c r="B230" i="2"/>
  <c r="D229" i="2"/>
  <c r="B229" i="2"/>
  <c r="D228" i="2"/>
  <c r="B228" i="2"/>
  <c r="D227" i="2"/>
  <c r="B227" i="2"/>
  <c r="D226" i="2"/>
  <c r="B226" i="2"/>
  <c r="D225" i="2"/>
  <c r="B225" i="2"/>
  <c r="D224" i="2"/>
  <c r="B224" i="2"/>
  <c r="D223" i="2"/>
  <c r="B223" i="2"/>
  <c r="D222" i="2"/>
  <c r="B222" i="2"/>
  <c r="D221" i="2"/>
  <c r="B221" i="2"/>
  <c r="D220" i="2"/>
  <c r="B220" i="2"/>
  <c r="D219" i="2"/>
  <c r="B219" i="2"/>
  <c r="D218" i="2"/>
  <c r="B218" i="2"/>
  <c r="D217" i="2"/>
  <c r="B217" i="2"/>
  <c r="D216" i="2"/>
  <c r="B216" i="2"/>
  <c r="D215" i="2"/>
  <c r="B215" i="2"/>
  <c r="D214" i="2"/>
  <c r="B214" i="2"/>
  <c r="D213" i="2"/>
  <c r="B213" i="2"/>
  <c r="D212" i="2"/>
  <c r="B212" i="2"/>
  <c r="D211" i="2"/>
  <c r="B211" i="2"/>
  <c r="D210" i="2"/>
  <c r="B210" i="2"/>
  <c r="D209" i="2"/>
  <c r="B209" i="2"/>
  <c r="D208" i="2"/>
  <c r="B208" i="2"/>
  <c r="D207" i="2"/>
  <c r="B207" i="2"/>
  <c r="D206" i="2"/>
  <c r="B206" i="2"/>
  <c r="D205" i="2"/>
  <c r="B205" i="2"/>
  <c r="D204" i="2"/>
  <c r="B204" i="2"/>
  <c r="D203" i="2"/>
  <c r="B203" i="2"/>
  <c r="D202" i="2"/>
  <c r="B202" i="2"/>
  <c r="D201" i="2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</calcChain>
</file>

<file path=xl/sharedStrings.xml><?xml version="1.0" encoding="utf-8"?>
<sst xmlns="http://schemas.openxmlformats.org/spreadsheetml/2006/main" count="10591" uniqueCount="202">
  <si>
    <t>INPUT - OUTPUT TABLE OF THAILAND 2021 (58 Sectors)</t>
  </si>
  <si>
    <t>ROW</t>
  </si>
  <si>
    <t>COLUMN</t>
  </si>
  <si>
    <t>PURCHASER</t>
  </si>
  <si>
    <t>WHOLESALE</t>
  </si>
  <si>
    <t>RETAIL</t>
  </si>
  <si>
    <t>TRANSPORT</t>
  </si>
  <si>
    <t>IMPORT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</si>
  <si>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</si>
  <si>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</si>
  <si>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</si>
  <si>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</si>
  <si>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</si>
  <si>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</si>
  <si>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</si>
  <si>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</si>
  <si>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</si>
  <si>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</si>
  <si>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</si>
  <si>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</si>
  <si>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</si>
  <si>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</si>
  <si>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</si>
  <si>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</si>
  <si>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</si>
  <si>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</si>
  <si>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</si>
  <si>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</si>
  <si>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</si>
  <si>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</si>
  <si>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</si>
  <si>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</si>
  <si>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</si>
  <si>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</si>
  <si>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</si>
  <si>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</si>
  <si>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</si>
  <si>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</si>
  <si>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</si>
  <si>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</si>
  <si>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</si>
  <si>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</si>
  <si>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</si>
  <si>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</si>
  <si>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</si>
  <si>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</si>
  <si>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</si>
  <si>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</si>
  <si>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</si>
  <si>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</si>
  <si>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</si>
  <si>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</si>
  <si>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</si>
  <si>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</si>
  <si>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</si>
  <si>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</si>
  <si>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</si>
  <si>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</si>
  <si>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</si>
  <si>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</si>
  <si>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</si>
  <si>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</si>
  <si>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</si>
  <si>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</si>
  <si>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</si>
  <si>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</si>
  <si>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190</t>
  </si>
  <si>
    <t>201</t>
  </si>
  <si>
    <t>202</t>
  </si>
  <si>
    <t>203</t>
  </si>
  <si>
    <t>204</t>
  </si>
  <si>
    <t>209</t>
  </si>
  <si>
    <t>210</t>
  </si>
  <si>
    <t>301</t>
  </si>
  <si>
    <t>302</t>
  </si>
  <si>
    <t>303</t>
  </si>
  <si>
    <t>304</t>
  </si>
  <si>
    <t>305</t>
  </si>
  <si>
    <t>306</t>
  </si>
  <si>
    <t>309</t>
  </si>
  <si>
    <t>310</t>
  </si>
  <si>
    <t>401</t>
  </si>
  <si>
    <t>402</t>
  </si>
  <si>
    <t>403</t>
  </si>
  <si>
    <t>404</t>
  </si>
  <si>
    <t>409</t>
  </si>
  <si>
    <t>501</t>
  </si>
  <si>
    <t>502</t>
  </si>
  <si>
    <t>503</t>
  </si>
  <si>
    <t>509</t>
  </si>
  <si>
    <t>600</t>
  </si>
  <si>
    <t>700</t>
  </si>
  <si>
    <t>Paddy</t>
  </si>
  <si>
    <t>Maize</t>
  </si>
  <si>
    <t>Cassava</t>
  </si>
  <si>
    <t>Beans and Nuts</t>
  </si>
  <si>
    <t>Vegetables and Fruits</t>
  </si>
  <si>
    <t>Sugarcane</t>
  </si>
  <si>
    <t>Rubber (Latex)</t>
  </si>
  <si>
    <t>Other Crops</t>
  </si>
  <si>
    <t>Livestock</t>
  </si>
  <si>
    <t>Forestry</t>
  </si>
  <si>
    <t>Fishery</t>
  </si>
  <si>
    <t>Crude Oil and Coal</t>
  </si>
  <si>
    <t>Metal Ore</t>
  </si>
  <si>
    <t>Non-Metal Ore</t>
  </si>
  <si>
    <t>Slaughtering</t>
  </si>
  <si>
    <t>Processing and Presering of Foods</t>
  </si>
  <si>
    <t>Rice and Other Grain Milling</t>
  </si>
  <si>
    <t>Sugar Refineries</t>
  </si>
  <si>
    <t>Other Foods</t>
  </si>
  <si>
    <t>Animal Food</t>
  </si>
  <si>
    <t>Beverages</t>
  </si>
  <si>
    <t>Tobacco Processing and Products</t>
  </si>
  <si>
    <t>Spinning, Weaving and Bleaching</t>
  </si>
  <si>
    <t>Textile Products</t>
  </si>
  <si>
    <t>Paper and Paper Products</t>
  </si>
  <si>
    <t>Printing and Publishing</t>
  </si>
  <si>
    <t>Basic Chemical Products</t>
  </si>
  <si>
    <t>Fertilizer and Pesticides</t>
  </si>
  <si>
    <t>Other Chemical Products</t>
  </si>
  <si>
    <t>Petroleum Refineries</t>
  </si>
  <si>
    <t>Rubber Products</t>
  </si>
  <si>
    <t>Plastic Wares</t>
  </si>
  <si>
    <t>Cement and Concrete Products</t>
  </si>
  <si>
    <t>Other Non-metallic Products</t>
  </si>
  <si>
    <t>Iron and Steel</t>
  </si>
  <si>
    <t>Non-ferrous Metal</t>
  </si>
  <si>
    <t>Fabricated Metal Products</t>
  </si>
  <si>
    <t>Industrial Machinery</t>
  </si>
  <si>
    <t>Electrical Machinery and Apparatus</t>
  </si>
  <si>
    <t>Motor Vehicles and Repairing</t>
  </si>
  <si>
    <t>Other Transportation Equipment</t>
  </si>
  <si>
    <t>Leather Products</t>
  </si>
  <si>
    <t>Saw Mills and Wood Products</t>
  </si>
  <si>
    <t>Other Manufacturing Products</t>
  </si>
  <si>
    <t>Electricity and Gas</t>
  </si>
  <si>
    <t>Water Works and Supply</t>
  </si>
  <si>
    <t>Building Construction</t>
  </si>
  <si>
    <t>Public Works and Other Construction</t>
  </si>
  <si>
    <t>Trade</t>
  </si>
  <si>
    <t>Restaurants and Hotels</t>
  </si>
  <si>
    <t>Transportation</t>
  </si>
  <si>
    <t>Communication</t>
  </si>
  <si>
    <t>Banking and Insurance</t>
  </si>
  <si>
    <t>Real Estate</t>
  </si>
  <si>
    <t>Business Services</t>
  </si>
  <si>
    <t>Public Services</t>
  </si>
  <si>
    <t>Other Services</t>
  </si>
  <si>
    <t>Unclassified</t>
  </si>
  <si>
    <t>Total Intermedite Transaction</t>
  </si>
  <si>
    <t>Wages and Salaries</t>
  </si>
  <si>
    <t>Operating Surplus</t>
  </si>
  <si>
    <t>Depreciation</t>
  </si>
  <si>
    <t>Indirect Taxes less Subsidies</t>
  </si>
  <si>
    <t>Total Value Added</t>
  </si>
  <si>
    <t>Control Total</t>
  </si>
  <si>
    <t>Private Consumption Expenditure</t>
  </si>
  <si>
    <t>Government Consumption Expenditure</t>
  </si>
  <si>
    <t>Gross Fixed Capital Formation</t>
  </si>
  <si>
    <t>Increase in Stock</t>
  </si>
  <si>
    <t>Exports (F.O.B.)</t>
  </si>
  <si>
    <t>Special Exports</t>
  </si>
  <si>
    <t>Total Final Demand</t>
  </si>
  <si>
    <t>Total Demand</t>
  </si>
  <si>
    <t>Imports (C.I.F.)</t>
  </si>
  <si>
    <t>Import Duty</t>
  </si>
  <si>
    <t>Import Tax</t>
  </si>
  <si>
    <t>Special Imports</t>
  </si>
  <si>
    <t>Total Imports</t>
  </si>
  <si>
    <t>Wholesale Trade Margin</t>
  </si>
  <si>
    <t>Retail Trade Margin</t>
  </si>
  <si>
    <t>Transportation Cost</t>
  </si>
  <si>
    <t>Total Margin and Transportation Cost</t>
  </si>
  <si>
    <t>Total Supply</t>
  </si>
  <si>
    <t>Row label</t>
  </si>
  <si>
    <t>Column label</t>
  </si>
  <si>
    <t>=vlookup(A3,R:S,2,0)</t>
  </si>
  <si>
    <t>Row Labels</t>
  </si>
  <si>
    <t>Grand Total</t>
  </si>
  <si>
    <t>Column Labels</t>
  </si>
  <si>
    <t>Sum of PURCHASER</t>
  </si>
  <si>
    <t>Exports in total output</t>
  </si>
  <si>
    <t>change 2021-1990</t>
  </si>
  <si>
    <t>Total</t>
  </si>
  <si>
    <t>Share in output</t>
  </si>
  <si>
    <t>Electrical Equipment</t>
  </si>
  <si>
    <t>Motor Vehicles</t>
  </si>
  <si>
    <t>Finance and Insurance</t>
  </si>
  <si>
    <t>Petroleum Products</t>
  </si>
  <si>
    <t>Basic Chemicals</t>
  </si>
  <si>
    <t>Business Activities</t>
  </si>
  <si>
    <t>Hotels and Restaurants</t>
  </si>
  <si>
    <t>Machinery</t>
  </si>
  <si>
    <t>Food Processing</t>
  </si>
  <si>
    <t>Other Chemicals</t>
  </si>
  <si>
    <t>Transport</t>
  </si>
  <si>
    <t>Fruit and Vegetables</t>
  </si>
  <si>
    <t>Metal Products</t>
  </si>
  <si>
    <t>Non-Ferrous Metals</t>
  </si>
  <si>
    <t>Output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</si>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</sst>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ngsana New"/>
      <family val="1"/>
    </font>
    <font>
      <b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6"/>
      <color theme="1"/>
      <name val="Angsana New"/>
      <family val="1"/>
    </font>
    <font>
      <b/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8">
    <xf numFmtId="0" fontId="0" fillId="0" borderId="0" xfId="0"/>
    <xf numFmtId="3" fontId="6" fillId="0" borderId="0" xfId="0" applyNumberFormat="1" applyFont="1"/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7" fillId="2" borderId="1" xfId="0" applyFont="1" applyFill="1" applyBorder="1"/>
    <xf numFmtId="0" fontId="7" fillId="2" borderId="2" xfId="0" applyFont="1" applyFill="1" applyBorder="1"/>
    <xf numFmtId="0" fontId="7" fillId="0" borderId="1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2" xfId="2" xr:uid="{3CA0F405-F896-4928-A2FB-BA09D85A3605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 orient'!$K$2</c:f>
              <c:strCache>
                <c:ptCount val="1"/>
                <c:pt idx="0">
                  <c:v>change 2021-1990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'Export orient'!$J$3:$J$59</c15:sqref>
                  </c15:fullRef>
                </c:ext>
              </c:extLst>
              <c:f>('Export orient'!$J$3:$J$20,'Export orient'!$J$53:$J$59)</c:f>
              <c:strCache>
                <c:ptCount val="25"/>
                <c:pt idx="0">
                  <c:v>Animal Food</c:v>
                </c:pt>
                <c:pt idx="1">
                  <c:v>Basic Chemical Products</c:v>
                </c:pt>
                <c:pt idx="2">
                  <c:v>Industrial Machinery</c:v>
                </c:pt>
                <c:pt idx="3">
                  <c:v>Motor Vehicles and Repairing</c:v>
                </c:pt>
                <c:pt idx="4">
                  <c:v>Rubber Products</c:v>
                </c:pt>
                <c:pt idx="5">
                  <c:v>Forestry</c:v>
                </c:pt>
                <c:pt idx="6">
                  <c:v>Spinning, Weaving and Bleaching</c:v>
                </c:pt>
                <c:pt idx="7">
                  <c:v>Saw Mills and Wood Products</c:v>
                </c:pt>
                <c:pt idx="8">
                  <c:v>Paper and Paper Products</c:v>
                </c:pt>
                <c:pt idx="9">
                  <c:v>Non-ferrous Metal</c:v>
                </c:pt>
                <c:pt idx="10">
                  <c:v>Petroleum Refineries</c:v>
                </c:pt>
                <c:pt idx="11">
                  <c:v>Rubber (Latex)</c:v>
                </c:pt>
                <c:pt idx="12">
                  <c:v>Other Transportation Equipment</c:v>
                </c:pt>
                <c:pt idx="13">
                  <c:v>Other Foods</c:v>
                </c:pt>
                <c:pt idx="14">
                  <c:v>Vegetables and Fruits</c:v>
                </c:pt>
                <c:pt idx="15">
                  <c:v>Metal Ore</c:v>
                </c:pt>
                <c:pt idx="16">
                  <c:v>Fabricated Metal Products</c:v>
                </c:pt>
                <c:pt idx="17">
                  <c:v>Other Chemical Products</c:v>
                </c:pt>
                <c:pt idx="18">
                  <c:v>Slaughtering</c:v>
                </c:pt>
                <c:pt idx="19">
                  <c:v>Processing and Presering of Foods</c:v>
                </c:pt>
                <c:pt idx="20">
                  <c:v>Textile Products</c:v>
                </c:pt>
                <c:pt idx="21">
                  <c:v>Restaurants and Hotels</c:v>
                </c:pt>
                <c:pt idx="22">
                  <c:v>Sugar Refineries</c:v>
                </c:pt>
                <c:pt idx="23">
                  <c:v>Beans and Nuts</c:v>
                </c:pt>
                <c:pt idx="24">
                  <c:v>Maize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'Export orient'!$K$3:$K$59</c15:sqref>
                  </c15:fullRef>
                </c:ext>
              </c:extLst>
              <c:f>('Export orient'!$K$3:$K$20,'Export orient'!$K$53:$K$59)</c:f>
              <c:numCache>
                <c:formatCode>General</c:formatCode>
                <c:ptCount val="25"/>
                <c:pt idx="0">
                  <c:v>43.204525542092277</c:v>
                </c:pt>
                <c:pt idx="1">
                  <c:v>39.416439365738157</c:v>
                </c:pt>
                <c:pt idx="2">
                  <c:v>34.137210752119714</c:v>
                </c:pt>
                <c:pt idx="3">
                  <c:v>33.311404675235437</c:v>
                </c:pt>
                <c:pt idx="4">
                  <c:v>28.886017775853908</c:v>
                </c:pt>
                <c:pt idx="5">
                  <c:v>27.114906456328217</c:v>
                </c:pt>
                <c:pt idx="6">
                  <c:v>18.470099010060963</c:v>
                </c:pt>
                <c:pt idx="7">
                  <c:v>18.429415340481164</c:v>
                </c:pt>
                <c:pt idx="8">
                  <c:v>17.159079426348306</c:v>
                </c:pt>
                <c:pt idx="9">
                  <c:v>17.113699219501761</c:v>
                </c:pt>
                <c:pt idx="10">
                  <c:v>15.885994725515083</c:v>
                </c:pt>
                <c:pt idx="11">
                  <c:v>15.775919650879649</c:v>
                </c:pt>
                <c:pt idx="12">
                  <c:v>15.761670304465538</c:v>
                </c:pt>
                <c:pt idx="13">
                  <c:v>15.651382557546988</c:v>
                </c:pt>
                <c:pt idx="14">
                  <c:v>14.454785422999628</c:v>
                </c:pt>
                <c:pt idx="15">
                  <c:v>13.978331863902042</c:v>
                </c:pt>
                <c:pt idx="16">
                  <c:v>13.701530030720065</c:v>
                </c:pt>
                <c:pt idx="17">
                  <c:v>11.708000502155286</c:v>
                </c:pt>
                <c:pt idx="18">
                  <c:v>-9.9808911773287967</c:v>
                </c:pt>
                <c:pt idx="19">
                  <c:v>-10.453562847296723</c:v>
                </c:pt>
                <c:pt idx="20">
                  <c:v>-10.625332431968612</c:v>
                </c:pt>
                <c:pt idx="21">
                  <c:v>-11.630601680677607</c:v>
                </c:pt>
                <c:pt idx="22">
                  <c:v>-12.976808522043918</c:v>
                </c:pt>
                <c:pt idx="23">
                  <c:v>-20.231810207103813</c:v>
                </c:pt>
                <c:pt idx="24">
                  <c:v>-28.847527578393148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7-4521-AAB3-602A92EB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799824"/>
        <c:axId val="1049803184"/>
      </c:barChart>
      <c:catAx>
        <c:axId val="10497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03184"/>
        <c:crosses val="autoZero"/>
        <c:auto val="1"/>
        <c:lblAlgn val="ctr"/>
        <c:lblOffset val="100"/>
        <c:noMultiLvlLbl val="0"/>
      </c:catAx>
      <c:valAx>
        <c:axId val="10498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1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979478548474463"/>
                  <c:y val="-7.9623134784807467E-2"/>
                </c:manualLayout>
              </c:layout>
              <c:tx>
                <c:rich>
                  <a:bodyPr/>
                  <a:lstStyle/>
                  <a:p>
                    <a:fld id="{6584830D-3F89-4B4F-BBCF-0760966E99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8D-48B2-9814-580215321A49}"/>
                </c:ext>
              </c:extLst>
            </c:dLbl>
            <c:dLbl>
              <c:idx val="1"/>
              <c:layout>
                <c:manualLayout>
                  <c:x val="-1.6925244320270046E-2"/>
                  <c:y val="4.4642836219143132E-2"/>
                </c:manualLayout>
              </c:layout>
              <c:tx>
                <c:rich>
                  <a:bodyPr/>
                  <a:lstStyle/>
                  <a:p>
                    <a:fld id="{FBAC20B8-911D-4172-A55B-D772A4F1D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38D-48B2-9814-580215321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38D-48B2-9814-580215321A49}"/>
                </c:ext>
              </c:extLst>
            </c:dLbl>
            <c:dLbl>
              <c:idx val="3"/>
              <c:layout>
                <c:manualLayout>
                  <c:x val="-8.8069020642874973E-3"/>
                  <c:y val="1.444201610329204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E38D-48B2-9814-580215321A49}"/>
                </c:ext>
              </c:extLst>
            </c:dLbl>
            <c:dLbl>
              <c:idx val="4"/>
              <c:layout>
                <c:manualLayout>
                  <c:x val="-3.8483829802231158E-3"/>
                  <c:y val="1.4482557891564543E-2"/>
                </c:manualLayout>
              </c:layout>
              <c:tx>
                <c:rich>
                  <a:bodyPr/>
                  <a:lstStyle/>
                  <a:p>
                    <a:fld id="{D331502A-144C-4641-B16E-EC46FE9B5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8D-48B2-9814-580215321A49}"/>
                </c:ext>
              </c:extLst>
            </c:dLbl>
            <c:dLbl>
              <c:idx val="5"/>
              <c:layout>
                <c:manualLayout>
                  <c:x val="-6.6417886799582895E-2"/>
                  <c:y val="-6.8088410157288184E-2"/>
                </c:manualLayout>
              </c:layout>
              <c:tx>
                <c:rich>
                  <a:bodyPr/>
                  <a:lstStyle/>
                  <a:p>
                    <a:fld id="{4015C10D-DDBD-45EF-9527-ABE92FC6B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38D-48B2-9814-580215321A4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38D-48B2-9814-580215321A49}"/>
                </c:ext>
              </c:extLst>
            </c:dLbl>
            <c:dLbl>
              <c:idx val="7"/>
              <c:layout>
                <c:manualLayout>
                  <c:x val="-1.0745052015811715E-2"/>
                  <c:y val="-2.996313453869047E-3"/>
                </c:manualLayout>
              </c:layout>
              <c:tx>
                <c:rich>
                  <a:bodyPr/>
                  <a:lstStyle/>
                  <a:p>
                    <a:fld id="{CFAA7A37-A245-4FFE-9EB0-040BAC2504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38D-48B2-9814-580215321A49}"/>
                </c:ext>
              </c:extLst>
            </c:dLbl>
            <c:dLbl>
              <c:idx val="8"/>
              <c:layout>
                <c:manualLayout>
                  <c:x val="-3.1678193503372263E-3"/>
                  <c:y val="-3.9514885866664025E-2"/>
                </c:manualLayout>
              </c:layout>
              <c:tx>
                <c:rich>
                  <a:bodyPr/>
                  <a:lstStyle/>
                  <a:p>
                    <a:fld id="{0A6F84E6-0024-4B91-8372-5D3509688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38D-48B2-9814-580215321A49}"/>
                </c:ext>
              </c:extLst>
            </c:dLbl>
            <c:dLbl>
              <c:idx val="9"/>
              <c:layout>
                <c:manualLayout>
                  <c:x val="-6.7751323589644412E-3"/>
                  <c:y val="-4.9707044569250614E-3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E38D-48B2-9814-580215321A49}"/>
                </c:ext>
              </c:extLst>
            </c:dLbl>
            <c:dLbl>
              <c:idx val="10"/>
              <c:layout>
                <c:manualLayout>
                  <c:x val="-1.0964487324699663E-2"/>
                  <c:y val="2.1192823702232732E-3"/>
                </c:manualLayout>
              </c:layout>
              <c:tx>
                <c:rich>
                  <a:bodyPr/>
                  <a:lstStyle/>
                  <a:p>
                    <a:fld id="{B7673581-AADC-4AD4-9B97-32BD9DC19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38D-48B2-9814-580215321A49}"/>
                </c:ext>
              </c:extLst>
            </c:dLbl>
            <c:dLbl>
              <c:idx val="11"/>
              <c:layout>
                <c:manualLayout>
                  <c:x val="-1.1283496213513364E-2"/>
                  <c:y val="-1.7857134487657279E-2"/>
                </c:manualLayout>
              </c:layout>
              <c:tx>
                <c:rich>
                  <a:bodyPr/>
                  <a:lstStyle/>
                  <a:p>
                    <a:fld id="{3409F650-60EC-471E-90B7-517355D1A9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38D-48B2-9814-580215321A49}"/>
                </c:ext>
              </c:extLst>
            </c:dLbl>
            <c:dLbl>
              <c:idx val="12"/>
              <c:layout>
                <c:manualLayout>
                  <c:x val="-7.5863298716776523E-2"/>
                  <c:y val="-5.3739584034292728E-2"/>
                </c:manualLayout>
              </c:layout>
              <c:tx>
                <c:rich>
                  <a:bodyPr/>
                  <a:lstStyle/>
                  <a:p>
                    <a:fld id="{9C42F801-DC07-4C79-85C1-147D4F969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38D-48B2-9814-580215321A49}"/>
                </c:ext>
              </c:extLst>
            </c:dLbl>
            <c:dLbl>
              <c:idx val="13"/>
              <c:layout>
                <c:manualLayout>
                  <c:x val="-1.0727613736013015E-2"/>
                  <c:y val="-1.59050356650564E-3"/>
                </c:manualLayout>
              </c:layout>
              <c:tx>
                <c:rich>
                  <a:bodyPr/>
                  <a:lstStyle/>
                  <a:p>
                    <a:fld id="{95CEA6B6-C1BB-4B8A-B547-FF9543790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38D-48B2-9814-580215321A49}"/>
                </c:ext>
              </c:extLst>
            </c:dLbl>
            <c:dLbl>
              <c:idx val="14"/>
              <c:layout>
                <c:manualLayout>
                  <c:x val="-6.2025955594372196E-3"/>
                  <c:y val="1.8371581400686426E-2"/>
                </c:manualLayout>
              </c:layout>
              <c:tx>
                <c:rich>
                  <a:bodyPr/>
                  <a:lstStyle/>
                  <a:p>
                    <a:fld id="{AE52CA7B-3B23-43CE-9024-64E30AA83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38D-48B2-9814-580215321A49}"/>
                </c:ext>
              </c:extLst>
            </c:dLbl>
            <c:dLbl>
              <c:idx val="15"/>
              <c:layout>
                <c:manualLayout>
                  <c:x val="-2.5720892503819655E-2"/>
                  <c:y val="-2.4239771166211489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E38D-48B2-9814-580215321A49}"/>
                </c:ext>
              </c:extLst>
            </c:dLbl>
            <c:dLbl>
              <c:idx val="16"/>
              <c:layout>
                <c:manualLayout>
                  <c:x val="2.4557152389095226E-3"/>
                  <c:y val="-3.5756451182765769E-2"/>
                </c:manualLayout>
              </c:layout>
              <c:tx>
                <c:rich>
                  <a:bodyPr/>
                  <a:lstStyle/>
                  <a:p>
                    <a:fld id="{5CCE3EB7-6685-4882-A463-29A9AA29F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38D-48B2-9814-580215321A49}"/>
                </c:ext>
              </c:extLst>
            </c:dLbl>
            <c:dLbl>
              <c:idx val="17"/>
              <c:layout>
                <c:manualLayout>
                  <c:x val="-2.8906333062154295E-2"/>
                  <c:y val="-4.4385290408094108E-2"/>
                </c:manualLayout>
              </c:layout>
              <c:tx>
                <c:rich>
                  <a:bodyPr/>
                  <a:lstStyle/>
                  <a:p>
                    <a:fld id="{91977ED5-6C59-4B7D-80D4-931461EC2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38D-48B2-9814-580215321A4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DF0EE5E-599B-48F3-A9DB-165346ECA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38D-48B2-9814-580215321A49}"/>
                </c:ext>
              </c:extLst>
            </c:dLbl>
            <c:dLbl>
              <c:idx val="19"/>
              <c:layout>
                <c:manualLayout>
                  <c:x val="-8.0249202381202742E-2"/>
                  <c:y val="-4.3764274576174274E-2"/>
                </c:manualLayout>
              </c:layout>
              <c:tx>
                <c:rich>
                  <a:bodyPr/>
                  <a:lstStyle/>
                  <a:p>
                    <a:fld id="{18007501-7692-46E7-A44F-730CF2429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E38D-48B2-9814-580215321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'Export orient'!$C$70:$C$89</c:f>
              <c:numCache>
                <c:formatCode>0.0</c:formatCode>
                <c:ptCount val="20"/>
                <c:pt idx="0">
                  <c:v>29.473383082383119</c:v>
                </c:pt>
                <c:pt idx="1">
                  <c:v>1.2050081857626262</c:v>
                </c:pt>
                <c:pt idx="4">
                  <c:v>0.43126807795590744</c:v>
                </c:pt>
                <c:pt idx="5">
                  <c:v>2.4440385480744986</c:v>
                </c:pt>
                <c:pt idx="7">
                  <c:v>3.5493753561881611</c:v>
                </c:pt>
                <c:pt idx="8">
                  <c:v>11.97906799843927</c:v>
                </c:pt>
                <c:pt idx="10">
                  <c:v>19.171881812059517</c:v>
                </c:pt>
                <c:pt idx="11">
                  <c:v>2.0898026652439983</c:v>
                </c:pt>
                <c:pt idx="12">
                  <c:v>51.27128258267696</c:v>
                </c:pt>
                <c:pt idx="13">
                  <c:v>4.6761941035183332</c:v>
                </c:pt>
                <c:pt idx="14">
                  <c:v>25.403689916834292</c:v>
                </c:pt>
                <c:pt idx="16">
                  <c:v>2.9093712214354568</c:v>
                </c:pt>
                <c:pt idx="17">
                  <c:v>2.7785003813283846</c:v>
                </c:pt>
                <c:pt idx="18">
                  <c:v>19.20198563371364</c:v>
                </c:pt>
                <c:pt idx="19">
                  <c:v>7.6428733414790564</c:v>
                </c:pt>
              </c:numCache>
            </c:numRef>
          </c:xVal>
          <c:yVal>
            <c:numRef>
              <c:f>'Export orient'!$D$70:$D$89</c:f>
              <c:numCache>
                <c:formatCode>0.0</c:formatCode>
                <c:ptCount val="20"/>
                <c:pt idx="0">
                  <c:v>36.078762785781237</c:v>
                </c:pt>
                <c:pt idx="1">
                  <c:v>34.516412860998066</c:v>
                </c:pt>
                <c:pt idx="4">
                  <c:v>2.2978042931987397</c:v>
                </c:pt>
                <c:pt idx="5">
                  <c:v>18.330033273589581</c:v>
                </c:pt>
                <c:pt idx="7">
                  <c:v>42.965814721926321</c:v>
                </c:pt>
                <c:pt idx="8">
                  <c:v>8.3749406969812163</c:v>
                </c:pt>
                <c:pt idx="10">
                  <c:v>7.5412801313819093</c:v>
                </c:pt>
                <c:pt idx="11">
                  <c:v>36.227013417363715</c:v>
                </c:pt>
                <c:pt idx="12">
                  <c:v>40.817719735380237</c:v>
                </c:pt>
                <c:pt idx="13">
                  <c:v>16.384194605673621</c:v>
                </c:pt>
                <c:pt idx="14">
                  <c:v>24.381218596055515</c:v>
                </c:pt>
                <c:pt idx="16">
                  <c:v>17.364156644435084</c:v>
                </c:pt>
                <c:pt idx="17">
                  <c:v>9.5323616887991687</c:v>
                </c:pt>
                <c:pt idx="18">
                  <c:v>32.903515664433705</c:v>
                </c:pt>
                <c:pt idx="19">
                  <c:v>24.756572560980818</c:v>
                </c:pt>
              </c:numCache>
            </c:numRef>
          </c:yVal>
          <c:bubbleSize>
            <c:numRef>
              <c:f>'Export orient'!$E$70:$E$89</c:f>
              <c:numCache>
                <c:formatCode>0.0</c:formatCode>
                <c:ptCount val="20"/>
                <c:pt idx="0">
                  <c:v>13.016094275817924</c:v>
                </c:pt>
                <c:pt idx="1">
                  <c:v>6.4240725341822849</c:v>
                </c:pt>
                <c:pt idx="4">
                  <c:v>3.9023700948792928</c:v>
                </c:pt>
                <c:pt idx="5">
                  <c:v>3.7325001128103752</c:v>
                </c:pt>
                <c:pt idx="7">
                  <c:v>3.617993583345934</c:v>
                </c:pt>
                <c:pt idx="8">
                  <c:v>3.3490596603501994</c:v>
                </c:pt>
                <c:pt idx="10">
                  <c:v>2.9307265737406394</c:v>
                </c:pt>
                <c:pt idx="11">
                  <c:v>2.8160167842441295</c:v>
                </c:pt>
                <c:pt idx="12">
                  <c:v>2.4283465307988066</c:v>
                </c:pt>
                <c:pt idx="13">
                  <c:v>2.354179114121763</c:v>
                </c:pt>
                <c:pt idx="14">
                  <c:v>2.2204350702396227</c:v>
                </c:pt>
                <c:pt idx="16">
                  <c:v>2.0910951389966548</c:v>
                </c:pt>
                <c:pt idx="17">
                  <c:v>2.0419324971487356</c:v>
                </c:pt>
                <c:pt idx="18">
                  <c:v>2.0317402753110003</c:v>
                </c:pt>
                <c:pt idx="19">
                  <c:v>1.9000696598152584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'Export orient'!$B$70:$B$89</c15:f>
                <c15:dlblRangeCache>
                  <c:ptCount val="20"/>
                  <c:pt idx="0">
                    <c:v>Electrical Equipment</c:v>
                  </c:pt>
                  <c:pt idx="1">
                    <c:v>Motor Vehicles</c:v>
                  </c:pt>
                  <c:pt idx="4">
                    <c:v>Finance and Insurance</c:v>
                  </c:pt>
                  <c:pt idx="5">
                    <c:v>Petroleum Products</c:v>
                  </c:pt>
                  <c:pt idx="7">
                    <c:v>Basic Chemicals</c:v>
                  </c:pt>
                  <c:pt idx="8">
                    <c:v>Business Activities</c:v>
                  </c:pt>
                  <c:pt idx="10">
                    <c:v>Hotels and Restaurants</c:v>
                  </c:pt>
                  <c:pt idx="11">
                    <c:v>Machinery</c:v>
                  </c:pt>
                  <c:pt idx="12">
                    <c:v>Food Processing</c:v>
                  </c:pt>
                  <c:pt idx="13">
                    <c:v>Other Chemicals</c:v>
                  </c:pt>
                  <c:pt idx="14">
                    <c:v>Transport</c:v>
                  </c:pt>
                  <c:pt idx="16">
                    <c:v>Fruit and Vegetables</c:v>
                  </c:pt>
                  <c:pt idx="17">
                    <c:v>Iron and Steel</c:v>
                  </c:pt>
                  <c:pt idx="18">
                    <c:v>Metal Products</c:v>
                  </c:pt>
                  <c:pt idx="19">
                    <c:v>Non-Ferrous Metals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38D-48B2-9814-580215321A49}"/>
            </c:ext>
          </c:extLst>
        </c:ser>
        <c:ser>
          <c:idx val="0"/>
          <c:order val="1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'Export orient'!$D$70:$D$89</c:f>
              <c:numCache>
                <c:formatCode>0.0</c:formatCode>
                <c:ptCount val="20"/>
                <c:pt idx="0">
                  <c:v>36.078762785781237</c:v>
                </c:pt>
                <c:pt idx="1">
                  <c:v>34.516412860998066</c:v>
                </c:pt>
                <c:pt idx="4">
                  <c:v>2.2978042931987397</c:v>
                </c:pt>
                <c:pt idx="5">
                  <c:v>18.330033273589581</c:v>
                </c:pt>
                <c:pt idx="7">
                  <c:v>42.965814721926321</c:v>
                </c:pt>
                <c:pt idx="8">
                  <c:v>8.3749406969812163</c:v>
                </c:pt>
                <c:pt idx="10">
                  <c:v>7.5412801313819093</c:v>
                </c:pt>
                <c:pt idx="11">
                  <c:v>36.227013417363715</c:v>
                </c:pt>
                <c:pt idx="12">
                  <c:v>40.817719735380237</c:v>
                </c:pt>
                <c:pt idx="13">
                  <c:v>16.384194605673621</c:v>
                </c:pt>
                <c:pt idx="14">
                  <c:v>24.381218596055515</c:v>
                </c:pt>
                <c:pt idx="16">
                  <c:v>17.364156644435084</c:v>
                </c:pt>
                <c:pt idx="17">
                  <c:v>9.5323616887991687</c:v>
                </c:pt>
                <c:pt idx="18">
                  <c:v>32.903515664433705</c:v>
                </c:pt>
                <c:pt idx="19">
                  <c:v>24.756572560980818</c:v>
                </c:pt>
              </c:numCache>
            </c:numRef>
          </c:xVal>
          <c:yVal>
            <c:numRef>
              <c:f>'Export orient'!$D$70:$D$89</c:f>
              <c:numCache>
                <c:formatCode>0.0</c:formatCode>
                <c:ptCount val="20"/>
                <c:pt idx="0">
                  <c:v>36.078762785781237</c:v>
                </c:pt>
                <c:pt idx="1">
                  <c:v>34.516412860998066</c:v>
                </c:pt>
                <c:pt idx="4">
                  <c:v>2.2978042931987397</c:v>
                </c:pt>
                <c:pt idx="5">
                  <c:v>18.330033273589581</c:v>
                </c:pt>
                <c:pt idx="7">
                  <c:v>42.965814721926321</c:v>
                </c:pt>
                <c:pt idx="8">
                  <c:v>8.3749406969812163</c:v>
                </c:pt>
                <c:pt idx="10">
                  <c:v>7.5412801313819093</c:v>
                </c:pt>
                <c:pt idx="11">
                  <c:v>36.227013417363715</c:v>
                </c:pt>
                <c:pt idx="12">
                  <c:v>40.817719735380237</c:v>
                </c:pt>
                <c:pt idx="13">
                  <c:v>16.384194605673621</c:v>
                </c:pt>
                <c:pt idx="14">
                  <c:v>24.381218596055515</c:v>
                </c:pt>
                <c:pt idx="16">
                  <c:v>17.364156644435084</c:v>
                </c:pt>
                <c:pt idx="17">
                  <c:v>9.5323616887991687</c:v>
                </c:pt>
                <c:pt idx="18">
                  <c:v>32.903515664433705</c:v>
                </c:pt>
                <c:pt idx="19">
                  <c:v>24.756572560980818</c:v>
                </c:pt>
              </c:numCache>
            </c:numRef>
          </c:yVal>
          <c:bubbleSize>
            <c:numRef>
              <c:f>'Export orient'!$F$70:$F$89</c:f>
              <c:numCache>
                <c:formatCode>0.0</c:formatCode>
                <c:ptCount val="20"/>
                <c:pt idx="0">
                  <c:v>0.2</c:v>
                </c:pt>
                <c:pt idx="1">
                  <c:v>0.2</c:v>
                </c:pt>
                <c:pt idx="4">
                  <c:v>0.2</c:v>
                </c:pt>
                <c:pt idx="5">
                  <c:v>0.2</c:v>
                </c:pt>
                <c:pt idx="7">
                  <c:v>0.2</c:v>
                </c:pt>
                <c:pt idx="8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E38D-48B2-9814-58021532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207688047"/>
        <c:axId val="1207685647"/>
      </c:bubbleChart>
      <c:valAx>
        <c:axId val="12076880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85647"/>
        <c:crosses val="autoZero"/>
        <c:crossBetween val="midCat"/>
      </c:valAx>
      <c:valAx>
        <c:axId val="120768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8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352426</xdr:colOff>
      <xdr:row>8</xdr:row>
      <xdr:rowOff>180974</xdr:rowOff>
    </xdr:from>
    <xdr:to>
      <xdr:col>20</xdr:col>
      <xdr:colOff>371476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B657-9DFE-C9D9-7AB4-0B88AFABD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114299</xdr:colOff>
      <xdr:row>70</xdr:row>
      <xdr:rowOff>19048</xdr:rowOff>
    </xdr:from>
    <xdr:to>
      <xdr:col>15</xdr:col>
      <xdr:colOff>76200</xdr:colOff>
      <xdr:row>93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86F8DD-3768-34C3-0926-D0F086D80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lakatos1_worldbank_org/Documents/Desktop/Thailand/Data/IO%20time%20series/IO1990-058.xls" TargetMode="External"/><Relationship Id="rId1" Type="http://schemas.openxmlformats.org/officeDocument/2006/relationships/externalLinkPath" Target="IO1990-0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3"/>
      <sheetName val="IO90-058.DBF"/>
    </sheetNames>
    <sheetDataSet>
      <sheetData sheetId="0"/>
      <sheetData sheetId="1">
        <row r="3">
          <cell r="CD3">
            <v>0</v>
          </cell>
        </row>
        <row r="4">
          <cell r="CD4">
            <v>34.731173568151966</v>
          </cell>
        </row>
        <row r="5">
          <cell r="CD5">
            <v>2.1530531177431613</v>
          </cell>
        </row>
        <row r="6">
          <cell r="CD6">
            <v>24.478939547772512</v>
          </cell>
        </row>
        <row r="7">
          <cell r="CD7">
            <v>2.9093712214354568</v>
          </cell>
        </row>
        <row r="8">
          <cell r="CD8">
            <v>3.3944754330417172E-4</v>
          </cell>
        </row>
        <row r="9">
          <cell r="CD9">
            <v>6.2934438430912341</v>
          </cell>
        </row>
        <row r="10">
          <cell r="CD10">
            <v>7.57806934328626</v>
          </cell>
        </row>
        <row r="11">
          <cell r="CD11">
            <v>0.96855177373514345</v>
          </cell>
        </row>
        <row r="12">
          <cell r="CD12">
            <v>2.1163019793072695</v>
          </cell>
        </row>
        <row r="13">
          <cell r="CD13">
            <v>1.3100587014742797</v>
          </cell>
        </row>
        <row r="14">
          <cell r="CD14">
            <v>4.0154678781849489</v>
          </cell>
        </row>
        <row r="15">
          <cell r="CD15">
            <v>6.5789454856666625</v>
          </cell>
        </row>
        <row r="16">
          <cell r="CD16">
            <v>6.9213351691226128</v>
          </cell>
        </row>
        <row r="17">
          <cell r="CD17">
            <v>10.231141092796744</v>
          </cell>
        </row>
        <row r="18">
          <cell r="CD18">
            <v>51.27128258267696</v>
          </cell>
        </row>
        <row r="19">
          <cell r="CD19">
            <v>39.916209834776424</v>
          </cell>
        </row>
        <row r="20">
          <cell r="CD20">
            <v>47.041507804922084</v>
          </cell>
        </row>
        <row r="21">
          <cell r="CD21">
            <v>19.391189101070104</v>
          </cell>
        </row>
        <row r="22">
          <cell r="CD22">
            <v>10.548462999972905</v>
          </cell>
        </row>
        <row r="23">
          <cell r="CD23">
            <v>3.0134325404676154</v>
          </cell>
        </row>
        <row r="24">
          <cell r="CD24">
            <v>8.9342360896639921</v>
          </cell>
        </row>
        <row r="25">
          <cell r="CD25">
            <v>11.447610226155792</v>
          </cell>
        </row>
        <row r="26">
          <cell r="CD26">
            <v>40.80278977916975</v>
          </cell>
        </row>
        <row r="27">
          <cell r="CD27">
            <v>3.5043549511052534</v>
          </cell>
        </row>
        <row r="28">
          <cell r="CD28">
            <v>6.4652134489647146</v>
          </cell>
        </row>
        <row r="29">
          <cell r="CD29">
            <v>3.5493753561881611</v>
          </cell>
        </row>
        <row r="30">
          <cell r="CD30">
            <v>1.2190211208122168</v>
          </cell>
        </row>
        <row r="31">
          <cell r="CD31">
            <v>4.6761941035183332</v>
          </cell>
        </row>
        <row r="32">
          <cell r="CD32">
            <v>2.4440385480744986</v>
          </cell>
        </row>
        <row r="33">
          <cell r="CD33">
            <v>52.277504170494616</v>
          </cell>
        </row>
        <row r="34">
          <cell r="CD34">
            <v>22.402665099114444</v>
          </cell>
        </row>
        <row r="35">
          <cell r="CD35">
            <v>0.11253544208834731</v>
          </cell>
        </row>
        <row r="36">
          <cell r="CD36">
            <v>12.278224743572515</v>
          </cell>
        </row>
        <row r="37">
          <cell r="CD37">
            <v>2.7785003813283846</v>
          </cell>
        </row>
        <row r="38">
          <cell r="CD38">
            <v>7.6428733414790564</v>
          </cell>
        </row>
        <row r="39">
          <cell r="CD39">
            <v>19.20198563371364</v>
          </cell>
        </row>
        <row r="40">
          <cell r="CD40">
            <v>2.0898026652439983</v>
          </cell>
        </row>
        <row r="41">
          <cell r="CD41">
            <v>29.473383082383119</v>
          </cell>
        </row>
        <row r="42">
          <cell r="CD42">
            <v>1.2050081857626262</v>
          </cell>
        </row>
        <row r="43">
          <cell r="CD43">
            <v>1.99602930006107</v>
          </cell>
        </row>
        <row r="44">
          <cell r="CD44">
            <v>37.233462394400767</v>
          </cell>
        </row>
        <row r="45">
          <cell r="CD45">
            <v>10.834778133383244</v>
          </cell>
        </row>
        <row r="46">
          <cell r="CD46">
            <v>30.305225901176762</v>
          </cell>
        </row>
        <row r="47">
          <cell r="CD47">
            <v>0.39003127402555327</v>
          </cell>
        </row>
        <row r="48">
          <cell r="CD48">
            <v>0.24991502193527354</v>
          </cell>
        </row>
        <row r="49">
          <cell r="CD49">
            <v>0</v>
          </cell>
        </row>
        <row r="50">
          <cell r="CD50">
            <v>0</v>
          </cell>
        </row>
        <row r="51">
          <cell r="CD51">
            <v>0</v>
          </cell>
        </row>
        <row r="52">
          <cell r="CD52">
            <v>19.171881812059517</v>
          </cell>
        </row>
        <row r="53">
          <cell r="CD53">
            <v>25.403689916834292</v>
          </cell>
        </row>
        <row r="54">
          <cell r="CD54">
            <v>7.40483973549029</v>
          </cell>
        </row>
        <row r="55">
          <cell r="CD55">
            <v>0.43126807795590744</v>
          </cell>
        </row>
        <row r="56">
          <cell r="CD56">
            <v>4.9971847931852231</v>
          </cell>
        </row>
        <row r="57">
          <cell r="CD57">
            <v>11.97906799843927</v>
          </cell>
        </row>
        <row r="58">
          <cell r="CD58">
            <v>8.0437017076127854E-2</v>
          </cell>
        </row>
        <row r="59">
          <cell r="CD59">
            <v>4.5851017710854975</v>
          </cell>
        </row>
        <row r="61">
          <cell r="CD61">
            <v>13.31883139981349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silla Lakatos" refreshedDate="46102.604066203705" createdVersion="8" refreshedVersion="8" minRefreshableVersion="3" recordCount="4956" xr:uid="{77834401-2A6E-46F6-9705-3D2E240CC956}">
  <cacheSource type="worksheet">
    <worksheetSource ref="A2:I4958" sheet="processed"/>
  </cacheSource>
  <cacheFields count="9">
    <cacheField name="ROW" numFmtId="0">
      <sharedItems containsSemiMixedTypes="0" containsString="0" containsNumber="1" containsInteger="1" minValue="1" maxValue="210" count="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190"/>
        <n v="201"/>
        <n v="202"/>
        <n v="203"/>
        <n v="204"/>
        <n v="209"/>
        <n v="210"/>
      </sharedItems>
    </cacheField>
    <cacheField name="Row label" numFmtId="0">
      <sharedItems count="65">
        <s v="Paddy"/>
        <s v="Maize"/>
        <s v="Cassava"/>
        <s v="Beans and Nuts"/>
        <s v="Vegetables and Fruits"/>
        <s v="Sugarcane"/>
        <s v="Rubber (Latex)"/>
        <s v="Other Crops"/>
        <s v="Livestock"/>
        <s v="Forestry"/>
        <s v="Fishery"/>
        <s v="Crude Oil and Coal"/>
        <s v="Metal Ore"/>
        <s v="Non-Metal Ore"/>
        <s v="Slaughtering"/>
        <s v="Processing and Presering of Foods"/>
        <s v="Rice and Other Grain Milling"/>
        <s v="Sugar Refineries"/>
        <s v="Other Foods"/>
        <s v="Animal Food"/>
        <s v="Beverages"/>
        <s v="Tobacco Processing and Products"/>
        <s v="Spinning, Weaving and Bleaching"/>
        <s v="Textile Products"/>
        <s v="Paper and Paper Products"/>
        <s v="Printing and Publishing"/>
        <s v="Basic Chemical Products"/>
        <s v="Fertilizer and Pesticides"/>
        <s v="Other Chemical Products"/>
        <s v="Petroleum Refineries"/>
        <s v="Rubber Products"/>
        <s v="Plastic Wares"/>
        <s v="Cement and Concrete Products"/>
        <s v="Other Non-metallic Products"/>
        <s v="Iron and Steel"/>
        <s v="Non-ferrous Metal"/>
        <s v="Fabricated Metal Products"/>
        <s v="Industrial Machinery"/>
        <s v="Electrical Machinery and Apparatus"/>
        <s v="Motor Vehicles and Repairing"/>
        <s v="Other Transportation Equipment"/>
        <s v="Leather Products"/>
        <s v="Saw Mills and Wood Products"/>
        <s v="Other Manufacturing Products"/>
        <s v="Electricity and Gas"/>
        <s v="Water Works and Supply"/>
        <s v="Building Construction"/>
        <s v="Public Works and Other Construction"/>
        <s v="Trade"/>
        <s v="Restaurants and Hotels"/>
        <s v="Transportation"/>
        <s v="Communication"/>
        <s v="Banking and Insurance"/>
        <s v="Real Estate"/>
        <s v="Business Services"/>
        <s v="Public Services"/>
        <s v="Other Services"/>
        <s v="Unclassified"/>
        <s v="Total Intermedite Transaction"/>
        <s v="Wages and Salaries"/>
        <s v="Operating Surplus"/>
        <s v="Depreciation"/>
        <s v="Indirect Taxes less Subsidies"/>
        <s v="Total Value Added"/>
        <s v="Control Total"/>
      </sharedItems>
    </cacheField>
    <cacheField name="COLUMN" numFmtId="0">
      <sharedItems containsSemiMixedTypes="0" containsString="0" containsNumber="1" containsInteger="1" minValue="1" maxValue="700" count="7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190"/>
        <n v="301"/>
        <n v="302"/>
        <n v="303"/>
        <n v="304"/>
        <n v="305"/>
        <n v="306"/>
        <n v="309"/>
        <n v="310"/>
        <n v="401"/>
        <n v="402"/>
        <n v="403"/>
        <n v="404"/>
        <n v="409"/>
        <n v="501"/>
        <n v="502"/>
        <n v="503"/>
        <n v="509"/>
        <n v="600"/>
        <n v="700"/>
      </sharedItems>
    </cacheField>
    <cacheField name="Column label" numFmtId="0">
      <sharedItems count="78">
        <s v="Paddy"/>
        <s v="Maize"/>
        <s v="Cassava"/>
        <s v="Beans and Nuts"/>
        <s v="Vegetables and Fruits"/>
        <s v="Sugarcane"/>
        <s v="Rubber (Latex)"/>
        <s v="Other Crops"/>
        <s v="Livestock"/>
        <s v="Forestry"/>
        <s v="Fishery"/>
        <s v="Crude Oil and Coal"/>
        <s v="Metal Ore"/>
        <s v="Non-Metal Ore"/>
        <s v="Slaughtering"/>
        <s v="Processing and Presering of Foods"/>
        <s v="Rice and Other Grain Milling"/>
        <s v="Sugar Refineries"/>
        <s v="Other Foods"/>
        <s v="Animal Food"/>
        <s v="Beverages"/>
        <s v="Tobacco Processing and Products"/>
        <s v="Spinning, Weaving and Bleaching"/>
        <s v="Textile Products"/>
        <s v="Paper and Paper Products"/>
        <s v="Printing and Publishing"/>
        <s v="Basic Chemical Products"/>
        <s v="Fertilizer and Pesticides"/>
        <s v="Other Chemical Products"/>
        <s v="Petroleum Refineries"/>
        <s v="Rubber Products"/>
        <s v="Plastic Wares"/>
        <s v="Cement and Concrete Products"/>
        <s v="Other Non-metallic Products"/>
        <s v="Iron and Steel"/>
        <s v="Non-ferrous Metal"/>
        <s v="Fabricated Metal Products"/>
        <s v="Industrial Machinery"/>
        <s v="Electrical Machinery and Apparatus"/>
        <s v="Motor Vehicles and Repairing"/>
        <s v="Other Transportation Equipment"/>
        <s v="Leather Products"/>
        <s v="Saw Mills and Wood Products"/>
        <s v="Other Manufacturing Products"/>
        <s v="Electricity and Gas"/>
        <s v="Water Works and Supply"/>
        <s v="Building Construction"/>
        <s v="Public Works and Other Construction"/>
        <s v="Trade"/>
        <s v="Restaurants and Hotels"/>
        <s v="Transportation"/>
        <s v="Communication"/>
        <s v="Banking and Insurance"/>
        <s v="Real Estate"/>
        <s v="Business Services"/>
        <s v="Public Services"/>
        <s v="Other Services"/>
        <s v="Unclassified"/>
        <s v="Total Intermedite Transaction"/>
        <s v="Private Consumption Expenditure"/>
        <s v="Government Consumption Expenditure"/>
        <s v="Gross Fixed Capital Formation"/>
        <s v="Increase in Stock"/>
        <s v="Exports (F.O.B.)"/>
        <s v="Special Exports"/>
        <s v="Total Final Demand"/>
        <s v="Total Demand"/>
        <s v="Imports (C.I.F.)"/>
        <s v="Import Duty"/>
        <s v="Import Tax"/>
        <s v="Special Imports"/>
        <s v="Total Imports"/>
        <s v="Wholesale Trade Margin"/>
        <s v="Retail Trade Margin"/>
        <s v="Transportation Cost"/>
        <s v="Total Margin and Transportation Cost"/>
        <s v="Control Total"/>
        <s v="Total Supply"/>
      </sharedItems>
    </cacheField>
    <cacheField name="PURCHASER" numFmtId="0">
      <sharedItems containsSemiMixedTypes="0" containsString="0" containsNumber="1" containsInteger="1" minValue="-10046718641" maxValue="46348019845"/>
    </cacheField>
    <cacheField name="WHOLESALE" numFmtId="0">
      <sharedItems containsSemiMixedTypes="0" containsString="0" containsNumber="1" containsInteger="1" minValue="-1840342700" maxValue="1840342700"/>
    </cacheField>
    <cacheField name="RETAIL" numFmtId="0">
      <sharedItems containsSemiMixedTypes="0" containsString="0" containsNumber="1" containsInteger="1" minValue="-1434957076" maxValue="1434957076"/>
    </cacheField>
    <cacheField name="TRANSPORT" numFmtId="0">
      <sharedItems containsSemiMixedTypes="0" containsString="0" containsNumber="1" containsInteger="1" minValue="-295640484" maxValue="295640484"/>
    </cacheField>
    <cacheField name="IMPORT" numFmtId="0">
      <sharedItems containsSemiMixedTypes="0" containsString="0" containsNumber="1" containsInteger="1" minValue="-10046718641" maxValue="100467186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6">
  <r>
    <x v="0"/>
    <x v="0"/>
    <x v="0"/>
    <x v="0"/>
    <n v="23826912"/>
    <n v="0"/>
    <n v="0"/>
    <n v="119524"/>
    <n v="5"/>
  </r>
  <r>
    <x v="1"/>
    <x v="1"/>
    <x v="0"/>
    <x v="0"/>
    <n v="0"/>
    <n v="0"/>
    <n v="0"/>
    <n v="0"/>
    <n v="0"/>
  </r>
  <r>
    <x v="2"/>
    <x v="2"/>
    <x v="0"/>
    <x v="0"/>
    <n v="0"/>
    <n v="0"/>
    <n v="0"/>
    <n v="0"/>
    <n v="0"/>
  </r>
  <r>
    <x v="3"/>
    <x v="3"/>
    <x v="0"/>
    <x v="0"/>
    <n v="0"/>
    <n v="0"/>
    <n v="0"/>
    <n v="0"/>
    <n v="0"/>
  </r>
  <r>
    <x v="4"/>
    <x v="4"/>
    <x v="0"/>
    <x v="0"/>
    <n v="0"/>
    <n v="0"/>
    <n v="0"/>
    <n v="0"/>
    <n v="0"/>
  </r>
  <r>
    <x v="5"/>
    <x v="5"/>
    <x v="0"/>
    <x v="0"/>
    <n v="0"/>
    <n v="0"/>
    <n v="0"/>
    <n v="0"/>
    <n v="0"/>
  </r>
  <r>
    <x v="6"/>
    <x v="6"/>
    <x v="0"/>
    <x v="0"/>
    <n v="0"/>
    <n v="0"/>
    <n v="0"/>
    <n v="0"/>
    <n v="0"/>
  </r>
  <r>
    <x v="7"/>
    <x v="7"/>
    <x v="0"/>
    <x v="0"/>
    <n v="16110576"/>
    <n v="0"/>
    <n v="0"/>
    <n v="0"/>
    <n v="0"/>
  </r>
  <r>
    <x v="8"/>
    <x v="8"/>
    <x v="0"/>
    <x v="0"/>
    <n v="0"/>
    <n v="0"/>
    <n v="0"/>
    <n v="0"/>
    <n v="0"/>
  </r>
  <r>
    <x v="9"/>
    <x v="9"/>
    <x v="0"/>
    <x v="0"/>
    <n v="4505"/>
    <n v="19"/>
    <n v="63"/>
    <n v="97"/>
    <n v="0"/>
  </r>
  <r>
    <x v="10"/>
    <x v="10"/>
    <x v="0"/>
    <x v="0"/>
    <n v="0"/>
    <n v="0"/>
    <n v="0"/>
    <n v="0"/>
    <n v="0"/>
  </r>
  <r>
    <x v="11"/>
    <x v="11"/>
    <x v="0"/>
    <x v="0"/>
    <n v="0"/>
    <n v="0"/>
    <n v="0"/>
    <n v="0"/>
    <n v="0"/>
  </r>
  <r>
    <x v="12"/>
    <x v="12"/>
    <x v="0"/>
    <x v="0"/>
    <n v="0"/>
    <n v="0"/>
    <n v="0"/>
    <n v="0"/>
    <n v="0"/>
  </r>
  <r>
    <x v="13"/>
    <x v="13"/>
    <x v="0"/>
    <x v="0"/>
    <n v="0"/>
    <n v="0"/>
    <n v="0"/>
    <n v="0"/>
    <n v="0"/>
  </r>
  <r>
    <x v="14"/>
    <x v="14"/>
    <x v="0"/>
    <x v="0"/>
    <n v="0"/>
    <n v="0"/>
    <n v="0"/>
    <n v="0"/>
    <n v="0"/>
  </r>
  <r>
    <x v="15"/>
    <x v="15"/>
    <x v="0"/>
    <x v="0"/>
    <n v="0"/>
    <n v="0"/>
    <n v="0"/>
    <n v="0"/>
    <n v="0"/>
  </r>
  <r>
    <x v="16"/>
    <x v="16"/>
    <x v="0"/>
    <x v="0"/>
    <n v="0"/>
    <n v="0"/>
    <n v="0"/>
    <n v="0"/>
    <n v="0"/>
  </r>
  <r>
    <x v="17"/>
    <x v="17"/>
    <x v="0"/>
    <x v="0"/>
    <n v="0"/>
    <n v="0"/>
    <n v="0"/>
    <n v="0"/>
    <n v="0"/>
  </r>
  <r>
    <x v="18"/>
    <x v="18"/>
    <x v="0"/>
    <x v="0"/>
    <n v="0"/>
    <n v="0"/>
    <n v="0"/>
    <n v="0"/>
    <n v="0"/>
  </r>
  <r>
    <x v="19"/>
    <x v="19"/>
    <x v="0"/>
    <x v="0"/>
    <n v="0"/>
    <n v="0"/>
    <n v="0"/>
    <n v="0"/>
    <n v="0"/>
  </r>
  <r>
    <x v="20"/>
    <x v="20"/>
    <x v="0"/>
    <x v="0"/>
    <n v="0"/>
    <n v="0"/>
    <n v="0"/>
    <n v="0"/>
    <n v="0"/>
  </r>
  <r>
    <x v="21"/>
    <x v="21"/>
    <x v="0"/>
    <x v="0"/>
    <n v="0"/>
    <n v="0"/>
    <n v="0"/>
    <n v="0"/>
    <n v="0"/>
  </r>
  <r>
    <x v="22"/>
    <x v="22"/>
    <x v="0"/>
    <x v="0"/>
    <n v="0"/>
    <n v="0"/>
    <n v="0"/>
    <n v="0"/>
    <n v="0"/>
  </r>
  <r>
    <x v="23"/>
    <x v="23"/>
    <x v="0"/>
    <x v="0"/>
    <n v="30174"/>
    <n v="3268"/>
    <n v="507"/>
    <n v="184"/>
    <n v="0"/>
  </r>
  <r>
    <x v="24"/>
    <x v="24"/>
    <x v="0"/>
    <x v="0"/>
    <n v="0"/>
    <n v="0"/>
    <n v="0"/>
    <n v="0"/>
    <n v="0"/>
  </r>
  <r>
    <x v="25"/>
    <x v="25"/>
    <x v="0"/>
    <x v="0"/>
    <n v="0"/>
    <n v="0"/>
    <n v="0"/>
    <n v="0"/>
    <n v="0"/>
  </r>
  <r>
    <x v="26"/>
    <x v="26"/>
    <x v="0"/>
    <x v="0"/>
    <n v="0"/>
    <n v="0"/>
    <n v="0"/>
    <n v="0"/>
    <n v="0"/>
  </r>
  <r>
    <x v="27"/>
    <x v="27"/>
    <x v="0"/>
    <x v="0"/>
    <n v="43078118"/>
    <n v="3655127"/>
    <n v="2729612"/>
    <n v="1325438"/>
    <n v="24777541"/>
  </r>
  <r>
    <x v="28"/>
    <x v="28"/>
    <x v="0"/>
    <x v="0"/>
    <n v="32700"/>
    <n v="2839"/>
    <n v="3913"/>
    <n v="208"/>
    <n v="0"/>
  </r>
  <r>
    <x v="29"/>
    <x v="29"/>
    <x v="0"/>
    <x v="0"/>
    <n v="10090789"/>
    <n v="400746"/>
    <n v="363558"/>
    <n v="92828"/>
    <n v="1964873"/>
  </r>
  <r>
    <x v="30"/>
    <x v="30"/>
    <x v="0"/>
    <x v="0"/>
    <n v="8953"/>
    <n v="1698"/>
    <n v="1304"/>
    <n v="236"/>
    <n v="0"/>
  </r>
  <r>
    <x v="31"/>
    <x v="31"/>
    <x v="0"/>
    <x v="0"/>
    <n v="423548"/>
    <n v="9127"/>
    <n v="23654"/>
    <n v="3032"/>
    <n v="104099"/>
  </r>
  <r>
    <x v="32"/>
    <x v="32"/>
    <x v="0"/>
    <x v="0"/>
    <n v="0"/>
    <n v="0"/>
    <n v="0"/>
    <n v="0"/>
    <n v="0"/>
  </r>
  <r>
    <x v="33"/>
    <x v="33"/>
    <x v="0"/>
    <x v="0"/>
    <n v="0"/>
    <n v="0"/>
    <n v="0"/>
    <n v="0"/>
    <n v="0"/>
  </r>
  <r>
    <x v="34"/>
    <x v="34"/>
    <x v="0"/>
    <x v="0"/>
    <n v="2318"/>
    <n v="98"/>
    <n v="110"/>
    <n v="28"/>
    <n v="600"/>
  </r>
  <r>
    <x v="35"/>
    <x v="35"/>
    <x v="0"/>
    <x v="0"/>
    <n v="0"/>
    <n v="0"/>
    <n v="0"/>
    <n v="0"/>
    <n v="0"/>
  </r>
  <r>
    <x v="36"/>
    <x v="36"/>
    <x v="0"/>
    <x v="0"/>
    <n v="2231216"/>
    <n v="73468"/>
    <n v="160204"/>
    <n v="13587"/>
    <n v="729139"/>
  </r>
  <r>
    <x v="37"/>
    <x v="37"/>
    <x v="0"/>
    <x v="0"/>
    <n v="1758200"/>
    <n v="97064"/>
    <n v="190008"/>
    <n v="15533"/>
    <n v="0"/>
  </r>
  <r>
    <x v="38"/>
    <x v="38"/>
    <x v="0"/>
    <x v="0"/>
    <n v="22873"/>
    <n v="1304"/>
    <n v="1493"/>
    <n v="213"/>
    <n v="0"/>
  </r>
  <r>
    <x v="39"/>
    <x v="39"/>
    <x v="0"/>
    <x v="0"/>
    <n v="373720"/>
    <n v="0"/>
    <n v="0"/>
    <n v="0"/>
    <n v="0"/>
  </r>
  <r>
    <x v="40"/>
    <x v="40"/>
    <x v="0"/>
    <x v="0"/>
    <n v="0"/>
    <n v="0"/>
    <n v="0"/>
    <n v="0"/>
    <n v="0"/>
  </r>
  <r>
    <x v="41"/>
    <x v="41"/>
    <x v="0"/>
    <x v="0"/>
    <n v="0"/>
    <n v="0"/>
    <n v="0"/>
    <n v="0"/>
    <n v="0"/>
  </r>
  <r>
    <x v="42"/>
    <x v="42"/>
    <x v="0"/>
    <x v="0"/>
    <n v="5485"/>
    <n v="684"/>
    <n v="1020"/>
    <n v="65"/>
    <n v="0"/>
  </r>
  <r>
    <x v="43"/>
    <x v="43"/>
    <x v="0"/>
    <x v="0"/>
    <n v="10630"/>
    <n v="940"/>
    <n v="830"/>
    <n v="126"/>
    <n v="0"/>
  </r>
  <r>
    <x v="44"/>
    <x v="44"/>
    <x v="0"/>
    <x v="0"/>
    <n v="39678"/>
    <n v="0"/>
    <n v="0"/>
    <n v="0"/>
    <n v="0"/>
  </r>
  <r>
    <x v="45"/>
    <x v="45"/>
    <x v="0"/>
    <x v="0"/>
    <n v="200462"/>
    <n v="0"/>
    <n v="0"/>
    <n v="0"/>
    <n v="0"/>
  </r>
  <r>
    <x v="46"/>
    <x v="46"/>
    <x v="0"/>
    <x v="0"/>
    <n v="68970"/>
    <n v="0"/>
    <n v="0"/>
    <n v="0"/>
    <n v="0"/>
  </r>
  <r>
    <x v="47"/>
    <x v="47"/>
    <x v="0"/>
    <x v="0"/>
    <n v="0"/>
    <n v="0"/>
    <n v="0"/>
    <n v="0"/>
    <n v="0"/>
  </r>
  <r>
    <x v="48"/>
    <x v="48"/>
    <x v="0"/>
    <x v="0"/>
    <n v="0"/>
    <n v="-4246382"/>
    <n v="-3476276"/>
    <n v="0"/>
    <n v="0"/>
  </r>
  <r>
    <x v="49"/>
    <x v="49"/>
    <x v="0"/>
    <x v="0"/>
    <n v="0"/>
    <n v="0"/>
    <n v="0"/>
    <n v="0"/>
    <n v="0"/>
  </r>
  <r>
    <x v="50"/>
    <x v="50"/>
    <x v="0"/>
    <x v="0"/>
    <n v="596343"/>
    <n v="0"/>
    <n v="0"/>
    <n v="-1571099"/>
    <n v="0"/>
  </r>
  <r>
    <x v="51"/>
    <x v="51"/>
    <x v="0"/>
    <x v="0"/>
    <n v="1220272"/>
    <n v="0"/>
    <n v="0"/>
    <n v="0"/>
    <n v="0"/>
  </r>
  <r>
    <x v="52"/>
    <x v="52"/>
    <x v="0"/>
    <x v="0"/>
    <n v="6761672"/>
    <n v="0"/>
    <n v="0"/>
    <n v="0"/>
    <n v="0"/>
  </r>
  <r>
    <x v="53"/>
    <x v="53"/>
    <x v="0"/>
    <x v="0"/>
    <n v="0"/>
    <n v="0"/>
    <n v="0"/>
    <n v="0"/>
    <n v="0"/>
  </r>
  <r>
    <x v="54"/>
    <x v="54"/>
    <x v="0"/>
    <x v="0"/>
    <n v="0"/>
    <n v="0"/>
    <n v="0"/>
    <n v="0"/>
    <n v="0"/>
  </r>
  <r>
    <x v="55"/>
    <x v="55"/>
    <x v="0"/>
    <x v="0"/>
    <n v="0"/>
    <n v="0"/>
    <n v="0"/>
    <n v="0"/>
    <n v="0"/>
  </r>
  <r>
    <x v="56"/>
    <x v="56"/>
    <x v="0"/>
    <x v="0"/>
    <n v="7649"/>
    <n v="0"/>
    <n v="0"/>
    <n v="0"/>
    <n v="0"/>
  </r>
  <r>
    <x v="57"/>
    <x v="57"/>
    <x v="0"/>
    <x v="0"/>
    <n v="911"/>
    <n v="0"/>
    <n v="0"/>
    <n v="0"/>
    <n v="77"/>
  </r>
  <r>
    <x v="58"/>
    <x v="58"/>
    <x v="0"/>
    <x v="0"/>
    <n v="106906674"/>
    <n v="0"/>
    <n v="0"/>
    <n v="0"/>
    <n v="27576334"/>
  </r>
  <r>
    <x v="59"/>
    <x v="59"/>
    <x v="0"/>
    <x v="0"/>
    <n v="66711643"/>
    <n v="0"/>
    <n v="0"/>
    <n v="0"/>
    <n v="0"/>
  </r>
  <r>
    <x v="60"/>
    <x v="60"/>
    <x v="0"/>
    <x v="0"/>
    <n v="103830453"/>
    <n v="0"/>
    <n v="0"/>
    <n v="0"/>
    <n v="0"/>
  </r>
  <r>
    <x v="61"/>
    <x v="61"/>
    <x v="0"/>
    <x v="0"/>
    <n v="23207172"/>
    <n v="0"/>
    <n v="0"/>
    <n v="0"/>
    <n v="0"/>
  </r>
  <r>
    <x v="62"/>
    <x v="62"/>
    <x v="0"/>
    <x v="0"/>
    <n v="149515"/>
    <n v="0"/>
    <n v="0"/>
    <n v="0"/>
    <n v="0"/>
  </r>
  <r>
    <x v="63"/>
    <x v="63"/>
    <x v="0"/>
    <x v="0"/>
    <n v="193898783"/>
    <n v="0"/>
    <n v="0"/>
    <n v="0"/>
    <n v="0"/>
  </r>
  <r>
    <x v="64"/>
    <x v="64"/>
    <x v="0"/>
    <x v="0"/>
    <n v="300805457"/>
    <n v="0"/>
    <n v="0"/>
    <n v="0"/>
    <n v="0"/>
  </r>
  <r>
    <x v="0"/>
    <x v="0"/>
    <x v="1"/>
    <x v="1"/>
    <n v="0"/>
    <n v="0"/>
    <n v="0"/>
    <n v="0"/>
    <n v="0"/>
  </r>
  <r>
    <x v="1"/>
    <x v="1"/>
    <x v="1"/>
    <x v="1"/>
    <n v="5865215"/>
    <n v="118417"/>
    <n v="7623"/>
    <n v="48251"/>
    <n v="183307"/>
  </r>
  <r>
    <x v="2"/>
    <x v="2"/>
    <x v="1"/>
    <x v="1"/>
    <n v="0"/>
    <n v="0"/>
    <n v="0"/>
    <n v="0"/>
    <n v="0"/>
  </r>
  <r>
    <x v="3"/>
    <x v="3"/>
    <x v="1"/>
    <x v="1"/>
    <n v="0"/>
    <n v="0"/>
    <n v="0"/>
    <n v="0"/>
    <n v="0"/>
  </r>
  <r>
    <x v="4"/>
    <x v="4"/>
    <x v="1"/>
    <x v="1"/>
    <n v="0"/>
    <n v="0"/>
    <n v="0"/>
    <n v="0"/>
    <n v="0"/>
  </r>
  <r>
    <x v="5"/>
    <x v="5"/>
    <x v="1"/>
    <x v="1"/>
    <n v="0"/>
    <n v="0"/>
    <n v="0"/>
    <n v="0"/>
    <n v="0"/>
  </r>
  <r>
    <x v="6"/>
    <x v="6"/>
    <x v="1"/>
    <x v="1"/>
    <n v="0"/>
    <n v="0"/>
    <n v="0"/>
    <n v="0"/>
    <n v="0"/>
  </r>
  <r>
    <x v="7"/>
    <x v="7"/>
    <x v="1"/>
    <x v="1"/>
    <n v="829269"/>
    <n v="0"/>
    <n v="0"/>
    <n v="0"/>
    <n v="0"/>
  </r>
  <r>
    <x v="8"/>
    <x v="8"/>
    <x v="1"/>
    <x v="1"/>
    <n v="0"/>
    <n v="0"/>
    <n v="0"/>
    <n v="0"/>
    <n v="0"/>
  </r>
  <r>
    <x v="9"/>
    <x v="9"/>
    <x v="1"/>
    <x v="1"/>
    <n v="0"/>
    <n v="0"/>
    <n v="0"/>
    <n v="0"/>
    <n v="0"/>
  </r>
  <r>
    <x v="10"/>
    <x v="10"/>
    <x v="1"/>
    <x v="1"/>
    <n v="0"/>
    <n v="0"/>
    <n v="0"/>
    <n v="0"/>
    <n v="0"/>
  </r>
  <r>
    <x v="11"/>
    <x v="11"/>
    <x v="1"/>
    <x v="1"/>
    <n v="0"/>
    <n v="0"/>
    <n v="0"/>
    <n v="0"/>
    <n v="0"/>
  </r>
  <r>
    <x v="12"/>
    <x v="12"/>
    <x v="1"/>
    <x v="1"/>
    <n v="0"/>
    <n v="0"/>
    <n v="0"/>
    <n v="0"/>
    <n v="0"/>
  </r>
  <r>
    <x v="13"/>
    <x v="13"/>
    <x v="1"/>
    <x v="1"/>
    <n v="0"/>
    <n v="0"/>
    <n v="0"/>
    <n v="0"/>
    <n v="0"/>
  </r>
  <r>
    <x v="14"/>
    <x v="14"/>
    <x v="1"/>
    <x v="1"/>
    <n v="0"/>
    <n v="0"/>
    <n v="0"/>
    <n v="0"/>
    <n v="0"/>
  </r>
  <r>
    <x v="15"/>
    <x v="15"/>
    <x v="1"/>
    <x v="1"/>
    <n v="0"/>
    <n v="0"/>
    <n v="0"/>
    <n v="0"/>
    <n v="0"/>
  </r>
  <r>
    <x v="16"/>
    <x v="16"/>
    <x v="1"/>
    <x v="1"/>
    <n v="0"/>
    <n v="0"/>
    <n v="0"/>
    <n v="0"/>
    <n v="0"/>
  </r>
  <r>
    <x v="17"/>
    <x v="17"/>
    <x v="1"/>
    <x v="1"/>
    <n v="0"/>
    <n v="0"/>
    <n v="0"/>
    <n v="0"/>
    <n v="0"/>
  </r>
  <r>
    <x v="18"/>
    <x v="18"/>
    <x v="1"/>
    <x v="1"/>
    <n v="0"/>
    <n v="0"/>
    <n v="0"/>
    <n v="0"/>
    <n v="0"/>
  </r>
  <r>
    <x v="19"/>
    <x v="19"/>
    <x v="1"/>
    <x v="1"/>
    <n v="0"/>
    <n v="0"/>
    <n v="0"/>
    <n v="0"/>
    <n v="0"/>
  </r>
  <r>
    <x v="20"/>
    <x v="20"/>
    <x v="1"/>
    <x v="1"/>
    <n v="0"/>
    <n v="0"/>
    <n v="0"/>
    <n v="0"/>
    <n v="0"/>
  </r>
  <r>
    <x v="21"/>
    <x v="21"/>
    <x v="1"/>
    <x v="1"/>
    <n v="0"/>
    <n v="0"/>
    <n v="0"/>
    <n v="0"/>
    <n v="0"/>
  </r>
  <r>
    <x v="22"/>
    <x v="22"/>
    <x v="1"/>
    <x v="1"/>
    <n v="0"/>
    <n v="0"/>
    <n v="0"/>
    <n v="0"/>
    <n v="0"/>
  </r>
  <r>
    <x v="23"/>
    <x v="23"/>
    <x v="1"/>
    <x v="1"/>
    <n v="208864"/>
    <n v="40304"/>
    <n v="4800"/>
    <n v="1843"/>
    <n v="0"/>
  </r>
  <r>
    <x v="24"/>
    <x v="24"/>
    <x v="1"/>
    <x v="1"/>
    <n v="554"/>
    <n v="22"/>
    <n v="16"/>
    <n v="5"/>
    <n v="0"/>
  </r>
  <r>
    <x v="25"/>
    <x v="25"/>
    <x v="1"/>
    <x v="1"/>
    <n v="0"/>
    <n v="0"/>
    <n v="0"/>
    <n v="0"/>
    <n v="0"/>
  </r>
  <r>
    <x v="26"/>
    <x v="26"/>
    <x v="1"/>
    <x v="1"/>
    <n v="0"/>
    <n v="0"/>
    <n v="0"/>
    <n v="0"/>
    <n v="0"/>
  </r>
  <r>
    <x v="27"/>
    <x v="27"/>
    <x v="1"/>
    <x v="1"/>
    <n v="6761322"/>
    <n v="768586"/>
    <n v="727783"/>
    <n v="290677"/>
    <n v="3881156"/>
  </r>
  <r>
    <x v="28"/>
    <x v="28"/>
    <x v="1"/>
    <x v="1"/>
    <n v="0"/>
    <n v="0"/>
    <n v="0"/>
    <n v="0"/>
    <n v="0"/>
  </r>
  <r>
    <x v="29"/>
    <x v="29"/>
    <x v="1"/>
    <x v="1"/>
    <n v="873484"/>
    <n v="67102"/>
    <n v="89490"/>
    <n v="8932"/>
    <n v="155366"/>
  </r>
  <r>
    <x v="30"/>
    <x v="30"/>
    <x v="1"/>
    <x v="1"/>
    <n v="273"/>
    <n v="38"/>
    <n v="40"/>
    <n v="7"/>
    <n v="0"/>
  </r>
  <r>
    <x v="31"/>
    <x v="31"/>
    <x v="1"/>
    <x v="1"/>
    <n v="18420"/>
    <n v="449"/>
    <n v="1059"/>
    <n v="135"/>
    <n v="4545"/>
  </r>
  <r>
    <x v="32"/>
    <x v="32"/>
    <x v="1"/>
    <x v="1"/>
    <n v="0"/>
    <n v="0"/>
    <n v="0"/>
    <n v="0"/>
    <n v="0"/>
  </r>
  <r>
    <x v="33"/>
    <x v="33"/>
    <x v="1"/>
    <x v="1"/>
    <n v="0"/>
    <n v="0"/>
    <n v="0"/>
    <n v="0"/>
    <n v="0"/>
  </r>
  <r>
    <x v="34"/>
    <x v="34"/>
    <x v="1"/>
    <x v="1"/>
    <n v="0"/>
    <n v="0"/>
    <n v="0"/>
    <n v="0"/>
    <n v="0"/>
  </r>
  <r>
    <x v="35"/>
    <x v="35"/>
    <x v="1"/>
    <x v="1"/>
    <n v="0"/>
    <n v="0"/>
    <n v="0"/>
    <n v="0"/>
    <n v="0"/>
  </r>
  <r>
    <x v="36"/>
    <x v="36"/>
    <x v="1"/>
    <x v="1"/>
    <n v="262041"/>
    <n v="17111"/>
    <n v="27927"/>
    <n v="2009"/>
    <n v="32161"/>
  </r>
  <r>
    <x v="37"/>
    <x v="37"/>
    <x v="1"/>
    <x v="1"/>
    <n v="541261"/>
    <n v="42953"/>
    <n v="55710"/>
    <n v="4412"/>
    <n v="0"/>
  </r>
  <r>
    <x v="38"/>
    <x v="38"/>
    <x v="1"/>
    <x v="1"/>
    <n v="0"/>
    <n v="0"/>
    <n v="0"/>
    <n v="0"/>
    <n v="0"/>
  </r>
  <r>
    <x v="39"/>
    <x v="39"/>
    <x v="1"/>
    <x v="1"/>
    <n v="114877"/>
    <n v="0"/>
    <n v="0"/>
    <n v="0"/>
    <n v="0"/>
  </r>
  <r>
    <x v="40"/>
    <x v="40"/>
    <x v="1"/>
    <x v="1"/>
    <n v="0"/>
    <n v="0"/>
    <n v="0"/>
    <n v="0"/>
    <n v="0"/>
  </r>
  <r>
    <x v="41"/>
    <x v="41"/>
    <x v="1"/>
    <x v="1"/>
    <n v="0"/>
    <n v="0"/>
    <n v="0"/>
    <n v="0"/>
    <n v="0"/>
  </r>
  <r>
    <x v="42"/>
    <x v="42"/>
    <x v="1"/>
    <x v="1"/>
    <n v="42865"/>
    <n v="5615"/>
    <n v="3978"/>
    <n v="328"/>
    <n v="0"/>
  </r>
  <r>
    <x v="43"/>
    <x v="43"/>
    <x v="1"/>
    <x v="1"/>
    <n v="463"/>
    <n v="43"/>
    <n v="38"/>
    <n v="5"/>
    <n v="0"/>
  </r>
  <r>
    <x v="44"/>
    <x v="44"/>
    <x v="1"/>
    <x v="1"/>
    <n v="1798"/>
    <n v="0"/>
    <n v="0"/>
    <n v="0"/>
    <n v="0"/>
  </r>
  <r>
    <x v="45"/>
    <x v="45"/>
    <x v="1"/>
    <x v="1"/>
    <n v="28166"/>
    <n v="0"/>
    <n v="0"/>
    <n v="0"/>
    <n v="0"/>
  </r>
  <r>
    <x v="46"/>
    <x v="46"/>
    <x v="1"/>
    <x v="1"/>
    <n v="5270"/>
    <n v="0"/>
    <n v="0"/>
    <n v="0"/>
    <n v="0"/>
  </r>
  <r>
    <x v="47"/>
    <x v="47"/>
    <x v="1"/>
    <x v="1"/>
    <n v="0"/>
    <n v="0"/>
    <n v="0"/>
    <n v="0"/>
    <n v="0"/>
  </r>
  <r>
    <x v="48"/>
    <x v="48"/>
    <x v="1"/>
    <x v="1"/>
    <n v="0"/>
    <n v="-1060640"/>
    <n v="-918464"/>
    <n v="0"/>
    <n v="0"/>
  </r>
  <r>
    <x v="49"/>
    <x v="49"/>
    <x v="1"/>
    <x v="1"/>
    <n v="0"/>
    <n v="0"/>
    <n v="0"/>
    <n v="0"/>
    <n v="0"/>
  </r>
  <r>
    <x v="50"/>
    <x v="50"/>
    <x v="1"/>
    <x v="1"/>
    <n v="113104"/>
    <n v="0"/>
    <n v="0"/>
    <n v="-356604"/>
    <n v="0"/>
  </r>
  <r>
    <x v="51"/>
    <x v="51"/>
    <x v="1"/>
    <x v="1"/>
    <n v="142146"/>
    <n v="0"/>
    <n v="0"/>
    <n v="0"/>
    <n v="0"/>
  </r>
  <r>
    <x v="52"/>
    <x v="52"/>
    <x v="1"/>
    <x v="1"/>
    <n v="1071866"/>
    <n v="0"/>
    <n v="0"/>
    <n v="0"/>
    <n v="0"/>
  </r>
  <r>
    <x v="53"/>
    <x v="53"/>
    <x v="1"/>
    <x v="1"/>
    <n v="0"/>
    <n v="0"/>
    <n v="0"/>
    <n v="0"/>
    <n v="0"/>
  </r>
  <r>
    <x v="54"/>
    <x v="54"/>
    <x v="1"/>
    <x v="1"/>
    <n v="0"/>
    <n v="0"/>
    <n v="0"/>
    <n v="0"/>
    <n v="0"/>
  </r>
  <r>
    <x v="55"/>
    <x v="55"/>
    <x v="1"/>
    <x v="1"/>
    <n v="0"/>
    <n v="0"/>
    <n v="0"/>
    <n v="0"/>
    <n v="0"/>
  </r>
  <r>
    <x v="56"/>
    <x v="56"/>
    <x v="1"/>
    <x v="1"/>
    <n v="17942"/>
    <n v="0"/>
    <n v="0"/>
    <n v="0"/>
    <n v="0"/>
  </r>
  <r>
    <x v="57"/>
    <x v="57"/>
    <x v="1"/>
    <x v="1"/>
    <n v="24576"/>
    <n v="0"/>
    <n v="0"/>
    <n v="0"/>
    <n v="2321"/>
  </r>
  <r>
    <x v="58"/>
    <x v="58"/>
    <x v="1"/>
    <x v="1"/>
    <n v="16923776"/>
    <n v="0"/>
    <n v="0"/>
    <n v="0"/>
    <n v="4258856"/>
  </r>
  <r>
    <x v="59"/>
    <x v="59"/>
    <x v="1"/>
    <x v="1"/>
    <n v="10628282"/>
    <n v="0"/>
    <n v="0"/>
    <n v="0"/>
    <n v="0"/>
  </r>
  <r>
    <x v="60"/>
    <x v="60"/>
    <x v="1"/>
    <x v="1"/>
    <n v="12857217"/>
    <n v="0"/>
    <n v="0"/>
    <n v="0"/>
    <n v="0"/>
  </r>
  <r>
    <x v="61"/>
    <x v="61"/>
    <x v="1"/>
    <x v="1"/>
    <n v="1477950"/>
    <n v="0"/>
    <n v="0"/>
    <n v="0"/>
    <n v="0"/>
  </r>
  <r>
    <x v="62"/>
    <x v="62"/>
    <x v="1"/>
    <x v="1"/>
    <n v="20830"/>
    <n v="0"/>
    <n v="0"/>
    <n v="0"/>
    <n v="0"/>
  </r>
  <r>
    <x v="63"/>
    <x v="63"/>
    <x v="1"/>
    <x v="1"/>
    <n v="24984279"/>
    <n v="0"/>
    <n v="0"/>
    <n v="0"/>
    <n v="0"/>
  </r>
  <r>
    <x v="64"/>
    <x v="64"/>
    <x v="1"/>
    <x v="1"/>
    <n v="41908055"/>
    <n v="0"/>
    <n v="0"/>
    <n v="0"/>
    <n v="0"/>
  </r>
  <r>
    <x v="0"/>
    <x v="0"/>
    <x v="2"/>
    <x v="2"/>
    <n v="0"/>
    <n v="0"/>
    <n v="0"/>
    <n v="0"/>
    <n v="0"/>
  </r>
  <r>
    <x v="1"/>
    <x v="1"/>
    <x v="2"/>
    <x v="2"/>
    <n v="0"/>
    <n v="0"/>
    <n v="0"/>
    <n v="0"/>
    <n v="0"/>
  </r>
  <r>
    <x v="2"/>
    <x v="2"/>
    <x v="2"/>
    <x v="2"/>
    <n v="7591967"/>
    <n v="153367"/>
    <n v="0"/>
    <n v="34103"/>
    <n v="0"/>
  </r>
  <r>
    <x v="3"/>
    <x v="3"/>
    <x v="2"/>
    <x v="2"/>
    <n v="0"/>
    <n v="0"/>
    <n v="0"/>
    <n v="0"/>
    <n v="0"/>
  </r>
  <r>
    <x v="4"/>
    <x v="4"/>
    <x v="2"/>
    <x v="2"/>
    <n v="0"/>
    <n v="0"/>
    <n v="0"/>
    <n v="0"/>
    <n v="0"/>
  </r>
  <r>
    <x v="5"/>
    <x v="5"/>
    <x v="2"/>
    <x v="2"/>
    <n v="0"/>
    <n v="0"/>
    <n v="0"/>
    <n v="0"/>
    <n v="0"/>
  </r>
  <r>
    <x v="6"/>
    <x v="6"/>
    <x v="2"/>
    <x v="2"/>
    <n v="0"/>
    <n v="0"/>
    <n v="0"/>
    <n v="0"/>
    <n v="0"/>
  </r>
  <r>
    <x v="7"/>
    <x v="7"/>
    <x v="2"/>
    <x v="2"/>
    <n v="1504441"/>
    <n v="0"/>
    <n v="0"/>
    <n v="0"/>
    <n v="0"/>
  </r>
  <r>
    <x v="8"/>
    <x v="8"/>
    <x v="2"/>
    <x v="2"/>
    <n v="0"/>
    <n v="0"/>
    <n v="0"/>
    <n v="0"/>
    <n v="0"/>
  </r>
  <r>
    <x v="9"/>
    <x v="9"/>
    <x v="2"/>
    <x v="2"/>
    <n v="0"/>
    <n v="0"/>
    <n v="0"/>
    <n v="0"/>
    <n v="0"/>
  </r>
  <r>
    <x v="10"/>
    <x v="10"/>
    <x v="2"/>
    <x v="2"/>
    <n v="0"/>
    <n v="0"/>
    <n v="0"/>
    <n v="0"/>
    <n v="0"/>
  </r>
  <r>
    <x v="11"/>
    <x v="11"/>
    <x v="2"/>
    <x v="2"/>
    <n v="0"/>
    <n v="0"/>
    <n v="0"/>
    <n v="0"/>
    <n v="0"/>
  </r>
  <r>
    <x v="12"/>
    <x v="12"/>
    <x v="2"/>
    <x v="2"/>
    <n v="0"/>
    <n v="0"/>
    <n v="0"/>
    <n v="0"/>
    <n v="0"/>
  </r>
  <r>
    <x v="13"/>
    <x v="13"/>
    <x v="2"/>
    <x v="2"/>
    <n v="0"/>
    <n v="0"/>
    <n v="0"/>
    <n v="0"/>
    <n v="0"/>
  </r>
  <r>
    <x v="14"/>
    <x v="14"/>
    <x v="2"/>
    <x v="2"/>
    <n v="0"/>
    <n v="0"/>
    <n v="0"/>
    <n v="0"/>
    <n v="0"/>
  </r>
  <r>
    <x v="15"/>
    <x v="15"/>
    <x v="2"/>
    <x v="2"/>
    <n v="0"/>
    <n v="0"/>
    <n v="0"/>
    <n v="0"/>
    <n v="0"/>
  </r>
  <r>
    <x v="16"/>
    <x v="16"/>
    <x v="2"/>
    <x v="2"/>
    <n v="0"/>
    <n v="0"/>
    <n v="0"/>
    <n v="0"/>
    <n v="0"/>
  </r>
  <r>
    <x v="17"/>
    <x v="17"/>
    <x v="2"/>
    <x v="2"/>
    <n v="0"/>
    <n v="0"/>
    <n v="0"/>
    <n v="0"/>
    <n v="0"/>
  </r>
  <r>
    <x v="18"/>
    <x v="18"/>
    <x v="2"/>
    <x v="2"/>
    <n v="0"/>
    <n v="0"/>
    <n v="0"/>
    <n v="0"/>
    <n v="0"/>
  </r>
  <r>
    <x v="19"/>
    <x v="19"/>
    <x v="2"/>
    <x v="2"/>
    <n v="0"/>
    <n v="0"/>
    <n v="0"/>
    <n v="0"/>
    <n v="0"/>
  </r>
  <r>
    <x v="20"/>
    <x v="20"/>
    <x v="2"/>
    <x v="2"/>
    <n v="0"/>
    <n v="0"/>
    <n v="0"/>
    <n v="0"/>
    <n v="0"/>
  </r>
  <r>
    <x v="21"/>
    <x v="21"/>
    <x v="2"/>
    <x v="2"/>
    <n v="0"/>
    <n v="0"/>
    <n v="0"/>
    <n v="0"/>
    <n v="0"/>
  </r>
  <r>
    <x v="22"/>
    <x v="22"/>
    <x v="2"/>
    <x v="2"/>
    <n v="0"/>
    <n v="0"/>
    <n v="0"/>
    <n v="0"/>
    <n v="0"/>
  </r>
  <r>
    <x v="23"/>
    <x v="23"/>
    <x v="2"/>
    <x v="2"/>
    <n v="951"/>
    <n v="61"/>
    <n v="0"/>
    <n v="0"/>
    <n v="0"/>
  </r>
  <r>
    <x v="24"/>
    <x v="24"/>
    <x v="2"/>
    <x v="2"/>
    <n v="0"/>
    <n v="0"/>
    <n v="0"/>
    <n v="0"/>
    <n v="0"/>
  </r>
  <r>
    <x v="25"/>
    <x v="25"/>
    <x v="2"/>
    <x v="2"/>
    <n v="0"/>
    <n v="0"/>
    <n v="0"/>
    <n v="0"/>
    <n v="0"/>
  </r>
  <r>
    <x v="26"/>
    <x v="26"/>
    <x v="2"/>
    <x v="2"/>
    <n v="0"/>
    <n v="0"/>
    <n v="0"/>
    <n v="0"/>
    <n v="0"/>
  </r>
  <r>
    <x v="27"/>
    <x v="27"/>
    <x v="2"/>
    <x v="2"/>
    <n v="10990700"/>
    <n v="974697"/>
    <n v="555455"/>
    <n v="440456"/>
    <n v="5872805"/>
  </r>
  <r>
    <x v="28"/>
    <x v="28"/>
    <x v="2"/>
    <x v="2"/>
    <n v="0"/>
    <n v="0"/>
    <n v="0"/>
    <n v="0"/>
    <n v="0"/>
  </r>
  <r>
    <x v="29"/>
    <x v="29"/>
    <x v="2"/>
    <x v="2"/>
    <n v="1902746"/>
    <n v="193502"/>
    <n v="203435"/>
    <n v="24694"/>
    <n v="263369"/>
  </r>
  <r>
    <x v="30"/>
    <x v="30"/>
    <x v="2"/>
    <x v="2"/>
    <n v="971"/>
    <n v="92"/>
    <n v="162"/>
    <n v="26"/>
    <n v="0"/>
  </r>
  <r>
    <x v="31"/>
    <x v="31"/>
    <x v="2"/>
    <x v="2"/>
    <n v="21200"/>
    <n v="426"/>
    <n v="730"/>
    <n v="159"/>
    <n v="5209"/>
  </r>
  <r>
    <x v="32"/>
    <x v="32"/>
    <x v="2"/>
    <x v="2"/>
    <n v="0"/>
    <n v="0"/>
    <n v="0"/>
    <n v="0"/>
    <n v="0"/>
  </r>
  <r>
    <x v="33"/>
    <x v="33"/>
    <x v="2"/>
    <x v="2"/>
    <n v="0"/>
    <n v="0"/>
    <n v="0"/>
    <n v="0"/>
    <n v="0"/>
  </r>
  <r>
    <x v="34"/>
    <x v="34"/>
    <x v="2"/>
    <x v="2"/>
    <n v="0"/>
    <n v="0"/>
    <n v="0"/>
    <n v="0"/>
    <n v="0"/>
  </r>
  <r>
    <x v="35"/>
    <x v="35"/>
    <x v="2"/>
    <x v="2"/>
    <n v="0"/>
    <n v="0"/>
    <n v="0"/>
    <n v="0"/>
    <n v="0"/>
  </r>
  <r>
    <x v="36"/>
    <x v="36"/>
    <x v="2"/>
    <x v="2"/>
    <n v="881555"/>
    <n v="16212"/>
    <n v="42683"/>
    <n v="4700"/>
    <n v="172936"/>
  </r>
  <r>
    <x v="37"/>
    <x v="37"/>
    <x v="2"/>
    <x v="2"/>
    <n v="65512"/>
    <n v="3699"/>
    <n v="6025"/>
    <n v="657"/>
    <n v="0"/>
  </r>
  <r>
    <x v="38"/>
    <x v="38"/>
    <x v="2"/>
    <x v="2"/>
    <n v="0"/>
    <n v="0"/>
    <n v="0"/>
    <n v="0"/>
    <n v="0"/>
  </r>
  <r>
    <x v="39"/>
    <x v="39"/>
    <x v="2"/>
    <x v="2"/>
    <n v="39389"/>
    <n v="0"/>
    <n v="0"/>
    <n v="0"/>
    <n v="0"/>
  </r>
  <r>
    <x v="40"/>
    <x v="40"/>
    <x v="2"/>
    <x v="2"/>
    <n v="0"/>
    <n v="0"/>
    <n v="0"/>
    <n v="0"/>
    <n v="0"/>
  </r>
  <r>
    <x v="41"/>
    <x v="41"/>
    <x v="2"/>
    <x v="2"/>
    <n v="0"/>
    <n v="0"/>
    <n v="0"/>
    <n v="0"/>
    <n v="0"/>
  </r>
  <r>
    <x v="42"/>
    <x v="42"/>
    <x v="2"/>
    <x v="2"/>
    <n v="1736"/>
    <n v="121"/>
    <n v="105"/>
    <n v="16"/>
    <n v="0"/>
  </r>
  <r>
    <x v="43"/>
    <x v="43"/>
    <x v="2"/>
    <x v="2"/>
    <n v="92"/>
    <n v="9"/>
    <n v="8"/>
    <n v="1"/>
    <n v="0"/>
  </r>
  <r>
    <x v="44"/>
    <x v="44"/>
    <x v="2"/>
    <x v="2"/>
    <n v="16382"/>
    <n v="0"/>
    <n v="0"/>
    <n v="0"/>
    <n v="0"/>
  </r>
  <r>
    <x v="45"/>
    <x v="45"/>
    <x v="2"/>
    <x v="2"/>
    <n v="42901"/>
    <n v="0"/>
    <n v="0"/>
    <n v="0"/>
    <n v="0"/>
  </r>
  <r>
    <x v="46"/>
    <x v="46"/>
    <x v="2"/>
    <x v="2"/>
    <n v="0"/>
    <n v="0"/>
    <n v="0"/>
    <n v="0"/>
    <n v="0"/>
  </r>
  <r>
    <x v="47"/>
    <x v="47"/>
    <x v="2"/>
    <x v="2"/>
    <n v="0"/>
    <n v="0"/>
    <n v="0"/>
    <n v="0"/>
    <n v="0"/>
  </r>
  <r>
    <x v="48"/>
    <x v="48"/>
    <x v="2"/>
    <x v="2"/>
    <n v="0"/>
    <n v="-1342186"/>
    <n v="-808603"/>
    <n v="0"/>
    <n v="0"/>
  </r>
  <r>
    <x v="49"/>
    <x v="49"/>
    <x v="2"/>
    <x v="2"/>
    <n v="0"/>
    <n v="0"/>
    <n v="0"/>
    <n v="0"/>
    <n v="0"/>
  </r>
  <r>
    <x v="50"/>
    <x v="50"/>
    <x v="2"/>
    <x v="2"/>
    <n v="165683"/>
    <n v="0"/>
    <n v="0"/>
    <n v="-504812"/>
    <n v="0"/>
  </r>
  <r>
    <x v="51"/>
    <x v="51"/>
    <x v="2"/>
    <x v="2"/>
    <n v="243610"/>
    <n v="0"/>
    <n v="0"/>
    <n v="0"/>
    <n v="0"/>
  </r>
  <r>
    <x v="52"/>
    <x v="52"/>
    <x v="2"/>
    <x v="2"/>
    <n v="2396903"/>
    <n v="0"/>
    <n v="0"/>
    <n v="0"/>
    <n v="0"/>
  </r>
  <r>
    <x v="53"/>
    <x v="53"/>
    <x v="2"/>
    <x v="2"/>
    <n v="0"/>
    <n v="0"/>
    <n v="0"/>
    <n v="0"/>
    <n v="0"/>
  </r>
  <r>
    <x v="54"/>
    <x v="54"/>
    <x v="2"/>
    <x v="2"/>
    <n v="0"/>
    <n v="0"/>
    <n v="0"/>
    <n v="0"/>
    <n v="0"/>
  </r>
  <r>
    <x v="55"/>
    <x v="55"/>
    <x v="2"/>
    <x v="2"/>
    <n v="0"/>
    <n v="0"/>
    <n v="0"/>
    <n v="0"/>
    <n v="0"/>
  </r>
  <r>
    <x v="56"/>
    <x v="56"/>
    <x v="2"/>
    <x v="2"/>
    <n v="0"/>
    <n v="0"/>
    <n v="0"/>
    <n v="0"/>
    <n v="0"/>
  </r>
  <r>
    <x v="57"/>
    <x v="57"/>
    <x v="2"/>
    <x v="2"/>
    <n v="233140"/>
    <n v="0"/>
    <n v="0"/>
    <n v="0"/>
    <n v="28654"/>
  </r>
  <r>
    <x v="58"/>
    <x v="58"/>
    <x v="2"/>
    <x v="2"/>
    <n v="26099879"/>
    <n v="0"/>
    <n v="0"/>
    <n v="0"/>
    <n v="6342973"/>
  </r>
  <r>
    <x v="59"/>
    <x v="59"/>
    <x v="2"/>
    <x v="2"/>
    <n v="18683997"/>
    <n v="0"/>
    <n v="0"/>
    <n v="0"/>
    <n v="0"/>
  </r>
  <r>
    <x v="60"/>
    <x v="60"/>
    <x v="2"/>
    <x v="2"/>
    <n v="26105667"/>
    <n v="0"/>
    <n v="0"/>
    <n v="0"/>
    <n v="0"/>
  </r>
  <r>
    <x v="61"/>
    <x v="61"/>
    <x v="2"/>
    <x v="2"/>
    <n v="3073928"/>
    <n v="0"/>
    <n v="0"/>
    <n v="0"/>
    <n v="0"/>
  </r>
  <r>
    <x v="62"/>
    <x v="62"/>
    <x v="2"/>
    <x v="2"/>
    <n v="36782"/>
    <n v="0"/>
    <n v="0"/>
    <n v="0"/>
    <n v="0"/>
  </r>
  <r>
    <x v="63"/>
    <x v="63"/>
    <x v="2"/>
    <x v="2"/>
    <n v="47900374"/>
    <n v="0"/>
    <n v="0"/>
    <n v="0"/>
    <n v="0"/>
  </r>
  <r>
    <x v="64"/>
    <x v="64"/>
    <x v="2"/>
    <x v="2"/>
    <n v="74000253"/>
    <n v="0"/>
    <n v="0"/>
    <n v="0"/>
    <n v="0"/>
  </r>
  <r>
    <x v="0"/>
    <x v="0"/>
    <x v="3"/>
    <x v="3"/>
    <n v="0"/>
    <n v="0"/>
    <n v="0"/>
    <n v="0"/>
    <n v="0"/>
  </r>
  <r>
    <x v="1"/>
    <x v="1"/>
    <x v="3"/>
    <x v="3"/>
    <n v="0"/>
    <n v="0"/>
    <n v="0"/>
    <n v="0"/>
    <n v="0"/>
  </r>
  <r>
    <x v="2"/>
    <x v="2"/>
    <x v="3"/>
    <x v="3"/>
    <n v="3728"/>
    <n v="26"/>
    <n v="0"/>
    <n v="0"/>
    <n v="0"/>
  </r>
  <r>
    <x v="3"/>
    <x v="3"/>
    <x v="3"/>
    <x v="3"/>
    <n v="654864"/>
    <n v="14362"/>
    <n v="11527"/>
    <n v="953"/>
    <n v="530687"/>
  </r>
  <r>
    <x v="4"/>
    <x v="4"/>
    <x v="3"/>
    <x v="3"/>
    <n v="0"/>
    <n v="0"/>
    <n v="0"/>
    <n v="0"/>
    <n v="0"/>
  </r>
  <r>
    <x v="5"/>
    <x v="5"/>
    <x v="3"/>
    <x v="3"/>
    <n v="0"/>
    <n v="0"/>
    <n v="0"/>
    <n v="0"/>
    <n v="0"/>
  </r>
  <r>
    <x v="6"/>
    <x v="6"/>
    <x v="3"/>
    <x v="3"/>
    <n v="0"/>
    <n v="0"/>
    <n v="0"/>
    <n v="0"/>
    <n v="0"/>
  </r>
  <r>
    <x v="7"/>
    <x v="7"/>
    <x v="3"/>
    <x v="3"/>
    <n v="357001"/>
    <n v="0"/>
    <n v="0"/>
    <n v="0"/>
    <n v="0"/>
  </r>
  <r>
    <x v="8"/>
    <x v="8"/>
    <x v="3"/>
    <x v="3"/>
    <n v="0"/>
    <n v="0"/>
    <n v="0"/>
    <n v="0"/>
    <n v="0"/>
  </r>
  <r>
    <x v="9"/>
    <x v="9"/>
    <x v="3"/>
    <x v="3"/>
    <n v="0"/>
    <n v="0"/>
    <n v="0"/>
    <n v="0"/>
    <n v="0"/>
  </r>
  <r>
    <x v="10"/>
    <x v="10"/>
    <x v="3"/>
    <x v="3"/>
    <n v="0"/>
    <n v="0"/>
    <n v="0"/>
    <n v="0"/>
    <n v="0"/>
  </r>
  <r>
    <x v="11"/>
    <x v="11"/>
    <x v="3"/>
    <x v="3"/>
    <n v="0"/>
    <n v="0"/>
    <n v="0"/>
    <n v="0"/>
    <n v="0"/>
  </r>
  <r>
    <x v="12"/>
    <x v="12"/>
    <x v="3"/>
    <x v="3"/>
    <n v="0"/>
    <n v="0"/>
    <n v="0"/>
    <n v="0"/>
    <n v="0"/>
  </r>
  <r>
    <x v="13"/>
    <x v="13"/>
    <x v="3"/>
    <x v="3"/>
    <n v="0"/>
    <n v="0"/>
    <n v="0"/>
    <n v="0"/>
    <n v="0"/>
  </r>
  <r>
    <x v="14"/>
    <x v="14"/>
    <x v="3"/>
    <x v="3"/>
    <n v="0"/>
    <n v="0"/>
    <n v="0"/>
    <n v="0"/>
    <n v="0"/>
  </r>
  <r>
    <x v="15"/>
    <x v="15"/>
    <x v="3"/>
    <x v="3"/>
    <n v="0"/>
    <n v="0"/>
    <n v="0"/>
    <n v="0"/>
    <n v="0"/>
  </r>
  <r>
    <x v="16"/>
    <x v="16"/>
    <x v="3"/>
    <x v="3"/>
    <n v="0"/>
    <n v="0"/>
    <n v="0"/>
    <n v="0"/>
    <n v="0"/>
  </r>
  <r>
    <x v="17"/>
    <x v="17"/>
    <x v="3"/>
    <x v="3"/>
    <n v="0"/>
    <n v="0"/>
    <n v="0"/>
    <n v="0"/>
    <n v="0"/>
  </r>
  <r>
    <x v="18"/>
    <x v="18"/>
    <x v="3"/>
    <x v="3"/>
    <n v="0"/>
    <n v="0"/>
    <n v="0"/>
    <n v="0"/>
    <n v="0"/>
  </r>
  <r>
    <x v="19"/>
    <x v="19"/>
    <x v="3"/>
    <x v="3"/>
    <n v="0"/>
    <n v="0"/>
    <n v="0"/>
    <n v="0"/>
    <n v="0"/>
  </r>
  <r>
    <x v="20"/>
    <x v="20"/>
    <x v="3"/>
    <x v="3"/>
    <n v="0"/>
    <n v="0"/>
    <n v="0"/>
    <n v="0"/>
    <n v="0"/>
  </r>
  <r>
    <x v="21"/>
    <x v="21"/>
    <x v="3"/>
    <x v="3"/>
    <n v="0"/>
    <n v="0"/>
    <n v="0"/>
    <n v="0"/>
    <n v="0"/>
  </r>
  <r>
    <x v="22"/>
    <x v="22"/>
    <x v="3"/>
    <x v="3"/>
    <n v="0"/>
    <n v="0"/>
    <n v="0"/>
    <n v="0"/>
    <n v="0"/>
  </r>
  <r>
    <x v="23"/>
    <x v="23"/>
    <x v="3"/>
    <x v="3"/>
    <n v="12637"/>
    <n v="1348"/>
    <n v="192"/>
    <n v="74"/>
    <n v="0"/>
  </r>
  <r>
    <x v="24"/>
    <x v="24"/>
    <x v="3"/>
    <x v="3"/>
    <n v="0"/>
    <n v="0"/>
    <n v="0"/>
    <n v="0"/>
    <n v="0"/>
  </r>
  <r>
    <x v="25"/>
    <x v="25"/>
    <x v="3"/>
    <x v="3"/>
    <n v="0"/>
    <n v="0"/>
    <n v="0"/>
    <n v="0"/>
    <n v="0"/>
  </r>
  <r>
    <x v="26"/>
    <x v="26"/>
    <x v="3"/>
    <x v="3"/>
    <n v="0"/>
    <n v="0"/>
    <n v="0"/>
    <n v="0"/>
    <n v="0"/>
  </r>
  <r>
    <x v="27"/>
    <x v="27"/>
    <x v="3"/>
    <x v="3"/>
    <n v="599773"/>
    <n v="70313"/>
    <n v="69143"/>
    <n v="24662"/>
    <n v="0"/>
  </r>
  <r>
    <x v="28"/>
    <x v="28"/>
    <x v="3"/>
    <x v="3"/>
    <n v="0"/>
    <n v="0"/>
    <n v="0"/>
    <n v="0"/>
    <n v="0"/>
  </r>
  <r>
    <x v="29"/>
    <x v="29"/>
    <x v="3"/>
    <x v="3"/>
    <n v="164317"/>
    <n v="8467"/>
    <n v="10192"/>
    <n v="1395"/>
    <n v="28503"/>
  </r>
  <r>
    <x v="30"/>
    <x v="30"/>
    <x v="3"/>
    <x v="3"/>
    <n v="64"/>
    <n v="5"/>
    <n v="5"/>
    <n v="2"/>
    <n v="0"/>
  </r>
  <r>
    <x v="31"/>
    <x v="31"/>
    <x v="3"/>
    <x v="3"/>
    <n v="2824"/>
    <n v="57"/>
    <n v="93"/>
    <n v="20"/>
    <n v="691"/>
  </r>
  <r>
    <x v="32"/>
    <x v="32"/>
    <x v="3"/>
    <x v="3"/>
    <n v="0"/>
    <n v="0"/>
    <n v="0"/>
    <n v="0"/>
    <n v="0"/>
  </r>
  <r>
    <x v="33"/>
    <x v="33"/>
    <x v="3"/>
    <x v="3"/>
    <n v="0"/>
    <n v="0"/>
    <n v="0"/>
    <n v="0"/>
    <n v="0"/>
  </r>
  <r>
    <x v="34"/>
    <x v="34"/>
    <x v="3"/>
    <x v="3"/>
    <n v="0"/>
    <n v="0"/>
    <n v="0"/>
    <n v="0"/>
    <n v="0"/>
  </r>
  <r>
    <x v="35"/>
    <x v="35"/>
    <x v="3"/>
    <x v="3"/>
    <n v="0"/>
    <n v="0"/>
    <n v="0"/>
    <n v="0"/>
    <n v="0"/>
  </r>
  <r>
    <x v="36"/>
    <x v="36"/>
    <x v="3"/>
    <x v="3"/>
    <n v="66510"/>
    <n v="3252"/>
    <n v="5397"/>
    <n v="441"/>
    <n v="181"/>
  </r>
  <r>
    <x v="37"/>
    <x v="37"/>
    <x v="3"/>
    <x v="3"/>
    <n v="29778"/>
    <n v="2884"/>
    <n v="2832"/>
    <n v="278"/>
    <n v="0"/>
  </r>
  <r>
    <x v="38"/>
    <x v="38"/>
    <x v="3"/>
    <x v="3"/>
    <n v="0"/>
    <n v="0"/>
    <n v="0"/>
    <n v="0"/>
    <n v="0"/>
  </r>
  <r>
    <x v="39"/>
    <x v="39"/>
    <x v="3"/>
    <x v="3"/>
    <n v="14400"/>
    <n v="0"/>
    <n v="0"/>
    <n v="0"/>
    <n v="0"/>
  </r>
  <r>
    <x v="40"/>
    <x v="40"/>
    <x v="3"/>
    <x v="3"/>
    <n v="0"/>
    <n v="0"/>
    <n v="0"/>
    <n v="0"/>
    <n v="0"/>
  </r>
  <r>
    <x v="41"/>
    <x v="41"/>
    <x v="3"/>
    <x v="3"/>
    <n v="0"/>
    <n v="0"/>
    <n v="0"/>
    <n v="0"/>
    <n v="0"/>
  </r>
  <r>
    <x v="42"/>
    <x v="42"/>
    <x v="3"/>
    <x v="3"/>
    <n v="961"/>
    <n v="92"/>
    <n v="61"/>
    <n v="6"/>
    <n v="0"/>
  </r>
  <r>
    <x v="43"/>
    <x v="43"/>
    <x v="3"/>
    <x v="3"/>
    <n v="0"/>
    <n v="0"/>
    <n v="0"/>
    <n v="0"/>
    <n v="0"/>
  </r>
  <r>
    <x v="44"/>
    <x v="44"/>
    <x v="3"/>
    <x v="3"/>
    <n v="595"/>
    <n v="0"/>
    <n v="0"/>
    <n v="0"/>
    <n v="0"/>
  </r>
  <r>
    <x v="45"/>
    <x v="45"/>
    <x v="3"/>
    <x v="3"/>
    <n v="19"/>
    <n v="0"/>
    <n v="0"/>
    <n v="0"/>
    <n v="0"/>
  </r>
  <r>
    <x v="46"/>
    <x v="46"/>
    <x v="3"/>
    <x v="3"/>
    <n v="0"/>
    <n v="0"/>
    <n v="0"/>
    <n v="0"/>
    <n v="0"/>
  </r>
  <r>
    <x v="47"/>
    <x v="47"/>
    <x v="3"/>
    <x v="3"/>
    <n v="0"/>
    <n v="0"/>
    <n v="0"/>
    <n v="0"/>
    <n v="0"/>
  </r>
  <r>
    <x v="48"/>
    <x v="48"/>
    <x v="3"/>
    <x v="3"/>
    <n v="0"/>
    <n v="-100806"/>
    <n v="-99442"/>
    <n v="0"/>
    <n v="0"/>
  </r>
  <r>
    <x v="49"/>
    <x v="49"/>
    <x v="3"/>
    <x v="3"/>
    <n v="0"/>
    <n v="0"/>
    <n v="0"/>
    <n v="0"/>
    <n v="0"/>
  </r>
  <r>
    <x v="50"/>
    <x v="50"/>
    <x v="3"/>
    <x v="3"/>
    <n v="1414"/>
    <n v="0"/>
    <n v="0"/>
    <n v="-27831"/>
    <n v="0"/>
  </r>
  <r>
    <x v="51"/>
    <x v="51"/>
    <x v="3"/>
    <x v="3"/>
    <n v="211"/>
    <n v="0"/>
    <n v="0"/>
    <n v="0"/>
    <n v="0"/>
  </r>
  <r>
    <x v="52"/>
    <x v="52"/>
    <x v="3"/>
    <x v="3"/>
    <n v="141951"/>
    <n v="0"/>
    <n v="0"/>
    <n v="0"/>
    <n v="0"/>
  </r>
  <r>
    <x v="53"/>
    <x v="53"/>
    <x v="3"/>
    <x v="3"/>
    <n v="0"/>
    <n v="0"/>
    <n v="0"/>
    <n v="0"/>
    <n v="0"/>
  </r>
  <r>
    <x v="54"/>
    <x v="54"/>
    <x v="3"/>
    <x v="3"/>
    <n v="0"/>
    <n v="0"/>
    <n v="0"/>
    <n v="0"/>
    <n v="0"/>
  </r>
  <r>
    <x v="55"/>
    <x v="55"/>
    <x v="3"/>
    <x v="3"/>
    <n v="0"/>
    <n v="0"/>
    <n v="0"/>
    <n v="0"/>
    <n v="0"/>
  </r>
  <r>
    <x v="56"/>
    <x v="56"/>
    <x v="3"/>
    <x v="3"/>
    <n v="9427"/>
    <n v="0"/>
    <n v="0"/>
    <n v="0"/>
    <n v="0"/>
  </r>
  <r>
    <x v="57"/>
    <x v="57"/>
    <x v="3"/>
    <x v="3"/>
    <n v="2212"/>
    <n v="0"/>
    <n v="0"/>
    <n v="0"/>
    <n v="221"/>
  </r>
  <r>
    <x v="58"/>
    <x v="58"/>
    <x v="3"/>
    <x v="3"/>
    <n v="2062686"/>
    <n v="0"/>
    <n v="0"/>
    <n v="0"/>
    <n v="560283"/>
  </r>
  <r>
    <x v="59"/>
    <x v="59"/>
    <x v="3"/>
    <x v="3"/>
    <n v="767311"/>
    <n v="0"/>
    <n v="0"/>
    <n v="0"/>
    <n v="0"/>
  </r>
  <r>
    <x v="60"/>
    <x v="60"/>
    <x v="3"/>
    <x v="3"/>
    <n v="1495111"/>
    <n v="0"/>
    <n v="0"/>
    <n v="0"/>
    <n v="0"/>
  </r>
  <r>
    <x v="61"/>
    <x v="61"/>
    <x v="3"/>
    <x v="3"/>
    <n v="55352"/>
    <n v="0"/>
    <n v="0"/>
    <n v="0"/>
    <n v="0"/>
  </r>
  <r>
    <x v="62"/>
    <x v="62"/>
    <x v="3"/>
    <x v="3"/>
    <n v="2178"/>
    <n v="0"/>
    <n v="0"/>
    <n v="0"/>
    <n v="0"/>
  </r>
  <r>
    <x v="63"/>
    <x v="63"/>
    <x v="3"/>
    <x v="3"/>
    <n v="2319952"/>
    <n v="0"/>
    <n v="0"/>
    <n v="0"/>
    <n v="0"/>
  </r>
  <r>
    <x v="64"/>
    <x v="64"/>
    <x v="3"/>
    <x v="3"/>
    <n v="4382638"/>
    <n v="0"/>
    <n v="0"/>
    <n v="0"/>
    <n v="0"/>
  </r>
  <r>
    <x v="0"/>
    <x v="0"/>
    <x v="4"/>
    <x v="4"/>
    <n v="3226116"/>
    <n v="0"/>
    <n v="0"/>
    <n v="17913"/>
    <n v="0"/>
  </r>
  <r>
    <x v="1"/>
    <x v="1"/>
    <x v="4"/>
    <x v="4"/>
    <n v="0"/>
    <n v="0"/>
    <n v="0"/>
    <n v="0"/>
    <n v="0"/>
  </r>
  <r>
    <x v="2"/>
    <x v="2"/>
    <x v="4"/>
    <x v="4"/>
    <n v="0"/>
    <n v="0"/>
    <n v="0"/>
    <n v="0"/>
    <n v="0"/>
  </r>
  <r>
    <x v="3"/>
    <x v="3"/>
    <x v="4"/>
    <x v="4"/>
    <n v="3018992"/>
    <n v="72512"/>
    <n v="109042"/>
    <n v="4381"/>
    <n v="2154577"/>
  </r>
  <r>
    <x v="4"/>
    <x v="4"/>
    <x v="4"/>
    <x v="4"/>
    <n v="260340"/>
    <n v="22337"/>
    <n v="0"/>
    <n v="0"/>
    <n v="0"/>
  </r>
  <r>
    <x v="5"/>
    <x v="5"/>
    <x v="4"/>
    <x v="4"/>
    <n v="0"/>
    <n v="0"/>
    <n v="0"/>
    <n v="0"/>
    <n v="0"/>
  </r>
  <r>
    <x v="6"/>
    <x v="6"/>
    <x v="4"/>
    <x v="4"/>
    <n v="0"/>
    <n v="0"/>
    <n v="0"/>
    <n v="0"/>
    <n v="0"/>
  </r>
  <r>
    <x v="7"/>
    <x v="7"/>
    <x v="4"/>
    <x v="4"/>
    <n v="50313291"/>
    <n v="2628181"/>
    <n v="4887213"/>
    <n v="589156"/>
    <n v="2814845"/>
  </r>
  <r>
    <x v="8"/>
    <x v="8"/>
    <x v="4"/>
    <x v="4"/>
    <n v="649482"/>
    <n v="23922"/>
    <n v="0"/>
    <n v="1847"/>
    <n v="0"/>
  </r>
  <r>
    <x v="9"/>
    <x v="9"/>
    <x v="4"/>
    <x v="4"/>
    <n v="95611"/>
    <n v="8294"/>
    <n v="12200"/>
    <n v="2453"/>
    <n v="0"/>
  </r>
  <r>
    <x v="10"/>
    <x v="10"/>
    <x v="4"/>
    <x v="4"/>
    <n v="0"/>
    <n v="0"/>
    <n v="0"/>
    <n v="0"/>
    <n v="0"/>
  </r>
  <r>
    <x v="11"/>
    <x v="11"/>
    <x v="4"/>
    <x v="4"/>
    <n v="0"/>
    <n v="0"/>
    <n v="0"/>
    <n v="0"/>
    <n v="0"/>
  </r>
  <r>
    <x v="12"/>
    <x v="12"/>
    <x v="4"/>
    <x v="4"/>
    <n v="0"/>
    <n v="0"/>
    <n v="0"/>
    <n v="0"/>
    <n v="0"/>
  </r>
  <r>
    <x v="13"/>
    <x v="13"/>
    <x v="4"/>
    <x v="4"/>
    <n v="190889"/>
    <n v="8734"/>
    <n v="670"/>
    <n v="12504"/>
    <n v="0"/>
  </r>
  <r>
    <x v="14"/>
    <x v="14"/>
    <x v="4"/>
    <x v="4"/>
    <n v="0"/>
    <n v="0"/>
    <n v="0"/>
    <n v="0"/>
    <n v="0"/>
  </r>
  <r>
    <x v="15"/>
    <x v="15"/>
    <x v="4"/>
    <x v="4"/>
    <n v="0"/>
    <n v="0"/>
    <n v="0"/>
    <n v="0"/>
    <n v="0"/>
  </r>
  <r>
    <x v="16"/>
    <x v="16"/>
    <x v="4"/>
    <x v="4"/>
    <n v="383515"/>
    <n v="11109"/>
    <n v="13168"/>
    <n v="7517"/>
    <n v="0"/>
  </r>
  <r>
    <x v="17"/>
    <x v="17"/>
    <x v="4"/>
    <x v="4"/>
    <n v="0"/>
    <n v="0"/>
    <n v="0"/>
    <n v="0"/>
    <n v="0"/>
  </r>
  <r>
    <x v="18"/>
    <x v="18"/>
    <x v="4"/>
    <x v="4"/>
    <n v="0"/>
    <n v="0"/>
    <n v="0"/>
    <n v="0"/>
    <n v="0"/>
  </r>
  <r>
    <x v="19"/>
    <x v="19"/>
    <x v="4"/>
    <x v="4"/>
    <n v="0"/>
    <n v="0"/>
    <n v="0"/>
    <n v="0"/>
    <n v="0"/>
  </r>
  <r>
    <x v="20"/>
    <x v="20"/>
    <x v="4"/>
    <x v="4"/>
    <n v="0"/>
    <n v="0"/>
    <n v="0"/>
    <n v="0"/>
    <n v="0"/>
  </r>
  <r>
    <x v="21"/>
    <x v="21"/>
    <x v="4"/>
    <x v="4"/>
    <n v="0"/>
    <n v="0"/>
    <n v="0"/>
    <n v="0"/>
    <n v="0"/>
  </r>
  <r>
    <x v="22"/>
    <x v="22"/>
    <x v="4"/>
    <x v="4"/>
    <n v="0"/>
    <n v="0"/>
    <n v="0"/>
    <n v="0"/>
    <n v="0"/>
  </r>
  <r>
    <x v="23"/>
    <x v="23"/>
    <x v="4"/>
    <x v="4"/>
    <n v="230080"/>
    <n v="11737"/>
    <n v="2226"/>
    <n v="901"/>
    <n v="0"/>
  </r>
  <r>
    <x v="24"/>
    <x v="24"/>
    <x v="4"/>
    <x v="4"/>
    <n v="452221"/>
    <n v="15384"/>
    <n v="11439"/>
    <n v="3974"/>
    <n v="0"/>
  </r>
  <r>
    <x v="25"/>
    <x v="25"/>
    <x v="4"/>
    <x v="4"/>
    <n v="0"/>
    <n v="0"/>
    <n v="0"/>
    <n v="0"/>
    <n v="0"/>
  </r>
  <r>
    <x v="26"/>
    <x v="26"/>
    <x v="4"/>
    <x v="4"/>
    <n v="1092982"/>
    <n v="75988"/>
    <n v="32159"/>
    <n v="19048"/>
    <n v="599745"/>
  </r>
  <r>
    <x v="27"/>
    <x v="27"/>
    <x v="4"/>
    <x v="4"/>
    <n v="90687025"/>
    <n v="11673662"/>
    <n v="9518842"/>
    <n v="3003197"/>
    <n v="43103998"/>
  </r>
  <r>
    <x v="28"/>
    <x v="28"/>
    <x v="4"/>
    <x v="4"/>
    <n v="830553"/>
    <n v="84422"/>
    <n v="105038"/>
    <n v="5481"/>
    <n v="0"/>
  </r>
  <r>
    <x v="29"/>
    <x v="29"/>
    <x v="4"/>
    <x v="4"/>
    <n v="15368361"/>
    <n v="790314"/>
    <n v="758482"/>
    <n v="153029"/>
    <n v="2844176"/>
  </r>
  <r>
    <x v="30"/>
    <x v="30"/>
    <x v="4"/>
    <x v="4"/>
    <n v="540882"/>
    <n v="37162"/>
    <n v="45984"/>
    <n v="13345"/>
    <n v="0"/>
  </r>
  <r>
    <x v="31"/>
    <x v="31"/>
    <x v="4"/>
    <x v="4"/>
    <n v="9345097"/>
    <n v="224909"/>
    <n v="478667"/>
    <n v="67738"/>
    <n v="3859425"/>
  </r>
  <r>
    <x v="32"/>
    <x v="32"/>
    <x v="4"/>
    <x v="4"/>
    <n v="389002"/>
    <n v="26455"/>
    <n v="15422"/>
    <n v="5543"/>
    <n v="0"/>
  </r>
  <r>
    <x v="33"/>
    <x v="33"/>
    <x v="4"/>
    <x v="4"/>
    <n v="0"/>
    <n v="0"/>
    <n v="0"/>
    <n v="0"/>
    <n v="0"/>
  </r>
  <r>
    <x v="34"/>
    <x v="34"/>
    <x v="4"/>
    <x v="4"/>
    <n v="196364"/>
    <n v="9602"/>
    <n v="7541"/>
    <n v="2363"/>
    <n v="1038"/>
  </r>
  <r>
    <x v="35"/>
    <x v="35"/>
    <x v="4"/>
    <x v="4"/>
    <n v="0"/>
    <n v="0"/>
    <n v="0"/>
    <n v="0"/>
    <n v="0"/>
  </r>
  <r>
    <x v="36"/>
    <x v="36"/>
    <x v="4"/>
    <x v="4"/>
    <n v="4954277"/>
    <n v="130681"/>
    <n v="259147"/>
    <n v="24289"/>
    <n v="2844111"/>
  </r>
  <r>
    <x v="37"/>
    <x v="37"/>
    <x v="4"/>
    <x v="4"/>
    <n v="4449849"/>
    <n v="317395"/>
    <n v="340680"/>
    <n v="32471"/>
    <n v="0"/>
  </r>
  <r>
    <x v="38"/>
    <x v="38"/>
    <x v="4"/>
    <x v="4"/>
    <n v="118132"/>
    <n v="7263"/>
    <n v="4808"/>
    <n v="604"/>
    <n v="0"/>
  </r>
  <r>
    <x v="39"/>
    <x v="39"/>
    <x v="4"/>
    <x v="4"/>
    <n v="8125579"/>
    <n v="0"/>
    <n v="0"/>
    <n v="0"/>
    <n v="0"/>
  </r>
  <r>
    <x v="40"/>
    <x v="40"/>
    <x v="4"/>
    <x v="4"/>
    <n v="0"/>
    <n v="0"/>
    <n v="0"/>
    <n v="0"/>
    <n v="0"/>
  </r>
  <r>
    <x v="41"/>
    <x v="41"/>
    <x v="4"/>
    <x v="4"/>
    <n v="0"/>
    <n v="0"/>
    <n v="0"/>
    <n v="0"/>
    <n v="0"/>
  </r>
  <r>
    <x v="42"/>
    <x v="42"/>
    <x v="4"/>
    <x v="4"/>
    <n v="5501111"/>
    <n v="547939"/>
    <n v="415806"/>
    <n v="40540"/>
    <n v="606"/>
  </r>
  <r>
    <x v="43"/>
    <x v="43"/>
    <x v="4"/>
    <x v="4"/>
    <n v="143705"/>
    <n v="12481"/>
    <n v="10988"/>
    <n v="1849"/>
    <n v="0"/>
  </r>
  <r>
    <x v="44"/>
    <x v="44"/>
    <x v="4"/>
    <x v="4"/>
    <n v="2972218"/>
    <n v="1301"/>
    <n v="2650"/>
    <n v="245"/>
    <n v="0"/>
  </r>
  <r>
    <x v="45"/>
    <x v="45"/>
    <x v="4"/>
    <x v="4"/>
    <n v="1026394"/>
    <n v="0"/>
    <n v="0"/>
    <n v="0"/>
    <n v="0"/>
  </r>
  <r>
    <x v="46"/>
    <x v="46"/>
    <x v="4"/>
    <x v="4"/>
    <n v="64535"/>
    <n v="0"/>
    <n v="0"/>
    <n v="0"/>
    <n v="0"/>
  </r>
  <r>
    <x v="47"/>
    <x v="47"/>
    <x v="4"/>
    <x v="4"/>
    <n v="0"/>
    <n v="0"/>
    <n v="0"/>
    <n v="0"/>
    <n v="0"/>
  </r>
  <r>
    <x v="48"/>
    <x v="48"/>
    <x v="4"/>
    <x v="4"/>
    <n v="0"/>
    <n v="-16741784"/>
    <n v="-17032172"/>
    <n v="0"/>
    <n v="0"/>
  </r>
  <r>
    <x v="49"/>
    <x v="49"/>
    <x v="4"/>
    <x v="4"/>
    <n v="4789505"/>
    <n v="0"/>
    <n v="0"/>
    <n v="0"/>
    <n v="0"/>
  </r>
  <r>
    <x v="50"/>
    <x v="50"/>
    <x v="4"/>
    <x v="4"/>
    <n v="2826207"/>
    <n v="0"/>
    <n v="0"/>
    <n v="-4010388"/>
    <n v="0"/>
  </r>
  <r>
    <x v="51"/>
    <x v="51"/>
    <x v="4"/>
    <x v="4"/>
    <n v="3193366"/>
    <n v="0"/>
    <n v="0"/>
    <n v="0"/>
    <n v="0"/>
  </r>
  <r>
    <x v="52"/>
    <x v="52"/>
    <x v="4"/>
    <x v="4"/>
    <n v="20344778"/>
    <n v="0"/>
    <n v="0"/>
    <n v="0"/>
    <n v="0"/>
  </r>
  <r>
    <x v="53"/>
    <x v="53"/>
    <x v="4"/>
    <x v="4"/>
    <n v="137254"/>
    <n v="0"/>
    <n v="0"/>
    <n v="0"/>
    <n v="0"/>
  </r>
  <r>
    <x v="54"/>
    <x v="54"/>
    <x v="4"/>
    <x v="4"/>
    <n v="2565210"/>
    <n v="0"/>
    <n v="0"/>
    <n v="0"/>
    <n v="0"/>
  </r>
  <r>
    <x v="55"/>
    <x v="55"/>
    <x v="4"/>
    <x v="4"/>
    <n v="1826"/>
    <n v="0"/>
    <n v="0"/>
    <n v="0"/>
    <n v="0"/>
  </r>
  <r>
    <x v="56"/>
    <x v="56"/>
    <x v="4"/>
    <x v="4"/>
    <n v="279364"/>
    <n v="0"/>
    <n v="0"/>
    <n v="0"/>
    <n v="0"/>
  </r>
  <r>
    <x v="57"/>
    <x v="57"/>
    <x v="4"/>
    <x v="4"/>
    <n v="487518"/>
    <n v="0"/>
    <n v="0"/>
    <n v="0"/>
    <n v="42724"/>
  </r>
  <r>
    <x v="58"/>
    <x v="58"/>
    <x v="4"/>
    <x v="4"/>
    <n v="239251631"/>
    <n v="0"/>
    <n v="0"/>
    <n v="0"/>
    <n v="58265245"/>
  </r>
  <r>
    <x v="59"/>
    <x v="59"/>
    <x v="4"/>
    <x v="4"/>
    <n v="136013312"/>
    <n v="0"/>
    <n v="0"/>
    <n v="0"/>
    <n v="0"/>
  </r>
  <r>
    <x v="60"/>
    <x v="60"/>
    <x v="4"/>
    <x v="4"/>
    <n v="236904462"/>
    <n v="0"/>
    <n v="0"/>
    <n v="0"/>
    <n v="0"/>
  </r>
  <r>
    <x v="61"/>
    <x v="61"/>
    <x v="4"/>
    <x v="4"/>
    <n v="33149151"/>
    <n v="0"/>
    <n v="0"/>
    <n v="0"/>
    <n v="0"/>
  </r>
  <r>
    <x v="62"/>
    <x v="62"/>
    <x v="4"/>
    <x v="4"/>
    <n v="320915"/>
    <n v="0"/>
    <n v="0"/>
    <n v="0"/>
    <n v="0"/>
  </r>
  <r>
    <x v="63"/>
    <x v="63"/>
    <x v="4"/>
    <x v="4"/>
    <n v="406387840"/>
    <n v="0"/>
    <n v="0"/>
    <n v="0"/>
    <n v="0"/>
  </r>
  <r>
    <x v="64"/>
    <x v="64"/>
    <x v="4"/>
    <x v="4"/>
    <n v="645639471"/>
    <n v="0"/>
    <n v="0"/>
    <n v="0"/>
    <n v="0"/>
  </r>
  <r>
    <x v="0"/>
    <x v="0"/>
    <x v="5"/>
    <x v="5"/>
    <n v="0"/>
    <n v="0"/>
    <n v="0"/>
    <n v="0"/>
    <n v="0"/>
  </r>
  <r>
    <x v="1"/>
    <x v="1"/>
    <x v="5"/>
    <x v="5"/>
    <n v="0"/>
    <n v="0"/>
    <n v="0"/>
    <n v="0"/>
    <n v="0"/>
  </r>
  <r>
    <x v="2"/>
    <x v="2"/>
    <x v="5"/>
    <x v="5"/>
    <n v="0"/>
    <n v="0"/>
    <n v="0"/>
    <n v="0"/>
    <n v="0"/>
  </r>
  <r>
    <x v="3"/>
    <x v="3"/>
    <x v="5"/>
    <x v="5"/>
    <n v="0"/>
    <n v="0"/>
    <n v="0"/>
    <n v="0"/>
    <n v="0"/>
  </r>
  <r>
    <x v="4"/>
    <x v="4"/>
    <x v="5"/>
    <x v="5"/>
    <n v="0"/>
    <n v="0"/>
    <n v="0"/>
    <n v="0"/>
    <n v="0"/>
  </r>
  <r>
    <x v="5"/>
    <x v="5"/>
    <x v="5"/>
    <x v="5"/>
    <n v="4490083"/>
    <n v="172345"/>
    <n v="0"/>
    <n v="135524"/>
    <n v="2"/>
  </r>
  <r>
    <x v="6"/>
    <x v="6"/>
    <x v="5"/>
    <x v="5"/>
    <n v="0"/>
    <n v="0"/>
    <n v="0"/>
    <n v="0"/>
    <n v="0"/>
  </r>
  <r>
    <x v="7"/>
    <x v="7"/>
    <x v="5"/>
    <x v="5"/>
    <n v="3021059"/>
    <n v="0"/>
    <n v="0"/>
    <n v="0"/>
    <n v="0"/>
  </r>
  <r>
    <x v="8"/>
    <x v="8"/>
    <x v="5"/>
    <x v="5"/>
    <n v="0"/>
    <n v="0"/>
    <n v="0"/>
    <n v="0"/>
    <n v="0"/>
  </r>
  <r>
    <x v="9"/>
    <x v="9"/>
    <x v="5"/>
    <x v="5"/>
    <n v="0"/>
    <n v="0"/>
    <n v="0"/>
    <n v="0"/>
    <n v="0"/>
  </r>
  <r>
    <x v="10"/>
    <x v="10"/>
    <x v="5"/>
    <x v="5"/>
    <n v="0"/>
    <n v="0"/>
    <n v="0"/>
    <n v="0"/>
    <n v="0"/>
  </r>
  <r>
    <x v="11"/>
    <x v="11"/>
    <x v="5"/>
    <x v="5"/>
    <n v="0"/>
    <n v="0"/>
    <n v="0"/>
    <n v="0"/>
    <n v="0"/>
  </r>
  <r>
    <x v="12"/>
    <x v="12"/>
    <x v="5"/>
    <x v="5"/>
    <n v="0"/>
    <n v="0"/>
    <n v="0"/>
    <n v="0"/>
    <n v="0"/>
  </r>
  <r>
    <x v="13"/>
    <x v="13"/>
    <x v="5"/>
    <x v="5"/>
    <n v="0"/>
    <n v="0"/>
    <n v="0"/>
    <n v="0"/>
    <n v="0"/>
  </r>
  <r>
    <x v="14"/>
    <x v="14"/>
    <x v="5"/>
    <x v="5"/>
    <n v="0"/>
    <n v="0"/>
    <n v="0"/>
    <n v="0"/>
    <n v="0"/>
  </r>
  <r>
    <x v="15"/>
    <x v="15"/>
    <x v="5"/>
    <x v="5"/>
    <n v="0"/>
    <n v="0"/>
    <n v="0"/>
    <n v="0"/>
    <n v="0"/>
  </r>
  <r>
    <x v="16"/>
    <x v="16"/>
    <x v="5"/>
    <x v="5"/>
    <n v="0"/>
    <n v="0"/>
    <n v="0"/>
    <n v="0"/>
    <n v="0"/>
  </r>
  <r>
    <x v="17"/>
    <x v="17"/>
    <x v="5"/>
    <x v="5"/>
    <n v="0"/>
    <n v="0"/>
    <n v="0"/>
    <n v="0"/>
    <n v="0"/>
  </r>
  <r>
    <x v="18"/>
    <x v="18"/>
    <x v="5"/>
    <x v="5"/>
    <n v="0"/>
    <n v="0"/>
    <n v="0"/>
    <n v="0"/>
    <n v="0"/>
  </r>
  <r>
    <x v="19"/>
    <x v="19"/>
    <x v="5"/>
    <x v="5"/>
    <n v="0"/>
    <n v="0"/>
    <n v="0"/>
    <n v="0"/>
    <n v="0"/>
  </r>
  <r>
    <x v="20"/>
    <x v="20"/>
    <x v="5"/>
    <x v="5"/>
    <n v="0"/>
    <n v="0"/>
    <n v="0"/>
    <n v="0"/>
    <n v="0"/>
  </r>
  <r>
    <x v="21"/>
    <x v="21"/>
    <x v="5"/>
    <x v="5"/>
    <n v="0"/>
    <n v="0"/>
    <n v="0"/>
    <n v="0"/>
    <n v="0"/>
  </r>
  <r>
    <x v="22"/>
    <x v="22"/>
    <x v="5"/>
    <x v="5"/>
    <n v="0"/>
    <n v="0"/>
    <n v="0"/>
    <n v="0"/>
    <n v="0"/>
  </r>
  <r>
    <x v="23"/>
    <x v="23"/>
    <x v="5"/>
    <x v="5"/>
    <n v="1447"/>
    <n v="37"/>
    <n v="8"/>
    <n v="5"/>
    <n v="0"/>
  </r>
  <r>
    <x v="24"/>
    <x v="24"/>
    <x v="5"/>
    <x v="5"/>
    <n v="558"/>
    <n v="20"/>
    <n v="14"/>
    <n v="5"/>
    <n v="0"/>
  </r>
  <r>
    <x v="25"/>
    <x v="25"/>
    <x v="5"/>
    <x v="5"/>
    <n v="0"/>
    <n v="0"/>
    <n v="0"/>
    <n v="0"/>
    <n v="0"/>
  </r>
  <r>
    <x v="26"/>
    <x v="26"/>
    <x v="5"/>
    <x v="5"/>
    <n v="0"/>
    <n v="0"/>
    <n v="0"/>
    <n v="0"/>
    <n v="0"/>
  </r>
  <r>
    <x v="27"/>
    <x v="27"/>
    <x v="5"/>
    <x v="5"/>
    <n v="13310604"/>
    <n v="1733841"/>
    <n v="2213286"/>
    <n v="581844"/>
    <n v="6370195"/>
  </r>
  <r>
    <x v="28"/>
    <x v="28"/>
    <x v="5"/>
    <x v="5"/>
    <n v="0"/>
    <n v="0"/>
    <n v="0"/>
    <n v="0"/>
    <n v="0"/>
  </r>
  <r>
    <x v="29"/>
    <x v="29"/>
    <x v="5"/>
    <x v="5"/>
    <n v="2064006"/>
    <n v="111718"/>
    <n v="115121"/>
    <n v="19481"/>
    <n v="328407"/>
  </r>
  <r>
    <x v="30"/>
    <x v="30"/>
    <x v="5"/>
    <x v="5"/>
    <n v="0"/>
    <n v="0"/>
    <n v="0"/>
    <n v="0"/>
    <n v="0"/>
  </r>
  <r>
    <x v="31"/>
    <x v="31"/>
    <x v="5"/>
    <x v="5"/>
    <n v="7164"/>
    <n v="209"/>
    <n v="251"/>
    <n v="52"/>
    <n v="1762"/>
  </r>
  <r>
    <x v="32"/>
    <x v="32"/>
    <x v="5"/>
    <x v="5"/>
    <n v="0"/>
    <n v="0"/>
    <n v="0"/>
    <n v="0"/>
    <n v="0"/>
  </r>
  <r>
    <x v="33"/>
    <x v="33"/>
    <x v="5"/>
    <x v="5"/>
    <n v="0"/>
    <n v="0"/>
    <n v="0"/>
    <n v="0"/>
    <n v="0"/>
  </r>
  <r>
    <x v="34"/>
    <x v="34"/>
    <x v="5"/>
    <x v="5"/>
    <n v="0"/>
    <n v="0"/>
    <n v="0"/>
    <n v="0"/>
    <n v="0"/>
  </r>
  <r>
    <x v="35"/>
    <x v="35"/>
    <x v="5"/>
    <x v="5"/>
    <n v="0"/>
    <n v="0"/>
    <n v="0"/>
    <n v="0"/>
    <n v="0"/>
  </r>
  <r>
    <x v="36"/>
    <x v="36"/>
    <x v="5"/>
    <x v="5"/>
    <n v="888590"/>
    <n v="41995"/>
    <n v="97841"/>
    <n v="5948"/>
    <n v="176699"/>
  </r>
  <r>
    <x v="37"/>
    <x v="37"/>
    <x v="5"/>
    <x v="5"/>
    <n v="1118367"/>
    <n v="79080"/>
    <n v="108621"/>
    <n v="9241"/>
    <n v="0"/>
  </r>
  <r>
    <x v="38"/>
    <x v="38"/>
    <x v="5"/>
    <x v="5"/>
    <n v="0"/>
    <n v="0"/>
    <n v="0"/>
    <n v="0"/>
    <n v="0"/>
  </r>
  <r>
    <x v="39"/>
    <x v="39"/>
    <x v="5"/>
    <x v="5"/>
    <n v="52638"/>
    <n v="0"/>
    <n v="0"/>
    <n v="0"/>
    <n v="0"/>
  </r>
  <r>
    <x v="40"/>
    <x v="40"/>
    <x v="5"/>
    <x v="5"/>
    <n v="0"/>
    <n v="0"/>
    <n v="0"/>
    <n v="0"/>
    <n v="0"/>
  </r>
  <r>
    <x v="41"/>
    <x v="41"/>
    <x v="5"/>
    <x v="5"/>
    <n v="0"/>
    <n v="0"/>
    <n v="0"/>
    <n v="0"/>
    <n v="0"/>
  </r>
  <r>
    <x v="42"/>
    <x v="42"/>
    <x v="5"/>
    <x v="5"/>
    <n v="0"/>
    <n v="0"/>
    <n v="0"/>
    <n v="0"/>
    <n v="0"/>
  </r>
  <r>
    <x v="43"/>
    <x v="43"/>
    <x v="5"/>
    <x v="5"/>
    <n v="0"/>
    <n v="0"/>
    <n v="0"/>
    <n v="0"/>
    <n v="0"/>
  </r>
  <r>
    <x v="44"/>
    <x v="44"/>
    <x v="5"/>
    <x v="5"/>
    <n v="117630"/>
    <n v="0"/>
    <n v="0"/>
    <n v="0"/>
    <n v="0"/>
  </r>
  <r>
    <x v="45"/>
    <x v="45"/>
    <x v="5"/>
    <x v="5"/>
    <n v="15122"/>
    <n v="0"/>
    <n v="0"/>
    <n v="0"/>
    <n v="0"/>
  </r>
  <r>
    <x v="46"/>
    <x v="46"/>
    <x v="5"/>
    <x v="5"/>
    <n v="0"/>
    <n v="0"/>
    <n v="0"/>
    <n v="0"/>
    <n v="0"/>
  </r>
  <r>
    <x v="47"/>
    <x v="47"/>
    <x v="5"/>
    <x v="5"/>
    <n v="0"/>
    <n v="0"/>
    <n v="0"/>
    <n v="0"/>
    <n v="0"/>
  </r>
  <r>
    <x v="48"/>
    <x v="48"/>
    <x v="5"/>
    <x v="5"/>
    <n v="0"/>
    <n v="-2139245"/>
    <n v="-2535142"/>
    <n v="0"/>
    <n v="0"/>
  </r>
  <r>
    <x v="49"/>
    <x v="49"/>
    <x v="5"/>
    <x v="5"/>
    <n v="0"/>
    <n v="0"/>
    <n v="0"/>
    <n v="0"/>
    <n v="0"/>
  </r>
  <r>
    <x v="50"/>
    <x v="50"/>
    <x v="5"/>
    <x v="5"/>
    <n v="94915"/>
    <n v="0"/>
    <n v="0"/>
    <n v="-752100"/>
    <n v="0"/>
  </r>
  <r>
    <x v="51"/>
    <x v="51"/>
    <x v="5"/>
    <x v="5"/>
    <n v="13439"/>
    <n v="0"/>
    <n v="0"/>
    <n v="0"/>
    <n v="0"/>
  </r>
  <r>
    <x v="52"/>
    <x v="52"/>
    <x v="5"/>
    <x v="5"/>
    <n v="3124540"/>
    <n v="0"/>
    <n v="0"/>
    <n v="0"/>
    <n v="0"/>
  </r>
  <r>
    <x v="53"/>
    <x v="53"/>
    <x v="5"/>
    <x v="5"/>
    <n v="0"/>
    <n v="0"/>
    <n v="0"/>
    <n v="0"/>
    <n v="0"/>
  </r>
  <r>
    <x v="54"/>
    <x v="54"/>
    <x v="5"/>
    <x v="5"/>
    <n v="6600"/>
    <n v="0"/>
    <n v="0"/>
    <n v="0"/>
    <n v="0"/>
  </r>
  <r>
    <x v="55"/>
    <x v="55"/>
    <x v="5"/>
    <x v="5"/>
    <n v="0"/>
    <n v="0"/>
    <n v="0"/>
    <n v="0"/>
    <n v="0"/>
  </r>
  <r>
    <x v="56"/>
    <x v="56"/>
    <x v="5"/>
    <x v="5"/>
    <n v="0"/>
    <n v="0"/>
    <n v="0"/>
    <n v="0"/>
    <n v="0"/>
  </r>
  <r>
    <x v="57"/>
    <x v="57"/>
    <x v="5"/>
    <x v="5"/>
    <n v="0"/>
    <n v="0"/>
    <n v="0"/>
    <n v="0"/>
    <n v="0"/>
  </r>
  <r>
    <x v="58"/>
    <x v="58"/>
    <x v="5"/>
    <x v="5"/>
    <n v="28326762"/>
    <n v="0"/>
    <n v="0"/>
    <n v="0"/>
    <n v="6877065"/>
  </r>
  <r>
    <x v="59"/>
    <x v="59"/>
    <x v="5"/>
    <x v="5"/>
    <n v="18783938"/>
    <n v="0"/>
    <n v="0"/>
    <n v="0"/>
    <n v="0"/>
  </r>
  <r>
    <x v="60"/>
    <x v="60"/>
    <x v="5"/>
    <x v="5"/>
    <n v="28074623"/>
    <n v="0"/>
    <n v="0"/>
    <n v="0"/>
    <n v="0"/>
  </r>
  <r>
    <x v="61"/>
    <x v="61"/>
    <x v="5"/>
    <x v="5"/>
    <n v="7826419"/>
    <n v="0"/>
    <n v="0"/>
    <n v="0"/>
    <n v="0"/>
  </r>
  <r>
    <x v="62"/>
    <x v="62"/>
    <x v="5"/>
    <x v="5"/>
    <n v="-15206341"/>
    <n v="0"/>
    <n v="0"/>
    <n v="0"/>
    <n v="0"/>
  </r>
  <r>
    <x v="63"/>
    <x v="63"/>
    <x v="5"/>
    <x v="5"/>
    <n v="39478639"/>
    <n v="0"/>
    <n v="0"/>
    <n v="0"/>
    <n v="0"/>
  </r>
  <r>
    <x v="64"/>
    <x v="64"/>
    <x v="5"/>
    <x v="5"/>
    <n v="67805401"/>
    <n v="0"/>
    <n v="0"/>
    <n v="0"/>
    <n v="0"/>
  </r>
  <r>
    <x v="0"/>
    <x v="0"/>
    <x v="6"/>
    <x v="6"/>
    <n v="0"/>
    <n v="0"/>
    <n v="0"/>
    <n v="0"/>
    <n v="0"/>
  </r>
  <r>
    <x v="1"/>
    <x v="1"/>
    <x v="6"/>
    <x v="6"/>
    <n v="0"/>
    <n v="0"/>
    <n v="0"/>
    <n v="0"/>
    <n v="0"/>
  </r>
  <r>
    <x v="2"/>
    <x v="2"/>
    <x v="6"/>
    <x v="6"/>
    <n v="0"/>
    <n v="0"/>
    <n v="0"/>
    <n v="0"/>
    <n v="0"/>
  </r>
  <r>
    <x v="3"/>
    <x v="3"/>
    <x v="6"/>
    <x v="6"/>
    <n v="0"/>
    <n v="0"/>
    <n v="0"/>
    <n v="0"/>
    <n v="0"/>
  </r>
  <r>
    <x v="4"/>
    <x v="4"/>
    <x v="6"/>
    <x v="6"/>
    <n v="0"/>
    <n v="0"/>
    <n v="0"/>
    <n v="0"/>
    <n v="0"/>
  </r>
  <r>
    <x v="5"/>
    <x v="5"/>
    <x v="6"/>
    <x v="6"/>
    <n v="0"/>
    <n v="0"/>
    <n v="0"/>
    <n v="0"/>
    <n v="0"/>
  </r>
  <r>
    <x v="6"/>
    <x v="6"/>
    <x v="6"/>
    <x v="6"/>
    <n v="9953834"/>
    <n v="577309"/>
    <n v="0"/>
    <n v="68761"/>
    <n v="35141"/>
  </r>
  <r>
    <x v="7"/>
    <x v="7"/>
    <x v="6"/>
    <x v="6"/>
    <n v="2246407"/>
    <n v="0"/>
    <n v="0"/>
    <n v="0"/>
    <n v="0"/>
  </r>
  <r>
    <x v="8"/>
    <x v="8"/>
    <x v="6"/>
    <x v="6"/>
    <n v="0"/>
    <n v="0"/>
    <n v="0"/>
    <n v="0"/>
    <n v="0"/>
  </r>
  <r>
    <x v="9"/>
    <x v="9"/>
    <x v="6"/>
    <x v="6"/>
    <n v="0"/>
    <n v="0"/>
    <n v="0"/>
    <n v="0"/>
    <n v="0"/>
  </r>
  <r>
    <x v="10"/>
    <x v="10"/>
    <x v="6"/>
    <x v="6"/>
    <n v="0"/>
    <n v="0"/>
    <n v="0"/>
    <n v="0"/>
    <n v="0"/>
  </r>
  <r>
    <x v="11"/>
    <x v="11"/>
    <x v="6"/>
    <x v="6"/>
    <n v="0"/>
    <n v="0"/>
    <n v="0"/>
    <n v="0"/>
    <n v="0"/>
  </r>
  <r>
    <x v="12"/>
    <x v="12"/>
    <x v="6"/>
    <x v="6"/>
    <n v="0"/>
    <n v="0"/>
    <n v="0"/>
    <n v="0"/>
    <n v="0"/>
  </r>
  <r>
    <x v="13"/>
    <x v="13"/>
    <x v="6"/>
    <x v="6"/>
    <n v="19485"/>
    <n v="929"/>
    <n v="239"/>
    <n v="2585"/>
    <n v="0"/>
  </r>
  <r>
    <x v="14"/>
    <x v="14"/>
    <x v="6"/>
    <x v="6"/>
    <n v="0"/>
    <n v="0"/>
    <n v="0"/>
    <n v="0"/>
    <n v="0"/>
  </r>
  <r>
    <x v="15"/>
    <x v="15"/>
    <x v="6"/>
    <x v="6"/>
    <n v="0"/>
    <n v="0"/>
    <n v="0"/>
    <n v="0"/>
    <n v="0"/>
  </r>
  <r>
    <x v="16"/>
    <x v="16"/>
    <x v="6"/>
    <x v="6"/>
    <n v="0"/>
    <n v="0"/>
    <n v="0"/>
    <n v="0"/>
    <n v="0"/>
  </r>
  <r>
    <x v="17"/>
    <x v="17"/>
    <x v="6"/>
    <x v="6"/>
    <n v="0"/>
    <n v="0"/>
    <n v="0"/>
    <n v="0"/>
    <n v="0"/>
  </r>
  <r>
    <x v="18"/>
    <x v="18"/>
    <x v="6"/>
    <x v="6"/>
    <n v="0"/>
    <n v="0"/>
    <n v="0"/>
    <n v="0"/>
    <n v="0"/>
  </r>
  <r>
    <x v="19"/>
    <x v="19"/>
    <x v="6"/>
    <x v="6"/>
    <n v="0"/>
    <n v="0"/>
    <n v="0"/>
    <n v="0"/>
    <n v="0"/>
  </r>
  <r>
    <x v="20"/>
    <x v="20"/>
    <x v="6"/>
    <x v="6"/>
    <n v="0"/>
    <n v="0"/>
    <n v="0"/>
    <n v="0"/>
    <n v="0"/>
  </r>
  <r>
    <x v="21"/>
    <x v="21"/>
    <x v="6"/>
    <x v="6"/>
    <n v="0"/>
    <n v="0"/>
    <n v="0"/>
    <n v="0"/>
    <n v="0"/>
  </r>
  <r>
    <x v="22"/>
    <x v="22"/>
    <x v="6"/>
    <x v="6"/>
    <n v="0"/>
    <n v="0"/>
    <n v="0"/>
    <n v="0"/>
    <n v="0"/>
  </r>
  <r>
    <x v="23"/>
    <x v="23"/>
    <x v="6"/>
    <x v="6"/>
    <n v="0"/>
    <n v="0"/>
    <n v="0"/>
    <n v="0"/>
    <n v="0"/>
  </r>
  <r>
    <x v="24"/>
    <x v="24"/>
    <x v="6"/>
    <x v="6"/>
    <n v="1951"/>
    <n v="72"/>
    <n v="51"/>
    <n v="17"/>
    <n v="0"/>
  </r>
  <r>
    <x v="25"/>
    <x v="25"/>
    <x v="6"/>
    <x v="6"/>
    <n v="0"/>
    <n v="0"/>
    <n v="0"/>
    <n v="0"/>
    <n v="0"/>
  </r>
  <r>
    <x v="26"/>
    <x v="26"/>
    <x v="6"/>
    <x v="6"/>
    <n v="1058974"/>
    <n v="205138"/>
    <n v="124328"/>
    <n v="23717"/>
    <n v="573582"/>
  </r>
  <r>
    <x v="27"/>
    <x v="27"/>
    <x v="6"/>
    <x v="6"/>
    <n v="20316356"/>
    <n v="2120883"/>
    <n v="1335886"/>
    <n v="661464"/>
    <n v="8753832"/>
  </r>
  <r>
    <x v="28"/>
    <x v="28"/>
    <x v="6"/>
    <x v="6"/>
    <n v="1017"/>
    <n v="137"/>
    <n v="169"/>
    <n v="7"/>
    <n v="0"/>
  </r>
  <r>
    <x v="29"/>
    <x v="29"/>
    <x v="6"/>
    <x v="6"/>
    <n v="1936966"/>
    <n v="103433"/>
    <n v="166316"/>
    <n v="18643"/>
    <n v="327790"/>
  </r>
  <r>
    <x v="30"/>
    <x v="30"/>
    <x v="6"/>
    <x v="6"/>
    <n v="2950"/>
    <n v="316"/>
    <n v="178"/>
    <n v="80"/>
    <n v="0"/>
  </r>
  <r>
    <x v="31"/>
    <x v="31"/>
    <x v="6"/>
    <x v="6"/>
    <n v="2195573"/>
    <n v="153464"/>
    <n v="212342"/>
    <n v="18291"/>
    <n v="1151310"/>
  </r>
  <r>
    <x v="32"/>
    <x v="32"/>
    <x v="6"/>
    <x v="6"/>
    <n v="0"/>
    <n v="0"/>
    <n v="0"/>
    <n v="0"/>
    <n v="0"/>
  </r>
  <r>
    <x v="33"/>
    <x v="33"/>
    <x v="6"/>
    <x v="6"/>
    <n v="17780"/>
    <n v="861"/>
    <n v="1019"/>
    <n v="111"/>
    <n v="0"/>
  </r>
  <r>
    <x v="34"/>
    <x v="34"/>
    <x v="6"/>
    <x v="6"/>
    <n v="0"/>
    <n v="0"/>
    <n v="0"/>
    <n v="0"/>
    <n v="0"/>
  </r>
  <r>
    <x v="35"/>
    <x v="35"/>
    <x v="6"/>
    <x v="6"/>
    <n v="3140"/>
    <n v="165"/>
    <n v="78"/>
    <n v="5"/>
    <n v="1868"/>
  </r>
  <r>
    <x v="36"/>
    <x v="36"/>
    <x v="6"/>
    <x v="6"/>
    <n v="1071536"/>
    <n v="29273"/>
    <n v="69145"/>
    <n v="5082"/>
    <n v="400674"/>
  </r>
  <r>
    <x v="37"/>
    <x v="37"/>
    <x v="6"/>
    <x v="6"/>
    <n v="743840"/>
    <n v="63172"/>
    <n v="29410"/>
    <n v="5170"/>
    <n v="0"/>
  </r>
  <r>
    <x v="38"/>
    <x v="38"/>
    <x v="6"/>
    <x v="6"/>
    <n v="109717"/>
    <n v="7106"/>
    <n v="7149"/>
    <n v="306"/>
    <n v="0"/>
  </r>
  <r>
    <x v="39"/>
    <x v="39"/>
    <x v="6"/>
    <x v="6"/>
    <n v="93414"/>
    <n v="0"/>
    <n v="0"/>
    <n v="0"/>
    <n v="0"/>
  </r>
  <r>
    <x v="40"/>
    <x v="40"/>
    <x v="6"/>
    <x v="6"/>
    <n v="0"/>
    <n v="0"/>
    <n v="0"/>
    <n v="0"/>
    <n v="0"/>
  </r>
  <r>
    <x v="41"/>
    <x v="41"/>
    <x v="6"/>
    <x v="6"/>
    <n v="0"/>
    <n v="0"/>
    <n v="0"/>
    <n v="0"/>
    <n v="0"/>
  </r>
  <r>
    <x v="42"/>
    <x v="42"/>
    <x v="6"/>
    <x v="6"/>
    <n v="0"/>
    <n v="0"/>
    <n v="0"/>
    <n v="0"/>
    <n v="0"/>
  </r>
  <r>
    <x v="43"/>
    <x v="43"/>
    <x v="6"/>
    <x v="6"/>
    <n v="5065"/>
    <n v="421"/>
    <n v="652"/>
    <n v="54"/>
    <n v="0"/>
  </r>
  <r>
    <x v="44"/>
    <x v="44"/>
    <x v="6"/>
    <x v="6"/>
    <n v="306378"/>
    <n v="0"/>
    <n v="0"/>
    <n v="0"/>
    <n v="0"/>
  </r>
  <r>
    <x v="45"/>
    <x v="45"/>
    <x v="6"/>
    <x v="6"/>
    <n v="30349"/>
    <n v="0"/>
    <n v="0"/>
    <n v="0"/>
    <n v="0"/>
  </r>
  <r>
    <x v="46"/>
    <x v="46"/>
    <x v="6"/>
    <x v="6"/>
    <n v="1481"/>
    <n v="0"/>
    <n v="0"/>
    <n v="0"/>
    <n v="0"/>
  </r>
  <r>
    <x v="47"/>
    <x v="47"/>
    <x v="6"/>
    <x v="6"/>
    <n v="0"/>
    <n v="0"/>
    <n v="0"/>
    <n v="0"/>
    <n v="0"/>
  </r>
  <r>
    <x v="48"/>
    <x v="48"/>
    <x v="6"/>
    <x v="6"/>
    <n v="0"/>
    <n v="-3262679"/>
    <n v="-1946962"/>
    <n v="0"/>
    <n v="0"/>
  </r>
  <r>
    <x v="49"/>
    <x v="49"/>
    <x v="6"/>
    <x v="6"/>
    <n v="0"/>
    <n v="0"/>
    <n v="0"/>
    <n v="0"/>
    <n v="0"/>
  </r>
  <r>
    <x v="50"/>
    <x v="50"/>
    <x v="6"/>
    <x v="6"/>
    <n v="711810"/>
    <n v="0"/>
    <n v="0"/>
    <n v="-804293"/>
    <n v="0"/>
  </r>
  <r>
    <x v="51"/>
    <x v="51"/>
    <x v="6"/>
    <x v="6"/>
    <n v="696420"/>
    <n v="0"/>
    <n v="0"/>
    <n v="0"/>
    <n v="0"/>
  </r>
  <r>
    <x v="52"/>
    <x v="52"/>
    <x v="6"/>
    <x v="6"/>
    <n v="7237899"/>
    <n v="0"/>
    <n v="0"/>
    <n v="0"/>
    <n v="0"/>
  </r>
  <r>
    <x v="53"/>
    <x v="53"/>
    <x v="6"/>
    <x v="6"/>
    <n v="3236"/>
    <n v="0"/>
    <n v="0"/>
    <n v="0"/>
    <n v="0"/>
  </r>
  <r>
    <x v="54"/>
    <x v="54"/>
    <x v="6"/>
    <x v="6"/>
    <n v="1909564"/>
    <n v="0"/>
    <n v="0"/>
    <n v="0"/>
    <n v="0"/>
  </r>
  <r>
    <x v="55"/>
    <x v="55"/>
    <x v="6"/>
    <x v="6"/>
    <n v="0"/>
    <n v="0"/>
    <n v="0"/>
    <n v="0"/>
    <n v="0"/>
  </r>
  <r>
    <x v="56"/>
    <x v="56"/>
    <x v="6"/>
    <x v="6"/>
    <n v="292546"/>
    <n v="0"/>
    <n v="0"/>
    <n v="0"/>
    <n v="0"/>
  </r>
  <r>
    <x v="57"/>
    <x v="57"/>
    <x v="6"/>
    <x v="6"/>
    <n v="25570"/>
    <n v="0"/>
    <n v="0"/>
    <n v="0"/>
    <n v="2632"/>
  </r>
  <r>
    <x v="58"/>
    <x v="58"/>
    <x v="6"/>
    <x v="6"/>
    <n v="50993258"/>
    <n v="0"/>
    <n v="0"/>
    <n v="0"/>
    <n v="11246829"/>
  </r>
  <r>
    <x v="59"/>
    <x v="59"/>
    <x v="6"/>
    <x v="6"/>
    <n v="64784079"/>
    <n v="0"/>
    <n v="0"/>
    <n v="0"/>
    <n v="0"/>
  </r>
  <r>
    <x v="60"/>
    <x v="60"/>
    <x v="6"/>
    <x v="6"/>
    <n v="97839571"/>
    <n v="0"/>
    <n v="0"/>
    <n v="0"/>
    <n v="0"/>
  </r>
  <r>
    <x v="61"/>
    <x v="61"/>
    <x v="6"/>
    <x v="6"/>
    <n v="7305765"/>
    <n v="0"/>
    <n v="0"/>
    <n v="0"/>
    <n v="0"/>
  </r>
  <r>
    <x v="62"/>
    <x v="62"/>
    <x v="6"/>
    <x v="6"/>
    <n v="119730"/>
    <n v="0"/>
    <n v="0"/>
    <n v="0"/>
    <n v="0"/>
  </r>
  <r>
    <x v="63"/>
    <x v="63"/>
    <x v="6"/>
    <x v="6"/>
    <n v="170049145"/>
    <n v="0"/>
    <n v="0"/>
    <n v="0"/>
    <n v="0"/>
  </r>
  <r>
    <x v="64"/>
    <x v="64"/>
    <x v="6"/>
    <x v="6"/>
    <n v="221042403"/>
    <n v="0"/>
    <n v="0"/>
    <n v="0"/>
    <n v="0"/>
  </r>
  <r>
    <x v="0"/>
    <x v="0"/>
    <x v="7"/>
    <x v="7"/>
    <n v="13272"/>
    <n v="0"/>
    <n v="0"/>
    <n v="94"/>
    <n v="0"/>
  </r>
  <r>
    <x v="1"/>
    <x v="1"/>
    <x v="7"/>
    <x v="7"/>
    <n v="0"/>
    <n v="0"/>
    <n v="0"/>
    <n v="0"/>
    <n v="0"/>
  </r>
  <r>
    <x v="2"/>
    <x v="2"/>
    <x v="7"/>
    <x v="7"/>
    <n v="0"/>
    <n v="0"/>
    <n v="0"/>
    <n v="0"/>
    <n v="0"/>
  </r>
  <r>
    <x v="3"/>
    <x v="3"/>
    <x v="7"/>
    <x v="7"/>
    <n v="0"/>
    <n v="0"/>
    <n v="0"/>
    <n v="0"/>
    <n v="0"/>
  </r>
  <r>
    <x v="4"/>
    <x v="4"/>
    <x v="7"/>
    <x v="7"/>
    <n v="0"/>
    <n v="0"/>
    <n v="0"/>
    <n v="0"/>
    <n v="0"/>
  </r>
  <r>
    <x v="5"/>
    <x v="5"/>
    <x v="7"/>
    <x v="7"/>
    <n v="0"/>
    <n v="0"/>
    <n v="0"/>
    <n v="0"/>
    <n v="0"/>
  </r>
  <r>
    <x v="6"/>
    <x v="6"/>
    <x v="7"/>
    <x v="7"/>
    <n v="0"/>
    <n v="0"/>
    <n v="0"/>
    <n v="0"/>
    <n v="0"/>
  </r>
  <r>
    <x v="7"/>
    <x v="7"/>
    <x v="7"/>
    <x v="7"/>
    <n v="14706240"/>
    <n v="636943"/>
    <n v="118009"/>
    <n v="163871"/>
    <n v="1162703"/>
  </r>
  <r>
    <x v="8"/>
    <x v="8"/>
    <x v="7"/>
    <x v="7"/>
    <n v="10772"/>
    <n v="657"/>
    <n v="0"/>
    <n v="21"/>
    <n v="0"/>
  </r>
  <r>
    <x v="9"/>
    <x v="9"/>
    <x v="7"/>
    <x v="7"/>
    <n v="6674"/>
    <n v="418"/>
    <n v="642"/>
    <n v="106"/>
    <n v="0"/>
  </r>
  <r>
    <x v="10"/>
    <x v="10"/>
    <x v="7"/>
    <x v="7"/>
    <n v="0"/>
    <n v="0"/>
    <n v="0"/>
    <n v="0"/>
    <n v="0"/>
  </r>
  <r>
    <x v="11"/>
    <x v="11"/>
    <x v="7"/>
    <x v="7"/>
    <n v="0"/>
    <n v="0"/>
    <n v="0"/>
    <n v="0"/>
    <n v="0"/>
  </r>
  <r>
    <x v="12"/>
    <x v="12"/>
    <x v="7"/>
    <x v="7"/>
    <n v="0"/>
    <n v="0"/>
    <n v="0"/>
    <n v="0"/>
    <n v="0"/>
  </r>
  <r>
    <x v="13"/>
    <x v="13"/>
    <x v="7"/>
    <x v="7"/>
    <n v="40766"/>
    <n v="1347"/>
    <n v="321"/>
    <n v="5155"/>
    <n v="0"/>
  </r>
  <r>
    <x v="14"/>
    <x v="14"/>
    <x v="7"/>
    <x v="7"/>
    <n v="0"/>
    <n v="0"/>
    <n v="0"/>
    <n v="0"/>
    <n v="0"/>
  </r>
  <r>
    <x v="15"/>
    <x v="15"/>
    <x v="7"/>
    <x v="7"/>
    <n v="0"/>
    <n v="0"/>
    <n v="0"/>
    <n v="0"/>
    <n v="0"/>
  </r>
  <r>
    <x v="16"/>
    <x v="16"/>
    <x v="7"/>
    <x v="7"/>
    <n v="40404"/>
    <n v="2174"/>
    <n v="1600"/>
    <n v="791"/>
    <n v="0"/>
  </r>
  <r>
    <x v="17"/>
    <x v="17"/>
    <x v="7"/>
    <x v="7"/>
    <n v="0"/>
    <n v="0"/>
    <n v="0"/>
    <n v="0"/>
    <n v="0"/>
  </r>
  <r>
    <x v="18"/>
    <x v="18"/>
    <x v="7"/>
    <x v="7"/>
    <n v="0"/>
    <n v="0"/>
    <n v="0"/>
    <n v="0"/>
    <n v="0"/>
  </r>
  <r>
    <x v="19"/>
    <x v="19"/>
    <x v="7"/>
    <x v="7"/>
    <n v="0"/>
    <n v="0"/>
    <n v="0"/>
    <n v="0"/>
    <n v="0"/>
  </r>
  <r>
    <x v="20"/>
    <x v="20"/>
    <x v="7"/>
    <x v="7"/>
    <n v="0"/>
    <n v="0"/>
    <n v="0"/>
    <n v="0"/>
    <n v="0"/>
  </r>
  <r>
    <x v="21"/>
    <x v="21"/>
    <x v="7"/>
    <x v="7"/>
    <n v="0"/>
    <n v="0"/>
    <n v="0"/>
    <n v="0"/>
    <n v="0"/>
  </r>
  <r>
    <x v="22"/>
    <x v="22"/>
    <x v="7"/>
    <x v="7"/>
    <n v="0"/>
    <n v="0"/>
    <n v="0"/>
    <n v="0"/>
    <n v="0"/>
  </r>
  <r>
    <x v="23"/>
    <x v="23"/>
    <x v="7"/>
    <x v="7"/>
    <n v="165333"/>
    <n v="6085"/>
    <n v="2593"/>
    <n v="592"/>
    <n v="0"/>
  </r>
  <r>
    <x v="24"/>
    <x v="24"/>
    <x v="7"/>
    <x v="7"/>
    <n v="38753"/>
    <n v="1498"/>
    <n v="933"/>
    <n v="337"/>
    <n v="0"/>
  </r>
  <r>
    <x v="25"/>
    <x v="25"/>
    <x v="7"/>
    <x v="7"/>
    <n v="41571"/>
    <n v="639"/>
    <n v="1474"/>
    <n v="325"/>
    <n v="0"/>
  </r>
  <r>
    <x v="26"/>
    <x v="26"/>
    <x v="7"/>
    <x v="7"/>
    <n v="6999"/>
    <n v="469"/>
    <n v="217"/>
    <n v="134"/>
    <n v="4235"/>
  </r>
  <r>
    <x v="27"/>
    <x v="27"/>
    <x v="7"/>
    <x v="7"/>
    <n v="33951556"/>
    <n v="1385985"/>
    <n v="4203210"/>
    <n v="1206451"/>
    <n v="178411"/>
  </r>
  <r>
    <x v="28"/>
    <x v="28"/>
    <x v="7"/>
    <x v="7"/>
    <n v="180533"/>
    <n v="17311"/>
    <n v="29177"/>
    <n v="1240"/>
    <n v="500"/>
  </r>
  <r>
    <x v="29"/>
    <x v="29"/>
    <x v="7"/>
    <x v="7"/>
    <n v="10831345"/>
    <n v="534167"/>
    <n v="555665"/>
    <n v="98455"/>
    <n v="2075098"/>
  </r>
  <r>
    <x v="30"/>
    <x v="30"/>
    <x v="7"/>
    <x v="7"/>
    <n v="25188"/>
    <n v="2885"/>
    <n v="3235"/>
    <n v="642"/>
    <n v="0"/>
  </r>
  <r>
    <x v="31"/>
    <x v="31"/>
    <x v="7"/>
    <x v="7"/>
    <n v="2015744"/>
    <n v="69186"/>
    <n v="141949"/>
    <n v="14583"/>
    <n v="984180"/>
  </r>
  <r>
    <x v="32"/>
    <x v="32"/>
    <x v="7"/>
    <x v="7"/>
    <n v="150638"/>
    <n v="7516"/>
    <n v="8690"/>
    <n v="2313"/>
    <n v="0"/>
  </r>
  <r>
    <x v="33"/>
    <x v="33"/>
    <x v="7"/>
    <x v="7"/>
    <n v="403870"/>
    <n v="14795"/>
    <n v="16782"/>
    <n v="4623"/>
    <n v="0"/>
  </r>
  <r>
    <x v="34"/>
    <x v="34"/>
    <x v="7"/>
    <x v="7"/>
    <n v="11823"/>
    <n v="548"/>
    <n v="750"/>
    <n v="140"/>
    <n v="0"/>
  </r>
  <r>
    <x v="35"/>
    <x v="35"/>
    <x v="7"/>
    <x v="7"/>
    <n v="0"/>
    <n v="0"/>
    <n v="0"/>
    <n v="0"/>
    <n v="0"/>
  </r>
  <r>
    <x v="36"/>
    <x v="36"/>
    <x v="7"/>
    <x v="7"/>
    <n v="4898604"/>
    <n v="59080"/>
    <n v="139598"/>
    <n v="22119"/>
    <n v="1605714"/>
  </r>
  <r>
    <x v="37"/>
    <x v="37"/>
    <x v="7"/>
    <x v="7"/>
    <n v="1569581"/>
    <n v="160507"/>
    <n v="100026"/>
    <n v="12532"/>
    <n v="0"/>
  </r>
  <r>
    <x v="38"/>
    <x v="38"/>
    <x v="7"/>
    <x v="7"/>
    <n v="208403"/>
    <n v="13784"/>
    <n v="18440"/>
    <n v="1988"/>
    <n v="0"/>
  </r>
  <r>
    <x v="39"/>
    <x v="39"/>
    <x v="7"/>
    <x v="7"/>
    <n v="1862939"/>
    <n v="0"/>
    <n v="0"/>
    <n v="0"/>
    <n v="0"/>
  </r>
  <r>
    <x v="40"/>
    <x v="40"/>
    <x v="7"/>
    <x v="7"/>
    <n v="0"/>
    <n v="0"/>
    <n v="0"/>
    <n v="0"/>
    <n v="0"/>
  </r>
  <r>
    <x v="41"/>
    <x v="41"/>
    <x v="7"/>
    <x v="7"/>
    <n v="0"/>
    <n v="0"/>
    <n v="0"/>
    <n v="0"/>
    <n v="0"/>
  </r>
  <r>
    <x v="42"/>
    <x v="42"/>
    <x v="7"/>
    <x v="7"/>
    <n v="1042918"/>
    <n v="62936"/>
    <n v="75879"/>
    <n v="8171"/>
    <n v="0"/>
  </r>
  <r>
    <x v="43"/>
    <x v="43"/>
    <x v="7"/>
    <x v="7"/>
    <n v="65555"/>
    <n v="4774"/>
    <n v="5208"/>
    <n v="586"/>
    <n v="0"/>
  </r>
  <r>
    <x v="44"/>
    <x v="44"/>
    <x v="7"/>
    <x v="7"/>
    <n v="636383"/>
    <n v="126"/>
    <n v="28"/>
    <n v="73"/>
    <n v="0"/>
  </r>
  <r>
    <x v="45"/>
    <x v="45"/>
    <x v="7"/>
    <x v="7"/>
    <n v="151888"/>
    <n v="0"/>
    <n v="0"/>
    <n v="0"/>
    <n v="0"/>
  </r>
  <r>
    <x v="46"/>
    <x v="46"/>
    <x v="7"/>
    <x v="7"/>
    <n v="118811"/>
    <n v="0"/>
    <n v="0"/>
    <n v="0"/>
    <n v="0"/>
  </r>
  <r>
    <x v="47"/>
    <x v="47"/>
    <x v="7"/>
    <x v="7"/>
    <n v="0"/>
    <n v="0"/>
    <n v="0"/>
    <n v="0"/>
    <n v="0"/>
  </r>
  <r>
    <x v="48"/>
    <x v="48"/>
    <x v="7"/>
    <x v="7"/>
    <n v="0"/>
    <n v="-2983830"/>
    <n v="-5424426"/>
    <n v="0"/>
    <n v="0"/>
  </r>
  <r>
    <x v="49"/>
    <x v="49"/>
    <x v="7"/>
    <x v="7"/>
    <n v="995518"/>
    <n v="0"/>
    <n v="0"/>
    <n v="0"/>
    <n v="0"/>
  </r>
  <r>
    <x v="50"/>
    <x v="50"/>
    <x v="7"/>
    <x v="7"/>
    <n v="580414"/>
    <n v="0"/>
    <n v="0"/>
    <n v="-1545342"/>
    <n v="0"/>
  </r>
  <r>
    <x v="51"/>
    <x v="51"/>
    <x v="7"/>
    <x v="7"/>
    <n v="848566"/>
    <n v="0"/>
    <n v="0"/>
    <n v="0"/>
    <n v="0"/>
  </r>
  <r>
    <x v="52"/>
    <x v="52"/>
    <x v="7"/>
    <x v="7"/>
    <n v="4194703"/>
    <n v="0"/>
    <n v="0"/>
    <n v="0"/>
    <n v="0"/>
  </r>
  <r>
    <x v="53"/>
    <x v="53"/>
    <x v="7"/>
    <x v="7"/>
    <n v="46152"/>
    <n v="0"/>
    <n v="0"/>
    <n v="0"/>
    <n v="0"/>
  </r>
  <r>
    <x v="54"/>
    <x v="54"/>
    <x v="7"/>
    <x v="7"/>
    <n v="193379"/>
    <n v="0"/>
    <n v="0"/>
    <n v="0"/>
    <n v="0"/>
  </r>
  <r>
    <x v="55"/>
    <x v="55"/>
    <x v="7"/>
    <x v="7"/>
    <n v="819"/>
    <n v="0"/>
    <n v="0"/>
    <n v="0"/>
    <n v="0"/>
  </r>
  <r>
    <x v="56"/>
    <x v="56"/>
    <x v="7"/>
    <x v="7"/>
    <n v="90673"/>
    <n v="0"/>
    <n v="0"/>
    <n v="0"/>
    <n v="0"/>
  </r>
  <r>
    <x v="57"/>
    <x v="57"/>
    <x v="7"/>
    <x v="7"/>
    <n v="319755"/>
    <n v="0"/>
    <n v="0"/>
    <n v="0"/>
    <n v="33213"/>
  </r>
  <r>
    <x v="58"/>
    <x v="58"/>
    <x v="7"/>
    <x v="7"/>
    <n v="80466542"/>
    <n v="0"/>
    <n v="0"/>
    <n v="0"/>
    <n v="6044054"/>
  </r>
  <r>
    <x v="59"/>
    <x v="59"/>
    <x v="7"/>
    <x v="7"/>
    <n v="35413750"/>
    <n v="0"/>
    <n v="0"/>
    <n v="0"/>
    <n v="0"/>
  </r>
  <r>
    <x v="60"/>
    <x v="60"/>
    <x v="7"/>
    <x v="7"/>
    <n v="74033448"/>
    <n v="0"/>
    <n v="0"/>
    <n v="0"/>
    <n v="0"/>
  </r>
  <r>
    <x v="61"/>
    <x v="61"/>
    <x v="7"/>
    <x v="7"/>
    <n v="8717527"/>
    <n v="0"/>
    <n v="0"/>
    <n v="0"/>
    <n v="0"/>
  </r>
  <r>
    <x v="62"/>
    <x v="62"/>
    <x v="7"/>
    <x v="7"/>
    <n v="98778"/>
    <n v="0"/>
    <n v="0"/>
    <n v="0"/>
    <n v="0"/>
  </r>
  <r>
    <x v="63"/>
    <x v="63"/>
    <x v="7"/>
    <x v="7"/>
    <n v="118263503"/>
    <n v="0"/>
    <n v="0"/>
    <n v="0"/>
    <n v="0"/>
  </r>
  <r>
    <x v="64"/>
    <x v="64"/>
    <x v="7"/>
    <x v="7"/>
    <n v="198730045"/>
    <n v="0"/>
    <n v="0"/>
    <n v="0"/>
    <n v="0"/>
  </r>
  <r>
    <x v="0"/>
    <x v="0"/>
    <x v="8"/>
    <x v="8"/>
    <n v="9677525"/>
    <n v="220415"/>
    <n v="695471"/>
    <n v="59159"/>
    <n v="0"/>
  </r>
  <r>
    <x v="1"/>
    <x v="1"/>
    <x v="8"/>
    <x v="8"/>
    <n v="4296645"/>
    <n v="142736"/>
    <n v="0"/>
    <n v="30551"/>
    <n v="894709"/>
  </r>
  <r>
    <x v="2"/>
    <x v="2"/>
    <x v="8"/>
    <x v="8"/>
    <n v="12372"/>
    <n v="107"/>
    <n v="0"/>
    <n v="70"/>
    <n v="0"/>
  </r>
  <r>
    <x v="3"/>
    <x v="3"/>
    <x v="8"/>
    <x v="8"/>
    <n v="2388736"/>
    <n v="26671"/>
    <n v="25992"/>
    <n v="3146"/>
    <n v="1538577"/>
  </r>
  <r>
    <x v="4"/>
    <x v="4"/>
    <x v="8"/>
    <x v="8"/>
    <n v="2828602"/>
    <n v="193186"/>
    <n v="202278"/>
    <n v="69130"/>
    <n v="0"/>
  </r>
  <r>
    <x v="5"/>
    <x v="5"/>
    <x v="8"/>
    <x v="8"/>
    <n v="0"/>
    <n v="0"/>
    <n v="0"/>
    <n v="0"/>
    <n v="0"/>
  </r>
  <r>
    <x v="6"/>
    <x v="6"/>
    <x v="8"/>
    <x v="8"/>
    <n v="0"/>
    <n v="0"/>
    <n v="0"/>
    <n v="0"/>
    <n v="0"/>
  </r>
  <r>
    <x v="7"/>
    <x v="7"/>
    <x v="8"/>
    <x v="8"/>
    <n v="848308"/>
    <n v="30213"/>
    <n v="0"/>
    <n v="9756"/>
    <n v="0"/>
  </r>
  <r>
    <x v="8"/>
    <x v="8"/>
    <x v="8"/>
    <x v="8"/>
    <n v="27489559"/>
    <n v="1511504"/>
    <n v="125794"/>
    <n v="83309"/>
    <n v="1072727"/>
  </r>
  <r>
    <x v="9"/>
    <x v="9"/>
    <x v="8"/>
    <x v="8"/>
    <n v="136453"/>
    <n v="3716"/>
    <n v="4902"/>
    <n v="1976"/>
    <n v="0"/>
  </r>
  <r>
    <x v="10"/>
    <x v="10"/>
    <x v="8"/>
    <x v="8"/>
    <n v="4224945"/>
    <n v="249821"/>
    <n v="221249"/>
    <n v="70392"/>
    <n v="0"/>
  </r>
  <r>
    <x v="11"/>
    <x v="11"/>
    <x v="8"/>
    <x v="8"/>
    <n v="0"/>
    <n v="0"/>
    <n v="0"/>
    <n v="0"/>
    <n v="0"/>
  </r>
  <r>
    <x v="12"/>
    <x v="12"/>
    <x v="8"/>
    <x v="8"/>
    <n v="0"/>
    <n v="0"/>
    <n v="0"/>
    <n v="0"/>
    <n v="0"/>
  </r>
  <r>
    <x v="13"/>
    <x v="13"/>
    <x v="8"/>
    <x v="8"/>
    <n v="83536"/>
    <n v="911"/>
    <n v="893"/>
    <n v="1479"/>
    <n v="0"/>
  </r>
  <r>
    <x v="14"/>
    <x v="14"/>
    <x v="8"/>
    <x v="8"/>
    <n v="121404"/>
    <n v="3429"/>
    <n v="6932"/>
    <n v="493"/>
    <n v="0"/>
  </r>
  <r>
    <x v="15"/>
    <x v="15"/>
    <x v="8"/>
    <x v="8"/>
    <n v="32006826"/>
    <n v="683396"/>
    <n v="541845"/>
    <n v="245209"/>
    <n v="29535667"/>
  </r>
  <r>
    <x v="16"/>
    <x v="16"/>
    <x v="8"/>
    <x v="8"/>
    <n v="27944542"/>
    <n v="941200"/>
    <n v="951031"/>
    <n v="481876"/>
    <n v="0"/>
  </r>
  <r>
    <x v="17"/>
    <x v="17"/>
    <x v="8"/>
    <x v="8"/>
    <n v="0"/>
    <n v="0"/>
    <n v="0"/>
    <n v="0"/>
    <n v="0"/>
  </r>
  <r>
    <x v="18"/>
    <x v="18"/>
    <x v="8"/>
    <x v="8"/>
    <n v="0"/>
    <n v="0"/>
    <n v="0"/>
    <n v="0"/>
    <n v="0"/>
  </r>
  <r>
    <x v="19"/>
    <x v="19"/>
    <x v="8"/>
    <x v="8"/>
    <n v="72942348"/>
    <n v="3543985"/>
    <n v="5846518"/>
    <n v="675425"/>
    <n v="14861845"/>
  </r>
  <r>
    <x v="20"/>
    <x v="20"/>
    <x v="8"/>
    <x v="8"/>
    <n v="6044"/>
    <n v="0"/>
    <n v="615"/>
    <n v="133"/>
    <n v="0"/>
  </r>
  <r>
    <x v="21"/>
    <x v="21"/>
    <x v="8"/>
    <x v="8"/>
    <n v="0"/>
    <n v="0"/>
    <n v="0"/>
    <n v="0"/>
    <n v="0"/>
  </r>
  <r>
    <x v="22"/>
    <x v="22"/>
    <x v="8"/>
    <x v="8"/>
    <n v="104"/>
    <n v="14"/>
    <n v="12"/>
    <n v="2"/>
    <n v="0"/>
  </r>
  <r>
    <x v="23"/>
    <x v="23"/>
    <x v="8"/>
    <x v="8"/>
    <n v="6707"/>
    <n v="344"/>
    <n v="577"/>
    <n v="25"/>
    <n v="0"/>
  </r>
  <r>
    <x v="24"/>
    <x v="24"/>
    <x v="8"/>
    <x v="8"/>
    <n v="57184"/>
    <n v="3908"/>
    <n v="3130"/>
    <n v="672"/>
    <n v="0"/>
  </r>
  <r>
    <x v="25"/>
    <x v="25"/>
    <x v="8"/>
    <x v="8"/>
    <n v="612"/>
    <n v="25"/>
    <n v="55"/>
    <n v="5"/>
    <n v="0"/>
  </r>
  <r>
    <x v="26"/>
    <x v="26"/>
    <x v="8"/>
    <x v="8"/>
    <n v="86250"/>
    <n v="8358"/>
    <n v="3768"/>
    <n v="1704"/>
    <n v="47420"/>
  </r>
  <r>
    <x v="27"/>
    <x v="27"/>
    <x v="8"/>
    <x v="8"/>
    <n v="499647"/>
    <n v="46421"/>
    <n v="44500"/>
    <n v="17816"/>
    <n v="0"/>
  </r>
  <r>
    <x v="28"/>
    <x v="28"/>
    <x v="8"/>
    <x v="8"/>
    <n v="14687983"/>
    <n v="1429613"/>
    <n v="2472607"/>
    <n v="108413"/>
    <n v="97155"/>
  </r>
  <r>
    <x v="29"/>
    <x v="29"/>
    <x v="8"/>
    <x v="8"/>
    <n v="2630089"/>
    <n v="138672"/>
    <n v="158870"/>
    <n v="22961"/>
    <n v="487755"/>
  </r>
  <r>
    <x v="30"/>
    <x v="30"/>
    <x v="8"/>
    <x v="8"/>
    <n v="24610"/>
    <n v="2365"/>
    <n v="2519"/>
    <n v="696"/>
    <n v="0"/>
  </r>
  <r>
    <x v="31"/>
    <x v="31"/>
    <x v="8"/>
    <x v="8"/>
    <n v="2627178"/>
    <n v="151738"/>
    <n v="179958"/>
    <n v="20436"/>
    <n v="1127158"/>
  </r>
  <r>
    <x v="32"/>
    <x v="32"/>
    <x v="8"/>
    <x v="8"/>
    <n v="187058"/>
    <n v="20667"/>
    <n v="13288"/>
    <n v="2775"/>
    <n v="0"/>
  </r>
  <r>
    <x v="33"/>
    <x v="33"/>
    <x v="8"/>
    <x v="8"/>
    <n v="0"/>
    <n v="0"/>
    <n v="0"/>
    <n v="0"/>
    <n v="0"/>
  </r>
  <r>
    <x v="34"/>
    <x v="34"/>
    <x v="8"/>
    <x v="8"/>
    <n v="0"/>
    <n v="0"/>
    <n v="0"/>
    <n v="0"/>
    <n v="0"/>
  </r>
  <r>
    <x v="35"/>
    <x v="35"/>
    <x v="8"/>
    <x v="8"/>
    <n v="0"/>
    <n v="0"/>
    <n v="0"/>
    <n v="0"/>
    <n v="0"/>
  </r>
  <r>
    <x v="36"/>
    <x v="36"/>
    <x v="8"/>
    <x v="8"/>
    <n v="1355011"/>
    <n v="34877"/>
    <n v="81802"/>
    <n v="4048"/>
    <n v="781670"/>
  </r>
  <r>
    <x v="37"/>
    <x v="37"/>
    <x v="8"/>
    <x v="8"/>
    <n v="212309"/>
    <n v="16550"/>
    <n v="6364"/>
    <n v="1620"/>
    <n v="0"/>
  </r>
  <r>
    <x v="38"/>
    <x v="38"/>
    <x v="8"/>
    <x v="8"/>
    <n v="368909"/>
    <n v="21414"/>
    <n v="27129"/>
    <n v="2053"/>
    <n v="0"/>
  </r>
  <r>
    <x v="39"/>
    <x v="39"/>
    <x v="8"/>
    <x v="8"/>
    <n v="1337411"/>
    <n v="0"/>
    <n v="0"/>
    <n v="0"/>
    <n v="0"/>
  </r>
  <r>
    <x v="40"/>
    <x v="40"/>
    <x v="8"/>
    <x v="8"/>
    <n v="0"/>
    <n v="0"/>
    <n v="0"/>
    <n v="0"/>
    <n v="0"/>
  </r>
  <r>
    <x v="41"/>
    <x v="41"/>
    <x v="8"/>
    <x v="8"/>
    <n v="0"/>
    <n v="0"/>
    <n v="0"/>
    <n v="0"/>
    <n v="0"/>
  </r>
  <r>
    <x v="42"/>
    <x v="42"/>
    <x v="8"/>
    <x v="8"/>
    <n v="328419"/>
    <n v="37938"/>
    <n v="32349"/>
    <n v="2981"/>
    <n v="0"/>
  </r>
  <r>
    <x v="43"/>
    <x v="43"/>
    <x v="8"/>
    <x v="8"/>
    <n v="476462"/>
    <n v="43631"/>
    <n v="35614"/>
    <n v="4167"/>
    <n v="0"/>
  </r>
  <r>
    <x v="44"/>
    <x v="44"/>
    <x v="8"/>
    <x v="8"/>
    <n v="3351599"/>
    <n v="395"/>
    <n v="557"/>
    <n v="210"/>
    <n v="0"/>
  </r>
  <r>
    <x v="45"/>
    <x v="45"/>
    <x v="8"/>
    <x v="8"/>
    <n v="483908"/>
    <n v="0"/>
    <n v="0"/>
    <n v="0"/>
    <n v="0"/>
  </r>
  <r>
    <x v="46"/>
    <x v="46"/>
    <x v="8"/>
    <x v="8"/>
    <n v="693608"/>
    <n v="0"/>
    <n v="0"/>
    <n v="0"/>
    <n v="0"/>
  </r>
  <r>
    <x v="47"/>
    <x v="47"/>
    <x v="8"/>
    <x v="8"/>
    <n v="0"/>
    <n v="0"/>
    <n v="0"/>
    <n v="0"/>
    <n v="0"/>
  </r>
  <r>
    <x v="48"/>
    <x v="48"/>
    <x v="8"/>
    <x v="8"/>
    <n v="0"/>
    <n v="-9508220"/>
    <n v="-11686619"/>
    <n v="0"/>
    <n v="0"/>
  </r>
  <r>
    <x v="49"/>
    <x v="49"/>
    <x v="8"/>
    <x v="8"/>
    <n v="585196"/>
    <n v="0"/>
    <n v="0"/>
    <n v="0"/>
    <n v="0"/>
  </r>
  <r>
    <x v="50"/>
    <x v="50"/>
    <x v="8"/>
    <x v="8"/>
    <n v="740549"/>
    <n v="0"/>
    <n v="0"/>
    <n v="-1922688"/>
    <n v="0"/>
  </r>
  <r>
    <x v="51"/>
    <x v="51"/>
    <x v="8"/>
    <x v="8"/>
    <n v="301471"/>
    <n v="0"/>
    <n v="0"/>
    <n v="0"/>
    <n v="0"/>
  </r>
  <r>
    <x v="52"/>
    <x v="52"/>
    <x v="8"/>
    <x v="8"/>
    <n v="6305112"/>
    <n v="0"/>
    <n v="0"/>
    <n v="0"/>
    <n v="0"/>
  </r>
  <r>
    <x v="53"/>
    <x v="53"/>
    <x v="8"/>
    <x v="8"/>
    <n v="0"/>
    <n v="0"/>
    <n v="0"/>
    <n v="0"/>
    <n v="0"/>
  </r>
  <r>
    <x v="54"/>
    <x v="54"/>
    <x v="8"/>
    <x v="8"/>
    <n v="1014308"/>
    <n v="0"/>
    <n v="0"/>
    <n v="0"/>
    <n v="0"/>
  </r>
  <r>
    <x v="55"/>
    <x v="55"/>
    <x v="8"/>
    <x v="8"/>
    <n v="596505"/>
    <n v="0"/>
    <n v="0"/>
    <n v="0"/>
    <n v="0"/>
  </r>
  <r>
    <x v="56"/>
    <x v="56"/>
    <x v="8"/>
    <x v="8"/>
    <n v="70496"/>
    <n v="0"/>
    <n v="0"/>
    <n v="0"/>
    <n v="0"/>
  </r>
  <r>
    <x v="57"/>
    <x v="57"/>
    <x v="8"/>
    <x v="8"/>
    <n v="553372"/>
    <n v="0"/>
    <n v="0"/>
    <n v="0"/>
    <n v="50151"/>
  </r>
  <r>
    <x v="58"/>
    <x v="58"/>
    <x v="8"/>
    <x v="8"/>
    <n v="224589912"/>
    <n v="0"/>
    <n v="0"/>
    <n v="0"/>
    <n v="50494834"/>
  </r>
  <r>
    <x v="59"/>
    <x v="59"/>
    <x v="8"/>
    <x v="8"/>
    <n v="50686440"/>
    <n v="0"/>
    <n v="0"/>
    <n v="0"/>
    <n v="0"/>
  </r>
  <r>
    <x v="60"/>
    <x v="60"/>
    <x v="8"/>
    <x v="8"/>
    <n v="118896569"/>
    <n v="0"/>
    <n v="0"/>
    <n v="0"/>
    <n v="0"/>
  </r>
  <r>
    <x v="61"/>
    <x v="61"/>
    <x v="8"/>
    <x v="8"/>
    <n v="19729403"/>
    <n v="0"/>
    <n v="0"/>
    <n v="0"/>
    <n v="0"/>
  </r>
  <r>
    <x v="62"/>
    <x v="62"/>
    <x v="8"/>
    <x v="8"/>
    <n v="677778"/>
    <n v="0"/>
    <n v="0"/>
    <n v="0"/>
    <n v="0"/>
  </r>
  <r>
    <x v="63"/>
    <x v="63"/>
    <x v="8"/>
    <x v="8"/>
    <n v="189990190"/>
    <n v="0"/>
    <n v="0"/>
    <n v="0"/>
    <n v="0"/>
  </r>
  <r>
    <x v="64"/>
    <x v="64"/>
    <x v="8"/>
    <x v="8"/>
    <n v="414580102"/>
    <n v="0"/>
    <n v="0"/>
    <n v="0"/>
    <n v="0"/>
  </r>
  <r>
    <x v="0"/>
    <x v="0"/>
    <x v="9"/>
    <x v="9"/>
    <n v="0"/>
    <n v="0"/>
    <n v="0"/>
    <n v="0"/>
    <n v="0"/>
  </r>
  <r>
    <x v="1"/>
    <x v="1"/>
    <x v="9"/>
    <x v="9"/>
    <n v="0"/>
    <n v="0"/>
    <n v="0"/>
    <n v="0"/>
    <n v="0"/>
  </r>
  <r>
    <x v="2"/>
    <x v="2"/>
    <x v="9"/>
    <x v="9"/>
    <n v="0"/>
    <n v="0"/>
    <n v="0"/>
    <n v="0"/>
    <n v="0"/>
  </r>
  <r>
    <x v="3"/>
    <x v="3"/>
    <x v="9"/>
    <x v="9"/>
    <n v="0"/>
    <n v="0"/>
    <n v="0"/>
    <n v="0"/>
    <n v="0"/>
  </r>
  <r>
    <x v="4"/>
    <x v="4"/>
    <x v="9"/>
    <x v="9"/>
    <n v="0"/>
    <n v="0"/>
    <n v="0"/>
    <n v="0"/>
    <n v="0"/>
  </r>
  <r>
    <x v="5"/>
    <x v="5"/>
    <x v="9"/>
    <x v="9"/>
    <n v="0"/>
    <n v="0"/>
    <n v="0"/>
    <n v="0"/>
    <n v="0"/>
  </r>
  <r>
    <x v="6"/>
    <x v="6"/>
    <x v="9"/>
    <x v="9"/>
    <n v="0"/>
    <n v="0"/>
    <n v="0"/>
    <n v="0"/>
    <n v="0"/>
  </r>
  <r>
    <x v="7"/>
    <x v="7"/>
    <x v="9"/>
    <x v="9"/>
    <n v="334330"/>
    <n v="0"/>
    <n v="0"/>
    <n v="0"/>
    <n v="0"/>
  </r>
  <r>
    <x v="8"/>
    <x v="8"/>
    <x v="9"/>
    <x v="9"/>
    <n v="0"/>
    <n v="0"/>
    <n v="0"/>
    <n v="0"/>
    <n v="0"/>
  </r>
  <r>
    <x v="9"/>
    <x v="9"/>
    <x v="9"/>
    <x v="9"/>
    <n v="700494"/>
    <n v="21429"/>
    <n v="0"/>
    <n v="9517"/>
    <n v="0"/>
  </r>
  <r>
    <x v="10"/>
    <x v="10"/>
    <x v="9"/>
    <x v="9"/>
    <n v="0"/>
    <n v="0"/>
    <n v="0"/>
    <n v="0"/>
    <n v="0"/>
  </r>
  <r>
    <x v="11"/>
    <x v="11"/>
    <x v="9"/>
    <x v="9"/>
    <n v="0"/>
    <n v="0"/>
    <n v="0"/>
    <n v="0"/>
    <n v="0"/>
  </r>
  <r>
    <x v="12"/>
    <x v="12"/>
    <x v="9"/>
    <x v="9"/>
    <n v="0"/>
    <n v="0"/>
    <n v="0"/>
    <n v="0"/>
    <n v="0"/>
  </r>
  <r>
    <x v="13"/>
    <x v="13"/>
    <x v="9"/>
    <x v="9"/>
    <n v="0"/>
    <n v="0"/>
    <n v="0"/>
    <n v="0"/>
    <n v="0"/>
  </r>
  <r>
    <x v="14"/>
    <x v="14"/>
    <x v="9"/>
    <x v="9"/>
    <n v="0"/>
    <n v="0"/>
    <n v="0"/>
    <n v="0"/>
    <n v="0"/>
  </r>
  <r>
    <x v="15"/>
    <x v="15"/>
    <x v="9"/>
    <x v="9"/>
    <n v="0"/>
    <n v="0"/>
    <n v="0"/>
    <n v="0"/>
    <n v="0"/>
  </r>
  <r>
    <x v="16"/>
    <x v="16"/>
    <x v="9"/>
    <x v="9"/>
    <n v="0"/>
    <n v="0"/>
    <n v="0"/>
    <n v="0"/>
    <n v="0"/>
  </r>
  <r>
    <x v="17"/>
    <x v="17"/>
    <x v="9"/>
    <x v="9"/>
    <n v="0"/>
    <n v="0"/>
    <n v="0"/>
    <n v="0"/>
    <n v="0"/>
  </r>
  <r>
    <x v="18"/>
    <x v="18"/>
    <x v="9"/>
    <x v="9"/>
    <n v="0"/>
    <n v="0"/>
    <n v="0"/>
    <n v="0"/>
    <n v="0"/>
  </r>
  <r>
    <x v="19"/>
    <x v="19"/>
    <x v="9"/>
    <x v="9"/>
    <n v="0"/>
    <n v="0"/>
    <n v="0"/>
    <n v="0"/>
    <n v="0"/>
  </r>
  <r>
    <x v="20"/>
    <x v="20"/>
    <x v="9"/>
    <x v="9"/>
    <n v="0"/>
    <n v="0"/>
    <n v="0"/>
    <n v="0"/>
    <n v="0"/>
  </r>
  <r>
    <x v="21"/>
    <x v="21"/>
    <x v="9"/>
    <x v="9"/>
    <n v="0"/>
    <n v="0"/>
    <n v="0"/>
    <n v="0"/>
    <n v="0"/>
  </r>
  <r>
    <x v="22"/>
    <x v="22"/>
    <x v="9"/>
    <x v="9"/>
    <n v="0"/>
    <n v="0"/>
    <n v="0"/>
    <n v="0"/>
    <n v="0"/>
  </r>
  <r>
    <x v="23"/>
    <x v="23"/>
    <x v="9"/>
    <x v="9"/>
    <n v="93380"/>
    <n v="7821"/>
    <n v="713"/>
    <n v="479"/>
    <n v="0"/>
  </r>
  <r>
    <x v="24"/>
    <x v="24"/>
    <x v="9"/>
    <x v="9"/>
    <n v="17849"/>
    <n v="201"/>
    <n v="545"/>
    <n v="151"/>
    <n v="0"/>
  </r>
  <r>
    <x v="25"/>
    <x v="25"/>
    <x v="9"/>
    <x v="9"/>
    <n v="0"/>
    <n v="0"/>
    <n v="0"/>
    <n v="0"/>
    <n v="0"/>
  </r>
  <r>
    <x v="26"/>
    <x v="26"/>
    <x v="9"/>
    <x v="9"/>
    <n v="0"/>
    <n v="0"/>
    <n v="0"/>
    <n v="0"/>
    <n v="0"/>
  </r>
  <r>
    <x v="27"/>
    <x v="27"/>
    <x v="9"/>
    <x v="9"/>
    <n v="244714"/>
    <n v="22363"/>
    <n v="23921"/>
    <n v="8992"/>
    <n v="0"/>
  </r>
  <r>
    <x v="28"/>
    <x v="28"/>
    <x v="9"/>
    <x v="9"/>
    <n v="0"/>
    <n v="0"/>
    <n v="0"/>
    <n v="0"/>
    <n v="0"/>
  </r>
  <r>
    <x v="29"/>
    <x v="29"/>
    <x v="9"/>
    <x v="9"/>
    <n v="497218"/>
    <n v="17647"/>
    <n v="16606"/>
    <n v="4215"/>
    <n v="61145"/>
  </r>
  <r>
    <x v="30"/>
    <x v="30"/>
    <x v="9"/>
    <x v="9"/>
    <n v="130"/>
    <n v="13"/>
    <n v="17"/>
    <n v="3"/>
    <n v="0"/>
  </r>
  <r>
    <x v="31"/>
    <x v="31"/>
    <x v="9"/>
    <x v="9"/>
    <n v="185609"/>
    <n v="13027"/>
    <n v="18004"/>
    <n v="1548"/>
    <n v="48530"/>
  </r>
  <r>
    <x v="32"/>
    <x v="32"/>
    <x v="9"/>
    <x v="9"/>
    <n v="0"/>
    <n v="0"/>
    <n v="0"/>
    <n v="0"/>
    <n v="0"/>
  </r>
  <r>
    <x v="33"/>
    <x v="33"/>
    <x v="9"/>
    <x v="9"/>
    <n v="224060"/>
    <n v="15457"/>
    <n v="17301"/>
    <n v="3028"/>
    <n v="0"/>
  </r>
  <r>
    <x v="34"/>
    <x v="34"/>
    <x v="9"/>
    <x v="9"/>
    <n v="18384"/>
    <n v="508"/>
    <n v="1339"/>
    <n v="219"/>
    <n v="4782"/>
  </r>
  <r>
    <x v="35"/>
    <x v="35"/>
    <x v="9"/>
    <x v="9"/>
    <n v="0"/>
    <n v="0"/>
    <n v="0"/>
    <n v="0"/>
    <n v="0"/>
  </r>
  <r>
    <x v="36"/>
    <x v="36"/>
    <x v="9"/>
    <x v="9"/>
    <n v="918000"/>
    <n v="37729"/>
    <n v="85731"/>
    <n v="5768"/>
    <n v="141651"/>
  </r>
  <r>
    <x v="37"/>
    <x v="37"/>
    <x v="9"/>
    <x v="9"/>
    <n v="534987"/>
    <n v="33402"/>
    <n v="1769"/>
    <n v="3990"/>
    <n v="0"/>
  </r>
  <r>
    <x v="38"/>
    <x v="38"/>
    <x v="9"/>
    <x v="9"/>
    <n v="73111"/>
    <n v="4038"/>
    <n v="2834"/>
    <n v="778"/>
    <n v="0"/>
  </r>
  <r>
    <x v="39"/>
    <x v="39"/>
    <x v="9"/>
    <x v="9"/>
    <n v="459412"/>
    <n v="475"/>
    <n v="1032"/>
    <n v="62"/>
    <n v="0"/>
  </r>
  <r>
    <x v="40"/>
    <x v="40"/>
    <x v="9"/>
    <x v="9"/>
    <n v="0"/>
    <n v="0"/>
    <n v="0"/>
    <n v="0"/>
    <n v="0"/>
  </r>
  <r>
    <x v="41"/>
    <x v="41"/>
    <x v="9"/>
    <x v="9"/>
    <n v="0"/>
    <n v="0"/>
    <n v="0"/>
    <n v="0"/>
    <n v="0"/>
  </r>
  <r>
    <x v="42"/>
    <x v="42"/>
    <x v="9"/>
    <x v="9"/>
    <n v="254138"/>
    <n v="31702"/>
    <n v="31746"/>
    <n v="2528"/>
    <n v="0"/>
  </r>
  <r>
    <x v="43"/>
    <x v="43"/>
    <x v="9"/>
    <x v="9"/>
    <n v="75364"/>
    <n v="15767"/>
    <n v="9067"/>
    <n v="883"/>
    <n v="0"/>
  </r>
  <r>
    <x v="44"/>
    <x v="44"/>
    <x v="9"/>
    <x v="9"/>
    <n v="22855"/>
    <n v="0"/>
    <n v="0"/>
    <n v="0"/>
    <n v="0"/>
  </r>
  <r>
    <x v="45"/>
    <x v="45"/>
    <x v="9"/>
    <x v="9"/>
    <n v="1810"/>
    <n v="0"/>
    <n v="0"/>
    <n v="0"/>
    <n v="0"/>
  </r>
  <r>
    <x v="46"/>
    <x v="46"/>
    <x v="9"/>
    <x v="9"/>
    <n v="1486"/>
    <n v="0"/>
    <n v="0"/>
    <n v="0"/>
    <n v="0"/>
  </r>
  <r>
    <x v="47"/>
    <x v="47"/>
    <x v="9"/>
    <x v="9"/>
    <n v="0"/>
    <n v="0"/>
    <n v="0"/>
    <n v="0"/>
    <n v="0"/>
  </r>
  <r>
    <x v="48"/>
    <x v="48"/>
    <x v="9"/>
    <x v="9"/>
    <n v="0"/>
    <n v="-221579"/>
    <n v="-210625"/>
    <n v="0"/>
    <n v="0"/>
  </r>
  <r>
    <x v="49"/>
    <x v="49"/>
    <x v="9"/>
    <x v="9"/>
    <n v="320887"/>
    <n v="0"/>
    <n v="0"/>
    <n v="0"/>
    <n v="0"/>
  </r>
  <r>
    <x v="50"/>
    <x v="50"/>
    <x v="9"/>
    <x v="9"/>
    <n v="74186"/>
    <n v="0"/>
    <n v="0"/>
    <n v="-42161"/>
    <n v="0"/>
  </r>
  <r>
    <x v="51"/>
    <x v="51"/>
    <x v="9"/>
    <x v="9"/>
    <n v="18013"/>
    <n v="0"/>
    <n v="0"/>
    <n v="0"/>
    <n v="0"/>
  </r>
  <r>
    <x v="52"/>
    <x v="52"/>
    <x v="9"/>
    <x v="9"/>
    <n v="294298"/>
    <n v="0"/>
    <n v="0"/>
    <n v="0"/>
    <n v="0"/>
  </r>
  <r>
    <x v="53"/>
    <x v="53"/>
    <x v="9"/>
    <x v="9"/>
    <n v="0"/>
    <n v="0"/>
    <n v="0"/>
    <n v="0"/>
    <n v="0"/>
  </r>
  <r>
    <x v="54"/>
    <x v="54"/>
    <x v="9"/>
    <x v="9"/>
    <n v="205660"/>
    <n v="0"/>
    <n v="0"/>
    <n v="0"/>
    <n v="0"/>
  </r>
  <r>
    <x v="55"/>
    <x v="55"/>
    <x v="9"/>
    <x v="9"/>
    <n v="3651"/>
    <n v="0"/>
    <n v="0"/>
    <n v="0"/>
    <n v="0"/>
  </r>
  <r>
    <x v="56"/>
    <x v="56"/>
    <x v="9"/>
    <x v="9"/>
    <n v="223330"/>
    <n v="0"/>
    <n v="0"/>
    <n v="0"/>
    <n v="0"/>
  </r>
  <r>
    <x v="57"/>
    <x v="57"/>
    <x v="9"/>
    <x v="9"/>
    <n v="240096"/>
    <n v="0"/>
    <n v="0"/>
    <n v="0"/>
    <n v="23589"/>
  </r>
  <r>
    <x v="58"/>
    <x v="58"/>
    <x v="9"/>
    <x v="9"/>
    <n v="6037452"/>
    <n v="0"/>
    <n v="0"/>
    <n v="0"/>
    <n v="279697"/>
  </r>
  <r>
    <x v="59"/>
    <x v="59"/>
    <x v="9"/>
    <x v="9"/>
    <n v="6320044"/>
    <n v="0"/>
    <n v="0"/>
    <n v="0"/>
    <n v="0"/>
  </r>
  <r>
    <x v="60"/>
    <x v="60"/>
    <x v="9"/>
    <x v="9"/>
    <n v="9645342"/>
    <n v="0"/>
    <n v="0"/>
    <n v="0"/>
    <n v="0"/>
  </r>
  <r>
    <x v="61"/>
    <x v="61"/>
    <x v="9"/>
    <x v="9"/>
    <n v="1414583"/>
    <n v="0"/>
    <n v="0"/>
    <n v="0"/>
    <n v="0"/>
  </r>
  <r>
    <x v="62"/>
    <x v="62"/>
    <x v="9"/>
    <x v="9"/>
    <n v="617367"/>
    <n v="0"/>
    <n v="0"/>
    <n v="0"/>
    <n v="0"/>
  </r>
  <r>
    <x v="63"/>
    <x v="63"/>
    <x v="9"/>
    <x v="9"/>
    <n v="17997336"/>
    <n v="0"/>
    <n v="0"/>
    <n v="0"/>
    <n v="0"/>
  </r>
  <r>
    <x v="64"/>
    <x v="64"/>
    <x v="9"/>
    <x v="9"/>
    <n v="24034788"/>
    <n v="0"/>
    <n v="0"/>
    <n v="0"/>
    <n v="0"/>
  </r>
  <r>
    <x v="0"/>
    <x v="0"/>
    <x v="10"/>
    <x v="10"/>
    <n v="0"/>
    <n v="0"/>
    <n v="0"/>
    <n v="0"/>
    <n v="0"/>
  </r>
  <r>
    <x v="1"/>
    <x v="1"/>
    <x v="10"/>
    <x v="10"/>
    <n v="0"/>
    <n v="0"/>
    <n v="0"/>
    <n v="0"/>
    <n v="0"/>
  </r>
  <r>
    <x v="2"/>
    <x v="2"/>
    <x v="10"/>
    <x v="10"/>
    <n v="0"/>
    <n v="0"/>
    <n v="0"/>
    <n v="0"/>
    <n v="0"/>
  </r>
  <r>
    <x v="3"/>
    <x v="3"/>
    <x v="10"/>
    <x v="10"/>
    <n v="0"/>
    <n v="0"/>
    <n v="0"/>
    <n v="0"/>
    <n v="0"/>
  </r>
  <r>
    <x v="4"/>
    <x v="4"/>
    <x v="10"/>
    <x v="10"/>
    <n v="0"/>
    <n v="0"/>
    <n v="0"/>
    <n v="0"/>
    <n v="0"/>
  </r>
  <r>
    <x v="5"/>
    <x v="5"/>
    <x v="10"/>
    <x v="10"/>
    <n v="0"/>
    <n v="0"/>
    <n v="0"/>
    <n v="0"/>
    <n v="0"/>
  </r>
  <r>
    <x v="6"/>
    <x v="6"/>
    <x v="10"/>
    <x v="10"/>
    <n v="0"/>
    <n v="0"/>
    <n v="0"/>
    <n v="0"/>
    <n v="0"/>
  </r>
  <r>
    <x v="7"/>
    <x v="7"/>
    <x v="10"/>
    <x v="10"/>
    <n v="440057"/>
    <n v="0"/>
    <n v="0"/>
    <n v="0"/>
    <n v="0"/>
  </r>
  <r>
    <x v="8"/>
    <x v="8"/>
    <x v="10"/>
    <x v="10"/>
    <n v="0"/>
    <n v="0"/>
    <n v="0"/>
    <n v="0"/>
    <n v="0"/>
  </r>
  <r>
    <x v="9"/>
    <x v="9"/>
    <x v="10"/>
    <x v="10"/>
    <n v="8062"/>
    <n v="1065"/>
    <n v="1188"/>
    <n v="165"/>
    <n v="0"/>
  </r>
  <r>
    <x v="10"/>
    <x v="10"/>
    <x v="10"/>
    <x v="10"/>
    <n v="11719193"/>
    <n v="1013062"/>
    <n v="750827"/>
    <n v="208137"/>
    <n v="206760"/>
  </r>
  <r>
    <x v="11"/>
    <x v="11"/>
    <x v="10"/>
    <x v="10"/>
    <n v="0"/>
    <n v="0"/>
    <n v="0"/>
    <n v="0"/>
    <n v="0"/>
  </r>
  <r>
    <x v="12"/>
    <x v="12"/>
    <x v="10"/>
    <x v="10"/>
    <n v="0"/>
    <n v="0"/>
    <n v="0"/>
    <n v="0"/>
    <n v="0"/>
  </r>
  <r>
    <x v="13"/>
    <x v="13"/>
    <x v="10"/>
    <x v="10"/>
    <n v="39198"/>
    <n v="3371"/>
    <n v="1768"/>
    <n v="1974"/>
    <n v="0"/>
  </r>
  <r>
    <x v="14"/>
    <x v="14"/>
    <x v="10"/>
    <x v="10"/>
    <n v="0"/>
    <n v="0"/>
    <n v="0"/>
    <n v="0"/>
    <n v="0"/>
  </r>
  <r>
    <x v="15"/>
    <x v="15"/>
    <x v="10"/>
    <x v="10"/>
    <n v="0"/>
    <n v="0"/>
    <n v="0"/>
    <n v="0"/>
    <n v="0"/>
  </r>
  <r>
    <x v="16"/>
    <x v="16"/>
    <x v="10"/>
    <x v="10"/>
    <n v="528741"/>
    <n v="6798"/>
    <n v="22689"/>
    <n v="8413"/>
    <n v="0"/>
  </r>
  <r>
    <x v="17"/>
    <x v="17"/>
    <x v="10"/>
    <x v="10"/>
    <n v="0"/>
    <n v="0"/>
    <n v="0"/>
    <n v="0"/>
    <n v="0"/>
  </r>
  <r>
    <x v="18"/>
    <x v="18"/>
    <x v="10"/>
    <x v="10"/>
    <n v="5990688"/>
    <n v="304341"/>
    <n v="0"/>
    <n v="151875"/>
    <n v="0"/>
  </r>
  <r>
    <x v="19"/>
    <x v="19"/>
    <x v="10"/>
    <x v="10"/>
    <n v="26279943"/>
    <n v="1427251"/>
    <n v="2263772"/>
    <n v="297572"/>
    <n v="7468998"/>
  </r>
  <r>
    <x v="20"/>
    <x v="20"/>
    <x v="10"/>
    <x v="10"/>
    <n v="0"/>
    <n v="0"/>
    <n v="0"/>
    <n v="0"/>
    <n v="0"/>
  </r>
  <r>
    <x v="21"/>
    <x v="21"/>
    <x v="10"/>
    <x v="10"/>
    <n v="0"/>
    <n v="0"/>
    <n v="0"/>
    <n v="0"/>
    <n v="0"/>
  </r>
  <r>
    <x v="22"/>
    <x v="22"/>
    <x v="10"/>
    <x v="10"/>
    <n v="1177"/>
    <n v="49"/>
    <n v="0"/>
    <n v="0"/>
    <n v="0"/>
  </r>
  <r>
    <x v="23"/>
    <x v="23"/>
    <x v="10"/>
    <x v="10"/>
    <n v="943037"/>
    <n v="13994"/>
    <n v="597"/>
    <n v="2791"/>
    <n v="696315"/>
  </r>
  <r>
    <x v="24"/>
    <x v="24"/>
    <x v="10"/>
    <x v="10"/>
    <n v="150154"/>
    <n v="12870"/>
    <n v="4242"/>
    <n v="2476"/>
    <n v="0"/>
  </r>
  <r>
    <x v="25"/>
    <x v="25"/>
    <x v="10"/>
    <x v="10"/>
    <n v="0"/>
    <n v="0"/>
    <n v="0"/>
    <n v="0"/>
    <n v="0"/>
  </r>
  <r>
    <x v="26"/>
    <x v="26"/>
    <x v="10"/>
    <x v="10"/>
    <n v="1951495"/>
    <n v="56503"/>
    <n v="28654"/>
    <n v="31577"/>
    <n v="1088050"/>
  </r>
  <r>
    <x v="27"/>
    <x v="27"/>
    <x v="10"/>
    <x v="10"/>
    <n v="16590"/>
    <n v="1635"/>
    <n v="1722"/>
    <n v="693"/>
    <n v="0"/>
  </r>
  <r>
    <x v="28"/>
    <x v="28"/>
    <x v="10"/>
    <x v="10"/>
    <n v="277381"/>
    <n v="27805"/>
    <n v="47590"/>
    <n v="2321"/>
    <n v="714"/>
  </r>
  <r>
    <x v="29"/>
    <x v="29"/>
    <x v="10"/>
    <x v="10"/>
    <n v="37325272"/>
    <n v="1875680"/>
    <n v="2401086"/>
    <n v="366079"/>
    <n v="6411875"/>
  </r>
  <r>
    <x v="30"/>
    <x v="30"/>
    <x v="10"/>
    <x v="10"/>
    <n v="12227"/>
    <n v="1072"/>
    <n v="1443"/>
    <n v="329"/>
    <n v="0"/>
  </r>
  <r>
    <x v="31"/>
    <x v="31"/>
    <x v="10"/>
    <x v="10"/>
    <n v="2983654"/>
    <n v="111021"/>
    <n v="206434"/>
    <n v="22541"/>
    <n v="1394456"/>
  </r>
  <r>
    <x v="32"/>
    <x v="32"/>
    <x v="10"/>
    <x v="10"/>
    <n v="240258"/>
    <n v="16294"/>
    <n v="14085"/>
    <n v="3768"/>
    <n v="0"/>
  </r>
  <r>
    <x v="33"/>
    <x v="33"/>
    <x v="10"/>
    <x v="10"/>
    <n v="0"/>
    <n v="0"/>
    <n v="0"/>
    <n v="0"/>
    <n v="0"/>
  </r>
  <r>
    <x v="34"/>
    <x v="34"/>
    <x v="10"/>
    <x v="10"/>
    <n v="3340"/>
    <n v="172"/>
    <n v="192"/>
    <n v="40"/>
    <n v="861"/>
  </r>
  <r>
    <x v="35"/>
    <x v="35"/>
    <x v="10"/>
    <x v="10"/>
    <n v="0"/>
    <n v="0"/>
    <n v="0"/>
    <n v="0"/>
    <n v="0"/>
  </r>
  <r>
    <x v="36"/>
    <x v="36"/>
    <x v="10"/>
    <x v="10"/>
    <n v="42941"/>
    <n v="270"/>
    <n v="1282"/>
    <n v="87"/>
    <n v="22243"/>
  </r>
  <r>
    <x v="37"/>
    <x v="37"/>
    <x v="10"/>
    <x v="10"/>
    <n v="625244"/>
    <n v="31464"/>
    <n v="43183"/>
    <n v="4265"/>
    <n v="0"/>
  </r>
  <r>
    <x v="38"/>
    <x v="38"/>
    <x v="10"/>
    <x v="10"/>
    <n v="289499"/>
    <n v="15891"/>
    <n v="17891"/>
    <n v="2325"/>
    <n v="0"/>
  </r>
  <r>
    <x v="39"/>
    <x v="39"/>
    <x v="10"/>
    <x v="10"/>
    <n v="210767"/>
    <n v="0"/>
    <n v="0"/>
    <n v="0"/>
    <n v="0"/>
  </r>
  <r>
    <x v="40"/>
    <x v="40"/>
    <x v="10"/>
    <x v="10"/>
    <n v="3567187"/>
    <n v="24436"/>
    <n v="0"/>
    <n v="9660"/>
    <n v="0"/>
  </r>
  <r>
    <x v="41"/>
    <x v="41"/>
    <x v="10"/>
    <x v="10"/>
    <n v="0"/>
    <n v="0"/>
    <n v="0"/>
    <n v="0"/>
    <n v="0"/>
  </r>
  <r>
    <x v="42"/>
    <x v="42"/>
    <x v="10"/>
    <x v="10"/>
    <n v="198727"/>
    <n v="20939"/>
    <n v="19467"/>
    <n v="1456"/>
    <n v="0"/>
  </r>
  <r>
    <x v="43"/>
    <x v="43"/>
    <x v="10"/>
    <x v="10"/>
    <n v="72626"/>
    <n v="15152"/>
    <n v="8464"/>
    <n v="1157"/>
    <n v="0"/>
  </r>
  <r>
    <x v="44"/>
    <x v="44"/>
    <x v="10"/>
    <x v="10"/>
    <n v="960016"/>
    <n v="205"/>
    <n v="436"/>
    <n v="120"/>
    <n v="0"/>
  </r>
  <r>
    <x v="45"/>
    <x v="45"/>
    <x v="10"/>
    <x v="10"/>
    <n v="18018"/>
    <n v="0"/>
    <n v="0"/>
    <n v="0"/>
    <n v="0"/>
  </r>
  <r>
    <x v="46"/>
    <x v="46"/>
    <x v="10"/>
    <x v="10"/>
    <n v="58869"/>
    <n v="0"/>
    <n v="0"/>
    <n v="0"/>
    <n v="0"/>
  </r>
  <r>
    <x v="47"/>
    <x v="47"/>
    <x v="10"/>
    <x v="10"/>
    <n v="0"/>
    <n v="0"/>
    <n v="0"/>
    <n v="0"/>
    <n v="0"/>
  </r>
  <r>
    <x v="48"/>
    <x v="48"/>
    <x v="10"/>
    <x v="10"/>
    <n v="0"/>
    <n v="-4981340"/>
    <n v="-5837012"/>
    <n v="0"/>
    <n v="0"/>
  </r>
  <r>
    <x v="49"/>
    <x v="49"/>
    <x v="10"/>
    <x v="10"/>
    <n v="293793"/>
    <n v="0"/>
    <n v="0"/>
    <n v="0"/>
    <n v="0"/>
  </r>
  <r>
    <x v="50"/>
    <x v="50"/>
    <x v="10"/>
    <x v="10"/>
    <n v="50155"/>
    <n v="0"/>
    <n v="0"/>
    <n v="-1119821"/>
    <n v="0"/>
  </r>
  <r>
    <x v="51"/>
    <x v="51"/>
    <x v="10"/>
    <x v="10"/>
    <n v="39253"/>
    <n v="0"/>
    <n v="0"/>
    <n v="0"/>
    <n v="0"/>
  </r>
  <r>
    <x v="52"/>
    <x v="52"/>
    <x v="10"/>
    <x v="10"/>
    <n v="3391993"/>
    <n v="0"/>
    <n v="0"/>
    <n v="0"/>
    <n v="0"/>
  </r>
  <r>
    <x v="53"/>
    <x v="53"/>
    <x v="10"/>
    <x v="10"/>
    <n v="62056"/>
    <n v="0"/>
    <n v="0"/>
    <n v="0"/>
    <n v="0"/>
  </r>
  <r>
    <x v="54"/>
    <x v="54"/>
    <x v="10"/>
    <x v="10"/>
    <n v="1752165"/>
    <n v="0"/>
    <n v="0"/>
    <n v="0"/>
    <n v="0"/>
  </r>
  <r>
    <x v="55"/>
    <x v="55"/>
    <x v="10"/>
    <x v="10"/>
    <n v="0"/>
    <n v="0"/>
    <n v="0"/>
    <n v="0"/>
    <n v="0"/>
  </r>
  <r>
    <x v="56"/>
    <x v="56"/>
    <x v="10"/>
    <x v="10"/>
    <n v="296276"/>
    <n v="0"/>
    <n v="0"/>
    <n v="0"/>
    <n v="0"/>
  </r>
  <r>
    <x v="57"/>
    <x v="57"/>
    <x v="10"/>
    <x v="10"/>
    <n v="839825"/>
    <n v="0"/>
    <n v="0"/>
    <n v="0"/>
    <n v="72229"/>
  </r>
  <r>
    <x v="58"/>
    <x v="58"/>
    <x v="10"/>
    <x v="10"/>
    <n v="101679877"/>
    <n v="0"/>
    <n v="0"/>
    <n v="0"/>
    <n v="17362501"/>
  </r>
  <r>
    <x v="59"/>
    <x v="59"/>
    <x v="10"/>
    <x v="10"/>
    <n v="26891695"/>
    <n v="0"/>
    <n v="0"/>
    <n v="0"/>
    <n v="0"/>
  </r>
  <r>
    <x v="60"/>
    <x v="60"/>
    <x v="10"/>
    <x v="10"/>
    <n v="50955088"/>
    <n v="0"/>
    <n v="0"/>
    <n v="0"/>
    <n v="0"/>
  </r>
  <r>
    <x v="61"/>
    <x v="61"/>
    <x v="10"/>
    <x v="10"/>
    <n v="20353707"/>
    <n v="0"/>
    <n v="0"/>
    <n v="0"/>
    <n v="0"/>
  </r>
  <r>
    <x v="62"/>
    <x v="62"/>
    <x v="10"/>
    <x v="10"/>
    <n v="126253"/>
    <n v="0"/>
    <n v="0"/>
    <n v="0"/>
    <n v="0"/>
  </r>
  <r>
    <x v="63"/>
    <x v="63"/>
    <x v="10"/>
    <x v="10"/>
    <n v="98326743"/>
    <n v="0"/>
    <n v="0"/>
    <n v="0"/>
    <n v="0"/>
  </r>
  <r>
    <x v="64"/>
    <x v="64"/>
    <x v="10"/>
    <x v="10"/>
    <n v="200006620"/>
    <n v="0"/>
    <n v="0"/>
    <n v="0"/>
    <n v="0"/>
  </r>
  <r>
    <x v="0"/>
    <x v="0"/>
    <x v="11"/>
    <x v="11"/>
    <n v="0"/>
    <n v="0"/>
    <n v="0"/>
    <n v="0"/>
    <n v="0"/>
  </r>
  <r>
    <x v="1"/>
    <x v="1"/>
    <x v="11"/>
    <x v="11"/>
    <n v="0"/>
    <n v="0"/>
    <n v="0"/>
    <n v="0"/>
    <n v="0"/>
  </r>
  <r>
    <x v="2"/>
    <x v="2"/>
    <x v="11"/>
    <x v="11"/>
    <n v="0"/>
    <n v="0"/>
    <n v="0"/>
    <n v="0"/>
    <n v="0"/>
  </r>
  <r>
    <x v="3"/>
    <x v="3"/>
    <x v="11"/>
    <x v="11"/>
    <n v="0"/>
    <n v="0"/>
    <n v="0"/>
    <n v="0"/>
    <n v="0"/>
  </r>
  <r>
    <x v="4"/>
    <x v="4"/>
    <x v="11"/>
    <x v="11"/>
    <n v="0"/>
    <n v="0"/>
    <n v="0"/>
    <n v="0"/>
    <n v="0"/>
  </r>
  <r>
    <x v="5"/>
    <x v="5"/>
    <x v="11"/>
    <x v="11"/>
    <n v="0"/>
    <n v="0"/>
    <n v="0"/>
    <n v="0"/>
    <n v="0"/>
  </r>
  <r>
    <x v="6"/>
    <x v="6"/>
    <x v="11"/>
    <x v="11"/>
    <n v="0"/>
    <n v="0"/>
    <n v="0"/>
    <n v="0"/>
    <n v="0"/>
  </r>
  <r>
    <x v="7"/>
    <x v="7"/>
    <x v="11"/>
    <x v="11"/>
    <n v="0"/>
    <n v="0"/>
    <n v="0"/>
    <n v="0"/>
    <n v="0"/>
  </r>
  <r>
    <x v="8"/>
    <x v="8"/>
    <x v="11"/>
    <x v="11"/>
    <n v="0"/>
    <n v="0"/>
    <n v="0"/>
    <n v="0"/>
    <n v="0"/>
  </r>
  <r>
    <x v="9"/>
    <x v="9"/>
    <x v="11"/>
    <x v="11"/>
    <n v="0"/>
    <n v="0"/>
    <n v="0"/>
    <n v="0"/>
    <n v="0"/>
  </r>
  <r>
    <x v="10"/>
    <x v="10"/>
    <x v="11"/>
    <x v="11"/>
    <n v="0"/>
    <n v="0"/>
    <n v="0"/>
    <n v="0"/>
    <n v="0"/>
  </r>
  <r>
    <x v="11"/>
    <x v="11"/>
    <x v="11"/>
    <x v="11"/>
    <n v="15879688"/>
    <n v="0"/>
    <n v="0"/>
    <n v="0"/>
    <n v="0"/>
  </r>
  <r>
    <x v="12"/>
    <x v="12"/>
    <x v="11"/>
    <x v="11"/>
    <n v="0"/>
    <n v="0"/>
    <n v="0"/>
    <n v="0"/>
    <n v="0"/>
  </r>
  <r>
    <x v="13"/>
    <x v="13"/>
    <x v="11"/>
    <x v="11"/>
    <n v="180182"/>
    <n v="3300"/>
    <n v="0"/>
    <n v="15941"/>
    <n v="0"/>
  </r>
  <r>
    <x v="14"/>
    <x v="14"/>
    <x v="11"/>
    <x v="11"/>
    <n v="0"/>
    <n v="0"/>
    <n v="0"/>
    <n v="0"/>
    <n v="0"/>
  </r>
  <r>
    <x v="15"/>
    <x v="15"/>
    <x v="11"/>
    <x v="11"/>
    <n v="0"/>
    <n v="0"/>
    <n v="0"/>
    <n v="0"/>
    <n v="0"/>
  </r>
  <r>
    <x v="16"/>
    <x v="16"/>
    <x v="11"/>
    <x v="11"/>
    <n v="0"/>
    <n v="0"/>
    <n v="0"/>
    <n v="0"/>
    <n v="0"/>
  </r>
  <r>
    <x v="17"/>
    <x v="17"/>
    <x v="11"/>
    <x v="11"/>
    <n v="0"/>
    <n v="0"/>
    <n v="0"/>
    <n v="0"/>
    <n v="0"/>
  </r>
  <r>
    <x v="18"/>
    <x v="18"/>
    <x v="11"/>
    <x v="11"/>
    <n v="0"/>
    <n v="0"/>
    <n v="0"/>
    <n v="0"/>
    <n v="0"/>
  </r>
  <r>
    <x v="19"/>
    <x v="19"/>
    <x v="11"/>
    <x v="11"/>
    <n v="0"/>
    <n v="0"/>
    <n v="0"/>
    <n v="0"/>
    <n v="0"/>
  </r>
  <r>
    <x v="20"/>
    <x v="20"/>
    <x v="11"/>
    <x v="11"/>
    <n v="0"/>
    <n v="0"/>
    <n v="0"/>
    <n v="0"/>
    <n v="0"/>
  </r>
  <r>
    <x v="21"/>
    <x v="21"/>
    <x v="11"/>
    <x v="11"/>
    <n v="0"/>
    <n v="0"/>
    <n v="0"/>
    <n v="0"/>
    <n v="0"/>
  </r>
  <r>
    <x v="22"/>
    <x v="22"/>
    <x v="11"/>
    <x v="11"/>
    <n v="0"/>
    <n v="0"/>
    <n v="0"/>
    <n v="0"/>
    <n v="0"/>
  </r>
  <r>
    <x v="23"/>
    <x v="23"/>
    <x v="11"/>
    <x v="11"/>
    <n v="0"/>
    <n v="0"/>
    <n v="0"/>
    <n v="0"/>
    <n v="0"/>
  </r>
  <r>
    <x v="24"/>
    <x v="24"/>
    <x v="11"/>
    <x v="11"/>
    <n v="27647"/>
    <n v="226"/>
    <n v="804"/>
    <n v="211"/>
    <n v="0"/>
  </r>
  <r>
    <x v="25"/>
    <x v="25"/>
    <x v="11"/>
    <x v="11"/>
    <n v="69922"/>
    <n v="961"/>
    <n v="1508"/>
    <n v="550"/>
    <n v="0"/>
  </r>
  <r>
    <x v="26"/>
    <x v="26"/>
    <x v="11"/>
    <x v="11"/>
    <n v="131812"/>
    <n v="9485"/>
    <n v="4389"/>
    <n v="2559"/>
    <n v="72911"/>
  </r>
  <r>
    <x v="27"/>
    <x v="27"/>
    <x v="11"/>
    <x v="11"/>
    <n v="0"/>
    <n v="0"/>
    <n v="0"/>
    <n v="0"/>
    <n v="0"/>
  </r>
  <r>
    <x v="28"/>
    <x v="28"/>
    <x v="11"/>
    <x v="11"/>
    <n v="478452"/>
    <n v="37910"/>
    <n v="53881"/>
    <n v="5976"/>
    <n v="126512"/>
  </r>
  <r>
    <x v="29"/>
    <x v="29"/>
    <x v="11"/>
    <x v="11"/>
    <n v="40956636"/>
    <n v="1721858"/>
    <n v="1871507"/>
    <n v="336655"/>
    <n v="7517558"/>
  </r>
  <r>
    <x v="30"/>
    <x v="30"/>
    <x v="11"/>
    <x v="11"/>
    <n v="40038"/>
    <n v="1892"/>
    <n v="5485"/>
    <n v="910"/>
    <n v="0"/>
  </r>
  <r>
    <x v="31"/>
    <x v="31"/>
    <x v="11"/>
    <x v="11"/>
    <n v="237735"/>
    <n v="15079"/>
    <n v="20749"/>
    <n v="2164"/>
    <n v="141377"/>
  </r>
  <r>
    <x v="32"/>
    <x v="32"/>
    <x v="11"/>
    <x v="11"/>
    <n v="0"/>
    <n v="0"/>
    <n v="0"/>
    <n v="0"/>
    <n v="0"/>
  </r>
  <r>
    <x v="33"/>
    <x v="33"/>
    <x v="11"/>
    <x v="11"/>
    <n v="0"/>
    <n v="0"/>
    <n v="0"/>
    <n v="0"/>
    <n v="0"/>
  </r>
  <r>
    <x v="34"/>
    <x v="34"/>
    <x v="11"/>
    <x v="11"/>
    <n v="341"/>
    <n v="22"/>
    <n v="23"/>
    <n v="4"/>
    <n v="0"/>
  </r>
  <r>
    <x v="35"/>
    <x v="35"/>
    <x v="11"/>
    <x v="11"/>
    <n v="0"/>
    <n v="0"/>
    <n v="0"/>
    <n v="0"/>
    <n v="0"/>
  </r>
  <r>
    <x v="36"/>
    <x v="36"/>
    <x v="11"/>
    <x v="11"/>
    <n v="17732"/>
    <n v="931"/>
    <n v="1470"/>
    <n v="128"/>
    <n v="0"/>
  </r>
  <r>
    <x v="37"/>
    <x v="37"/>
    <x v="11"/>
    <x v="11"/>
    <n v="6408694"/>
    <n v="458707"/>
    <n v="12943"/>
    <n v="64065"/>
    <n v="0"/>
  </r>
  <r>
    <x v="38"/>
    <x v="38"/>
    <x v="11"/>
    <x v="11"/>
    <n v="478323"/>
    <n v="17952"/>
    <n v="18378"/>
    <n v="2717"/>
    <n v="0"/>
  </r>
  <r>
    <x v="39"/>
    <x v="39"/>
    <x v="11"/>
    <x v="11"/>
    <n v="4642977"/>
    <n v="0"/>
    <n v="0"/>
    <n v="0"/>
    <n v="0"/>
  </r>
  <r>
    <x v="40"/>
    <x v="40"/>
    <x v="11"/>
    <x v="11"/>
    <n v="0"/>
    <n v="0"/>
    <n v="0"/>
    <n v="0"/>
    <n v="0"/>
  </r>
  <r>
    <x v="41"/>
    <x v="41"/>
    <x v="11"/>
    <x v="11"/>
    <n v="0"/>
    <n v="0"/>
    <n v="0"/>
    <n v="0"/>
    <n v="0"/>
  </r>
  <r>
    <x v="42"/>
    <x v="42"/>
    <x v="11"/>
    <x v="11"/>
    <n v="0"/>
    <n v="0"/>
    <n v="0"/>
    <n v="0"/>
    <n v="0"/>
  </r>
  <r>
    <x v="43"/>
    <x v="43"/>
    <x v="11"/>
    <x v="11"/>
    <n v="961500"/>
    <n v="67387"/>
    <n v="22566"/>
    <n v="9401"/>
    <n v="503014"/>
  </r>
  <r>
    <x v="44"/>
    <x v="44"/>
    <x v="11"/>
    <x v="11"/>
    <n v="1960074"/>
    <n v="0"/>
    <n v="0"/>
    <n v="0"/>
    <n v="0"/>
  </r>
  <r>
    <x v="45"/>
    <x v="45"/>
    <x v="11"/>
    <x v="11"/>
    <n v="3620"/>
    <n v="0"/>
    <n v="0"/>
    <n v="0"/>
    <n v="0"/>
  </r>
  <r>
    <x v="46"/>
    <x v="46"/>
    <x v="11"/>
    <x v="11"/>
    <n v="30188"/>
    <n v="0"/>
    <n v="0"/>
    <n v="0"/>
    <n v="0"/>
  </r>
  <r>
    <x v="47"/>
    <x v="47"/>
    <x v="11"/>
    <x v="11"/>
    <n v="0"/>
    <n v="0"/>
    <n v="0"/>
    <n v="0"/>
    <n v="0"/>
  </r>
  <r>
    <x v="48"/>
    <x v="48"/>
    <x v="11"/>
    <x v="11"/>
    <n v="0"/>
    <n v="-2335710"/>
    <n v="-2013703"/>
    <n v="0"/>
    <n v="0"/>
  </r>
  <r>
    <x v="49"/>
    <x v="49"/>
    <x v="11"/>
    <x v="11"/>
    <n v="468856"/>
    <n v="0"/>
    <n v="0"/>
    <n v="0"/>
    <n v="0"/>
  </r>
  <r>
    <x v="50"/>
    <x v="50"/>
    <x v="11"/>
    <x v="11"/>
    <n v="2731389"/>
    <n v="0"/>
    <n v="0"/>
    <n v="-441281"/>
    <n v="0"/>
  </r>
  <r>
    <x v="51"/>
    <x v="51"/>
    <x v="11"/>
    <x v="11"/>
    <n v="244748"/>
    <n v="0"/>
    <n v="0"/>
    <n v="0"/>
    <n v="0"/>
  </r>
  <r>
    <x v="52"/>
    <x v="52"/>
    <x v="11"/>
    <x v="11"/>
    <n v="2067480"/>
    <n v="0"/>
    <n v="0"/>
    <n v="0"/>
    <n v="0"/>
  </r>
  <r>
    <x v="53"/>
    <x v="53"/>
    <x v="11"/>
    <x v="11"/>
    <n v="387621"/>
    <n v="0"/>
    <n v="0"/>
    <n v="0"/>
    <n v="0"/>
  </r>
  <r>
    <x v="54"/>
    <x v="54"/>
    <x v="11"/>
    <x v="11"/>
    <n v="65407201"/>
    <n v="0"/>
    <n v="0"/>
    <n v="0"/>
    <n v="11102546"/>
  </r>
  <r>
    <x v="55"/>
    <x v="55"/>
    <x v="11"/>
    <x v="11"/>
    <n v="24033"/>
    <n v="0"/>
    <n v="0"/>
    <n v="0"/>
    <n v="0"/>
  </r>
  <r>
    <x v="56"/>
    <x v="56"/>
    <x v="11"/>
    <x v="11"/>
    <n v="486805"/>
    <n v="0"/>
    <n v="0"/>
    <n v="0"/>
    <n v="0"/>
  </r>
  <r>
    <x v="57"/>
    <x v="57"/>
    <x v="11"/>
    <x v="11"/>
    <n v="371435"/>
    <n v="0"/>
    <n v="0"/>
    <n v="0"/>
    <n v="38540"/>
  </r>
  <r>
    <x v="58"/>
    <x v="58"/>
    <x v="11"/>
    <x v="11"/>
    <n v="144695129"/>
    <n v="0"/>
    <n v="0"/>
    <n v="0"/>
    <n v="19502458"/>
  </r>
  <r>
    <x v="59"/>
    <x v="59"/>
    <x v="11"/>
    <x v="11"/>
    <n v="42087971"/>
    <n v="0"/>
    <n v="0"/>
    <n v="0"/>
    <n v="0"/>
  </r>
  <r>
    <x v="60"/>
    <x v="60"/>
    <x v="11"/>
    <x v="11"/>
    <n v="73605379"/>
    <n v="0"/>
    <n v="0"/>
    <n v="0"/>
    <n v="0"/>
  </r>
  <r>
    <x v="61"/>
    <x v="61"/>
    <x v="11"/>
    <x v="11"/>
    <n v="64631360"/>
    <n v="0"/>
    <n v="0"/>
    <n v="0"/>
    <n v="0"/>
  </r>
  <r>
    <x v="62"/>
    <x v="62"/>
    <x v="11"/>
    <x v="11"/>
    <n v="41381827"/>
    <n v="0"/>
    <n v="0"/>
    <n v="0"/>
    <n v="0"/>
  </r>
  <r>
    <x v="63"/>
    <x v="63"/>
    <x v="11"/>
    <x v="11"/>
    <n v="221706537"/>
    <n v="0"/>
    <n v="0"/>
    <n v="0"/>
    <n v="0"/>
  </r>
  <r>
    <x v="64"/>
    <x v="64"/>
    <x v="11"/>
    <x v="11"/>
    <n v="366401666"/>
    <n v="0"/>
    <n v="0"/>
    <n v="0"/>
    <n v="0"/>
  </r>
  <r>
    <x v="0"/>
    <x v="0"/>
    <x v="12"/>
    <x v="12"/>
    <n v="0"/>
    <n v="0"/>
    <n v="0"/>
    <n v="0"/>
    <n v="0"/>
  </r>
  <r>
    <x v="1"/>
    <x v="1"/>
    <x v="12"/>
    <x v="12"/>
    <n v="0"/>
    <n v="0"/>
    <n v="0"/>
    <n v="0"/>
    <n v="0"/>
  </r>
  <r>
    <x v="2"/>
    <x v="2"/>
    <x v="12"/>
    <x v="12"/>
    <n v="0"/>
    <n v="0"/>
    <n v="0"/>
    <n v="0"/>
    <n v="0"/>
  </r>
  <r>
    <x v="3"/>
    <x v="3"/>
    <x v="12"/>
    <x v="12"/>
    <n v="0"/>
    <n v="0"/>
    <n v="0"/>
    <n v="0"/>
    <n v="0"/>
  </r>
  <r>
    <x v="4"/>
    <x v="4"/>
    <x v="12"/>
    <x v="12"/>
    <n v="0"/>
    <n v="0"/>
    <n v="0"/>
    <n v="0"/>
    <n v="0"/>
  </r>
  <r>
    <x v="5"/>
    <x v="5"/>
    <x v="12"/>
    <x v="12"/>
    <n v="0"/>
    <n v="0"/>
    <n v="0"/>
    <n v="0"/>
    <n v="0"/>
  </r>
  <r>
    <x v="6"/>
    <x v="6"/>
    <x v="12"/>
    <x v="12"/>
    <n v="0"/>
    <n v="0"/>
    <n v="0"/>
    <n v="0"/>
    <n v="0"/>
  </r>
  <r>
    <x v="7"/>
    <x v="7"/>
    <x v="12"/>
    <x v="12"/>
    <n v="0"/>
    <n v="0"/>
    <n v="0"/>
    <n v="0"/>
    <n v="0"/>
  </r>
  <r>
    <x v="8"/>
    <x v="8"/>
    <x v="12"/>
    <x v="12"/>
    <n v="0"/>
    <n v="0"/>
    <n v="0"/>
    <n v="0"/>
    <n v="0"/>
  </r>
  <r>
    <x v="9"/>
    <x v="9"/>
    <x v="12"/>
    <x v="12"/>
    <n v="0"/>
    <n v="0"/>
    <n v="0"/>
    <n v="0"/>
    <n v="0"/>
  </r>
  <r>
    <x v="10"/>
    <x v="10"/>
    <x v="12"/>
    <x v="12"/>
    <n v="0"/>
    <n v="0"/>
    <n v="0"/>
    <n v="0"/>
    <n v="0"/>
  </r>
  <r>
    <x v="11"/>
    <x v="11"/>
    <x v="12"/>
    <x v="12"/>
    <n v="0"/>
    <n v="0"/>
    <n v="0"/>
    <n v="0"/>
    <n v="0"/>
  </r>
  <r>
    <x v="12"/>
    <x v="12"/>
    <x v="12"/>
    <x v="12"/>
    <n v="0"/>
    <n v="0"/>
    <n v="0"/>
    <n v="0"/>
    <n v="0"/>
  </r>
  <r>
    <x v="13"/>
    <x v="13"/>
    <x v="12"/>
    <x v="12"/>
    <n v="0"/>
    <n v="0"/>
    <n v="0"/>
    <n v="0"/>
    <n v="0"/>
  </r>
  <r>
    <x v="14"/>
    <x v="14"/>
    <x v="12"/>
    <x v="12"/>
    <n v="0"/>
    <n v="0"/>
    <n v="0"/>
    <n v="0"/>
    <n v="0"/>
  </r>
  <r>
    <x v="15"/>
    <x v="15"/>
    <x v="12"/>
    <x v="12"/>
    <n v="0"/>
    <n v="0"/>
    <n v="0"/>
    <n v="0"/>
    <n v="0"/>
  </r>
  <r>
    <x v="16"/>
    <x v="16"/>
    <x v="12"/>
    <x v="12"/>
    <n v="0"/>
    <n v="0"/>
    <n v="0"/>
    <n v="0"/>
    <n v="0"/>
  </r>
  <r>
    <x v="17"/>
    <x v="17"/>
    <x v="12"/>
    <x v="12"/>
    <n v="0"/>
    <n v="0"/>
    <n v="0"/>
    <n v="0"/>
    <n v="0"/>
  </r>
  <r>
    <x v="18"/>
    <x v="18"/>
    <x v="12"/>
    <x v="12"/>
    <n v="0"/>
    <n v="0"/>
    <n v="0"/>
    <n v="0"/>
    <n v="0"/>
  </r>
  <r>
    <x v="19"/>
    <x v="19"/>
    <x v="12"/>
    <x v="12"/>
    <n v="0"/>
    <n v="0"/>
    <n v="0"/>
    <n v="0"/>
    <n v="0"/>
  </r>
  <r>
    <x v="20"/>
    <x v="20"/>
    <x v="12"/>
    <x v="12"/>
    <n v="0"/>
    <n v="0"/>
    <n v="0"/>
    <n v="0"/>
    <n v="0"/>
  </r>
  <r>
    <x v="21"/>
    <x v="21"/>
    <x v="12"/>
    <x v="12"/>
    <n v="0"/>
    <n v="0"/>
    <n v="0"/>
    <n v="0"/>
    <n v="0"/>
  </r>
  <r>
    <x v="22"/>
    <x v="22"/>
    <x v="12"/>
    <x v="12"/>
    <n v="0"/>
    <n v="0"/>
    <n v="0"/>
    <n v="0"/>
    <n v="0"/>
  </r>
  <r>
    <x v="23"/>
    <x v="23"/>
    <x v="12"/>
    <x v="12"/>
    <n v="0"/>
    <n v="0"/>
    <n v="0"/>
    <n v="0"/>
    <n v="0"/>
  </r>
  <r>
    <x v="24"/>
    <x v="24"/>
    <x v="12"/>
    <x v="12"/>
    <n v="42"/>
    <n v="0"/>
    <n v="0"/>
    <n v="0"/>
    <n v="0"/>
  </r>
  <r>
    <x v="25"/>
    <x v="25"/>
    <x v="12"/>
    <x v="12"/>
    <n v="0"/>
    <n v="0"/>
    <n v="0"/>
    <n v="0"/>
    <n v="0"/>
  </r>
  <r>
    <x v="26"/>
    <x v="26"/>
    <x v="12"/>
    <x v="12"/>
    <n v="1502"/>
    <n v="108"/>
    <n v="94"/>
    <n v="30"/>
    <n v="822"/>
  </r>
  <r>
    <x v="27"/>
    <x v="27"/>
    <x v="12"/>
    <x v="12"/>
    <n v="0"/>
    <n v="0"/>
    <n v="0"/>
    <n v="0"/>
    <n v="0"/>
  </r>
  <r>
    <x v="28"/>
    <x v="28"/>
    <x v="12"/>
    <x v="12"/>
    <n v="1014"/>
    <n v="103"/>
    <n v="141"/>
    <n v="12"/>
    <n v="708"/>
  </r>
  <r>
    <x v="29"/>
    <x v="29"/>
    <x v="12"/>
    <x v="12"/>
    <n v="46464"/>
    <n v="3262"/>
    <n v="1715"/>
    <n v="484"/>
    <n v="7343"/>
  </r>
  <r>
    <x v="30"/>
    <x v="30"/>
    <x v="12"/>
    <x v="12"/>
    <n v="0"/>
    <n v="0"/>
    <n v="0"/>
    <n v="0"/>
    <n v="0"/>
  </r>
  <r>
    <x v="31"/>
    <x v="31"/>
    <x v="12"/>
    <x v="12"/>
    <n v="423"/>
    <n v="27"/>
    <n v="37"/>
    <n v="4"/>
    <n v="228"/>
  </r>
  <r>
    <x v="32"/>
    <x v="32"/>
    <x v="12"/>
    <x v="12"/>
    <n v="0"/>
    <n v="0"/>
    <n v="0"/>
    <n v="0"/>
    <n v="0"/>
  </r>
  <r>
    <x v="33"/>
    <x v="33"/>
    <x v="12"/>
    <x v="12"/>
    <n v="0"/>
    <n v="0"/>
    <n v="0"/>
    <n v="0"/>
    <n v="0"/>
  </r>
  <r>
    <x v="34"/>
    <x v="34"/>
    <x v="12"/>
    <x v="12"/>
    <n v="25"/>
    <n v="2"/>
    <n v="3"/>
    <n v="0"/>
    <n v="0"/>
  </r>
  <r>
    <x v="35"/>
    <x v="35"/>
    <x v="12"/>
    <x v="12"/>
    <n v="0"/>
    <n v="0"/>
    <n v="0"/>
    <n v="0"/>
    <n v="0"/>
  </r>
  <r>
    <x v="36"/>
    <x v="36"/>
    <x v="12"/>
    <x v="12"/>
    <n v="2387"/>
    <n v="38"/>
    <n v="109"/>
    <n v="6"/>
    <n v="1537"/>
  </r>
  <r>
    <x v="37"/>
    <x v="37"/>
    <x v="12"/>
    <x v="12"/>
    <n v="21738"/>
    <n v="1795"/>
    <n v="0"/>
    <n v="308"/>
    <n v="0"/>
  </r>
  <r>
    <x v="38"/>
    <x v="38"/>
    <x v="12"/>
    <x v="12"/>
    <n v="320"/>
    <n v="21"/>
    <n v="2"/>
    <n v="0"/>
    <n v="0"/>
  </r>
  <r>
    <x v="39"/>
    <x v="39"/>
    <x v="12"/>
    <x v="12"/>
    <n v="6157"/>
    <n v="0"/>
    <n v="0"/>
    <n v="0"/>
    <n v="0"/>
  </r>
  <r>
    <x v="40"/>
    <x v="40"/>
    <x v="12"/>
    <x v="12"/>
    <n v="426"/>
    <n v="0"/>
    <n v="0"/>
    <n v="0"/>
    <n v="0"/>
  </r>
  <r>
    <x v="41"/>
    <x v="41"/>
    <x v="12"/>
    <x v="12"/>
    <n v="0"/>
    <n v="0"/>
    <n v="0"/>
    <n v="0"/>
    <n v="0"/>
  </r>
  <r>
    <x v="42"/>
    <x v="42"/>
    <x v="12"/>
    <x v="12"/>
    <n v="0"/>
    <n v="0"/>
    <n v="0"/>
    <n v="0"/>
    <n v="0"/>
  </r>
  <r>
    <x v="43"/>
    <x v="43"/>
    <x v="12"/>
    <x v="12"/>
    <n v="83"/>
    <n v="4"/>
    <n v="5"/>
    <n v="0"/>
    <n v="0"/>
  </r>
  <r>
    <x v="44"/>
    <x v="44"/>
    <x v="12"/>
    <x v="12"/>
    <n v="4732"/>
    <n v="0"/>
    <n v="0"/>
    <n v="0"/>
    <n v="0"/>
  </r>
  <r>
    <x v="45"/>
    <x v="45"/>
    <x v="12"/>
    <x v="12"/>
    <n v="0"/>
    <n v="0"/>
    <n v="0"/>
    <n v="0"/>
    <n v="0"/>
  </r>
  <r>
    <x v="46"/>
    <x v="46"/>
    <x v="12"/>
    <x v="12"/>
    <n v="0"/>
    <n v="0"/>
    <n v="0"/>
    <n v="0"/>
    <n v="0"/>
  </r>
  <r>
    <x v="47"/>
    <x v="47"/>
    <x v="12"/>
    <x v="12"/>
    <n v="0"/>
    <n v="0"/>
    <n v="0"/>
    <n v="0"/>
    <n v="0"/>
  </r>
  <r>
    <x v="48"/>
    <x v="48"/>
    <x v="12"/>
    <x v="12"/>
    <n v="0"/>
    <n v="-5360"/>
    <n v="-2106"/>
    <n v="0"/>
    <n v="0"/>
  </r>
  <r>
    <x v="49"/>
    <x v="49"/>
    <x v="12"/>
    <x v="12"/>
    <n v="1524"/>
    <n v="0"/>
    <n v="0"/>
    <n v="0"/>
    <n v="0"/>
  </r>
  <r>
    <x v="50"/>
    <x v="50"/>
    <x v="12"/>
    <x v="12"/>
    <n v="4654"/>
    <n v="0"/>
    <n v="0"/>
    <n v="-844"/>
    <n v="0"/>
  </r>
  <r>
    <x v="51"/>
    <x v="51"/>
    <x v="12"/>
    <x v="12"/>
    <n v="1122"/>
    <n v="0"/>
    <n v="0"/>
    <n v="0"/>
    <n v="0"/>
  </r>
  <r>
    <x v="52"/>
    <x v="52"/>
    <x v="12"/>
    <x v="12"/>
    <n v="5182"/>
    <n v="0"/>
    <n v="0"/>
    <n v="0"/>
    <n v="0"/>
  </r>
  <r>
    <x v="53"/>
    <x v="53"/>
    <x v="12"/>
    <x v="12"/>
    <n v="0"/>
    <n v="0"/>
    <n v="0"/>
    <n v="0"/>
    <n v="0"/>
  </r>
  <r>
    <x v="54"/>
    <x v="54"/>
    <x v="12"/>
    <x v="12"/>
    <n v="1838"/>
    <n v="0"/>
    <n v="0"/>
    <n v="0"/>
    <n v="0"/>
  </r>
  <r>
    <x v="55"/>
    <x v="55"/>
    <x v="12"/>
    <x v="12"/>
    <n v="1367"/>
    <n v="0"/>
    <n v="0"/>
    <n v="0"/>
    <n v="0"/>
  </r>
  <r>
    <x v="56"/>
    <x v="56"/>
    <x v="12"/>
    <x v="12"/>
    <n v="336"/>
    <n v="0"/>
    <n v="0"/>
    <n v="0"/>
    <n v="0"/>
  </r>
  <r>
    <x v="57"/>
    <x v="57"/>
    <x v="12"/>
    <x v="12"/>
    <n v="596"/>
    <n v="0"/>
    <n v="0"/>
    <n v="0"/>
    <n v="71"/>
  </r>
  <r>
    <x v="58"/>
    <x v="58"/>
    <x v="12"/>
    <x v="12"/>
    <n v="101932"/>
    <n v="0"/>
    <n v="0"/>
    <n v="0"/>
    <n v="10709"/>
  </r>
  <r>
    <x v="59"/>
    <x v="59"/>
    <x v="12"/>
    <x v="12"/>
    <n v="22061"/>
    <n v="0"/>
    <n v="0"/>
    <n v="0"/>
    <n v="0"/>
  </r>
  <r>
    <x v="60"/>
    <x v="60"/>
    <x v="12"/>
    <x v="12"/>
    <n v="46442"/>
    <n v="0"/>
    <n v="0"/>
    <n v="0"/>
    <n v="0"/>
  </r>
  <r>
    <x v="61"/>
    <x v="61"/>
    <x v="12"/>
    <x v="12"/>
    <n v="13759"/>
    <n v="0"/>
    <n v="0"/>
    <n v="0"/>
    <n v="0"/>
  </r>
  <r>
    <x v="62"/>
    <x v="62"/>
    <x v="12"/>
    <x v="12"/>
    <n v="4753"/>
    <n v="0"/>
    <n v="0"/>
    <n v="0"/>
    <n v="0"/>
  </r>
  <r>
    <x v="63"/>
    <x v="63"/>
    <x v="12"/>
    <x v="12"/>
    <n v="87015"/>
    <n v="0"/>
    <n v="0"/>
    <n v="0"/>
    <n v="0"/>
  </r>
  <r>
    <x v="64"/>
    <x v="64"/>
    <x v="12"/>
    <x v="12"/>
    <n v="188947"/>
    <n v="0"/>
    <n v="0"/>
    <n v="0"/>
    <n v="0"/>
  </r>
  <r>
    <x v="0"/>
    <x v="0"/>
    <x v="13"/>
    <x v="13"/>
    <n v="0"/>
    <n v="0"/>
    <n v="0"/>
    <n v="0"/>
    <n v="0"/>
  </r>
  <r>
    <x v="1"/>
    <x v="1"/>
    <x v="13"/>
    <x v="13"/>
    <n v="0"/>
    <n v="0"/>
    <n v="0"/>
    <n v="0"/>
    <n v="0"/>
  </r>
  <r>
    <x v="2"/>
    <x v="2"/>
    <x v="13"/>
    <x v="13"/>
    <n v="0"/>
    <n v="0"/>
    <n v="0"/>
    <n v="0"/>
    <n v="0"/>
  </r>
  <r>
    <x v="3"/>
    <x v="3"/>
    <x v="13"/>
    <x v="13"/>
    <n v="0"/>
    <n v="0"/>
    <n v="0"/>
    <n v="0"/>
    <n v="0"/>
  </r>
  <r>
    <x v="4"/>
    <x v="4"/>
    <x v="13"/>
    <x v="13"/>
    <n v="0"/>
    <n v="0"/>
    <n v="0"/>
    <n v="0"/>
    <n v="0"/>
  </r>
  <r>
    <x v="5"/>
    <x v="5"/>
    <x v="13"/>
    <x v="13"/>
    <n v="0"/>
    <n v="0"/>
    <n v="0"/>
    <n v="0"/>
    <n v="0"/>
  </r>
  <r>
    <x v="6"/>
    <x v="6"/>
    <x v="13"/>
    <x v="13"/>
    <n v="0"/>
    <n v="0"/>
    <n v="0"/>
    <n v="0"/>
    <n v="0"/>
  </r>
  <r>
    <x v="7"/>
    <x v="7"/>
    <x v="13"/>
    <x v="13"/>
    <n v="0"/>
    <n v="0"/>
    <n v="0"/>
    <n v="0"/>
    <n v="0"/>
  </r>
  <r>
    <x v="8"/>
    <x v="8"/>
    <x v="13"/>
    <x v="13"/>
    <n v="0"/>
    <n v="0"/>
    <n v="0"/>
    <n v="0"/>
    <n v="0"/>
  </r>
  <r>
    <x v="9"/>
    <x v="9"/>
    <x v="13"/>
    <x v="13"/>
    <n v="132475"/>
    <n v="11553"/>
    <n v="533"/>
    <n v="2320"/>
    <n v="0"/>
  </r>
  <r>
    <x v="10"/>
    <x v="10"/>
    <x v="13"/>
    <x v="13"/>
    <n v="0"/>
    <n v="0"/>
    <n v="0"/>
    <n v="0"/>
    <n v="0"/>
  </r>
  <r>
    <x v="11"/>
    <x v="11"/>
    <x v="13"/>
    <x v="13"/>
    <n v="0"/>
    <n v="0"/>
    <n v="0"/>
    <n v="0"/>
    <n v="0"/>
  </r>
  <r>
    <x v="12"/>
    <x v="12"/>
    <x v="13"/>
    <x v="13"/>
    <n v="0"/>
    <n v="0"/>
    <n v="0"/>
    <n v="0"/>
    <n v="0"/>
  </r>
  <r>
    <x v="13"/>
    <x v="13"/>
    <x v="13"/>
    <x v="13"/>
    <n v="1069006"/>
    <n v="52317"/>
    <n v="20127"/>
    <n v="120406"/>
    <n v="0"/>
  </r>
  <r>
    <x v="14"/>
    <x v="14"/>
    <x v="13"/>
    <x v="13"/>
    <n v="0"/>
    <n v="0"/>
    <n v="0"/>
    <n v="0"/>
    <n v="0"/>
  </r>
  <r>
    <x v="15"/>
    <x v="15"/>
    <x v="13"/>
    <x v="13"/>
    <n v="0"/>
    <n v="0"/>
    <n v="0"/>
    <n v="0"/>
    <n v="0"/>
  </r>
  <r>
    <x v="16"/>
    <x v="16"/>
    <x v="13"/>
    <x v="13"/>
    <n v="0"/>
    <n v="0"/>
    <n v="0"/>
    <n v="0"/>
    <n v="0"/>
  </r>
  <r>
    <x v="17"/>
    <x v="17"/>
    <x v="13"/>
    <x v="13"/>
    <n v="0"/>
    <n v="0"/>
    <n v="0"/>
    <n v="0"/>
    <n v="0"/>
  </r>
  <r>
    <x v="18"/>
    <x v="18"/>
    <x v="13"/>
    <x v="13"/>
    <n v="0"/>
    <n v="0"/>
    <n v="0"/>
    <n v="0"/>
    <n v="0"/>
  </r>
  <r>
    <x v="19"/>
    <x v="19"/>
    <x v="13"/>
    <x v="13"/>
    <n v="0"/>
    <n v="0"/>
    <n v="0"/>
    <n v="0"/>
    <n v="0"/>
  </r>
  <r>
    <x v="20"/>
    <x v="20"/>
    <x v="13"/>
    <x v="13"/>
    <n v="0"/>
    <n v="0"/>
    <n v="0"/>
    <n v="0"/>
    <n v="0"/>
  </r>
  <r>
    <x v="21"/>
    <x v="21"/>
    <x v="13"/>
    <x v="13"/>
    <n v="0"/>
    <n v="0"/>
    <n v="0"/>
    <n v="0"/>
    <n v="0"/>
  </r>
  <r>
    <x v="22"/>
    <x v="22"/>
    <x v="13"/>
    <x v="13"/>
    <n v="0"/>
    <n v="0"/>
    <n v="0"/>
    <n v="0"/>
    <n v="0"/>
  </r>
  <r>
    <x v="23"/>
    <x v="23"/>
    <x v="13"/>
    <x v="13"/>
    <n v="82310"/>
    <n v="2023"/>
    <n v="262"/>
    <n v="290"/>
    <n v="3061"/>
  </r>
  <r>
    <x v="24"/>
    <x v="24"/>
    <x v="13"/>
    <x v="13"/>
    <n v="24796"/>
    <n v="808"/>
    <n v="486"/>
    <n v="224"/>
    <n v="0"/>
  </r>
  <r>
    <x v="25"/>
    <x v="25"/>
    <x v="13"/>
    <x v="13"/>
    <n v="3282"/>
    <n v="111"/>
    <n v="334"/>
    <n v="32"/>
    <n v="0"/>
  </r>
  <r>
    <x v="26"/>
    <x v="26"/>
    <x v="13"/>
    <x v="13"/>
    <n v="2645055"/>
    <n v="228296"/>
    <n v="214408"/>
    <n v="59053"/>
    <n v="1484951"/>
  </r>
  <r>
    <x v="27"/>
    <x v="27"/>
    <x v="13"/>
    <x v="13"/>
    <n v="47184"/>
    <n v="3929"/>
    <n v="4561"/>
    <n v="1609"/>
    <n v="0"/>
  </r>
  <r>
    <x v="28"/>
    <x v="28"/>
    <x v="13"/>
    <x v="13"/>
    <n v="3270173"/>
    <n v="228265"/>
    <n v="226117"/>
    <n v="41978"/>
    <n v="2559843"/>
  </r>
  <r>
    <x v="29"/>
    <x v="29"/>
    <x v="13"/>
    <x v="13"/>
    <n v="14666887"/>
    <n v="921736"/>
    <n v="1026712"/>
    <n v="153245"/>
    <n v="2251182"/>
  </r>
  <r>
    <x v="30"/>
    <x v="30"/>
    <x v="13"/>
    <x v="13"/>
    <n v="791008"/>
    <n v="13553"/>
    <n v="32407"/>
    <n v="23651"/>
    <n v="0"/>
  </r>
  <r>
    <x v="31"/>
    <x v="31"/>
    <x v="13"/>
    <x v="13"/>
    <n v="77587"/>
    <n v="2125"/>
    <n v="2850"/>
    <n v="595"/>
    <n v="19177"/>
  </r>
  <r>
    <x v="32"/>
    <x v="32"/>
    <x v="13"/>
    <x v="13"/>
    <n v="9543"/>
    <n v="190"/>
    <n v="344"/>
    <n v="175"/>
    <n v="0"/>
  </r>
  <r>
    <x v="33"/>
    <x v="33"/>
    <x v="13"/>
    <x v="13"/>
    <n v="52174"/>
    <n v="4180"/>
    <n v="4474"/>
    <n v="586"/>
    <n v="0"/>
  </r>
  <r>
    <x v="34"/>
    <x v="34"/>
    <x v="13"/>
    <x v="13"/>
    <n v="27129"/>
    <n v="1339"/>
    <n v="1625"/>
    <n v="332"/>
    <n v="6728"/>
  </r>
  <r>
    <x v="35"/>
    <x v="35"/>
    <x v="13"/>
    <x v="13"/>
    <n v="0"/>
    <n v="0"/>
    <n v="0"/>
    <n v="0"/>
    <n v="0"/>
  </r>
  <r>
    <x v="36"/>
    <x v="36"/>
    <x v="13"/>
    <x v="13"/>
    <n v="4069282"/>
    <n v="85335"/>
    <n v="203562"/>
    <n v="20139"/>
    <n v="1065511"/>
  </r>
  <r>
    <x v="37"/>
    <x v="37"/>
    <x v="13"/>
    <x v="13"/>
    <n v="4911276"/>
    <n v="402280"/>
    <n v="0"/>
    <n v="55361"/>
    <n v="0"/>
  </r>
  <r>
    <x v="38"/>
    <x v="38"/>
    <x v="13"/>
    <x v="13"/>
    <n v="326142"/>
    <n v="19506"/>
    <n v="15319"/>
    <n v="3705"/>
    <n v="0"/>
  </r>
  <r>
    <x v="39"/>
    <x v="39"/>
    <x v="13"/>
    <x v="13"/>
    <n v="9136478"/>
    <n v="0"/>
    <n v="0"/>
    <n v="0"/>
    <n v="0"/>
  </r>
  <r>
    <x v="40"/>
    <x v="40"/>
    <x v="13"/>
    <x v="13"/>
    <n v="0"/>
    <n v="0"/>
    <n v="0"/>
    <n v="0"/>
    <n v="0"/>
  </r>
  <r>
    <x v="41"/>
    <x v="41"/>
    <x v="13"/>
    <x v="13"/>
    <n v="0"/>
    <n v="0"/>
    <n v="0"/>
    <n v="0"/>
    <n v="0"/>
  </r>
  <r>
    <x v="42"/>
    <x v="42"/>
    <x v="13"/>
    <x v="13"/>
    <n v="284355"/>
    <n v="20845"/>
    <n v="25745"/>
    <n v="3160"/>
    <n v="0"/>
  </r>
  <r>
    <x v="43"/>
    <x v="43"/>
    <x v="13"/>
    <x v="13"/>
    <n v="369678"/>
    <n v="91733"/>
    <n v="64706"/>
    <n v="5791"/>
    <n v="0"/>
  </r>
  <r>
    <x v="44"/>
    <x v="44"/>
    <x v="13"/>
    <x v="13"/>
    <n v="2820778"/>
    <n v="7735"/>
    <n v="11875"/>
    <n v="1427"/>
    <n v="0"/>
  </r>
  <r>
    <x v="45"/>
    <x v="45"/>
    <x v="13"/>
    <x v="13"/>
    <n v="65999"/>
    <n v="0"/>
    <n v="0"/>
    <n v="0"/>
    <n v="0"/>
  </r>
  <r>
    <x v="46"/>
    <x v="46"/>
    <x v="13"/>
    <x v="13"/>
    <n v="88768"/>
    <n v="0"/>
    <n v="0"/>
    <n v="0"/>
    <n v="0"/>
  </r>
  <r>
    <x v="47"/>
    <x v="47"/>
    <x v="13"/>
    <x v="13"/>
    <n v="0"/>
    <n v="0"/>
    <n v="0"/>
    <n v="0"/>
    <n v="0"/>
  </r>
  <r>
    <x v="48"/>
    <x v="48"/>
    <x v="13"/>
    <x v="13"/>
    <n v="0"/>
    <n v="-2097859"/>
    <n v="-1856447"/>
    <n v="0"/>
    <n v="0"/>
  </r>
  <r>
    <x v="49"/>
    <x v="49"/>
    <x v="13"/>
    <x v="13"/>
    <n v="1928020"/>
    <n v="0"/>
    <n v="0"/>
    <n v="0"/>
    <n v="0"/>
  </r>
  <r>
    <x v="50"/>
    <x v="50"/>
    <x v="13"/>
    <x v="13"/>
    <n v="3861545"/>
    <n v="0"/>
    <n v="0"/>
    <n v="-494079"/>
    <n v="0"/>
  </r>
  <r>
    <x v="51"/>
    <x v="51"/>
    <x v="13"/>
    <x v="13"/>
    <n v="264944"/>
    <n v="0"/>
    <n v="0"/>
    <n v="0"/>
    <n v="0"/>
  </r>
  <r>
    <x v="52"/>
    <x v="52"/>
    <x v="13"/>
    <x v="13"/>
    <n v="2958301"/>
    <n v="0"/>
    <n v="0"/>
    <n v="0"/>
    <n v="0"/>
  </r>
  <r>
    <x v="53"/>
    <x v="53"/>
    <x v="13"/>
    <x v="13"/>
    <n v="139339"/>
    <n v="0"/>
    <n v="0"/>
    <n v="0"/>
    <n v="0"/>
  </r>
  <r>
    <x v="54"/>
    <x v="54"/>
    <x v="13"/>
    <x v="13"/>
    <n v="321933"/>
    <n v="0"/>
    <n v="0"/>
    <n v="0"/>
    <n v="0"/>
  </r>
  <r>
    <x v="55"/>
    <x v="55"/>
    <x v="13"/>
    <x v="13"/>
    <n v="11263"/>
    <n v="0"/>
    <n v="0"/>
    <n v="0"/>
    <n v="0"/>
  </r>
  <r>
    <x v="56"/>
    <x v="56"/>
    <x v="13"/>
    <x v="13"/>
    <n v="156826"/>
    <n v="0"/>
    <n v="0"/>
    <n v="0"/>
    <n v="0"/>
  </r>
  <r>
    <x v="57"/>
    <x v="57"/>
    <x v="13"/>
    <x v="13"/>
    <n v="181597"/>
    <n v="0"/>
    <n v="0"/>
    <n v="0"/>
    <n v="16974"/>
  </r>
  <r>
    <x v="58"/>
    <x v="58"/>
    <x v="13"/>
    <x v="13"/>
    <n v="54795133"/>
    <n v="0"/>
    <n v="0"/>
    <n v="0"/>
    <n v="7407427"/>
  </r>
  <r>
    <x v="59"/>
    <x v="59"/>
    <x v="13"/>
    <x v="13"/>
    <n v="19573576"/>
    <n v="0"/>
    <n v="0"/>
    <n v="0"/>
    <n v="0"/>
  </r>
  <r>
    <x v="60"/>
    <x v="60"/>
    <x v="13"/>
    <x v="13"/>
    <n v="40933335"/>
    <n v="0"/>
    <n v="0"/>
    <n v="0"/>
    <n v="0"/>
  </r>
  <r>
    <x v="61"/>
    <x v="61"/>
    <x v="13"/>
    <x v="13"/>
    <n v="10081721"/>
    <n v="0"/>
    <n v="0"/>
    <n v="0"/>
    <n v="0"/>
  </r>
  <r>
    <x v="62"/>
    <x v="62"/>
    <x v="13"/>
    <x v="13"/>
    <n v="3236017"/>
    <n v="0"/>
    <n v="0"/>
    <n v="0"/>
    <n v="0"/>
  </r>
  <r>
    <x v="63"/>
    <x v="63"/>
    <x v="13"/>
    <x v="13"/>
    <n v="73824649"/>
    <n v="0"/>
    <n v="0"/>
    <n v="0"/>
    <n v="0"/>
  </r>
  <r>
    <x v="64"/>
    <x v="64"/>
    <x v="13"/>
    <x v="13"/>
    <n v="128619782"/>
    <n v="0"/>
    <n v="0"/>
    <n v="0"/>
    <n v="0"/>
  </r>
  <r>
    <x v="0"/>
    <x v="0"/>
    <x v="14"/>
    <x v="14"/>
    <n v="0"/>
    <n v="0"/>
    <n v="0"/>
    <n v="0"/>
    <n v="0"/>
  </r>
  <r>
    <x v="1"/>
    <x v="1"/>
    <x v="14"/>
    <x v="14"/>
    <n v="0"/>
    <n v="0"/>
    <n v="0"/>
    <n v="0"/>
    <n v="0"/>
  </r>
  <r>
    <x v="2"/>
    <x v="2"/>
    <x v="14"/>
    <x v="14"/>
    <n v="0"/>
    <n v="0"/>
    <n v="0"/>
    <n v="0"/>
    <n v="0"/>
  </r>
  <r>
    <x v="3"/>
    <x v="3"/>
    <x v="14"/>
    <x v="14"/>
    <n v="0"/>
    <n v="0"/>
    <n v="0"/>
    <n v="0"/>
    <n v="0"/>
  </r>
  <r>
    <x v="4"/>
    <x v="4"/>
    <x v="14"/>
    <x v="14"/>
    <n v="0"/>
    <n v="0"/>
    <n v="0"/>
    <n v="0"/>
    <n v="0"/>
  </r>
  <r>
    <x v="5"/>
    <x v="5"/>
    <x v="14"/>
    <x v="14"/>
    <n v="0"/>
    <n v="0"/>
    <n v="0"/>
    <n v="0"/>
    <n v="0"/>
  </r>
  <r>
    <x v="6"/>
    <x v="6"/>
    <x v="14"/>
    <x v="14"/>
    <n v="0"/>
    <n v="0"/>
    <n v="0"/>
    <n v="0"/>
    <n v="0"/>
  </r>
  <r>
    <x v="7"/>
    <x v="7"/>
    <x v="14"/>
    <x v="14"/>
    <n v="0"/>
    <n v="0"/>
    <n v="0"/>
    <n v="0"/>
    <n v="0"/>
  </r>
  <r>
    <x v="8"/>
    <x v="8"/>
    <x v="14"/>
    <x v="14"/>
    <n v="300253373"/>
    <n v="29159628"/>
    <n v="0"/>
    <n v="1451897"/>
    <n v="0"/>
  </r>
  <r>
    <x v="9"/>
    <x v="9"/>
    <x v="14"/>
    <x v="14"/>
    <n v="0"/>
    <n v="0"/>
    <n v="0"/>
    <n v="0"/>
    <n v="0"/>
  </r>
  <r>
    <x v="10"/>
    <x v="10"/>
    <x v="14"/>
    <x v="14"/>
    <n v="0"/>
    <n v="0"/>
    <n v="0"/>
    <n v="0"/>
    <n v="0"/>
  </r>
  <r>
    <x v="11"/>
    <x v="11"/>
    <x v="14"/>
    <x v="14"/>
    <n v="0"/>
    <n v="0"/>
    <n v="0"/>
    <n v="0"/>
    <n v="0"/>
  </r>
  <r>
    <x v="12"/>
    <x v="12"/>
    <x v="14"/>
    <x v="14"/>
    <n v="0"/>
    <n v="0"/>
    <n v="0"/>
    <n v="0"/>
    <n v="0"/>
  </r>
  <r>
    <x v="13"/>
    <x v="13"/>
    <x v="14"/>
    <x v="14"/>
    <n v="0"/>
    <n v="0"/>
    <n v="0"/>
    <n v="0"/>
    <n v="0"/>
  </r>
  <r>
    <x v="14"/>
    <x v="14"/>
    <x v="14"/>
    <x v="14"/>
    <n v="0"/>
    <n v="0"/>
    <n v="0"/>
    <n v="0"/>
    <n v="0"/>
  </r>
  <r>
    <x v="15"/>
    <x v="15"/>
    <x v="14"/>
    <x v="14"/>
    <n v="0"/>
    <n v="0"/>
    <n v="0"/>
    <n v="0"/>
    <n v="0"/>
  </r>
  <r>
    <x v="16"/>
    <x v="16"/>
    <x v="14"/>
    <x v="14"/>
    <n v="0"/>
    <n v="0"/>
    <n v="0"/>
    <n v="0"/>
    <n v="0"/>
  </r>
  <r>
    <x v="17"/>
    <x v="17"/>
    <x v="14"/>
    <x v="14"/>
    <n v="0"/>
    <n v="0"/>
    <n v="0"/>
    <n v="0"/>
    <n v="0"/>
  </r>
  <r>
    <x v="18"/>
    <x v="18"/>
    <x v="14"/>
    <x v="14"/>
    <n v="1024523"/>
    <n v="46246"/>
    <n v="18363"/>
    <n v="17580"/>
    <n v="0"/>
  </r>
  <r>
    <x v="19"/>
    <x v="19"/>
    <x v="14"/>
    <x v="14"/>
    <n v="0"/>
    <n v="0"/>
    <n v="0"/>
    <n v="0"/>
    <n v="0"/>
  </r>
  <r>
    <x v="20"/>
    <x v="20"/>
    <x v="14"/>
    <x v="14"/>
    <n v="0"/>
    <n v="0"/>
    <n v="0"/>
    <n v="0"/>
    <n v="0"/>
  </r>
  <r>
    <x v="21"/>
    <x v="21"/>
    <x v="14"/>
    <x v="14"/>
    <n v="0"/>
    <n v="0"/>
    <n v="0"/>
    <n v="0"/>
    <n v="0"/>
  </r>
  <r>
    <x v="22"/>
    <x v="22"/>
    <x v="14"/>
    <x v="14"/>
    <n v="0"/>
    <n v="0"/>
    <n v="0"/>
    <n v="0"/>
    <n v="0"/>
  </r>
  <r>
    <x v="23"/>
    <x v="23"/>
    <x v="14"/>
    <x v="14"/>
    <n v="47950"/>
    <n v="1887"/>
    <n v="3456"/>
    <n v="311"/>
    <n v="0"/>
  </r>
  <r>
    <x v="24"/>
    <x v="24"/>
    <x v="14"/>
    <x v="14"/>
    <n v="50550"/>
    <n v="1920"/>
    <n v="1318"/>
    <n v="439"/>
    <n v="0"/>
  </r>
  <r>
    <x v="25"/>
    <x v="25"/>
    <x v="14"/>
    <x v="14"/>
    <n v="0"/>
    <n v="0"/>
    <n v="0"/>
    <n v="0"/>
    <n v="0"/>
  </r>
  <r>
    <x v="26"/>
    <x v="26"/>
    <x v="14"/>
    <x v="14"/>
    <n v="125554"/>
    <n v="11365"/>
    <n v="8499"/>
    <n v="2964"/>
    <n v="70059"/>
  </r>
  <r>
    <x v="27"/>
    <x v="27"/>
    <x v="14"/>
    <x v="14"/>
    <n v="0"/>
    <n v="0"/>
    <n v="0"/>
    <n v="0"/>
    <n v="0"/>
  </r>
  <r>
    <x v="28"/>
    <x v="28"/>
    <x v="14"/>
    <x v="14"/>
    <n v="918084"/>
    <n v="86505"/>
    <n v="165094"/>
    <n v="8565"/>
    <n v="0"/>
  </r>
  <r>
    <x v="29"/>
    <x v="29"/>
    <x v="14"/>
    <x v="14"/>
    <n v="2119655"/>
    <n v="128482"/>
    <n v="136047"/>
    <n v="21691"/>
    <n v="399790"/>
  </r>
  <r>
    <x v="30"/>
    <x v="30"/>
    <x v="14"/>
    <x v="14"/>
    <n v="0"/>
    <n v="0"/>
    <n v="0"/>
    <n v="0"/>
    <n v="0"/>
  </r>
  <r>
    <x v="31"/>
    <x v="31"/>
    <x v="14"/>
    <x v="14"/>
    <n v="5456614"/>
    <n v="215327"/>
    <n v="346034"/>
    <n v="51150"/>
    <n v="2752315"/>
  </r>
  <r>
    <x v="32"/>
    <x v="32"/>
    <x v="14"/>
    <x v="14"/>
    <n v="0"/>
    <n v="0"/>
    <n v="0"/>
    <n v="0"/>
    <n v="0"/>
  </r>
  <r>
    <x v="33"/>
    <x v="33"/>
    <x v="14"/>
    <x v="14"/>
    <n v="0"/>
    <n v="0"/>
    <n v="0"/>
    <n v="0"/>
    <n v="0"/>
  </r>
  <r>
    <x v="34"/>
    <x v="34"/>
    <x v="14"/>
    <x v="14"/>
    <n v="0"/>
    <n v="0"/>
    <n v="0"/>
    <n v="0"/>
    <n v="0"/>
  </r>
  <r>
    <x v="35"/>
    <x v="35"/>
    <x v="14"/>
    <x v="14"/>
    <n v="0"/>
    <n v="0"/>
    <n v="0"/>
    <n v="0"/>
    <n v="0"/>
  </r>
  <r>
    <x v="36"/>
    <x v="36"/>
    <x v="14"/>
    <x v="14"/>
    <n v="2101197"/>
    <n v="58092"/>
    <n v="74993"/>
    <n v="10086"/>
    <n v="515262"/>
  </r>
  <r>
    <x v="37"/>
    <x v="37"/>
    <x v="14"/>
    <x v="14"/>
    <n v="807380"/>
    <n v="69842"/>
    <n v="0"/>
    <n v="13314"/>
    <n v="156800"/>
  </r>
  <r>
    <x v="38"/>
    <x v="38"/>
    <x v="14"/>
    <x v="14"/>
    <n v="250813"/>
    <n v="15640"/>
    <n v="83"/>
    <n v="2137"/>
    <n v="0"/>
  </r>
  <r>
    <x v="39"/>
    <x v="39"/>
    <x v="14"/>
    <x v="14"/>
    <n v="836120"/>
    <n v="0"/>
    <n v="0"/>
    <n v="0"/>
    <n v="0"/>
  </r>
  <r>
    <x v="40"/>
    <x v="40"/>
    <x v="14"/>
    <x v="14"/>
    <n v="0"/>
    <n v="0"/>
    <n v="0"/>
    <n v="0"/>
    <n v="0"/>
  </r>
  <r>
    <x v="41"/>
    <x v="41"/>
    <x v="14"/>
    <x v="14"/>
    <n v="0"/>
    <n v="0"/>
    <n v="0"/>
    <n v="0"/>
    <n v="0"/>
  </r>
  <r>
    <x v="42"/>
    <x v="42"/>
    <x v="14"/>
    <x v="14"/>
    <n v="62285"/>
    <n v="1467"/>
    <n v="2227"/>
    <n v="752"/>
    <n v="0"/>
  </r>
  <r>
    <x v="43"/>
    <x v="43"/>
    <x v="14"/>
    <x v="14"/>
    <n v="1051251"/>
    <n v="44034"/>
    <n v="43305"/>
    <n v="5822"/>
    <n v="0"/>
  </r>
  <r>
    <x v="44"/>
    <x v="44"/>
    <x v="14"/>
    <x v="14"/>
    <n v="15240372"/>
    <n v="41471"/>
    <n v="79178"/>
    <n v="24258"/>
    <n v="0"/>
  </r>
  <r>
    <x v="45"/>
    <x v="45"/>
    <x v="14"/>
    <x v="14"/>
    <n v="740999"/>
    <n v="0"/>
    <n v="0"/>
    <n v="0"/>
    <n v="0"/>
  </r>
  <r>
    <x v="46"/>
    <x v="46"/>
    <x v="14"/>
    <x v="14"/>
    <n v="255680"/>
    <n v="0"/>
    <n v="0"/>
    <n v="0"/>
    <n v="0"/>
  </r>
  <r>
    <x v="47"/>
    <x v="47"/>
    <x v="14"/>
    <x v="14"/>
    <n v="0"/>
    <n v="0"/>
    <n v="0"/>
    <n v="0"/>
    <n v="0"/>
  </r>
  <r>
    <x v="48"/>
    <x v="48"/>
    <x v="14"/>
    <x v="14"/>
    <n v="0"/>
    <n v="-29881906"/>
    <n v="-878597"/>
    <n v="0"/>
    <n v="0"/>
  </r>
  <r>
    <x v="49"/>
    <x v="49"/>
    <x v="14"/>
    <x v="14"/>
    <n v="430814"/>
    <n v="0"/>
    <n v="0"/>
    <n v="0"/>
    <n v="0"/>
  </r>
  <r>
    <x v="50"/>
    <x v="50"/>
    <x v="14"/>
    <x v="14"/>
    <n v="630065"/>
    <n v="0"/>
    <n v="0"/>
    <n v="-1610966"/>
    <n v="0"/>
  </r>
  <r>
    <x v="51"/>
    <x v="51"/>
    <x v="14"/>
    <x v="14"/>
    <n v="447899"/>
    <n v="0"/>
    <n v="0"/>
    <n v="0"/>
    <n v="0"/>
  </r>
  <r>
    <x v="52"/>
    <x v="52"/>
    <x v="14"/>
    <x v="14"/>
    <n v="3774639"/>
    <n v="0"/>
    <n v="0"/>
    <n v="0"/>
    <n v="0"/>
  </r>
  <r>
    <x v="53"/>
    <x v="53"/>
    <x v="14"/>
    <x v="14"/>
    <n v="937027"/>
    <n v="0"/>
    <n v="0"/>
    <n v="0"/>
    <n v="0"/>
  </r>
  <r>
    <x v="54"/>
    <x v="54"/>
    <x v="14"/>
    <x v="14"/>
    <n v="5123284"/>
    <n v="0"/>
    <n v="0"/>
    <n v="0"/>
    <n v="0"/>
  </r>
  <r>
    <x v="55"/>
    <x v="55"/>
    <x v="14"/>
    <x v="14"/>
    <n v="709496"/>
    <n v="0"/>
    <n v="0"/>
    <n v="0"/>
    <n v="0"/>
  </r>
  <r>
    <x v="56"/>
    <x v="56"/>
    <x v="14"/>
    <x v="14"/>
    <n v="51015"/>
    <n v="0"/>
    <n v="0"/>
    <n v="0"/>
    <n v="0"/>
  </r>
  <r>
    <x v="57"/>
    <x v="57"/>
    <x v="14"/>
    <x v="14"/>
    <n v="2145383"/>
    <n v="0"/>
    <n v="0"/>
    <n v="0"/>
    <n v="246976"/>
  </r>
  <r>
    <x v="58"/>
    <x v="58"/>
    <x v="14"/>
    <x v="14"/>
    <n v="345592022"/>
    <n v="0"/>
    <n v="0"/>
    <n v="0"/>
    <n v="4141202"/>
  </r>
  <r>
    <x v="59"/>
    <x v="59"/>
    <x v="14"/>
    <x v="14"/>
    <n v="49425595"/>
    <n v="0"/>
    <n v="0"/>
    <n v="0"/>
    <n v="0"/>
  </r>
  <r>
    <x v="60"/>
    <x v="60"/>
    <x v="14"/>
    <x v="14"/>
    <n v="101568841"/>
    <n v="0"/>
    <n v="0"/>
    <n v="0"/>
    <n v="0"/>
  </r>
  <r>
    <x v="61"/>
    <x v="61"/>
    <x v="14"/>
    <x v="14"/>
    <n v="26345577"/>
    <n v="0"/>
    <n v="0"/>
    <n v="0"/>
    <n v="0"/>
  </r>
  <r>
    <x v="62"/>
    <x v="62"/>
    <x v="14"/>
    <x v="14"/>
    <n v="5776573"/>
    <n v="0"/>
    <n v="0"/>
    <n v="0"/>
    <n v="0"/>
  </r>
  <r>
    <x v="63"/>
    <x v="63"/>
    <x v="14"/>
    <x v="14"/>
    <n v="183116586"/>
    <n v="0"/>
    <n v="0"/>
    <n v="0"/>
    <n v="0"/>
  </r>
  <r>
    <x v="64"/>
    <x v="64"/>
    <x v="14"/>
    <x v="14"/>
    <n v="528708608"/>
    <n v="0"/>
    <n v="0"/>
    <n v="0"/>
    <n v="0"/>
  </r>
  <r>
    <x v="0"/>
    <x v="0"/>
    <x v="15"/>
    <x v="15"/>
    <n v="29138"/>
    <n v="1297"/>
    <n v="2159"/>
    <n v="180"/>
    <n v="0"/>
  </r>
  <r>
    <x v="1"/>
    <x v="1"/>
    <x v="15"/>
    <x v="15"/>
    <n v="781679"/>
    <n v="81746"/>
    <n v="0"/>
    <n v="10551"/>
    <n v="0"/>
  </r>
  <r>
    <x v="2"/>
    <x v="2"/>
    <x v="15"/>
    <x v="15"/>
    <n v="0"/>
    <n v="0"/>
    <n v="0"/>
    <n v="0"/>
    <n v="0"/>
  </r>
  <r>
    <x v="3"/>
    <x v="3"/>
    <x v="15"/>
    <x v="15"/>
    <n v="12724250"/>
    <n v="123405"/>
    <n v="92328"/>
    <n v="17652"/>
    <n v="12422642"/>
  </r>
  <r>
    <x v="4"/>
    <x v="4"/>
    <x v="15"/>
    <x v="15"/>
    <n v="60639500"/>
    <n v="3425738"/>
    <n v="4781800"/>
    <n v="709651"/>
    <n v="3379967"/>
  </r>
  <r>
    <x v="5"/>
    <x v="5"/>
    <x v="15"/>
    <x v="15"/>
    <n v="0"/>
    <n v="0"/>
    <n v="0"/>
    <n v="0"/>
    <n v="0"/>
  </r>
  <r>
    <x v="6"/>
    <x v="6"/>
    <x v="15"/>
    <x v="15"/>
    <n v="0"/>
    <n v="0"/>
    <n v="0"/>
    <n v="0"/>
    <n v="0"/>
  </r>
  <r>
    <x v="7"/>
    <x v="7"/>
    <x v="15"/>
    <x v="15"/>
    <n v="85851714"/>
    <n v="2404344"/>
    <n v="80090"/>
    <n v="861342"/>
    <n v="7088869"/>
  </r>
  <r>
    <x v="8"/>
    <x v="8"/>
    <x v="15"/>
    <x v="15"/>
    <n v="19003354"/>
    <n v="569701"/>
    <n v="0"/>
    <n v="136497"/>
    <n v="0"/>
  </r>
  <r>
    <x v="9"/>
    <x v="9"/>
    <x v="15"/>
    <x v="15"/>
    <n v="43408"/>
    <n v="4441"/>
    <n v="7613"/>
    <n v="1006"/>
    <n v="4566"/>
  </r>
  <r>
    <x v="10"/>
    <x v="10"/>
    <x v="15"/>
    <x v="15"/>
    <n v="82007018"/>
    <n v="8550212"/>
    <n v="8389977"/>
    <n v="1625208"/>
    <n v="399940"/>
  </r>
  <r>
    <x v="11"/>
    <x v="11"/>
    <x v="15"/>
    <x v="15"/>
    <n v="0"/>
    <n v="0"/>
    <n v="0"/>
    <n v="0"/>
    <n v="0"/>
  </r>
  <r>
    <x v="12"/>
    <x v="12"/>
    <x v="15"/>
    <x v="15"/>
    <n v="0"/>
    <n v="0"/>
    <n v="0"/>
    <n v="0"/>
    <n v="0"/>
  </r>
  <r>
    <x v="13"/>
    <x v="13"/>
    <x v="15"/>
    <x v="15"/>
    <n v="710744"/>
    <n v="60216"/>
    <n v="50617"/>
    <n v="17221"/>
    <n v="0"/>
  </r>
  <r>
    <x v="14"/>
    <x v="14"/>
    <x v="15"/>
    <x v="15"/>
    <n v="77021461"/>
    <n v="327307"/>
    <n v="16492"/>
    <n v="169139"/>
    <n v="0"/>
  </r>
  <r>
    <x v="15"/>
    <x v="15"/>
    <x v="15"/>
    <x v="15"/>
    <n v="97450615"/>
    <n v="1572916"/>
    <n v="2162883"/>
    <n v="902701"/>
    <n v="49535399"/>
  </r>
  <r>
    <x v="16"/>
    <x v="16"/>
    <x v="15"/>
    <x v="15"/>
    <n v="7906992"/>
    <n v="257004"/>
    <n v="316517"/>
    <n v="100181"/>
    <n v="344691"/>
  </r>
  <r>
    <x v="17"/>
    <x v="17"/>
    <x v="15"/>
    <x v="15"/>
    <n v="26957938"/>
    <n v="384191"/>
    <n v="639756"/>
    <n v="324838"/>
    <n v="1002873"/>
  </r>
  <r>
    <x v="18"/>
    <x v="18"/>
    <x v="15"/>
    <x v="15"/>
    <n v="22317098"/>
    <n v="586871"/>
    <n v="1639559"/>
    <n v="323739"/>
    <n v="4589279"/>
  </r>
  <r>
    <x v="19"/>
    <x v="19"/>
    <x v="15"/>
    <x v="15"/>
    <n v="0"/>
    <n v="0"/>
    <n v="0"/>
    <n v="0"/>
    <n v="0"/>
  </r>
  <r>
    <x v="20"/>
    <x v="20"/>
    <x v="15"/>
    <x v="15"/>
    <n v="101721"/>
    <n v="7493"/>
    <n v="12319"/>
    <n v="2390"/>
    <n v="0"/>
  </r>
  <r>
    <x v="21"/>
    <x v="21"/>
    <x v="15"/>
    <x v="15"/>
    <n v="0"/>
    <n v="0"/>
    <n v="0"/>
    <n v="0"/>
    <n v="0"/>
  </r>
  <r>
    <x v="22"/>
    <x v="22"/>
    <x v="15"/>
    <x v="15"/>
    <n v="0"/>
    <n v="0"/>
    <n v="0"/>
    <n v="0"/>
    <n v="0"/>
  </r>
  <r>
    <x v="23"/>
    <x v="23"/>
    <x v="15"/>
    <x v="15"/>
    <n v="65"/>
    <n v="0"/>
    <n v="2"/>
    <n v="0"/>
    <n v="0"/>
  </r>
  <r>
    <x v="24"/>
    <x v="24"/>
    <x v="15"/>
    <x v="15"/>
    <n v="3710481"/>
    <n v="283741"/>
    <n v="204003"/>
    <n v="39803"/>
    <n v="1683607"/>
  </r>
  <r>
    <x v="25"/>
    <x v="25"/>
    <x v="15"/>
    <x v="15"/>
    <n v="11925"/>
    <n v="979"/>
    <n v="1787"/>
    <n v="128"/>
    <n v="0"/>
  </r>
  <r>
    <x v="26"/>
    <x v="26"/>
    <x v="15"/>
    <x v="15"/>
    <n v="5935966"/>
    <n v="382300"/>
    <n v="229082"/>
    <n v="106938"/>
    <n v="3270968"/>
  </r>
  <r>
    <x v="27"/>
    <x v="27"/>
    <x v="15"/>
    <x v="15"/>
    <n v="0"/>
    <n v="0"/>
    <n v="0"/>
    <n v="0"/>
    <n v="0"/>
  </r>
  <r>
    <x v="28"/>
    <x v="28"/>
    <x v="15"/>
    <x v="15"/>
    <n v="4731026"/>
    <n v="547756"/>
    <n v="733497"/>
    <n v="30959"/>
    <n v="79985"/>
  </r>
  <r>
    <x v="29"/>
    <x v="29"/>
    <x v="15"/>
    <x v="15"/>
    <n v="8351672"/>
    <n v="423997"/>
    <n v="549105"/>
    <n v="82477"/>
    <n v="1609623"/>
  </r>
  <r>
    <x v="30"/>
    <x v="30"/>
    <x v="15"/>
    <x v="15"/>
    <n v="295456"/>
    <n v="25885"/>
    <n v="41642"/>
    <n v="7981"/>
    <n v="0"/>
  </r>
  <r>
    <x v="31"/>
    <x v="31"/>
    <x v="15"/>
    <x v="15"/>
    <n v="17014440"/>
    <n v="886769"/>
    <n v="1034750"/>
    <n v="157098"/>
    <n v="7711531"/>
  </r>
  <r>
    <x v="32"/>
    <x v="32"/>
    <x v="15"/>
    <x v="15"/>
    <n v="0"/>
    <n v="0"/>
    <n v="0"/>
    <n v="0"/>
    <n v="0"/>
  </r>
  <r>
    <x v="33"/>
    <x v="33"/>
    <x v="15"/>
    <x v="15"/>
    <n v="206497"/>
    <n v="20357"/>
    <n v="20528"/>
    <n v="2851"/>
    <n v="0"/>
  </r>
  <r>
    <x v="34"/>
    <x v="34"/>
    <x v="15"/>
    <x v="15"/>
    <n v="0"/>
    <n v="0"/>
    <n v="0"/>
    <n v="0"/>
    <n v="0"/>
  </r>
  <r>
    <x v="35"/>
    <x v="35"/>
    <x v="15"/>
    <x v="15"/>
    <n v="554221"/>
    <n v="18473"/>
    <n v="8485"/>
    <n v="758"/>
    <n v="333514"/>
  </r>
  <r>
    <x v="36"/>
    <x v="36"/>
    <x v="15"/>
    <x v="15"/>
    <n v="14884299"/>
    <n v="581146"/>
    <n v="1283057"/>
    <n v="33101"/>
    <n v="10927200"/>
  </r>
  <r>
    <x v="37"/>
    <x v="37"/>
    <x v="15"/>
    <x v="15"/>
    <n v="3999673"/>
    <n v="267911"/>
    <n v="0"/>
    <n v="42388"/>
    <n v="768051"/>
  </r>
  <r>
    <x v="38"/>
    <x v="38"/>
    <x v="15"/>
    <x v="15"/>
    <n v="460417"/>
    <n v="17369"/>
    <n v="6825"/>
    <n v="4325"/>
    <n v="0"/>
  </r>
  <r>
    <x v="39"/>
    <x v="39"/>
    <x v="15"/>
    <x v="15"/>
    <n v="1024451"/>
    <n v="0"/>
    <n v="0"/>
    <n v="0"/>
    <n v="0"/>
  </r>
  <r>
    <x v="40"/>
    <x v="40"/>
    <x v="15"/>
    <x v="15"/>
    <n v="0"/>
    <n v="0"/>
    <n v="0"/>
    <n v="0"/>
    <n v="0"/>
  </r>
  <r>
    <x v="41"/>
    <x v="41"/>
    <x v="15"/>
    <x v="15"/>
    <n v="0"/>
    <n v="0"/>
    <n v="0"/>
    <n v="0"/>
    <n v="0"/>
  </r>
  <r>
    <x v="42"/>
    <x v="42"/>
    <x v="15"/>
    <x v="15"/>
    <n v="21780"/>
    <n v="1823"/>
    <n v="1800"/>
    <n v="196"/>
    <n v="0"/>
  </r>
  <r>
    <x v="43"/>
    <x v="43"/>
    <x v="15"/>
    <x v="15"/>
    <n v="693639"/>
    <n v="51656"/>
    <n v="34415"/>
    <n v="7194"/>
    <n v="0"/>
  </r>
  <r>
    <x v="44"/>
    <x v="44"/>
    <x v="15"/>
    <x v="15"/>
    <n v="14130649"/>
    <n v="19312"/>
    <n v="48415"/>
    <n v="10830"/>
    <n v="0"/>
  </r>
  <r>
    <x v="45"/>
    <x v="45"/>
    <x v="15"/>
    <x v="15"/>
    <n v="624512"/>
    <n v="0"/>
    <n v="0"/>
    <n v="0"/>
    <n v="0"/>
  </r>
  <r>
    <x v="46"/>
    <x v="46"/>
    <x v="15"/>
    <x v="15"/>
    <n v="606241"/>
    <n v="0"/>
    <n v="0"/>
    <n v="0"/>
    <n v="0"/>
  </r>
  <r>
    <x v="47"/>
    <x v="47"/>
    <x v="15"/>
    <x v="15"/>
    <n v="0"/>
    <n v="0"/>
    <n v="0"/>
    <n v="0"/>
    <n v="0"/>
  </r>
  <r>
    <x v="48"/>
    <x v="48"/>
    <x v="15"/>
    <x v="15"/>
    <n v="0"/>
    <n v="-21886356"/>
    <n v="-22389503"/>
    <n v="0"/>
    <n v="0"/>
  </r>
  <r>
    <x v="49"/>
    <x v="49"/>
    <x v="15"/>
    <x v="15"/>
    <n v="1607594"/>
    <n v="0"/>
    <n v="0"/>
    <n v="0"/>
    <n v="0"/>
  </r>
  <r>
    <x v="50"/>
    <x v="50"/>
    <x v="15"/>
    <x v="15"/>
    <n v="4056965"/>
    <n v="0"/>
    <n v="0"/>
    <n v="-5729323"/>
    <n v="0"/>
  </r>
  <r>
    <x v="51"/>
    <x v="51"/>
    <x v="15"/>
    <x v="15"/>
    <n v="488319"/>
    <n v="0"/>
    <n v="0"/>
    <n v="0"/>
    <n v="0"/>
  </r>
  <r>
    <x v="52"/>
    <x v="52"/>
    <x v="15"/>
    <x v="15"/>
    <n v="8034673"/>
    <n v="0"/>
    <n v="0"/>
    <n v="0"/>
    <n v="0"/>
  </r>
  <r>
    <x v="53"/>
    <x v="53"/>
    <x v="15"/>
    <x v="15"/>
    <n v="616160"/>
    <n v="0"/>
    <n v="0"/>
    <n v="0"/>
    <n v="0"/>
  </r>
  <r>
    <x v="54"/>
    <x v="54"/>
    <x v="15"/>
    <x v="15"/>
    <n v="16522492"/>
    <n v="0"/>
    <n v="0"/>
    <n v="0"/>
    <n v="0"/>
  </r>
  <r>
    <x v="55"/>
    <x v="55"/>
    <x v="15"/>
    <x v="15"/>
    <n v="408981"/>
    <n v="0"/>
    <n v="0"/>
    <n v="0"/>
    <n v="0"/>
  </r>
  <r>
    <x v="56"/>
    <x v="56"/>
    <x v="15"/>
    <x v="15"/>
    <n v="1030642"/>
    <n v="0"/>
    <n v="0"/>
    <n v="0"/>
    <n v="0"/>
  </r>
  <r>
    <x v="57"/>
    <x v="57"/>
    <x v="15"/>
    <x v="15"/>
    <n v="7092271"/>
    <n v="0"/>
    <n v="0"/>
    <n v="0"/>
    <n v="750775"/>
  </r>
  <r>
    <x v="58"/>
    <x v="58"/>
    <x v="15"/>
    <x v="15"/>
    <n v="610662137"/>
    <n v="0"/>
    <n v="0"/>
    <n v="0"/>
    <n v="105903480"/>
  </r>
  <r>
    <x v="59"/>
    <x v="59"/>
    <x v="15"/>
    <x v="15"/>
    <n v="39310178"/>
    <n v="0"/>
    <n v="0"/>
    <n v="0"/>
    <n v="0"/>
  </r>
  <r>
    <x v="60"/>
    <x v="60"/>
    <x v="15"/>
    <x v="15"/>
    <n v="65093679"/>
    <n v="0"/>
    <n v="0"/>
    <n v="0"/>
    <n v="0"/>
  </r>
  <r>
    <x v="61"/>
    <x v="61"/>
    <x v="15"/>
    <x v="15"/>
    <n v="33751869"/>
    <n v="0"/>
    <n v="0"/>
    <n v="0"/>
    <n v="0"/>
  </r>
  <r>
    <x v="62"/>
    <x v="62"/>
    <x v="15"/>
    <x v="15"/>
    <n v="22090987"/>
    <n v="0"/>
    <n v="0"/>
    <n v="0"/>
    <n v="0"/>
  </r>
  <r>
    <x v="63"/>
    <x v="63"/>
    <x v="15"/>
    <x v="15"/>
    <n v="160246713"/>
    <n v="0"/>
    <n v="0"/>
    <n v="0"/>
    <n v="0"/>
  </r>
  <r>
    <x v="64"/>
    <x v="64"/>
    <x v="15"/>
    <x v="15"/>
    <n v="770908850"/>
    <n v="0"/>
    <n v="0"/>
    <n v="0"/>
    <n v="0"/>
  </r>
  <r>
    <x v="0"/>
    <x v="0"/>
    <x v="16"/>
    <x v="16"/>
    <n v="300553587"/>
    <n v="14197819"/>
    <n v="183955"/>
    <n v="1860536"/>
    <n v="0"/>
  </r>
  <r>
    <x v="1"/>
    <x v="1"/>
    <x v="16"/>
    <x v="16"/>
    <n v="861722"/>
    <n v="36877"/>
    <n v="0"/>
    <n v="6725"/>
    <n v="24690"/>
  </r>
  <r>
    <x v="2"/>
    <x v="2"/>
    <x v="16"/>
    <x v="16"/>
    <n v="53738757"/>
    <n v="1361994"/>
    <n v="0"/>
    <n v="385044"/>
    <n v="0"/>
  </r>
  <r>
    <x v="3"/>
    <x v="3"/>
    <x v="16"/>
    <x v="16"/>
    <n v="942118"/>
    <n v="18891"/>
    <n v="13441"/>
    <n v="1354"/>
    <n v="899778"/>
  </r>
  <r>
    <x v="4"/>
    <x v="4"/>
    <x v="16"/>
    <x v="16"/>
    <n v="0"/>
    <n v="0"/>
    <n v="0"/>
    <n v="0"/>
    <n v="0"/>
  </r>
  <r>
    <x v="5"/>
    <x v="5"/>
    <x v="16"/>
    <x v="16"/>
    <n v="0"/>
    <n v="0"/>
    <n v="0"/>
    <n v="0"/>
    <n v="0"/>
  </r>
  <r>
    <x v="6"/>
    <x v="6"/>
    <x v="16"/>
    <x v="16"/>
    <n v="0"/>
    <n v="0"/>
    <n v="0"/>
    <n v="0"/>
    <n v="0"/>
  </r>
  <r>
    <x v="7"/>
    <x v="7"/>
    <x v="16"/>
    <x v="16"/>
    <n v="13343855"/>
    <n v="460172"/>
    <n v="0"/>
    <n v="109871"/>
    <n v="12308173"/>
  </r>
  <r>
    <x v="8"/>
    <x v="8"/>
    <x v="16"/>
    <x v="16"/>
    <n v="0"/>
    <n v="0"/>
    <n v="0"/>
    <n v="0"/>
    <n v="0"/>
  </r>
  <r>
    <x v="9"/>
    <x v="9"/>
    <x v="16"/>
    <x v="16"/>
    <n v="0"/>
    <n v="0"/>
    <n v="0"/>
    <n v="0"/>
    <n v="0"/>
  </r>
  <r>
    <x v="10"/>
    <x v="10"/>
    <x v="16"/>
    <x v="16"/>
    <n v="0"/>
    <n v="0"/>
    <n v="0"/>
    <n v="0"/>
    <n v="0"/>
  </r>
  <r>
    <x v="11"/>
    <x v="11"/>
    <x v="16"/>
    <x v="16"/>
    <n v="0"/>
    <n v="0"/>
    <n v="0"/>
    <n v="0"/>
    <n v="0"/>
  </r>
  <r>
    <x v="12"/>
    <x v="12"/>
    <x v="16"/>
    <x v="16"/>
    <n v="0"/>
    <n v="0"/>
    <n v="0"/>
    <n v="0"/>
    <n v="0"/>
  </r>
  <r>
    <x v="13"/>
    <x v="13"/>
    <x v="16"/>
    <x v="16"/>
    <n v="0"/>
    <n v="0"/>
    <n v="0"/>
    <n v="0"/>
    <n v="0"/>
  </r>
  <r>
    <x v="14"/>
    <x v="14"/>
    <x v="16"/>
    <x v="16"/>
    <n v="0"/>
    <n v="0"/>
    <n v="0"/>
    <n v="0"/>
    <n v="0"/>
  </r>
  <r>
    <x v="15"/>
    <x v="15"/>
    <x v="16"/>
    <x v="16"/>
    <n v="16017"/>
    <n v="506"/>
    <n v="947"/>
    <n v="200"/>
    <n v="0"/>
  </r>
  <r>
    <x v="16"/>
    <x v="16"/>
    <x v="16"/>
    <x v="16"/>
    <n v="15016052"/>
    <n v="619350"/>
    <n v="70337"/>
    <n v="138053"/>
    <n v="9161649"/>
  </r>
  <r>
    <x v="17"/>
    <x v="17"/>
    <x v="16"/>
    <x v="16"/>
    <n v="2972"/>
    <n v="80"/>
    <n v="25"/>
    <n v="36"/>
    <n v="0"/>
  </r>
  <r>
    <x v="18"/>
    <x v="18"/>
    <x v="16"/>
    <x v="16"/>
    <n v="212846"/>
    <n v="6760"/>
    <n v="6663"/>
    <n v="2369"/>
    <n v="0"/>
  </r>
  <r>
    <x v="19"/>
    <x v="19"/>
    <x v="16"/>
    <x v="16"/>
    <n v="0"/>
    <n v="0"/>
    <n v="0"/>
    <n v="0"/>
    <n v="0"/>
  </r>
  <r>
    <x v="20"/>
    <x v="20"/>
    <x v="16"/>
    <x v="16"/>
    <n v="0"/>
    <n v="0"/>
    <n v="0"/>
    <n v="0"/>
    <n v="0"/>
  </r>
  <r>
    <x v="21"/>
    <x v="21"/>
    <x v="16"/>
    <x v="16"/>
    <n v="0"/>
    <n v="0"/>
    <n v="0"/>
    <n v="0"/>
    <n v="0"/>
  </r>
  <r>
    <x v="22"/>
    <x v="22"/>
    <x v="16"/>
    <x v="16"/>
    <n v="1462"/>
    <n v="136"/>
    <n v="72"/>
    <n v="21"/>
    <n v="0"/>
  </r>
  <r>
    <x v="23"/>
    <x v="23"/>
    <x v="16"/>
    <x v="16"/>
    <n v="1161542"/>
    <n v="92205"/>
    <n v="50255"/>
    <n v="9892"/>
    <n v="154486"/>
  </r>
  <r>
    <x v="24"/>
    <x v="24"/>
    <x v="16"/>
    <x v="16"/>
    <n v="211958"/>
    <n v="6986"/>
    <n v="5740"/>
    <n v="1848"/>
    <n v="0"/>
  </r>
  <r>
    <x v="25"/>
    <x v="25"/>
    <x v="16"/>
    <x v="16"/>
    <n v="58"/>
    <n v="2"/>
    <n v="4"/>
    <n v="1"/>
    <n v="0"/>
  </r>
  <r>
    <x v="26"/>
    <x v="26"/>
    <x v="16"/>
    <x v="16"/>
    <n v="573746"/>
    <n v="19124"/>
    <n v="5948"/>
    <n v="9345"/>
    <n v="320083"/>
  </r>
  <r>
    <x v="27"/>
    <x v="27"/>
    <x v="16"/>
    <x v="16"/>
    <n v="0"/>
    <n v="0"/>
    <n v="0"/>
    <n v="0"/>
    <n v="0"/>
  </r>
  <r>
    <x v="28"/>
    <x v="28"/>
    <x v="16"/>
    <x v="16"/>
    <n v="53541"/>
    <n v="4747"/>
    <n v="7313"/>
    <n v="388"/>
    <n v="0"/>
  </r>
  <r>
    <x v="29"/>
    <x v="29"/>
    <x v="16"/>
    <x v="16"/>
    <n v="3071878"/>
    <n v="112717"/>
    <n v="100785"/>
    <n v="26648"/>
    <n v="598131"/>
  </r>
  <r>
    <x v="30"/>
    <x v="30"/>
    <x v="16"/>
    <x v="16"/>
    <n v="0"/>
    <n v="0"/>
    <n v="0"/>
    <n v="0"/>
    <n v="0"/>
  </r>
  <r>
    <x v="31"/>
    <x v="31"/>
    <x v="16"/>
    <x v="16"/>
    <n v="7333750"/>
    <n v="318114"/>
    <n v="479609"/>
    <n v="56468"/>
    <n v="3678296"/>
  </r>
  <r>
    <x v="32"/>
    <x v="32"/>
    <x v="16"/>
    <x v="16"/>
    <n v="0"/>
    <n v="0"/>
    <n v="0"/>
    <n v="0"/>
    <n v="0"/>
  </r>
  <r>
    <x v="33"/>
    <x v="33"/>
    <x v="16"/>
    <x v="16"/>
    <n v="0"/>
    <n v="0"/>
    <n v="0"/>
    <n v="0"/>
    <n v="0"/>
  </r>
  <r>
    <x v="34"/>
    <x v="34"/>
    <x v="16"/>
    <x v="16"/>
    <n v="0"/>
    <n v="0"/>
    <n v="0"/>
    <n v="0"/>
    <n v="0"/>
  </r>
  <r>
    <x v="35"/>
    <x v="35"/>
    <x v="16"/>
    <x v="16"/>
    <n v="0"/>
    <n v="0"/>
    <n v="0"/>
    <n v="0"/>
    <n v="0"/>
  </r>
  <r>
    <x v="36"/>
    <x v="36"/>
    <x v="16"/>
    <x v="16"/>
    <n v="50636"/>
    <n v="1065"/>
    <n v="2741"/>
    <n v="214"/>
    <n v="15208"/>
  </r>
  <r>
    <x v="37"/>
    <x v="37"/>
    <x v="16"/>
    <x v="16"/>
    <n v="1752637"/>
    <n v="125697"/>
    <n v="0"/>
    <n v="20867"/>
    <n v="115002"/>
  </r>
  <r>
    <x v="38"/>
    <x v="38"/>
    <x v="16"/>
    <x v="16"/>
    <n v="65461"/>
    <n v="3758"/>
    <n v="1131"/>
    <n v="641"/>
    <n v="0"/>
  </r>
  <r>
    <x v="39"/>
    <x v="39"/>
    <x v="16"/>
    <x v="16"/>
    <n v="305464"/>
    <n v="0"/>
    <n v="0"/>
    <n v="0"/>
    <n v="0"/>
  </r>
  <r>
    <x v="40"/>
    <x v="40"/>
    <x v="16"/>
    <x v="16"/>
    <n v="0"/>
    <n v="0"/>
    <n v="0"/>
    <n v="0"/>
    <n v="0"/>
  </r>
  <r>
    <x v="41"/>
    <x v="41"/>
    <x v="16"/>
    <x v="16"/>
    <n v="0"/>
    <n v="0"/>
    <n v="0"/>
    <n v="0"/>
    <n v="0"/>
  </r>
  <r>
    <x v="42"/>
    <x v="42"/>
    <x v="16"/>
    <x v="16"/>
    <n v="527"/>
    <n v="84"/>
    <n v="43"/>
    <n v="5"/>
    <n v="0"/>
  </r>
  <r>
    <x v="43"/>
    <x v="43"/>
    <x v="16"/>
    <x v="16"/>
    <n v="90103"/>
    <n v="5108"/>
    <n v="4931"/>
    <n v="696"/>
    <n v="0"/>
  </r>
  <r>
    <x v="44"/>
    <x v="44"/>
    <x v="16"/>
    <x v="16"/>
    <n v="11594641"/>
    <n v="3647"/>
    <n v="6288"/>
    <n v="700"/>
    <n v="0"/>
  </r>
  <r>
    <x v="45"/>
    <x v="45"/>
    <x v="16"/>
    <x v="16"/>
    <n v="61992"/>
    <n v="0"/>
    <n v="0"/>
    <n v="0"/>
    <n v="0"/>
  </r>
  <r>
    <x v="46"/>
    <x v="46"/>
    <x v="16"/>
    <x v="16"/>
    <n v="199855"/>
    <n v="0"/>
    <n v="0"/>
    <n v="0"/>
    <n v="0"/>
  </r>
  <r>
    <x v="47"/>
    <x v="47"/>
    <x v="16"/>
    <x v="16"/>
    <n v="0"/>
    <n v="0"/>
    <n v="0"/>
    <n v="0"/>
    <n v="0"/>
  </r>
  <r>
    <x v="48"/>
    <x v="48"/>
    <x v="16"/>
    <x v="16"/>
    <n v="0"/>
    <n v="-17395839"/>
    <n v="-940228"/>
    <n v="0"/>
    <n v="0"/>
  </r>
  <r>
    <x v="49"/>
    <x v="49"/>
    <x v="16"/>
    <x v="16"/>
    <n v="678422"/>
    <n v="0"/>
    <n v="0"/>
    <n v="0"/>
    <n v="0"/>
  </r>
  <r>
    <x v="50"/>
    <x v="50"/>
    <x v="16"/>
    <x v="16"/>
    <n v="2045017"/>
    <n v="0"/>
    <n v="0"/>
    <n v="-2631922"/>
    <n v="0"/>
  </r>
  <r>
    <x v="51"/>
    <x v="51"/>
    <x v="16"/>
    <x v="16"/>
    <n v="168067"/>
    <n v="0"/>
    <n v="0"/>
    <n v="0"/>
    <n v="0"/>
  </r>
  <r>
    <x v="52"/>
    <x v="52"/>
    <x v="16"/>
    <x v="16"/>
    <n v="6507222"/>
    <n v="0"/>
    <n v="0"/>
    <n v="0"/>
    <n v="0"/>
  </r>
  <r>
    <x v="53"/>
    <x v="53"/>
    <x v="16"/>
    <x v="16"/>
    <n v="69190"/>
    <n v="0"/>
    <n v="0"/>
    <n v="0"/>
    <n v="0"/>
  </r>
  <r>
    <x v="54"/>
    <x v="54"/>
    <x v="16"/>
    <x v="16"/>
    <n v="2121840"/>
    <n v="0"/>
    <n v="0"/>
    <n v="0"/>
    <n v="0"/>
  </r>
  <r>
    <x v="55"/>
    <x v="55"/>
    <x v="16"/>
    <x v="16"/>
    <n v="281313"/>
    <n v="0"/>
    <n v="0"/>
    <n v="0"/>
    <n v="0"/>
  </r>
  <r>
    <x v="56"/>
    <x v="56"/>
    <x v="16"/>
    <x v="16"/>
    <n v="127838"/>
    <n v="0"/>
    <n v="0"/>
    <n v="0"/>
    <n v="0"/>
  </r>
  <r>
    <x v="57"/>
    <x v="57"/>
    <x v="16"/>
    <x v="16"/>
    <n v="1926675"/>
    <n v="0"/>
    <n v="0"/>
    <n v="0"/>
    <n v="198451"/>
  </r>
  <r>
    <x v="58"/>
    <x v="58"/>
    <x v="16"/>
    <x v="16"/>
    <n v="425142761"/>
    <n v="0"/>
    <n v="0"/>
    <n v="0"/>
    <n v="27473947"/>
  </r>
  <r>
    <x v="59"/>
    <x v="59"/>
    <x v="16"/>
    <x v="16"/>
    <n v="27530408"/>
    <n v="0"/>
    <n v="0"/>
    <n v="0"/>
    <n v="0"/>
  </r>
  <r>
    <x v="60"/>
    <x v="60"/>
    <x v="16"/>
    <x v="16"/>
    <n v="42181828"/>
    <n v="0"/>
    <n v="0"/>
    <n v="0"/>
    <n v="0"/>
  </r>
  <r>
    <x v="61"/>
    <x v="61"/>
    <x v="16"/>
    <x v="16"/>
    <n v="18849197"/>
    <n v="0"/>
    <n v="0"/>
    <n v="0"/>
    <n v="0"/>
  </r>
  <r>
    <x v="62"/>
    <x v="62"/>
    <x v="16"/>
    <x v="16"/>
    <n v="13128977"/>
    <n v="0"/>
    <n v="0"/>
    <n v="0"/>
    <n v="0"/>
  </r>
  <r>
    <x v="63"/>
    <x v="63"/>
    <x v="16"/>
    <x v="16"/>
    <n v="101690410"/>
    <n v="0"/>
    <n v="0"/>
    <n v="0"/>
    <n v="0"/>
  </r>
  <r>
    <x v="64"/>
    <x v="64"/>
    <x v="16"/>
    <x v="16"/>
    <n v="526833171"/>
    <n v="0"/>
    <n v="0"/>
    <n v="0"/>
    <n v="0"/>
  </r>
  <r>
    <x v="0"/>
    <x v="0"/>
    <x v="17"/>
    <x v="17"/>
    <n v="0"/>
    <n v="0"/>
    <n v="0"/>
    <n v="0"/>
    <n v="0"/>
  </r>
  <r>
    <x v="1"/>
    <x v="1"/>
    <x v="17"/>
    <x v="17"/>
    <n v="0"/>
    <n v="0"/>
    <n v="0"/>
    <n v="0"/>
    <n v="0"/>
  </r>
  <r>
    <x v="2"/>
    <x v="2"/>
    <x v="17"/>
    <x v="17"/>
    <n v="0"/>
    <n v="0"/>
    <n v="0"/>
    <n v="0"/>
    <n v="0"/>
  </r>
  <r>
    <x v="3"/>
    <x v="3"/>
    <x v="17"/>
    <x v="17"/>
    <n v="0"/>
    <n v="0"/>
    <n v="0"/>
    <n v="0"/>
    <n v="0"/>
  </r>
  <r>
    <x v="4"/>
    <x v="4"/>
    <x v="17"/>
    <x v="17"/>
    <n v="0"/>
    <n v="0"/>
    <n v="0"/>
    <n v="0"/>
    <n v="0"/>
  </r>
  <r>
    <x v="5"/>
    <x v="5"/>
    <x v="17"/>
    <x v="17"/>
    <n v="68681060"/>
    <n v="3165066"/>
    <n v="0"/>
    <n v="2111349"/>
    <n v="0"/>
  </r>
  <r>
    <x v="6"/>
    <x v="6"/>
    <x v="17"/>
    <x v="17"/>
    <n v="0"/>
    <n v="0"/>
    <n v="0"/>
    <n v="0"/>
    <n v="0"/>
  </r>
  <r>
    <x v="7"/>
    <x v="7"/>
    <x v="17"/>
    <x v="17"/>
    <n v="255049"/>
    <n v="11320"/>
    <n v="4738"/>
    <n v="854"/>
    <n v="141373"/>
  </r>
  <r>
    <x v="8"/>
    <x v="8"/>
    <x v="17"/>
    <x v="17"/>
    <n v="0"/>
    <n v="0"/>
    <n v="0"/>
    <n v="0"/>
    <n v="0"/>
  </r>
  <r>
    <x v="9"/>
    <x v="9"/>
    <x v="17"/>
    <x v="17"/>
    <n v="15218"/>
    <n v="1114"/>
    <n v="889"/>
    <n v="186"/>
    <n v="0"/>
  </r>
  <r>
    <x v="10"/>
    <x v="10"/>
    <x v="17"/>
    <x v="17"/>
    <n v="0"/>
    <n v="0"/>
    <n v="0"/>
    <n v="0"/>
    <n v="0"/>
  </r>
  <r>
    <x v="11"/>
    <x v="11"/>
    <x v="17"/>
    <x v="17"/>
    <n v="0"/>
    <n v="0"/>
    <n v="0"/>
    <n v="0"/>
    <n v="0"/>
  </r>
  <r>
    <x v="12"/>
    <x v="12"/>
    <x v="17"/>
    <x v="17"/>
    <n v="0"/>
    <n v="0"/>
    <n v="0"/>
    <n v="0"/>
    <n v="0"/>
  </r>
  <r>
    <x v="13"/>
    <x v="13"/>
    <x v="17"/>
    <x v="17"/>
    <n v="0"/>
    <n v="0"/>
    <n v="0"/>
    <n v="0"/>
    <n v="0"/>
  </r>
  <r>
    <x v="14"/>
    <x v="14"/>
    <x v="17"/>
    <x v="17"/>
    <n v="0"/>
    <n v="0"/>
    <n v="0"/>
    <n v="0"/>
    <n v="0"/>
  </r>
  <r>
    <x v="15"/>
    <x v="15"/>
    <x v="17"/>
    <x v="17"/>
    <n v="0"/>
    <n v="0"/>
    <n v="0"/>
    <n v="0"/>
    <n v="0"/>
  </r>
  <r>
    <x v="16"/>
    <x v="16"/>
    <x v="17"/>
    <x v="17"/>
    <n v="729640"/>
    <n v="23209"/>
    <n v="59095"/>
    <n v="8523"/>
    <n v="3670"/>
  </r>
  <r>
    <x v="17"/>
    <x v="17"/>
    <x v="17"/>
    <x v="17"/>
    <n v="3015053"/>
    <n v="21903"/>
    <n v="40660"/>
    <n v="30005"/>
    <n v="170219"/>
  </r>
  <r>
    <x v="18"/>
    <x v="18"/>
    <x v="17"/>
    <x v="17"/>
    <n v="2153"/>
    <n v="59"/>
    <n v="67"/>
    <n v="28"/>
    <n v="0"/>
  </r>
  <r>
    <x v="19"/>
    <x v="19"/>
    <x v="17"/>
    <x v="17"/>
    <n v="0"/>
    <n v="0"/>
    <n v="0"/>
    <n v="0"/>
    <n v="0"/>
  </r>
  <r>
    <x v="20"/>
    <x v="20"/>
    <x v="17"/>
    <x v="17"/>
    <n v="0"/>
    <n v="0"/>
    <n v="0"/>
    <n v="0"/>
    <n v="0"/>
  </r>
  <r>
    <x v="21"/>
    <x v="21"/>
    <x v="17"/>
    <x v="17"/>
    <n v="0"/>
    <n v="0"/>
    <n v="0"/>
    <n v="0"/>
    <n v="0"/>
  </r>
  <r>
    <x v="22"/>
    <x v="22"/>
    <x v="17"/>
    <x v="17"/>
    <n v="3748"/>
    <n v="142"/>
    <n v="118"/>
    <n v="11"/>
    <n v="0"/>
  </r>
  <r>
    <x v="23"/>
    <x v="23"/>
    <x v="17"/>
    <x v="17"/>
    <n v="17921"/>
    <n v="2884"/>
    <n v="961"/>
    <n v="221"/>
    <n v="2110"/>
  </r>
  <r>
    <x v="24"/>
    <x v="24"/>
    <x v="17"/>
    <x v="17"/>
    <n v="13115"/>
    <n v="529"/>
    <n v="328"/>
    <n v="114"/>
    <n v="0"/>
  </r>
  <r>
    <x v="25"/>
    <x v="25"/>
    <x v="17"/>
    <x v="17"/>
    <n v="1993"/>
    <n v="275"/>
    <n v="341"/>
    <n v="24"/>
    <n v="0"/>
  </r>
  <r>
    <x v="26"/>
    <x v="26"/>
    <x v="17"/>
    <x v="17"/>
    <n v="1278158"/>
    <n v="91924"/>
    <n v="42547"/>
    <n v="24821"/>
    <n v="713467"/>
  </r>
  <r>
    <x v="27"/>
    <x v="27"/>
    <x v="17"/>
    <x v="17"/>
    <n v="0"/>
    <n v="0"/>
    <n v="0"/>
    <n v="0"/>
    <n v="0"/>
  </r>
  <r>
    <x v="28"/>
    <x v="28"/>
    <x v="17"/>
    <x v="17"/>
    <n v="29146"/>
    <n v="3222"/>
    <n v="4709"/>
    <n v="208"/>
    <n v="1251"/>
  </r>
  <r>
    <x v="29"/>
    <x v="29"/>
    <x v="17"/>
    <x v="17"/>
    <n v="1620993"/>
    <n v="78037"/>
    <n v="76218"/>
    <n v="14810"/>
    <n v="298659"/>
  </r>
  <r>
    <x v="30"/>
    <x v="30"/>
    <x v="17"/>
    <x v="17"/>
    <n v="0"/>
    <n v="0"/>
    <n v="0"/>
    <n v="0"/>
    <n v="0"/>
  </r>
  <r>
    <x v="31"/>
    <x v="31"/>
    <x v="17"/>
    <x v="17"/>
    <n v="2221250"/>
    <n v="48686"/>
    <n v="82399"/>
    <n v="15072"/>
    <n v="1082481"/>
  </r>
  <r>
    <x v="32"/>
    <x v="32"/>
    <x v="17"/>
    <x v="17"/>
    <n v="1093717"/>
    <n v="69966"/>
    <n v="37747"/>
    <n v="14083"/>
    <n v="0"/>
  </r>
  <r>
    <x v="33"/>
    <x v="33"/>
    <x v="17"/>
    <x v="17"/>
    <n v="11441"/>
    <n v="1639"/>
    <n v="1617"/>
    <n v="163"/>
    <n v="0"/>
  </r>
  <r>
    <x v="34"/>
    <x v="34"/>
    <x v="17"/>
    <x v="17"/>
    <n v="0"/>
    <n v="0"/>
    <n v="0"/>
    <n v="0"/>
    <n v="0"/>
  </r>
  <r>
    <x v="35"/>
    <x v="35"/>
    <x v="17"/>
    <x v="17"/>
    <n v="0"/>
    <n v="0"/>
    <n v="0"/>
    <n v="0"/>
    <n v="0"/>
  </r>
  <r>
    <x v="36"/>
    <x v="36"/>
    <x v="17"/>
    <x v="17"/>
    <n v="62514"/>
    <n v="706"/>
    <n v="1102"/>
    <n v="200"/>
    <n v="29196"/>
  </r>
  <r>
    <x v="37"/>
    <x v="37"/>
    <x v="17"/>
    <x v="17"/>
    <n v="2117395"/>
    <n v="134221"/>
    <n v="0"/>
    <n v="27560"/>
    <n v="100691"/>
  </r>
  <r>
    <x v="38"/>
    <x v="38"/>
    <x v="17"/>
    <x v="17"/>
    <n v="46303"/>
    <n v="1606"/>
    <n v="1804"/>
    <n v="408"/>
    <n v="0"/>
  </r>
  <r>
    <x v="39"/>
    <x v="39"/>
    <x v="17"/>
    <x v="17"/>
    <n v="247592"/>
    <n v="0"/>
    <n v="0"/>
    <n v="0"/>
    <n v="0"/>
  </r>
  <r>
    <x v="40"/>
    <x v="40"/>
    <x v="17"/>
    <x v="17"/>
    <n v="0"/>
    <n v="0"/>
    <n v="0"/>
    <n v="0"/>
    <n v="0"/>
  </r>
  <r>
    <x v="41"/>
    <x v="41"/>
    <x v="17"/>
    <x v="17"/>
    <n v="0"/>
    <n v="0"/>
    <n v="0"/>
    <n v="0"/>
    <n v="0"/>
  </r>
  <r>
    <x v="42"/>
    <x v="42"/>
    <x v="17"/>
    <x v="17"/>
    <n v="4929"/>
    <n v="497"/>
    <n v="539"/>
    <n v="39"/>
    <n v="0"/>
  </r>
  <r>
    <x v="43"/>
    <x v="43"/>
    <x v="17"/>
    <x v="17"/>
    <n v="37854"/>
    <n v="3372"/>
    <n v="2522"/>
    <n v="332"/>
    <n v="0"/>
  </r>
  <r>
    <x v="44"/>
    <x v="44"/>
    <x v="17"/>
    <x v="17"/>
    <n v="2367334"/>
    <n v="2673"/>
    <n v="8239"/>
    <n v="1570"/>
    <n v="0"/>
  </r>
  <r>
    <x v="45"/>
    <x v="45"/>
    <x v="17"/>
    <x v="17"/>
    <n v="71699"/>
    <n v="0"/>
    <n v="0"/>
    <n v="0"/>
    <n v="0"/>
  </r>
  <r>
    <x v="46"/>
    <x v="46"/>
    <x v="17"/>
    <x v="17"/>
    <n v="90784"/>
    <n v="0"/>
    <n v="0"/>
    <n v="0"/>
    <n v="0"/>
  </r>
  <r>
    <x v="47"/>
    <x v="47"/>
    <x v="17"/>
    <x v="17"/>
    <n v="0"/>
    <n v="0"/>
    <n v="0"/>
    <n v="0"/>
    <n v="0"/>
  </r>
  <r>
    <x v="48"/>
    <x v="48"/>
    <x v="17"/>
    <x v="17"/>
    <n v="0"/>
    <n v="-3663050"/>
    <n v="-366640"/>
    <n v="0"/>
    <n v="0"/>
  </r>
  <r>
    <x v="49"/>
    <x v="49"/>
    <x v="17"/>
    <x v="17"/>
    <n v="136976"/>
    <n v="0"/>
    <n v="0"/>
    <n v="0"/>
    <n v="0"/>
  </r>
  <r>
    <x v="50"/>
    <x v="50"/>
    <x v="17"/>
    <x v="17"/>
    <n v="642914"/>
    <n v="0"/>
    <n v="0"/>
    <n v="-2250581"/>
    <n v="0"/>
  </r>
  <r>
    <x v="51"/>
    <x v="51"/>
    <x v="17"/>
    <x v="17"/>
    <n v="91163"/>
    <n v="0"/>
    <n v="0"/>
    <n v="0"/>
    <n v="0"/>
  </r>
  <r>
    <x v="52"/>
    <x v="52"/>
    <x v="17"/>
    <x v="17"/>
    <n v="2572215"/>
    <n v="0"/>
    <n v="0"/>
    <n v="0"/>
    <n v="0"/>
  </r>
  <r>
    <x v="53"/>
    <x v="53"/>
    <x v="17"/>
    <x v="17"/>
    <n v="51158"/>
    <n v="0"/>
    <n v="0"/>
    <n v="0"/>
    <n v="0"/>
  </r>
  <r>
    <x v="54"/>
    <x v="54"/>
    <x v="17"/>
    <x v="17"/>
    <n v="4760792"/>
    <n v="0"/>
    <n v="0"/>
    <n v="0"/>
    <n v="0"/>
  </r>
  <r>
    <x v="55"/>
    <x v="55"/>
    <x v="17"/>
    <x v="17"/>
    <n v="153796"/>
    <n v="0"/>
    <n v="0"/>
    <n v="0"/>
    <n v="0"/>
  </r>
  <r>
    <x v="56"/>
    <x v="56"/>
    <x v="17"/>
    <x v="17"/>
    <n v="247264"/>
    <n v="0"/>
    <n v="0"/>
    <n v="0"/>
    <n v="0"/>
  </r>
  <r>
    <x v="57"/>
    <x v="57"/>
    <x v="17"/>
    <x v="17"/>
    <n v="119857"/>
    <n v="0"/>
    <n v="0"/>
    <n v="0"/>
    <n v="13098"/>
  </r>
  <r>
    <x v="58"/>
    <x v="58"/>
    <x v="17"/>
    <x v="17"/>
    <n v="92812194"/>
    <n v="0"/>
    <n v="0"/>
    <n v="0"/>
    <n v="2556215"/>
  </r>
  <r>
    <x v="59"/>
    <x v="59"/>
    <x v="17"/>
    <x v="17"/>
    <n v="16567714"/>
    <n v="0"/>
    <n v="0"/>
    <n v="0"/>
    <n v="0"/>
  </r>
  <r>
    <x v="60"/>
    <x v="60"/>
    <x v="17"/>
    <x v="17"/>
    <n v="26116643"/>
    <n v="0"/>
    <n v="0"/>
    <n v="0"/>
    <n v="0"/>
  </r>
  <r>
    <x v="61"/>
    <x v="61"/>
    <x v="17"/>
    <x v="17"/>
    <n v="16007977"/>
    <n v="0"/>
    <n v="0"/>
    <n v="0"/>
    <n v="0"/>
  </r>
  <r>
    <x v="62"/>
    <x v="62"/>
    <x v="17"/>
    <x v="17"/>
    <n v="-1373182"/>
    <n v="0"/>
    <n v="0"/>
    <n v="0"/>
    <n v="0"/>
  </r>
  <r>
    <x v="63"/>
    <x v="63"/>
    <x v="17"/>
    <x v="17"/>
    <n v="57319152"/>
    <n v="0"/>
    <n v="0"/>
    <n v="0"/>
    <n v="0"/>
  </r>
  <r>
    <x v="64"/>
    <x v="64"/>
    <x v="17"/>
    <x v="17"/>
    <n v="150131346"/>
    <n v="0"/>
    <n v="0"/>
    <n v="0"/>
    <n v="0"/>
  </r>
  <r>
    <x v="0"/>
    <x v="0"/>
    <x v="18"/>
    <x v="18"/>
    <n v="0"/>
    <n v="0"/>
    <n v="0"/>
    <n v="0"/>
    <n v="0"/>
  </r>
  <r>
    <x v="1"/>
    <x v="1"/>
    <x v="18"/>
    <x v="18"/>
    <n v="38007"/>
    <n v="1292"/>
    <n v="0"/>
    <n v="239"/>
    <n v="23262"/>
  </r>
  <r>
    <x v="2"/>
    <x v="2"/>
    <x v="18"/>
    <x v="18"/>
    <n v="817601"/>
    <n v="13273"/>
    <n v="23306"/>
    <n v="4582"/>
    <n v="0"/>
  </r>
  <r>
    <x v="3"/>
    <x v="3"/>
    <x v="18"/>
    <x v="18"/>
    <n v="12346452"/>
    <n v="307623"/>
    <n v="330995"/>
    <n v="18401"/>
    <n v="11439645"/>
  </r>
  <r>
    <x v="4"/>
    <x v="4"/>
    <x v="18"/>
    <x v="18"/>
    <n v="8583443"/>
    <n v="253579"/>
    <n v="647406"/>
    <n v="138696"/>
    <n v="772888"/>
  </r>
  <r>
    <x v="5"/>
    <x v="5"/>
    <x v="18"/>
    <x v="18"/>
    <n v="0"/>
    <n v="0"/>
    <n v="0"/>
    <n v="0"/>
    <n v="0"/>
  </r>
  <r>
    <x v="6"/>
    <x v="6"/>
    <x v="18"/>
    <x v="18"/>
    <n v="0"/>
    <n v="0"/>
    <n v="0"/>
    <n v="0"/>
    <n v="0"/>
  </r>
  <r>
    <x v="7"/>
    <x v="7"/>
    <x v="18"/>
    <x v="18"/>
    <n v="8856829"/>
    <n v="540993"/>
    <n v="171901"/>
    <n v="33804"/>
    <n v="6294679"/>
  </r>
  <r>
    <x v="8"/>
    <x v="8"/>
    <x v="18"/>
    <x v="18"/>
    <n v="4161915"/>
    <n v="71977"/>
    <n v="234125"/>
    <n v="27795"/>
    <n v="0"/>
  </r>
  <r>
    <x v="9"/>
    <x v="9"/>
    <x v="18"/>
    <x v="18"/>
    <n v="845776"/>
    <n v="58488"/>
    <n v="16773"/>
    <n v="19367"/>
    <n v="530317"/>
  </r>
  <r>
    <x v="10"/>
    <x v="10"/>
    <x v="18"/>
    <x v="18"/>
    <n v="3173024"/>
    <n v="222932"/>
    <n v="202513"/>
    <n v="54195"/>
    <n v="1450685"/>
  </r>
  <r>
    <x v="11"/>
    <x v="11"/>
    <x v="18"/>
    <x v="18"/>
    <n v="0"/>
    <n v="0"/>
    <n v="0"/>
    <n v="0"/>
    <n v="0"/>
  </r>
  <r>
    <x v="12"/>
    <x v="12"/>
    <x v="18"/>
    <x v="18"/>
    <n v="0"/>
    <n v="0"/>
    <n v="0"/>
    <n v="0"/>
    <n v="0"/>
  </r>
  <r>
    <x v="13"/>
    <x v="13"/>
    <x v="18"/>
    <x v="18"/>
    <n v="3053874"/>
    <n v="301136"/>
    <n v="268412"/>
    <n v="85028"/>
    <n v="4649"/>
  </r>
  <r>
    <x v="14"/>
    <x v="14"/>
    <x v="18"/>
    <x v="18"/>
    <n v="2124956"/>
    <n v="7821"/>
    <n v="13833"/>
    <n v="5823"/>
    <n v="0"/>
  </r>
  <r>
    <x v="15"/>
    <x v="15"/>
    <x v="18"/>
    <x v="18"/>
    <n v="26368470"/>
    <n v="623671"/>
    <n v="826443"/>
    <n v="261096"/>
    <n v="9337623"/>
  </r>
  <r>
    <x v="16"/>
    <x v="16"/>
    <x v="18"/>
    <x v="18"/>
    <n v="42939182"/>
    <n v="2000440"/>
    <n v="2297273"/>
    <n v="674882"/>
    <n v="16644228"/>
  </r>
  <r>
    <x v="17"/>
    <x v="17"/>
    <x v="18"/>
    <x v="18"/>
    <n v="17794107"/>
    <n v="423137"/>
    <n v="697002"/>
    <n v="239062"/>
    <n v="1031203"/>
  </r>
  <r>
    <x v="18"/>
    <x v="18"/>
    <x v="18"/>
    <x v="18"/>
    <n v="23474023"/>
    <n v="333231"/>
    <n v="872775"/>
    <n v="267791"/>
    <n v="8205896"/>
  </r>
  <r>
    <x v="19"/>
    <x v="19"/>
    <x v="18"/>
    <x v="18"/>
    <n v="0"/>
    <n v="0"/>
    <n v="0"/>
    <n v="0"/>
    <n v="0"/>
  </r>
  <r>
    <x v="20"/>
    <x v="20"/>
    <x v="18"/>
    <x v="18"/>
    <n v="0"/>
    <n v="0"/>
    <n v="0"/>
    <n v="0"/>
    <n v="0"/>
  </r>
  <r>
    <x v="21"/>
    <x v="21"/>
    <x v="18"/>
    <x v="18"/>
    <n v="0"/>
    <n v="0"/>
    <n v="0"/>
    <n v="0"/>
    <n v="0"/>
  </r>
  <r>
    <x v="22"/>
    <x v="22"/>
    <x v="18"/>
    <x v="18"/>
    <n v="0"/>
    <n v="0"/>
    <n v="0"/>
    <n v="0"/>
    <n v="0"/>
  </r>
  <r>
    <x v="23"/>
    <x v="23"/>
    <x v="18"/>
    <x v="18"/>
    <n v="2527"/>
    <n v="58"/>
    <n v="14"/>
    <n v="8"/>
    <n v="0"/>
  </r>
  <r>
    <x v="24"/>
    <x v="24"/>
    <x v="18"/>
    <x v="18"/>
    <n v="1735269"/>
    <n v="69725"/>
    <n v="80998"/>
    <n v="18001"/>
    <n v="92896"/>
  </r>
  <r>
    <x v="25"/>
    <x v="25"/>
    <x v="18"/>
    <x v="18"/>
    <n v="2679"/>
    <n v="222"/>
    <n v="427"/>
    <n v="33"/>
    <n v="0"/>
  </r>
  <r>
    <x v="26"/>
    <x v="26"/>
    <x v="18"/>
    <x v="18"/>
    <n v="5898117"/>
    <n v="758798"/>
    <n v="420487"/>
    <n v="143284"/>
    <n v="3379910"/>
  </r>
  <r>
    <x v="27"/>
    <x v="27"/>
    <x v="18"/>
    <x v="18"/>
    <n v="8343"/>
    <n v="180"/>
    <n v="95"/>
    <n v="359"/>
    <n v="0"/>
  </r>
  <r>
    <x v="28"/>
    <x v="28"/>
    <x v="18"/>
    <x v="18"/>
    <n v="1614942"/>
    <n v="160955"/>
    <n v="194693"/>
    <n v="18359"/>
    <n v="736840"/>
  </r>
  <r>
    <x v="29"/>
    <x v="29"/>
    <x v="18"/>
    <x v="18"/>
    <n v="5151945"/>
    <n v="287393"/>
    <n v="323841"/>
    <n v="47745"/>
    <n v="964486"/>
  </r>
  <r>
    <x v="30"/>
    <x v="30"/>
    <x v="18"/>
    <x v="18"/>
    <n v="217"/>
    <n v="17"/>
    <n v="36"/>
    <n v="6"/>
    <n v="0"/>
  </r>
  <r>
    <x v="31"/>
    <x v="31"/>
    <x v="18"/>
    <x v="18"/>
    <n v="8297600"/>
    <n v="347923"/>
    <n v="609036"/>
    <n v="68430"/>
    <n v="3614171"/>
  </r>
  <r>
    <x v="32"/>
    <x v="32"/>
    <x v="18"/>
    <x v="18"/>
    <n v="0"/>
    <n v="0"/>
    <n v="0"/>
    <n v="0"/>
    <n v="0"/>
  </r>
  <r>
    <x v="33"/>
    <x v="33"/>
    <x v="18"/>
    <x v="18"/>
    <n v="1191317"/>
    <n v="94755"/>
    <n v="119919"/>
    <n v="13306"/>
    <n v="0"/>
  </r>
  <r>
    <x v="34"/>
    <x v="34"/>
    <x v="18"/>
    <x v="18"/>
    <n v="0"/>
    <n v="0"/>
    <n v="0"/>
    <n v="0"/>
    <n v="0"/>
  </r>
  <r>
    <x v="35"/>
    <x v="35"/>
    <x v="18"/>
    <x v="18"/>
    <n v="0"/>
    <n v="0"/>
    <n v="0"/>
    <n v="0"/>
    <n v="0"/>
  </r>
  <r>
    <x v="36"/>
    <x v="36"/>
    <x v="18"/>
    <x v="18"/>
    <n v="776569"/>
    <n v="11410"/>
    <n v="23149"/>
    <n v="1620"/>
    <n v="571078"/>
  </r>
  <r>
    <x v="37"/>
    <x v="37"/>
    <x v="18"/>
    <x v="18"/>
    <n v="2390661"/>
    <n v="193583"/>
    <n v="0"/>
    <n v="32471"/>
    <n v="96927"/>
  </r>
  <r>
    <x v="38"/>
    <x v="38"/>
    <x v="18"/>
    <x v="18"/>
    <n v="384036"/>
    <n v="23559"/>
    <n v="5195"/>
    <n v="3387"/>
    <n v="0"/>
  </r>
  <r>
    <x v="39"/>
    <x v="39"/>
    <x v="18"/>
    <x v="18"/>
    <n v="765803"/>
    <n v="0"/>
    <n v="0"/>
    <n v="0"/>
    <n v="0"/>
  </r>
  <r>
    <x v="40"/>
    <x v="40"/>
    <x v="18"/>
    <x v="18"/>
    <n v="0"/>
    <n v="0"/>
    <n v="0"/>
    <n v="0"/>
    <n v="0"/>
  </r>
  <r>
    <x v="41"/>
    <x v="41"/>
    <x v="18"/>
    <x v="18"/>
    <n v="0"/>
    <n v="0"/>
    <n v="0"/>
    <n v="0"/>
    <n v="0"/>
  </r>
  <r>
    <x v="42"/>
    <x v="42"/>
    <x v="18"/>
    <x v="18"/>
    <n v="64520"/>
    <n v="5924"/>
    <n v="5812"/>
    <n v="591"/>
    <n v="0"/>
  </r>
  <r>
    <x v="43"/>
    <x v="43"/>
    <x v="18"/>
    <x v="18"/>
    <n v="278994"/>
    <n v="19727"/>
    <n v="18888"/>
    <n v="2901"/>
    <n v="0"/>
  </r>
  <r>
    <x v="44"/>
    <x v="44"/>
    <x v="18"/>
    <x v="18"/>
    <n v="15216086"/>
    <n v="13736"/>
    <n v="34818"/>
    <n v="5706"/>
    <n v="0"/>
  </r>
  <r>
    <x v="45"/>
    <x v="45"/>
    <x v="18"/>
    <x v="18"/>
    <n v="1500502"/>
    <n v="0"/>
    <n v="0"/>
    <n v="0"/>
    <n v="0"/>
  </r>
  <r>
    <x v="46"/>
    <x v="46"/>
    <x v="18"/>
    <x v="18"/>
    <n v="191347"/>
    <n v="0"/>
    <n v="0"/>
    <n v="0"/>
    <n v="0"/>
  </r>
  <r>
    <x v="47"/>
    <x v="47"/>
    <x v="18"/>
    <x v="18"/>
    <n v="0"/>
    <n v="0"/>
    <n v="0"/>
    <n v="0"/>
    <n v="0"/>
  </r>
  <r>
    <x v="48"/>
    <x v="48"/>
    <x v="18"/>
    <x v="18"/>
    <n v="0"/>
    <n v="-7147558"/>
    <n v="-8440165"/>
    <n v="0"/>
    <n v="0"/>
  </r>
  <r>
    <x v="49"/>
    <x v="49"/>
    <x v="18"/>
    <x v="18"/>
    <n v="677928"/>
    <n v="0"/>
    <n v="0"/>
    <n v="0"/>
    <n v="0"/>
  </r>
  <r>
    <x v="50"/>
    <x v="50"/>
    <x v="18"/>
    <x v="18"/>
    <n v="1228318"/>
    <n v="0"/>
    <n v="0"/>
    <n v="-2186968"/>
    <n v="0"/>
  </r>
  <r>
    <x v="51"/>
    <x v="51"/>
    <x v="18"/>
    <x v="18"/>
    <n v="437762"/>
    <n v="0"/>
    <n v="0"/>
    <n v="0"/>
    <n v="0"/>
  </r>
  <r>
    <x v="52"/>
    <x v="52"/>
    <x v="18"/>
    <x v="18"/>
    <n v="2436948"/>
    <n v="0"/>
    <n v="0"/>
    <n v="0"/>
    <n v="0"/>
  </r>
  <r>
    <x v="53"/>
    <x v="53"/>
    <x v="18"/>
    <x v="18"/>
    <n v="342969"/>
    <n v="0"/>
    <n v="0"/>
    <n v="0"/>
    <n v="0"/>
  </r>
  <r>
    <x v="54"/>
    <x v="54"/>
    <x v="18"/>
    <x v="18"/>
    <n v="7615910"/>
    <n v="0"/>
    <n v="0"/>
    <n v="0"/>
    <n v="0"/>
  </r>
  <r>
    <x v="55"/>
    <x v="55"/>
    <x v="18"/>
    <x v="18"/>
    <n v="265772"/>
    <n v="0"/>
    <n v="0"/>
    <n v="0"/>
    <n v="0"/>
  </r>
  <r>
    <x v="56"/>
    <x v="56"/>
    <x v="18"/>
    <x v="18"/>
    <n v="208565"/>
    <n v="0"/>
    <n v="0"/>
    <n v="0"/>
    <n v="0"/>
  </r>
  <r>
    <x v="57"/>
    <x v="57"/>
    <x v="18"/>
    <x v="18"/>
    <n v="865684"/>
    <n v="0"/>
    <n v="0"/>
    <n v="0"/>
    <n v="93769"/>
  </r>
  <r>
    <x v="58"/>
    <x v="58"/>
    <x v="18"/>
    <x v="18"/>
    <n v="214128989"/>
    <n v="0"/>
    <n v="0"/>
    <n v="0"/>
    <n v="65285152"/>
  </r>
  <r>
    <x v="59"/>
    <x v="59"/>
    <x v="18"/>
    <x v="18"/>
    <n v="25110263"/>
    <n v="0"/>
    <n v="0"/>
    <n v="0"/>
    <n v="0"/>
  </r>
  <r>
    <x v="60"/>
    <x v="60"/>
    <x v="18"/>
    <x v="18"/>
    <n v="41579323"/>
    <n v="0"/>
    <n v="0"/>
    <n v="0"/>
    <n v="0"/>
  </r>
  <r>
    <x v="61"/>
    <x v="61"/>
    <x v="18"/>
    <x v="18"/>
    <n v="16841816"/>
    <n v="0"/>
    <n v="0"/>
    <n v="0"/>
    <n v="0"/>
  </r>
  <r>
    <x v="62"/>
    <x v="62"/>
    <x v="18"/>
    <x v="18"/>
    <n v="6513021"/>
    <n v="0"/>
    <n v="0"/>
    <n v="0"/>
    <n v="0"/>
  </r>
  <r>
    <x v="63"/>
    <x v="63"/>
    <x v="18"/>
    <x v="18"/>
    <n v="90044423"/>
    <n v="0"/>
    <n v="0"/>
    <n v="0"/>
    <n v="0"/>
  </r>
  <r>
    <x v="64"/>
    <x v="64"/>
    <x v="18"/>
    <x v="18"/>
    <n v="304173412"/>
    <n v="0"/>
    <n v="0"/>
    <n v="0"/>
    <n v="0"/>
  </r>
  <r>
    <x v="0"/>
    <x v="0"/>
    <x v="19"/>
    <x v="19"/>
    <n v="3103"/>
    <n v="122"/>
    <n v="0"/>
    <n v="21"/>
    <n v="0"/>
  </r>
  <r>
    <x v="1"/>
    <x v="1"/>
    <x v="19"/>
    <x v="19"/>
    <n v="15692851"/>
    <n v="476124"/>
    <n v="0"/>
    <n v="140406"/>
    <n v="13230981"/>
  </r>
  <r>
    <x v="2"/>
    <x v="2"/>
    <x v="19"/>
    <x v="19"/>
    <n v="609291"/>
    <n v="15642"/>
    <n v="0"/>
    <n v="3854"/>
    <n v="0"/>
  </r>
  <r>
    <x v="3"/>
    <x v="3"/>
    <x v="19"/>
    <x v="19"/>
    <n v="1388919"/>
    <n v="37515"/>
    <n v="34573"/>
    <n v="2203"/>
    <n v="1127672"/>
  </r>
  <r>
    <x v="4"/>
    <x v="4"/>
    <x v="19"/>
    <x v="19"/>
    <n v="534552"/>
    <n v="67045"/>
    <n v="86223"/>
    <n v="12488"/>
    <n v="0"/>
  </r>
  <r>
    <x v="5"/>
    <x v="5"/>
    <x v="19"/>
    <x v="19"/>
    <n v="0"/>
    <n v="0"/>
    <n v="0"/>
    <n v="0"/>
    <n v="0"/>
  </r>
  <r>
    <x v="6"/>
    <x v="6"/>
    <x v="19"/>
    <x v="19"/>
    <n v="0"/>
    <n v="0"/>
    <n v="0"/>
    <n v="0"/>
    <n v="0"/>
  </r>
  <r>
    <x v="7"/>
    <x v="7"/>
    <x v="19"/>
    <x v="19"/>
    <n v="255989"/>
    <n v="11769"/>
    <n v="15903"/>
    <n v="2527"/>
    <n v="126282"/>
  </r>
  <r>
    <x v="8"/>
    <x v="8"/>
    <x v="19"/>
    <x v="19"/>
    <n v="0"/>
    <n v="0"/>
    <n v="0"/>
    <n v="0"/>
    <n v="0"/>
  </r>
  <r>
    <x v="9"/>
    <x v="9"/>
    <x v="19"/>
    <x v="19"/>
    <n v="23963"/>
    <n v="1324"/>
    <n v="0"/>
    <n v="241"/>
    <n v="0"/>
  </r>
  <r>
    <x v="10"/>
    <x v="10"/>
    <x v="19"/>
    <x v="19"/>
    <n v="2091654"/>
    <n v="182678"/>
    <n v="175739"/>
    <n v="41848"/>
    <n v="0"/>
  </r>
  <r>
    <x v="11"/>
    <x v="11"/>
    <x v="19"/>
    <x v="19"/>
    <n v="0"/>
    <n v="0"/>
    <n v="0"/>
    <n v="0"/>
    <n v="0"/>
  </r>
  <r>
    <x v="12"/>
    <x v="12"/>
    <x v="19"/>
    <x v="19"/>
    <n v="0"/>
    <n v="0"/>
    <n v="0"/>
    <n v="0"/>
    <n v="0"/>
  </r>
  <r>
    <x v="13"/>
    <x v="13"/>
    <x v="19"/>
    <x v="19"/>
    <n v="58554"/>
    <n v="5533"/>
    <n v="4137"/>
    <n v="1282"/>
    <n v="0"/>
  </r>
  <r>
    <x v="14"/>
    <x v="14"/>
    <x v="19"/>
    <x v="19"/>
    <n v="575708"/>
    <n v="2047"/>
    <n v="3869"/>
    <n v="1858"/>
    <n v="68381"/>
  </r>
  <r>
    <x v="15"/>
    <x v="15"/>
    <x v="19"/>
    <x v="19"/>
    <n v="20565241"/>
    <n v="315220"/>
    <n v="221120"/>
    <n v="149837"/>
    <n v="18771473"/>
  </r>
  <r>
    <x v="16"/>
    <x v="16"/>
    <x v="19"/>
    <x v="19"/>
    <n v="5871071"/>
    <n v="226316"/>
    <n v="248480"/>
    <n v="104605"/>
    <n v="2330251"/>
  </r>
  <r>
    <x v="17"/>
    <x v="17"/>
    <x v="19"/>
    <x v="19"/>
    <n v="100558"/>
    <n v="850"/>
    <n v="1297"/>
    <n v="1111"/>
    <n v="56649"/>
  </r>
  <r>
    <x v="18"/>
    <x v="18"/>
    <x v="19"/>
    <x v="19"/>
    <n v="65394"/>
    <n v="286"/>
    <n v="2048"/>
    <n v="668"/>
    <n v="0"/>
  </r>
  <r>
    <x v="19"/>
    <x v="19"/>
    <x v="19"/>
    <x v="19"/>
    <n v="2319341"/>
    <n v="171207"/>
    <n v="201896"/>
    <n v="24436"/>
    <n v="1558831"/>
  </r>
  <r>
    <x v="20"/>
    <x v="20"/>
    <x v="19"/>
    <x v="19"/>
    <n v="0"/>
    <n v="0"/>
    <n v="0"/>
    <n v="0"/>
    <n v="0"/>
  </r>
  <r>
    <x v="21"/>
    <x v="21"/>
    <x v="19"/>
    <x v="19"/>
    <n v="0"/>
    <n v="0"/>
    <n v="0"/>
    <n v="0"/>
    <n v="0"/>
  </r>
  <r>
    <x v="22"/>
    <x v="22"/>
    <x v="19"/>
    <x v="19"/>
    <n v="0"/>
    <n v="0"/>
    <n v="0"/>
    <n v="0"/>
    <n v="0"/>
  </r>
  <r>
    <x v="23"/>
    <x v="23"/>
    <x v="19"/>
    <x v="19"/>
    <n v="0"/>
    <n v="0"/>
    <n v="0"/>
    <n v="0"/>
    <n v="0"/>
  </r>
  <r>
    <x v="24"/>
    <x v="24"/>
    <x v="19"/>
    <x v="19"/>
    <n v="43244"/>
    <n v="7616"/>
    <n v="3679"/>
    <n v="729"/>
    <n v="0"/>
  </r>
  <r>
    <x v="25"/>
    <x v="25"/>
    <x v="19"/>
    <x v="19"/>
    <n v="869"/>
    <n v="112"/>
    <n v="163"/>
    <n v="9"/>
    <n v="0"/>
  </r>
  <r>
    <x v="26"/>
    <x v="26"/>
    <x v="19"/>
    <x v="19"/>
    <n v="646046"/>
    <n v="77022"/>
    <n v="65970"/>
    <n v="15682"/>
    <n v="420383"/>
  </r>
  <r>
    <x v="27"/>
    <x v="27"/>
    <x v="19"/>
    <x v="19"/>
    <n v="0"/>
    <n v="0"/>
    <n v="0"/>
    <n v="0"/>
    <n v="0"/>
  </r>
  <r>
    <x v="28"/>
    <x v="28"/>
    <x v="19"/>
    <x v="19"/>
    <n v="2915631"/>
    <n v="228378"/>
    <n v="395922"/>
    <n v="22679"/>
    <n v="6988"/>
  </r>
  <r>
    <x v="29"/>
    <x v="29"/>
    <x v="19"/>
    <x v="19"/>
    <n v="268424"/>
    <n v="12427"/>
    <n v="11978"/>
    <n v="2518"/>
    <n v="46416"/>
  </r>
  <r>
    <x v="30"/>
    <x v="30"/>
    <x v="19"/>
    <x v="19"/>
    <n v="0"/>
    <n v="0"/>
    <n v="0"/>
    <n v="0"/>
    <n v="0"/>
  </r>
  <r>
    <x v="31"/>
    <x v="31"/>
    <x v="19"/>
    <x v="19"/>
    <n v="1209418"/>
    <n v="32725"/>
    <n v="75242"/>
    <n v="8429"/>
    <n v="491174"/>
  </r>
  <r>
    <x v="32"/>
    <x v="32"/>
    <x v="19"/>
    <x v="19"/>
    <n v="0"/>
    <n v="0"/>
    <n v="0"/>
    <n v="0"/>
    <n v="0"/>
  </r>
  <r>
    <x v="33"/>
    <x v="33"/>
    <x v="19"/>
    <x v="19"/>
    <n v="0"/>
    <n v="0"/>
    <n v="0"/>
    <n v="0"/>
    <n v="0"/>
  </r>
  <r>
    <x v="34"/>
    <x v="34"/>
    <x v="19"/>
    <x v="19"/>
    <n v="0"/>
    <n v="0"/>
    <n v="0"/>
    <n v="0"/>
    <n v="0"/>
  </r>
  <r>
    <x v="35"/>
    <x v="35"/>
    <x v="19"/>
    <x v="19"/>
    <n v="0"/>
    <n v="0"/>
    <n v="0"/>
    <n v="0"/>
    <n v="0"/>
  </r>
  <r>
    <x v="36"/>
    <x v="36"/>
    <x v="19"/>
    <x v="19"/>
    <n v="0"/>
    <n v="0"/>
    <n v="0"/>
    <n v="0"/>
    <n v="0"/>
  </r>
  <r>
    <x v="37"/>
    <x v="37"/>
    <x v="19"/>
    <x v="19"/>
    <n v="329081"/>
    <n v="16932"/>
    <n v="0"/>
    <n v="4503"/>
    <n v="25571"/>
  </r>
  <r>
    <x v="38"/>
    <x v="38"/>
    <x v="19"/>
    <x v="19"/>
    <n v="25330"/>
    <n v="1412"/>
    <n v="0"/>
    <n v="207"/>
    <n v="0"/>
  </r>
  <r>
    <x v="39"/>
    <x v="39"/>
    <x v="19"/>
    <x v="19"/>
    <n v="85323"/>
    <n v="0"/>
    <n v="0"/>
    <n v="0"/>
    <n v="0"/>
  </r>
  <r>
    <x v="40"/>
    <x v="40"/>
    <x v="19"/>
    <x v="19"/>
    <n v="0"/>
    <n v="0"/>
    <n v="0"/>
    <n v="0"/>
    <n v="0"/>
  </r>
  <r>
    <x v="41"/>
    <x v="41"/>
    <x v="19"/>
    <x v="19"/>
    <n v="0"/>
    <n v="0"/>
    <n v="0"/>
    <n v="0"/>
    <n v="0"/>
  </r>
  <r>
    <x v="42"/>
    <x v="42"/>
    <x v="19"/>
    <x v="19"/>
    <n v="0"/>
    <n v="0"/>
    <n v="0"/>
    <n v="0"/>
    <n v="0"/>
  </r>
  <r>
    <x v="43"/>
    <x v="43"/>
    <x v="19"/>
    <x v="19"/>
    <n v="12998"/>
    <n v="586"/>
    <n v="1155"/>
    <n v="114"/>
    <n v="0"/>
  </r>
  <r>
    <x v="44"/>
    <x v="44"/>
    <x v="19"/>
    <x v="19"/>
    <n v="1346367"/>
    <n v="1082"/>
    <n v="2431"/>
    <n v="596"/>
    <n v="0"/>
  </r>
  <r>
    <x v="45"/>
    <x v="45"/>
    <x v="19"/>
    <x v="19"/>
    <n v="17019"/>
    <n v="0"/>
    <n v="0"/>
    <n v="0"/>
    <n v="0"/>
  </r>
  <r>
    <x v="46"/>
    <x v="46"/>
    <x v="19"/>
    <x v="19"/>
    <n v="32709"/>
    <n v="0"/>
    <n v="0"/>
    <n v="0"/>
    <n v="0"/>
  </r>
  <r>
    <x v="47"/>
    <x v="47"/>
    <x v="19"/>
    <x v="19"/>
    <n v="0"/>
    <n v="0"/>
    <n v="0"/>
    <n v="0"/>
    <n v="0"/>
  </r>
  <r>
    <x v="48"/>
    <x v="48"/>
    <x v="19"/>
    <x v="19"/>
    <n v="0"/>
    <n v="-1891970"/>
    <n v="-1551825"/>
    <n v="0"/>
    <n v="0"/>
  </r>
  <r>
    <x v="49"/>
    <x v="49"/>
    <x v="19"/>
    <x v="19"/>
    <n v="37447"/>
    <n v="0"/>
    <n v="0"/>
    <n v="0"/>
    <n v="0"/>
  </r>
  <r>
    <x v="50"/>
    <x v="50"/>
    <x v="19"/>
    <x v="19"/>
    <n v="55286"/>
    <n v="0"/>
    <n v="0"/>
    <n v="-542851"/>
    <n v="0"/>
  </r>
  <r>
    <x v="51"/>
    <x v="51"/>
    <x v="19"/>
    <x v="19"/>
    <n v="65247"/>
    <n v="0"/>
    <n v="0"/>
    <n v="0"/>
    <n v="0"/>
  </r>
  <r>
    <x v="52"/>
    <x v="52"/>
    <x v="19"/>
    <x v="19"/>
    <n v="363017"/>
    <n v="0"/>
    <n v="0"/>
    <n v="0"/>
    <n v="0"/>
  </r>
  <r>
    <x v="53"/>
    <x v="53"/>
    <x v="19"/>
    <x v="19"/>
    <n v="15877"/>
    <n v="0"/>
    <n v="0"/>
    <n v="0"/>
    <n v="0"/>
  </r>
  <r>
    <x v="54"/>
    <x v="54"/>
    <x v="19"/>
    <x v="19"/>
    <n v="1107626"/>
    <n v="0"/>
    <n v="0"/>
    <n v="0"/>
    <n v="0"/>
  </r>
  <r>
    <x v="55"/>
    <x v="55"/>
    <x v="19"/>
    <x v="19"/>
    <n v="22538"/>
    <n v="0"/>
    <n v="0"/>
    <n v="0"/>
    <n v="0"/>
  </r>
  <r>
    <x v="56"/>
    <x v="56"/>
    <x v="19"/>
    <x v="19"/>
    <n v="31053"/>
    <n v="0"/>
    <n v="0"/>
    <n v="0"/>
    <n v="0"/>
  </r>
  <r>
    <x v="57"/>
    <x v="57"/>
    <x v="19"/>
    <x v="19"/>
    <n v="104995"/>
    <n v="0"/>
    <n v="0"/>
    <n v="0"/>
    <n v="10797"/>
  </r>
  <r>
    <x v="58"/>
    <x v="58"/>
    <x v="19"/>
    <x v="19"/>
    <n v="58891734"/>
    <n v="0"/>
    <n v="0"/>
    <n v="0"/>
    <n v="38271849"/>
  </r>
  <r>
    <x v="59"/>
    <x v="59"/>
    <x v="19"/>
    <x v="19"/>
    <n v="3185990"/>
    <n v="0"/>
    <n v="0"/>
    <n v="0"/>
    <n v="0"/>
  </r>
  <r>
    <x v="60"/>
    <x v="60"/>
    <x v="19"/>
    <x v="19"/>
    <n v="5546964"/>
    <n v="0"/>
    <n v="0"/>
    <n v="0"/>
    <n v="0"/>
  </r>
  <r>
    <x v="61"/>
    <x v="61"/>
    <x v="19"/>
    <x v="19"/>
    <n v="2177845"/>
    <n v="0"/>
    <n v="0"/>
    <n v="0"/>
    <n v="0"/>
  </r>
  <r>
    <x v="62"/>
    <x v="62"/>
    <x v="19"/>
    <x v="19"/>
    <n v="1506350"/>
    <n v="0"/>
    <n v="0"/>
    <n v="0"/>
    <n v="0"/>
  </r>
  <r>
    <x v="63"/>
    <x v="63"/>
    <x v="19"/>
    <x v="19"/>
    <n v="12417149"/>
    <n v="0"/>
    <n v="0"/>
    <n v="0"/>
    <n v="0"/>
  </r>
  <r>
    <x v="64"/>
    <x v="64"/>
    <x v="19"/>
    <x v="19"/>
    <n v="71308883"/>
    <n v="0"/>
    <n v="0"/>
    <n v="0"/>
    <n v="0"/>
  </r>
  <r>
    <x v="0"/>
    <x v="0"/>
    <x v="20"/>
    <x v="20"/>
    <n v="0"/>
    <n v="0"/>
    <n v="0"/>
    <n v="0"/>
    <n v="0"/>
  </r>
  <r>
    <x v="1"/>
    <x v="1"/>
    <x v="20"/>
    <x v="20"/>
    <n v="0"/>
    <n v="0"/>
    <n v="0"/>
    <n v="0"/>
    <n v="0"/>
  </r>
  <r>
    <x v="2"/>
    <x v="2"/>
    <x v="20"/>
    <x v="20"/>
    <n v="0"/>
    <n v="0"/>
    <n v="0"/>
    <n v="0"/>
    <n v="0"/>
  </r>
  <r>
    <x v="3"/>
    <x v="3"/>
    <x v="20"/>
    <x v="20"/>
    <n v="5136281"/>
    <n v="106703"/>
    <n v="63319"/>
    <n v="7597"/>
    <n v="4791091"/>
  </r>
  <r>
    <x v="4"/>
    <x v="4"/>
    <x v="20"/>
    <x v="20"/>
    <n v="7016675"/>
    <n v="462201"/>
    <n v="1311613"/>
    <n v="31624"/>
    <n v="0"/>
  </r>
  <r>
    <x v="5"/>
    <x v="5"/>
    <x v="20"/>
    <x v="20"/>
    <n v="206684"/>
    <n v="678"/>
    <n v="0"/>
    <n v="4901"/>
    <n v="0"/>
  </r>
  <r>
    <x v="6"/>
    <x v="6"/>
    <x v="20"/>
    <x v="20"/>
    <n v="0"/>
    <n v="0"/>
    <n v="0"/>
    <n v="0"/>
    <n v="0"/>
  </r>
  <r>
    <x v="7"/>
    <x v="7"/>
    <x v="20"/>
    <x v="20"/>
    <n v="28781423"/>
    <n v="2643183"/>
    <n v="1154027"/>
    <n v="533109"/>
    <n v="17703561"/>
  </r>
  <r>
    <x v="8"/>
    <x v="8"/>
    <x v="20"/>
    <x v="20"/>
    <n v="0"/>
    <n v="0"/>
    <n v="0"/>
    <n v="0"/>
    <n v="0"/>
  </r>
  <r>
    <x v="9"/>
    <x v="9"/>
    <x v="20"/>
    <x v="20"/>
    <n v="33440"/>
    <n v="868"/>
    <n v="499"/>
    <n v="770"/>
    <n v="0"/>
  </r>
  <r>
    <x v="10"/>
    <x v="10"/>
    <x v="20"/>
    <x v="20"/>
    <n v="0"/>
    <n v="0"/>
    <n v="0"/>
    <n v="0"/>
    <n v="0"/>
  </r>
  <r>
    <x v="11"/>
    <x v="11"/>
    <x v="20"/>
    <x v="20"/>
    <n v="0"/>
    <n v="0"/>
    <n v="0"/>
    <n v="0"/>
    <n v="0"/>
  </r>
  <r>
    <x v="12"/>
    <x v="12"/>
    <x v="20"/>
    <x v="20"/>
    <n v="0"/>
    <n v="0"/>
    <n v="0"/>
    <n v="0"/>
    <n v="0"/>
  </r>
  <r>
    <x v="13"/>
    <x v="13"/>
    <x v="20"/>
    <x v="20"/>
    <n v="0"/>
    <n v="0"/>
    <n v="0"/>
    <n v="0"/>
    <n v="0"/>
  </r>
  <r>
    <x v="14"/>
    <x v="14"/>
    <x v="20"/>
    <x v="20"/>
    <n v="0"/>
    <n v="0"/>
    <n v="0"/>
    <n v="0"/>
    <n v="0"/>
  </r>
  <r>
    <x v="15"/>
    <x v="15"/>
    <x v="20"/>
    <x v="20"/>
    <n v="295788"/>
    <n v="12571"/>
    <n v="9091"/>
    <n v="4571"/>
    <n v="0"/>
  </r>
  <r>
    <x v="16"/>
    <x v="16"/>
    <x v="20"/>
    <x v="20"/>
    <n v="3162941"/>
    <n v="70755"/>
    <n v="133245"/>
    <n v="49834"/>
    <n v="0"/>
  </r>
  <r>
    <x v="17"/>
    <x v="17"/>
    <x v="20"/>
    <x v="20"/>
    <n v="46659247"/>
    <n v="1108928"/>
    <n v="1799859"/>
    <n v="640069"/>
    <n v="8938635"/>
  </r>
  <r>
    <x v="18"/>
    <x v="18"/>
    <x v="20"/>
    <x v="20"/>
    <n v="17786538"/>
    <n v="872163"/>
    <n v="662212"/>
    <n v="257141"/>
    <n v="11011320"/>
  </r>
  <r>
    <x v="19"/>
    <x v="19"/>
    <x v="20"/>
    <x v="20"/>
    <n v="0"/>
    <n v="0"/>
    <n v="0"/>
    <n v="0"/>
    <n v="0"/>
  </r>
  <r>
    <x v="20"/>
    <x v="20"/>
    <x v="20"/>
    <x v="20"/>
    <n v="43970950"/>
    <n v="2895330"/>
    <n v="1856740"/>
    <n v="574210"/>
    <n v="4335335"/>
  </r>
  <r>
    <x v="21"/>
    <x v="21"/>
    <x v="20"/>
    <x v="20"/>
    <n v="0"/>
    <n v="0"/>
    <n v="0"/>
    <n v="0"/>
    <n v="0"/>
  </r>
  <r>
    <x v="22"/>
    <x v="22"/>
    <x v="20"/>
    <x v="20"/>
    <n v="0"/>
    <n v="0"/>
    <n v="0"/>
    <n v="0"/>
    <n v="0"/>
  </r>
  <r>
    <x v="23"/>
    <x v="23"/>
    <x v="20"/>
    <x v="20"/>
    <n v="0"/>
    <n v="0"/>
    <n v="0"/>
    <n v="0"/>
    <n v="0"/>
  </r>
  <r>
    <x v="24"/>
    <x v="24"/>
    <x v="20"/>
    <x v="20"/>
    <n v="2405839"/>
    <n v="115961"/>
    <n v="66345"/>
    <n v="23849"/>
    <n v="257312"/>
  </r>
  <r>
    <x v="25"/>
    <x v="25"/>
    <x v="20"/>
    <x v="20"/>
    <n v="8654"/>
    <n v="897"/>
    <n v="1782"/>
    <n v="103"/>
    <n v="0"/>
  </r>
  <r>
    <x v="26"/>
    <x v="26"/>
    <x v="20"/>
    <x v="20"/>
    <n v="18751645"/>
    <n v="1937699"/>
    <n v="1455110"/>
    <n v="435888"/>
    <n v="12119316"/>
  </r>
  <r>
    <x v="27"/>
    <x v="27"/>
    <x v="20"/>
    <x v="20"/>
    <n v="0"/>
    <n v="0"/>
    <n v="0"/>
    <n v="0"/>
    <n v="0"/>
  </r>
  <r>
    <x v="28"/>
    <x v="28"/>
    <x v="20"/>
    <x v="20"/>
    <n v="3580693"/>
    <n v="336737"/>
    <n v="414114"/>
    <n v="41943"/>
    <n v="1527824"/>
  </r>
  <r>
    <x v="29"/>
    <x v="29"/>
    <x v="20"/>
    <x v="20"/>
    <n v="6815001"/>
    <n v="171765"/>
    <n v="213487"/>
    <n v="55982"/>
    <n v="1205204"/>
  </r>
  <r>
    <x v="30"/>
    <x v="30"/>
    <x v="20"/>
    <x v="20"/>
    <n v="0"/>
    <n v="0"/>
    <n v="0"/>
    <n v="0"/>
    <n v="0"/>
  </r>
  <r>
    <x v="31"/>
    <x v="31"/>
    <x v="20"/>
    <x v="20"/>
    <n v="16192344"/>
    <n v="287621"/>
    <n v="448340"/>
    <n v="107929"/>
    <n v="7170291"/>
  </r>
  <r>
    <x v="32"/>
    <x v="32"/>
    <x v="20"/>
    <x v="20"/>
    <n v="0"/>
    <n v="0"/>
    <n v="0"/>
    <n v="0"/>
    <n v="0"/>
  </r>
  <r>
    <x v="33"/>
    <x v="33"/>
    <x v="20"/>
    <x v="20"/>
    <n v="17835717"/>
    <n v="1421716"/>
    <n v="1206855"/>
    <n v="203429"/>
    <n v="162450"/>
  </r>
  <r>
    <x v="34"/>
    <x v="34"/>
    <x v="20"/>
    <x v="20"/>
    <n v="0"/>
    <n v="0"/>
    <n v="0"/>
    <n v="0"/>
    <n v="0"/>
  </r>
  <r>
    <x v="35"/>
    <x v="35"/>
    <x v="20"/>
    <x v="20"/>
    <n v="0"/>
    <n v="0"/>
    <n v="0"/>
    <n v="0"/>
    <n v="0"/>
  </r>
  <r>
    <x v="36"/>
    <x v="36"/>
    <x v="20"/>
    <x v="20"/>
    <n v="28085433"/>
    <n v="603449"/>
    <n v="952323"/>
    <n v="47865"/>
    <n v="25090064"/>
  </r>
  <r>
    <x v="37"/>
    <x v="37"/>
    <x v="20"/>
    <x v="20"/>
    <n v="3214595"/>
    <n v="215851"/>
    <n v="0"/>
    <n v="36129"/>
    <n v="416258"/>
  </r>
  <r>
    <x v="38"/>
    <x v="38"/>
    <x v="20"/>
    <x v="20"/>
    <n v="243245"/>
    <n v="11206"/>
    <n v="7189"/>
    <n v="1900"/>
    <n v="0"/>
  </r>
  <r>
    <x v="39"/>
    <x v="39"/>
    <x v="20"/>
    <x v="20"/>
    <n v="2181959"/>
    <n v="0"/>
    <n v="0"/>
    <n v="0"/>
    <n v="0"/>
  </r>
  <r>
    <x v="40"/>
    <x v="40"/>
    <x v="20"/>
    <x v="20"/>
    <n v="0"/>
    <n v="0"/>
    <n v="0"/>
    <n v="0"/>
    <n v="0"/>
  </r>
  <r>
    <x v="41"/>
    <x v="41"/>
    <x v="20"/>
    <x v="20"/>
    <n v="0"/>
    <n v="0"/>
    <n v="0"/>
    <n v="0"/>
    <n v="0"/>
  </r>
  <r>
    <x v="42"/>
    <x v="42"/>
    <x v="20"/>
    <x v="20"/>
    <n v="67293"/>
    <n v="6898"/>
    <n v="1750"/>
    <n v="721"/>
    <n v="0"/>
  </r>
  <r>
    <x v="43"/>
    <x v="43"/>
    <x v="20"/>
    <x v="20"/>
    <n v="420253"/>
    <n v="19233"/>
    <n v="35539"/>
    <n v="4279"/>
    <n v="0"/>
  </r>
  <r>
    <x v="44"/>
    <x v="44"/>
    <x v="20"/>
    <x v="20"/>
    <n v="7883063"/>
    <n v="10328"/>
    <n v="18214"/>
    <n v="1905"/>
    <n v="0"/>
  </r>
  <r>
    <x v="45"/>
    <x v="45"/>
    <x v="20"/>
    <x v="20"/>
    <n v="1716650"/>
    <n v="0"/>
    <n v="0"/>
    <n v="0"/>
    <n v="0"/>
  </r>
  <r>
    <x v="46"/>
    <x v="46"/>
    <x v="20"/>
    <x v="20"/>
    <n v="251228"/>
    <n v="0"/>
    <n v="0"/>
    <n v="0"/>
    <n v="0"/>
  </r>
  <r>
    <x v="47"/>
    <x v="47"/>
    <x v="20"/>
    <x v="20"/>
    <n v="0"/>
    <n v="0"/>
    <n v="0"/>
    <n v="0"/>
    <n v="0"/>
  </r>
  <r>
    <x v="48"/>
    <x v="48"/>
    <x v="20"/>
    <x v="20"/>
    <n v="0"/>
    <n v="-13312741"/>
    <n v="-11811653"/>
    <n v="0"/>
    <n v="0"/>
  </r>
  <r>
    <x v="49"/>
    <x v="49"/>
    <x v="20"/>
    <x v="20"/>
    <n v="1151470"/>
    <n v="0"/>
    <n v="0"/>
    <n v="0"/>
    <n v="0"/>
  </r>
  <r>
    <x v="50"/>
    <x v="50"/>
    <x v="20"/>
    <x v="20"/>
    <n v="3067723"/>
    <n v="0"/>
    <n v="0"/>
    <n v="-3065748"/>
    <n v="0"/>
  </r>
  <r>
    <x v="51"/>
    <x v="51"/>
    <x v="20"/>
    <x v="20"/>
    <n v="222566"/>
    <n v="0"/>
    <n v="0"/>
    <n v="0"/>
    <n v="0"/>
  </r>
  <r>
    <x v="52"/>
    <x v="52"/>
    <x v="20"/>
    <x v="20"/>
    <n v="6599057"/>
    <n v="0"/>
    <n v="0"/>
    <n v="0"/>
    <n v="0"/>
  </r>
  <r>
    <x v="53"/>
    <x v="53"/>
    <x v="20"/>
    <x v="20"/>
    <n v="127331"/>
    <n v="0"/>
    <n v="0"/>
    <n v="0"/>
    <n v="0"/>
  </r>
  <r>
    <x v="54"/>
    <x v="54"/>
    <x v="20"/>
    <x v="20"/>
    <n v="16009802"/>
    <n v="0"/>
    <n v="0"/>
    <n v="0"/>
    <n v="0"/>
  </r>
  <r>
    <x v="55"/>
    <x v="55"/>
    <x v="20"/>
    <x v="20"/>
    <n v="238829"/>
    <n v="0"/>
    <n v="0"/>
    <n v="0"/>
    <n v="0"/>
  </r>
  <r>
    <x v="56"/>
    <x v="56"/>
    <x v="20"/>
    <x v="20"/>
    <n v="530144"/>
    <n v="0"/>
    <n v="0"/>
    <n v="0"/>
    <n v="0"/>
  </r>
  <r>
    <x v="57"/>
    <x v="57"/>
    <x v="20"/>
    <x v="20"/>
    <n v="1799732"/>
    <n v="0"/>
    <n v="0"/>
    <n v="0"/>
    <n v="188354"/>
  </r>
  <r>
    <x v="58"/>
    <x v="58"/>
    <x v="20"/>
    <x v="20"/>
    <n v="292450233"/>
    <n v="0"/>
    <n v="0"/>
    <n v="0"/>
    <n v="94917015"/>
  </r>
  <r>
    <x v="59"/>
    <x v="59"/>
    <x v="20"/>
    <x v="20"/>
    <n v="28569844"/>
    <n v="0"/>
    <n v="0"/>
    <n v="0"/>
    <n v="0"/>
  </r>
  <r>
    <x v="60"/>
    <x v="60"/>
    <x v="20"/>
    <x v="20"/>
    <n v="55224412"/>
    <n v="0"/>
    <n v="0"/>
    <n v="0"/>
    <n v="0"/>
  </r>
  <r>
    <x v="61"/>
    <x v="61"/>
    <x v="20"/>
    <x v="20"/>
    <n v="29391696"/>
    <n v="0"/>
    <n v="0"/>
    <n v="0"/>
    <n v="0"/>
  </r>
  <r>
    <x v="62"/>
    <x v="62"/>
    <x v="20"/>
    <x v="20"/>
    <n v="152310138"/>
    <n v="0"/>
    <n v="0"/>
    <n v="0"/>
    <n v="0"/>
  </r>
  <r>
    <x v="63"/>
    <x v="63"/>
    <x v="20"/>
    <x v="20"/>
    <n v="265496090"/>
    <n v="0"/>
    <n v="0"/>
    <n v="0"/>
    <n v="0"/>
  </r>
  <r>
    <x v="64"/>
    <x v="64"/>
    <x v="20"/>
    <x v="20"/>
    <n v="557946323"/>
    <n v="0"/>
    <n v="0"/>
    <n v="0"/>
    <n v="0"/>
  </r>
  <r>
    <x v="0"/>
    <x v="0"/>
    <x v="21"/>
    <x v="21"/>
    <n v="0"/>
    <n v="0"/>
    <n v="0"/>
    <n v="0"/>
    <n v="0"/>
  </r>
  <r>
    <x v="1"/>
    <x v="1"/>
    <x v="21"/>
    <x v="21"/>
    <n v="0"/>
    <n v="0"/>
    <n v="0"/>
    <n v="0"/>
    <n v="0"/>
  </r>
  <r>
    <x v="2"/>
    <x v="2"/>
    <x v="21"/>
    <x v="21"/>
    <n v="0"/>
    <n v="0"/>
    <n v="0"/>
    <n v="0"/>
    <n v="0"/>
  </r>
  <r>
    <x v="3"/>
    <x v="3"/>
    <x v="21"/>
    <x v="21"/>
    <n v="0"/>
    <n v="0"/>
    <n v="0"/>
    <n v="0"/>
    <n v="0"/>
  </r>
  <r>
    <x v="4"/>
    <x v="4"/>
    <x v="21"/>
    <x v="21"/>
    <n v="0"/>
    <n v="0"/>
    <n v="0"/>
    <n v="0"/>
    <n v="0"/>
  </r>
  <r>
    <x v="5"/>
    <x v="5"/>
    <x v="21"/>
    <x v="21"/>
    <n v="0"/>
    <n v="0"/>
    <n v="0"/>
    <n v="0"/>
    <n v="0"/>
  </r>
  <r>
    <x v="6"/>
    <x v="6"/>
    <x v="21"/>
    <x v="21"/>
    <n v="0"/>
    <n v="0"/>
    <n v="0"/>
    <n v="0"/>
    <n v="0"/>
  </r>
  <r>
    <x v="7"/>
    <x v="7"/>
    <x v="21"/>
    <x v="21"/>
    <n v="1479335"/>
    <n v="83067"/>
    <n v="20492"/>
    <n v="11985"/>
    <n v="94892"/>
  </r>
  <r>
    <x v="8"/>
    <x v="8"/>
    <x v="21"/>
    <x v="21"/>
    <n v="0"/>
    <n v="0"/>
    <n v="0"/>
    <n v="0"/>
    <n v="0"/>
  </r>
  <r>
    <x v="9"/>
    <x v="9"/>
    <x v="21"/>
    <x v="21"/>
    <n v="5016"/>
    <n v="333"/>
    <n v="0"/>
    <n v="41"/>
    <n v="0"/>
  </r>
  <r>
    <x v="10"/>
    <x v="10"/>
    <x v="21"/>
    <x v="21"/>
    <n v="0"/>
    <n v="0"/>
    <n v="0"/>
    <n v="0"/>
    <n v="0"/>
  </r>
  <r>
    <x v="11"/>
    <x v="11"/>
    <x v="21"/>
    <x v="21"/>
    <n v="0"/>
    <n v="0"/>
    <n v="0"/>
    <n v="0"/>
    <n v="0"/>
  </r>
  <r>
    <x v="12"/>
    <x v="12"/>
    <x v="21"/>
    <x v="21"/>
    <n v="0"/>
    <n v="0"/>
    <n v="0"/>
    <n v="0"/>
    <n v="0"/>
  </r>
  <r>
    <x v="13"/>
    <x v="13"/>
    <x v="21"/>
    <x v="21"/>
    <n v="0"/>
    <n v="0"/>
    <n v="0"/>
    <n v="0"/>
    <n v="0"/>
  </r>
  <r>
    <x v="14"/>
    <x v="14"/>
    <x v="21"/>
    <x v="21"/>
    <n v="0"/>
    <n v="0"/>
    <n v="0"/>
    <n v="0"/>
    <n v="0"/>
  </r>
  <r>
    <x v="15"/>
    <x v="15"/>
    <x v="21"/>
    <x v="21"/>
    <n v="0"/>
    <n v="0"/>
    <n v="0"/>
    <n v="0"/>
    <n v="0"/>
  </r>
  <r>
    <x v="16"/>
    <x v="16"/>
    <x v="21"/>
    <x v="21"/>
    <n v="0"/>
    <n v="0"/>
    <n v="0"/>
    <n v="0"/>
    <n v="0"/>
  </r>
  <r>
    <x v="17"/>
    <x v="17"/>
    <x v="21"/>
    <x v="21"/>
    <n v="0"/>
    <n v="0"/>
    <n v="0"/>
    <n v="0"/>
    <n v="0"/>
  </r>
  <r>
    <x v="18"/>
    <x v="18"/>
    <x v="21"/>
    <x v="21"/>
    <n v="0"/>
    <n v="0"/>
    <n v="0"/>
    <n v="0"/>
    <n v="0"/>
  </r>
  <r>
    <x v="19"/>
    <x v="19"/>
    <x v="21"/>
    <x v="21"/>
    <n v="0"/>
    <n v="0"/>
    <n v="0"/>
    <n v="0"/>
    <n v="0"/>
  </r>
  <r>
    <x v="20"/>
    <x v="20"/>
    <x v="21"/>
    <x v="21"/>
    <n v="0"/>
    <n v="0"/>
    <n v="0"/>
    <n v="0"/>
    <n v="0"/>
  </r>
  <r>
    <x v="21"/>
    <x v="21"/>
    <x v="21"/>
    <x v="21"/>
    <n v="6234431"/>
    <n v="266644"/>
    <n v="0"/>
    <n v="141972"/>
    <n v="142716"/>
  </r>
  <r>
    <x v="22"/>
    <x v="22"/>
    <x v="21"/>
    <x v="21"/>
    <n v="0"/>
    <n v="0"/>
    <n v="0"/>
    <n v="0"/>
    <n v="0"/>
  </r>
  <r>
    <x v="23"/>
    <x v="23"/>
    <x v="21"/>
    <x v="21"/>
    <n v="0"/>
    <n v="0"/>
    <n v="0"/>
    <n v="0"/>
    <n v="0"/>
  </r>
  <r>
    <x v="24"/>
    <x v="24"/>
    <x v="21"/>
    <x v="21"/>
    <n v="991499"/>
    <n v="48927"/>
    <n v="48700"/>
    <n v="16438"/>
    <n v="323260"/>
  </r>
  <r>
    <x v="25"/>
    <x v="25"/>
    <x v="21"/>
    <x v="21"/>
    <n v="770"/>
    <n v="71"/>
    <n v="93"/>
    <n v="7"/>
    <n v="0"/>
  </r>
  <r>
    <x v="26"/>
    <x v="26"/>
    <x v="21"/>
    <x v="21"/>
    <n v="47098"/>
    <n v="3386"/>
    <n v="1567"/>
    <n v="914"/>
    <n v="26054"/>
  </r>
  <r>
    <x v="27"/>
    <x v="27"/>
    <x v="21"/>
    <x v="21"/>
    <n v="573"/>
    <n v="50"/>
    <n v="48"/>
    <n v="20"/>
    <n v="0"/>
  </r>
  <r>
    <x v="28"/>
    <x v="28"/>
    <x v="21"/>
    <x v="21"/>
    <n v="48631"/>
    <n v="3821"/>
    <n v="6974"/>
    <n v="358"/>
    <n v="1903"/>
  </r>
  <r>
    <x v="29"/>
    <x v="29"/>
    <x v="21"/>
    <x v="21"/>
    <n v="49718"/>
    <n v="2444"/>
    <n v="3587"/>
    <n v="511"/>
    <n v="8744"/>
  </r>
  <r>
    <x v="30"/>
    <x v="30"/>
    <x v="21"/>
    <x v="21"/>
    <n v="0"/>
    <n v="0"/>
    <n v="0"/>
    <n v="0"/>
    <n v="0"/>
  </r>
  <r>
    <x v="31"/>
    <x v="31"/>
    <x v="21"/>
    <x v="21"/>
    <n v="15779"/>
    <n v="671"/>
    <n v="596"/>
    <n v="113"/>
    <n v="3914"/>
  </r>
  <r>
    <x v="32"/>
    <x v="32"/>
    <x v="21"/>
    <x v="21"/>
    <n v="0"/>
    <n v="0"/>
    <n v="0"/>
    <n v="0"/>
    <n v="0"/>
  </r>
  <r>
    <x v="33"/>
    <x v="33"/>
    <x v="21"/>
    <x v="21"/>
    <n v="0"/>
    <n v="0"/>
    <n v="0"/>
    <n v="0"/>
    <n v="0"/>
  </r>
  <r>
    <x v="34"/>
    <x v="34"/>
    <x v="21"/>
    <x v="21"/>
    <n v="0"/>
    <n v="0"/>
    <n v="0"/>
    <n v="0"/>
    <n v="0"/>
  </r>
  <r>
    <x v="35"/>
    <x v="35"/>
    <x v="21"/>
    <x v="21"/>
    <n v="40345"/>
    <n v="1720"/>
    <n v="840"/>
    <n v="76"/>
    <n v="24170"/>
  </r>
  <r>
    <x v="36"/>
    <x v="36"/>
    <x v="21"/>
    <x v="21"/>
    <n v="1553"/>
    <n v="64"/>
    <n v="73"/>
    <n v="12"/>
    <n v="198"/>
  </r>
  <r>
    <x v="37"/>
    <x v="37"/>
    <x v="21"/>
    <x v="21"/>
    <n v="168565"/>
    <n v="13671"/>
    <n v="0"/>
    <n v="2538"/>
    <n v="0"/>
  </r>
  <r>
    <x v="38"/>
    <x v="38"/>
    <x v="21"/>
    <x v="21"/>
    <n v="910"/>
    <n v="27"/>
    <n v="0"/>
    <n v="0"/>
    <n v="0"/>
  </r>
  <r>
    <x v="39"/>
    <x v="39"/>
    <x v="21"/>
    <x v="21"/>
    <n v="2238"/>
    <n v="0"/>
    <n v="0"/>
    <n v="0"/>
    <n v="0"/>
  </r>
  <r>
    <x v="40"/>
    <x v="40"/>
    <x v="21"/>
    <x v="21"/>
    <n v="0"/>
    <n v="0"/>
    <n v="0"/>
    <n v="0"/>
    <n v="0"/>
  </r>
  <r>
    <x v="41"/>
    <x v="41"/>
    <x v="21"/>
    <x v="21"/>
    <n v="0"/>
    <n v="0"/>
    <n v="0"/>
    <n v="0"/>
    <n v="0"/>
  </r>
  <r>
    <x v="42"/>
    <x v="42"/>
    <x v="21"/>
    <x v="21"/>
    <n v="0"/>
    <n v="0"/>
    <n v="0"/>
    <n v="0"/>
    <n v="0"/>
  </r>
  <r>
    <x v="43"/>
    <x v="43"/>
    <x v="21"/>
    <x v="21"/>
    <n v="3722"/>
    <n v="46"/>
    <n v="64"/>
    <n v="40"/>
    <n v="0"/>
  </r>
  <r>
    <x v="44"/>
    <x v="44"/>
    <x v="21"/>
    <x v="21"/>
    <n v="111186"/>
    <n v="28"/>
    <n v="51"/>
    <n v="6"/>
    <n v="0"/>
  </r>
  <r>
    <x v="45"/>
    <x v="45"/>
    <x v="21"/>
    <x v="21"/>
    <n v="3552"/>
    <n v="0"/>
    <n v="0"/>
    <n v="0"/>
    <n v="0"/>
  </r>
  <r>
    <x v="46"/>
    <x v="46"/>
    <x v="21"/>
    <x v="21"/>
    <n v="6298"/>
    <n v="0"/>
    <n v="0"/>
    <n v="0"/>
    <n v="0"/>
  </r>
  <r>
    <x v="47"/>
    <x v="47"/>
    <x v="21"/>
    <x v="21"/>
    <n v="0"/>
    <n v="0"/>
    <n v="0"/>
    <n v="0"/>
    <n v="0"/>
  </r>
  <r>
    <x v="48"/>
    <x v="48"/>
    <x v="21"/>
    <x v="21"/>
    <n v="0"/>
    <n v="-424970"/>
    <n v="-83085"/>
    <n v="0"/>
    <n v="0"/>
  </r>
  <r>
    <x v="49"/>
    <x v="49"/>
    <x v="21"/>
    <x v="21"/>
    <n v="16990"/>
    <n v="0"/>
    <n v="0"/>
    <n v="0"/>
    <n v="0"/>
  </r>
  <r>
    <x v="50"/>
    <x v="50"/>
    <x v="21"/>
    <x v="21"/>
    <n v="19163"/>
    <n v="0"/>
    <n v="0"/>
    <n v="-175031"/>
    <n v="0"/>
  </r>
  <r>
    <x v="51"/>
    <x v="51"/>
    <x v="21"/>
    <x v="21"/>
    <n v="3516"/>
    <n v="0"/>
    <n v="0"/>
    <n v="0"/>
    <n v="0"/>
  </r>
  <r>
    <x v="52"/>
    <x v="52"/>
    <x v="21"/>
    <x v="21"/>
    <n v="33589"/>
    <n v="0"/>
    <n v="0"/>
    <n v="0"/>
    <n v="0"/>
  </r>
  <r>
    <x v="53"/>
    <x v="53"/>
    <x v="21"/>
    <x v="21"/>
    <n v="11853"/>
    <n v="0"/>
    <n v="0"/>
    <n v="0"/>
    <n v="0"/>
  </r>
  <r>
    <x v="54"/>
    <x v="54"/>
    <x v="21"/>
    <x v="21"/>
    <n v="610914"/>
    <n v="0"/>
    <n v="0"/>
    <n v="0"/>
    <n v="0"/>
  </r>
  <r>
    <x v="55"/>
    <x v="55"/>
    <x v="21"/>
    <x v="21"/>
    <n v="15906"/>
    <n v="0"/>
    <n v="0"/>
    <n v="0"/>
    <n v="0"/>
  </r>
  <r>
    <x v="56"/>
    <x v="56"/>
    <x v="21"/>
    <x v="21"/>
    <n v="613500"/>
    <n v="0"/>
    <n v="0"/>
    <n v="0"/>
    <n v="0"/>
  </r>
  <r>
    <x v="57"/>
    <x v="57"/>
    <x v="21"/>
    <x v="21"/>
    <n v="56212"/>
    <n v="0"/>
    <n v="0"/>
    <n v="0"/>
    <n v="6526"/>
  </r>
  <r>
    <x v="58"/>
    <x v="58"/>
    <x v="21"/>
    <x v="21"/>
    <n v="10592862"/>
    <n v="0"/>
    <n v="0"/>
    <n v="0"/>
    <n v="632377"/>
  </r>
  <r>
    <x v="59"/>
    <x v="59"/>
    <x v="21"/>
    <x v="21"/>
    <n v="2936191"/>
    <n v="0"/>
    <n v="0"/>
    <n v="0"/>
    <n v="0"/>
  </r>
  <r>
    <x v="60"/>
    <x v="60"/>
    <x v="21"/>
    <x v="21"/>
    <n v="5869258"/>
    <n v="0"/>
    <n v="0"/>
    <n v="0"/>
    <n v="0"/>
  </r>
  <r>
    <x v="61"/>
    <x v="61"/>
    <x v="21"/>
    <x v="21"/>
    <n v="1342188"/>
    <n v="0"/>
    <n v="0"/>
    <n v="0"/>
    <n v="0"/>
  </r>
  <r>
    <x v="62"/>
    <x v="62"/>
    <x v="21"/>
    <x v="21"/>
    <n v="29375406"/>
    <n v="0"/>
    <n v="0"/>
    <n v="0"/>
    <n v="0"/>
  </r>
  <r>
    <x v="63"/>
    <x v="63"/>
    <x v="21"/>
    <x v="21"/>
    <n v="39523043"/>
    <n v="0"/>
    <n v="0"/>
    <n v="0"/>
    <n v="0"/>
  </r>
  <r>
    <x v="64"/>
    <x v="64"/>
    <x v="21"/>
    <x v="21"/>
    <n v="50115905"/>
    <n v="0"/>
    <n v="0"/>
    <n v="0"/>
    <n v="0"/>
  </r>
  <r>
    <x v="0"/>
    <x v="0"/>
    <x v="22"/>
    <x v="22"/>
    <n v="0"/>
    <n v="0"/>
    <n v="0"/>
    <n v="0"/>
    <n v="0"/>
  </r>
  <r>
    <x v="1"/>
    <x v="1"/>
    <x v="22"/>
    <x v="22"/>
    <n v="0"/>
    <n v="0"/>
    <n v="0"/>
    <n v="0"/>
    <n v="0"/>
  </r>
  <r>
    <x v="2"/>
    <x v="2"/>
    <x v="22"/>
    <x v="22"/>
    <n v="0"/>
    <n v="0"/>
    <n v="0"/>
    <n v="0"/>
    <n v="0"/>
  </r>
  <r>
    <x v="3"/>
    <x v="3"/>
    <x v="22"/>
    <x v="22"/>
    <n v="0"/>
    <n v="0"/>
    <n v="0"/>
    <n v="0"/>
    <n v="0"/>
  </r>
  <r>
    <x v="4"/>
    <x v="4"/>
    <x v="22"/>
    <x v="22"/>
    <n v="0"/>
    <n v="0"/>
    <n v="0"/>
    <n v="0"/>
    <n v="0"/>
  </r>
  <r>
    <x v="5"/>
    <x v="5"/>
    <x v="22"/>
    <x v="22"/>
    <n v="0"/>
    <n v="0"/>
    <n v="0"/>
    <n v="0"/>
    <n v="0"/>
  </r>
  <r>
    <x v="6"/>
    <x v="6"/>
    <x v="22"/>
    <x v="22"/>
    <n v="0"/>
    <n v="0"/>
    <n v="0"/>
    <n v="0"/>
    <n v="0"/>
  </r>
  <r>
    <x v="7"/>
    <x v="7"/>
    <x v="22"/>
    <x v="22"/>
    <n v="89683"/>
    <n v="4196"/>
    <n v="2486"/>
    <n v="691"/>
    <n v="4158"/>
  </r>
  <r>
    <x v="8"/>
    <x v="8"/>
    <x v="22"/>
    <x v="22"/>
    <n v="6667100"/>
    <n v="112780"/>
    <n v="0"/>
    <n v="3144"/>
    <n v="1075316"/>
  </r>
  <r>
    <x v="9"/>
    <x v="9"/>
    <x v="22"/>
    <x v="22"/>
    <n v="0"/>
    <n v="0"/>
    <n v="0"/>
    <n v="0"/>
    <n v="0"/>
  </r>
  <r>
    <x v="10"/>
    <x v="10"/>
    <x v="22"/>
    <x v="22"/>
    <n v="0"/>
    <n v="0"/>
    <n v="0"/>
    <n v="0"/>
    <n v="0"/>
  </r>
  <r>
    <x v="11"/>
    <x v="11"/>
    <x v="22"/>
    <x v="22"/>
    <n v="0"/>
    <n v="0"/>
    <n v="0"/>
    <n v="0"/>
    <n v="0"/>
  </r>
  <r>
    <x v="12"/>
    <x v="12"/>
    <x v="22"/>
    <x v="22"/>
    <n v="0"/>
    <n v="0"/>
    <n v="0"/>
    <n v="0"/>
    <n v="0"/>
  </r>
  <r>
    <x v="13"/>
    <x v="13"/>
    <x v="22"/>
    <x v="22"/>
    <n v="2739"/>
    <n v="0"/>
    <n v="0"/>
    <n v="0"/>
    <n v="0"/>
  </r>
  <r>
    <x v="14"/>
    <x v="14"/>
    <x v="22"/>
    <x v="22"/>
    <n v="0"/>
    <n v="0"/>
    <n v="0"/>
    <n v="0"/>
    <n v="0"/>
  </r>
  <r>
    <x v="15"/>
    <x v="15"/>
    <x v="22"/>
    <x v="22"/>
    <n v="0"/>
    <n v="0"/>
    <n v="0"/>
    <n v="0"/>
    <n v="0"/>
  </r>
  <r>
    <x v="16"/>
    <x v="16"/>
    <x v="22"/>
    <x v="22"/>
    <n v="116920"/>
    <n v="299"/>
    <n v="10514"/>
    <n v="863"/>
    <n v="0"/>
  </r>
  <r>
    <x v="17"/>
    <x v="17"/>
    <x v="22"/>
    <x v="22"/>
    <n v="0"/>
    <n v="0"/>
    <n v="0"/>
    <n v="0"/>
    <n v="0"/>
  </r>
  <r>
    <x v="18"/>
    <x v="18"/>
    <x v="22"/>
    <x v="22"/>
    <n v="0"/>
    <n v="0"/>
    <n v="0"/>
    <n v="0"/>
    <n v="0"/>
  </r>
  <r>
    <x v="19"/>
    <x v="19"/>
    <x v="22"/>
    <x v="22"/>
    <n v="0"/>
    <n v="0"/>
    <n v="0"/>
    <n v="0"/>
    <n v="0"/>
  </r>
  <r>
    <x v="20"/>
    <x v="20"/>
    <x v="22"/>
    <x v="22"/>
    <n v="0"/>
    <n v="0"/>
    <n v="0"/>
    <n v="0"/>
    <n v="0"/>
  </r>
  <r>
    <x v="21"/>
    <x v="21"/>
    <x v="22"/>
    <x v="22"/>
    <n v="0"/>
    <n v="0"/>
    <n v="0"/>
    <n v="0"/>
    <n v="0"/>
  </r>
  <r>
    <x v="22"/>
    <x v="22"/>
    <x v="22"/>
    <x v="22"/>
    <n v="53298110"/>
    <n v="2963472"/>
    <n v="2041186"/>
    <n v="93749"/>
    <n v="34164640"/>
  </r>
  <r>
    <x v="23"/>
    <x v="23"/>
    <x v="22"/>
    <x v="22"/>
    <n v="27954"/>
    <n v="4435"/>
    <n v="5601"/>
    <n v="180"/>
    <n v="0"/>
  </r>
  <r>
    <x v="24"/>
    <x v="24"/>
    <x v="22"/>
    <x v="22"/>
    <n v="471020"/>
    <n v="36422"/>
    <n v="31805"/>
    <n v="5462"/>
    <n v="205597"/>
  </r>
  <r>
    <x v="25"/>
    <x v="25"/>
    <x v="22"/>
    <x v="22"/>
    <n v="4885"/>
    <n v="597"/>
    <n v="1251"/>
    <n v="57"/>
    <n v="0"/>
  </r>
  <r>
    <x v="26"/>
    <x v="26"/>
    <x v="22"/>
    <x v="22"/>
    <n v="33647196"/>
    <n v="1785221"/>
    <n v="1169812"/>
    <n v="274044"/>
    <n v="4256064"/>
  </r>
  <r>
    <x v="27"/>
    <x v="27"/>
    <x v="22"/>
    <x v="22"/>
    <n v="0"/>
    <n v="0"/>
    <n v="0"/>
    <n v="0"/>
    <n v="0"/>
  </r>
  <r>
    <x v="28"/>
    <x v="28"/>
    <x v="22"/>
    <x v="22"/>
    <n v="3087959"/>
    <n v="315543"/>
    <n v="338435"/>
    <n v="40403"/>
    <n v="2219971"/>
  </r>
  <r>
    <x v="29"/>
    <x v="29"/>
    <x v="22"/>
    <x v="22"/>
    <n v="2830743"/>
    <n v="116804"/>
    <n v="140306"/>
    <n v="25745"/>
    <n v="517327"/>
  </r>
  <r>
    <x v="30"/>
    <x v="30"/>
    <x v="22"/>
    <x v="22"/>
    <n v="3606"/>
    <n v="320"/>
    <n v="426"/>
    <n v="110"/>
    <n v="0"/>
  </r>
  <r>
    <x v="31"/>
    <x v="31"/>
    <x v="22"/>
    <x v="22"/>
    <n v="1052641"/>
    <n v="49821"/>
    <n v="43389"/>
    <n v="7880"/>
    <n v="438945"/>
  </r>
  <r>
    <x v="32"/>
    <x v="32"/>
    <x v="22"/>
    <x v="22"/>
    <n v="0"/>
    <n v="0"/>
    <n v="0"/>
    <n v="0"/>
    <n v="0"/>
  </r>
  <r>
    <x v="33"/>
    <x v="33"/>
    <x v="22"/>
    <x v="22"/>
    <n v="0"/>
    <n v="0"/>
    <n v="0"/>
    <n v="0"/>
    <n v="0"/>
  </r>
  <r>
    <x v="34"/>
    <x v="34"/>
    <x v="22"/>
    <x v="22"/>
    <n v="0"/>
    <n v="0"/>
    <n v="0"/>
    <n v="0"/>
    <n v="0"/>
  </r>
  <r>
    <x v="35"/>
    <x v="35"/>
    <x v="22"/>
    <x v="22"/>
    <n v="0"/>
    <n v="0"/>
    <n v="0"/>
    <n v="0"/>
    <n v="0"/>
  </r>
  <r>
    <x v="36"/>
    <x v="36"/>
    <x v="22"/>
    <x v="22"/>
    <n v="542951"/>
    <n v="12711"/>
    <n v="17665"/>
    <n v="1308"/>
    <n v="432536"/>
  </r>
  <r>
    <x v="37"/>
    <x v="37"/>
    <x v="22"/>
    <x v="22"/>
    <n v="1602602"/>
    <n v="122409"/>
    <n v="0"/>
    <n v="20197"/>
    <n v="0"/>
  </r>
  <r>
    <x v="38"/>
    <x v="38"/>
    <x v="22"/>
    <x v="22"/>
    <n v="91482"/>
    <n v="6215"/>
    <n v="1212"/>
    <n v="775"/>
    <n v="0"/>
  </r>
  <r>
    <x v="39"/>
    <x v="39"/>
    <x v="22"/>
    <x v="22"/>
    <n v="157489"/>
    <n v="0"/>
    <n v="0"/>
    <n v="0"/>
    <n v="0"/>
  </r>
  <r>
    <x v="40"/>
    <x v="40"/>
    <x v="22"/>
    <x v="22"/>
    <n v="0"/>
    <n v="0"/>
    <n v="0"/>
    <n v="0"/>
    <n v="0"/>
  </r>
  <r>
    <x v="41"/>
    <x v="41"/>
    <x v="22"/>
    <x v="22"/>
    <n v="0"/>
    <n v="0"/>
    <n v="0"/>
    <n v="0"/>
    <n v="0"/>
  </r>
  <r>
    <x v="42"/>
    <x v="42"/>
    <x v="22"/>
    <x v="22"/>
    <n v="16079"/>
    <n v="2225"/>
    <n v="2017"/>
    <n v="160"/>
    <n v="0"/>
  </r>
  <r>
    <x v="43"/>
    <x v="43"/>
    <x v="22"/>
    <x v="22"/>
    <n v="74562"/>
    <n v="3548"/>
    <n v="4740"/>
    <n v="715"/>
    <n v="0"/>
  </r>
  <r>
    <x v="44"/>
    <x v="44"/>
    <x v="22"/>
    <x v="22"/>
    <n v="13167223"/>
    <n v="2705"/>
    <n v="4609"/>
    <n v="795"/>
    <n v="0"/>
  </r>
  <r>
    <x v="45"/>
    <x v="45"/>
    <x v="22"/>
    <x v="22"/>
    <n v="117784"/>
    <n v="0"/>
    <n v="0"/>
    <n v="0"/>
    <n v="0"/>
  </r>
  <r>
    <x v="46"/>
    <x v="46"/>
    <x v="22"/>
    <x v="22"/>
    <n v="110734"/>
    <n v="0"/>
    <n v="0"/>
    <n v="0"/>
    <n v="0"/>
  </r>
  <r>
    <x v="47"/>
    <x v="47"/>
    <x v="22"/>
    <x v="22"/>
    <n v="0"/>
    <n v="0"/>
    <n v="0"/>
    <n v="0"/>
    <n v="0"/>
  </r>
  <r>
    <x v="48"/>
    <x v="48"/>
    <x v="22"/>
    <x v="22"/>
    <n v="0"/>
    <n v="-5539723"/>
    <n v="-3815454"/>
    <n v="0"/>
    <n v="0"/>
  </r>
  <r>
    <x v="49"/>
    <x v="49"/>
    <x v="22"/>
    <x v="22"/>
    <n v="223426"/>
    <n v="0"/>
    <n v="0"/>
    <n v="0"/>
    <n v="0"/>
  </r>
  <r>
    <x v="50"/>
    <x v="50"/>
    <x v="22"/>
    <x v="22"/>
    <n v="687077"/>
    <n v="0"/>
    <n v="0"/>
    <n v="-476278"/>
    <n v="0"/>
  </r>
  <r>
    <x v="51"/>
    <x v="51"/>
    <x v="22"/>
    <x v="22"/>
    <n v="171017"/>
    <n v="0"/>
    <n v="0"/>
    <n v="0"/>
    <n v="0"/>
  </r>
  <r>
    <x v="52"/>
    <x v="52"/>
    <x v="22"/>
    <x v="22"/>
    <n v="3576568"/>
    <n v="0"/>
    <n v="0"/>
    <n v="0"/>
    <n v="0"/>
  </r>
  <r>
    <x v="53"/>
    <x v="53"/>
    <x v="22"/>
    <x v="22"/>
    <n v="210976"/>
    <n v="0"/>
    <n v="0"/>
    <n v="0"/>
    <n v="0"/>
  </r>
  <r>
    <x v="54"/>
    <x v="54"/>
    <x v="22"/>
    <x v="22"/>
    <n v="1655866"/>
    <n v="0"/>
    <n v="0"/>
    <n v="0"/>
    <n v="0"/>
  </r>
  <r>
    <x v="55"/>
    <x v="55"/>
    <x v="22"/>
    <x v="22"/>
    <n v="90928"/>
    <n v="0"/>
    <n v="0"/>
    <n v="0"/>
    <n v="0"/>
  </r>
  <r>
    <x v="56"/>
    <x v="56"/>
    <x v="22"/>
    <x v="22"/>
    <n v="261020"/>
    <n v="0"/>
    <n v="0"/>
    <n v="0"/>
    <n v="0"/>
  </r>
  <r>
    <x v="57"/>
    <x v="57"/>
    <x v="22"/>
    <x v="22"/>
    <n v="890457"/>
    <n v="0"/>
    <n v="0"/>
    <n v="0"/>
    <n v="97865"/>
  </r>
  <r>
    <x v="58"/>
    <x v="58"/>
    <x v="22"/>
    <x v="22"/>
    <n v="124948797"/>
    <n v="0"/>
    <n v="0"/>
    <n v="0"/>
    <n v="43412419"/>
  </r>
  <r>
    <x v="59"/>
    <x v="59"/>
    <x v="22"/>
    <x v="22"/>
    <n v="17141312"/>
    <n v="0"/>
    <n v="0"/>
    <n v="0"/>
    <n v="0"/>
  </r>
  <r>
    <x v="60"/>
    <x v="60"/>
    <x v="22"/>
    <x v="22"/>
    <n v="25551965"/>
    <n v="0"/>
    <n v="0"/>
    <n v="0"/>
    <n v="0"/>
  </r>
  <r>
    <x v="61"/>
    <x v="61"/>
    <x v="22"/>
    <x v="22"/>
    <n v="16210599"/>
    <n v="0"/>
    <n v="0"/>
    <n v="0"/>
    <n v="0"/>
  </r>
  <r>
    <x v="62"/>
    <x v="62"/>
    <x v="22"/>
    <x v="22"/>
    <n v="3967570"/>
    <n v="0"/>
    <n v="0"/>
    <n v="0"/>
    <n v="0"/>
  </r>
  <r>
    <x v="63"/>
    <x v="63"/>
    <x v="22"/>
    <x v="22"/>
    <n v="62871446"/>
    <n v="0"/>
    <n v="0"/>
    <n v="0"/>
    <n v="0"/>
  </r>
  <r>
    <x v="64"/>
    <x v="64"/>
    <x v="22"/>
    <x v="22"/>
    <n v="187820243"/>
    <n v="0"/>
    <n v="0"/>
    <n v="0"/>
    <n v="0"/>
  </r>
  <r>
    <x v="0"/>
    <x v="0"/>
    <x v="23"/>
    <x v="23"/>
    <n v="0"/>
    <n v="0"/>
    <n v="0"/>
    <n v="0"/>
    <n v="0"/>
  </r>
  <r>
    <x v="1"/>
    <x v="1"/>
    <x v="23"/>
    <x v="23"/>
    <n v="0"/>
    <n v="0"/>
    <n v="0"/>
    <n v="0"/>
    <n v="0"/>
  </r>
  <r>
    <x v="2"/>
    <x v="2"/>
    <x v="23"/>
    <x v="23"/>
    <n v="0"/>
    <n v="0"/>
    <n v="0"/>
    <n v="0"/>
    <n v="0"/>
  </r>
  <r>
    <x v="3"/>
    <x v="3"/>
    <x v="23"/>
    <x v="23"/>
    <n v="0"/>
    <n v="0"/>
    <n v="0"/>
    <n v="0"/>
    <n v="0"/>
  </r>
  <r>
    <x v="4"/>
    <x v="4"/>
    <x v="23"/>
    <x v="23"/>
    <n v="0"/>
    <n v="0"/>
    <n v="0"/>
    <n v="0"/>
    <n v="0"/>
  </r>
  <r>
    <x v="5"/>
    <x v="5"/>
    <x v="23"/>
    <x v="23"/>
    <n v="0"/>
    <n v="0"/>
    <n v="0"/>
    <n v="0"/>
    <n v="0"/>
  </r>
  <r>
    <x v="6"/>
    <x v="6"/>
    <x v="23"/>
    <x v="23"/>
    <n v="0"/>
    <n v="0"/>
    <n v="0"/>
    <n v="0"/>
    <n v="0"/>
  </r>
  <r>
    <x v="7"/>
    <x v="7"/>
    <x v="23"/>
    <x v="23"/>
    <n v="12982"/>
    <n v="958"/>
    <n v="510"/>
    <n v="228"/>
    <n v="4570"/>
  </r>
  <r>
    <x v="8"/>
    <x v="8"/>
    <x v="23"/>
    <x v="23"/>
    <n v="18311"/>
    <n v="339"/>
    <n v="0"/>
    <n v="19"/>
    <n v="0"/>
  </r>
  <r>
    <x v="9"/>
    <x v="9"/>
    <x v="23"/>
    <x v="23"/>
    <n v="0"/>
    <n v="0"/>
    <n v="0"/>
    <n v="0"/>
    <n v="0"/>
  </r>
  <r>
    <x v="10"/>
    <x v="10"/>
    <x v="23"/>
    <x v="23"/>
    <n v="0"/>
    <n v="0"/>
    <n v="0"/>
    <n v="0"/>
    <n v="0"/>
  </r>
  <r>
    <x v="11"/>
    <x v="11"/>
    <x v="23"/>
    <x v="23"/>
    <n v="0"/>
    <n v="0"/>
    <n v="0"/>
    <n v="0"/>
    <n v="0"/>
  </r>
  <r>
    <x v="12"/>
    <x v="12"/>
    <x v="23"/>
    <x v="23"/>
    <n v="0"/>
    <n v="0"/>
    <n v="0"/>
    <n v="0"/>
    <n v="0"/>
  </r>
  <r>
    <x v="13"/>
    <x v="13"/>
    <x v="23"/>
    <x v="23"/>
    <n v="0"/>
    <n v="0"/>
    <n v="0"/>
    <n v="0"/>
    <n v="0"/>
  </r>
  <r>
    <x v="14"/>
    <x v="14"/>
    <x v="23"/>
    <x v="23"/>
    <n v="381545"/>
    <n v="6175"/>
    <n v="9960"/>
    <n v="1120"/>
    <n v="120039"/>
  </r>
  <r>
    <x v="15"/>
    <x v="15"/>
    <x v="23"/>
    <x v="23"/>
    <n v="0"/>
    <n v="0"/>
    <n v="0"/>
    <n v="0"/>
    <n v="0"/>
  </r>
  <r>
    <x v="16"/>
    <x v="16"/>
    <x v="23"/>
    <x v="23"/>
    <n v="9255"/>
    <n v="82"/>
    <n v="253"/>
    <n v="69"/>
    <n v="0"/>
  </r>
  <r>
    <x v="17"/>
    <x v="17"/>
    <x v="23"/>
    <x v="23"/>
    <n v="0"/>
    <n v="0"/>
    <n v="0"/>
    <n v="0"/>
    <n v="0"/>
  </r>
  <r>
    <x v="18"/>
    <x v="18"/>
    <x v="23"/>
    <x v="23"/>
    <n v="0"/>
    <n v="0"/>
    <n v="0"/>
    <n v="0"/>
    <n v="0"/>
  </r>
  <r>
    <x v="19"/>
    <x v="19"/>
    <x v="23"/>
    <x v="23"/>
    <n v="0"/>
    <n v="0"/>
    <n v="0"/>
    <n v="0"/>
    <n v="0"/>
  </r>
  <r>
    <x v="20"/>
    <x v="20"/>
    <x v="23"/>
    <x v="23"/>
    <n v="0"/>
    <n v="0"/>
    <n v="0"/>
    <n v="0"/>
    <n v="0"/>
  </r>
  <r>
    <x v="21"/>
    <x v="21"/>
    <x v="23"/>
    <x v="23"/>
    <n v="0"/>
    <n v="0"/>
    <n v="0"/>
    <n v="0"/>
    <n v="0"/>
  </r>
  <r>
    <x v="22"/>
    <x v="22"/>
    <x v="23"/>
    <x v="23"/>
    <n v="121519644"/>
    <n v="11926827"/>
    <n v="9435354"/>
    <n v="1400284"/>
    <n v="34250874"/>
  </r>
  <r>
    <x v="23"/>
    <x v="23"/>
    <x v="23"/>
    <x v="23"/>
    <n v="10864185"/>
    <n v="368970"/>
    <n v="580498"/>
    <n v="55238"/>
    <n v="5247509"/>
  </r>
  <r>
    <x v="24"/>
    <x v="24"/>
    <x v="23"/>
    <x v="23"/>
    <n v="1206367"/>
    <n v="85697"/>
    <n v="79459"/>
    <n v="13692"/>
    <n v="280538"/>
  </r>
  <r>
    <x v="25"/>
    <x v="25"/>
    <x v="23"/>
    <x v="23"/>
    <n v="6598"/>
    <n v="689"/>
    <n v="1411"/>
    <n v="53"/>
    <n v="0"/>
  </r>
  <r>
    <x v="26"/>
    <x v="26"/>
    <x v="23"/>
    <x v="23"/>
    <n v="1680749"/>
    <n v="171571"/>
    <n v="76193"/>
    <n v="24978"/>
    <n v="462654"/>
  </r>
  <r>
    <x v="27"/>
    <x v="27"/>
    <x v="23"/>
    <x v="23"/>
    <n v="0"/>
    <n v="0"/>
    <n v="0"/>
    <n v="0"/>
    <n v="0"/>
  </r>
  <r>
    <x v="28"/>
    <x v="28"/>
    <x v="23"/>
    <x v="23"/>
    <n v="2578792"/>
    <n v="274226"/>
    <n v="376735"/>
    <n v="32652"/>
    <n v="1482338"/>
  </r>
  <r>
    <x v="29"/>
    <x v="29"/>
    <x v="23"/>
    <x v="23"/>
    <n v="2852018"/>
    <n v="105850"/>
    <n v="98720"/>
    <n v="24535"/>
    <n v="559361"/>
  </r>
  <r>
    <x v="30"/>
    <x v="30"/>
    <x v="23"/>
    <x v="23"/>
    <n v="5227090"/>
    <n v="513615"/>
    <n v="729336"/>
    <n v="142566"/>
    <n v="3066930"/>
  </r>
  <r>
    <x v="31"/>
    <x v="31"/>
    <x v="23"/>
    <x v="23"/>
    <n v="4151893"/>
    <n v="135088"/>
    <n v="141231"/>
    <n v="32020"/>
    <n v="1825753"/>
  </r>
  <r>
    <x v="32"/>
    <x v="32"/>
    <x v="23"/>
    <x v="23"/>
    <n v="0"/>
    <n v="0"/>
    <n v="0"/>
    <n v="0"/>
    <n v="0"/>
  </r>
  <r>
    <x v="33"/>
    <x v="33"/>
    <x v="23"/>
    <x v="23"/>
    <n v="0"/>
    <n v="0"/>
    <n v="0"/>
    <n v="0"/>
    <n v="0"/>
  </r>
  <r>
    <x v="34"/>
    <x v="34"/>
    <x v="23"/>
    <x v="23"/>
    <n v="0"/>
    <n v="0"/>
    <n v="0"/>
    <n v="0"/>
    <n v="0"/>
  </r>
  <r>
    <x v="35"/>
    <x v="35"/>
    <x v="23"/>
    <x v="23"/>
    <n v="396"/>
    <n v="19"/>
    <n v="9"/>
    <n v="1"/>
    <n v="0"/>
  </r>
  <r>
    <x v="36"/>
    <x v="36"/>
    <x v="23"/>
    <x v="23"/>
    <n v="1825167"/>
    <n v="59463"/>
    <n v="96745"/>
    <n v="5770"/>
    <n v="1051379"/>
  </r>
  <r>
    <x v="37"/>
    <x v="37"/>
    <x v="23"/>
    <x v="23"/>
    <n v="1397941"/>
    <n v="108065"/>
    <n v="0"/>
    <n v="16400"/>
    <n v="0"/>
  </r>
  <r>
    <x v="38"/>
    <x v="38"/>
    <x v="23"/>
    <x v="23"/>
    <n v="427701"/>
    <n v="16929"/>
    <n v="12194"/>
    <n v="4178"/>
    <n v="0"/>
  </r>
  <r>
    <x v="39"/>
    <x v="39"/>
    <x v="23"/>
    <x v="23"/>
    <n v="494754"/>
    <n v="0"/>
    <n v="0"/>
    <n v="0"/>
    <n v="0"/>
  </r>
  <r>
    <x v="40"/>
    <x v="40"/>
    <x v="23"/>
    <x v="23"/>
    <n v="0"/>
    <n v="0"/>
    <n v="0"/>
    <n v="0"/>
    <n v="0"/>
  </r>
  <r>
    <x v="41"/>
    <x v="41"/>
    <x v="23"/>
    <x v="23"/>
    <n v="8841183"/>
    <n v="868263"/>
    <n v="446753"/>
    <n v="40007"/>
    <n v="6719224"/>
  </r>
  <r>
    <x v="42"/>
    <x v="42"/>
    <x v="23"/>
    <x v="23"/>
    <n v="0"/>
    <n v="0"/>
    <n v="0"/>
    <n v="0"/>
    <n v="0"/>
  </r>
  <r>
    <x v="43"/>
    <x v="43"/>
    <x v="23"/>
    <x v="23"/>
    <n v="10617466"/>
    <n v="791310"/>
    <n v="1185098"/>
    <n v="146968"/>
    <n v="4444375"/>
  </r>
  <r>
    <x v="44"/>
    <x v="44"/>
    <x v="23"/>
    <x v="23"/>
    <n v="7346637"/>
    <n v="1855"/>
    <n v="3170"/>
    <n v="342"/>
    <n v="0"/>
  </r>
  <r>
    <x v="45"/>
    <x v="45"/>
    <x v="23"/>
    <x v="23"/>
    <n v="109091"/>
    <n v="0"/>
    <n v="0"/>
    <n v="0"/>
    <n v="0"/>
  </r>
  <r>
    <x v="46"/>
    <x v="46"/>
    <x v="23"/>
    <x v="23"/>
    <n v="160077"/>
    <n v="0"/>
    <n v="0"/>
    <n v="0"/>
    <n v="0"/>
  </r>
  <r>
    <x v="47"/>
    <x v="47"/>
    <x v="23"/>
    <x v="23"/>
    <n v="0"/>
    <n v="0"/>
    <n v="0"/>
    <n v="0"/>
    <n v="0"/>
  </r>
  <r>
    <x v="48"/>
    <x v="48"/>
    <x v="23"/>
    <x v="23"/>
    <n v="0"/>
    <n v="-15435991"/>
    <n v="-13273629"/>
    <n v="0"/>
    <n v="0"/>
  </r>
  <r>
    <x v="49"/>
    <x v="49"/>
    <x v="23"/>
    <x v="23"/>
    <n v="1677548"/>
    <n v="0"/>
    <n v="0"/>
    <n v="0"/>
    <n v="0"/>
  </r>
  <r>
    <x v="50"/>
    <x v="50"/>
    <x v="23"/>
    <x v="23"/>
    <n v="1435690"/>
    <n v="0"/>
    <n v="0"/>
    <n v="-1941120"/>
    <n v="0"/>
  </r>
  <r>
    <x v="51"/>
    <x v="51"/>
    <x v="23"/>
    <x v="23"/>
    <n v="418565"/>
    <n v="0"/>
    <n v="0"/>
    <n v="0"/>
    <n v="0"/>
  </r>
  <r>
    <x v="52"/>
    <x v="52"/>
    <x v="23"/>
    <x v="23"/>
    <n v="4914198"/>
    <n v="0"/>
    <n v="0"/>
    <n v="0"/>
    <n v="0"/>
  </r>
  <r>
    <x v="53"/>
    <x v="53"/>
    <x v="23"/>
    <x v="23"/>
    <n v="408720"/>
    <n v="0"/>
    <n v="0"/>
    <n v="0"/>
    <n v="0"/>
  </r>
  <r>
    <x v="54"/>
    <x v="54"/>
    <x v="23"/>
    <x v="23"/>
    <n v="7412918"/>
    <n v="0"/>
    <n v="0"/>
    <n v="0"/>
    <n v="0"/>
  </r>
  <r>
    <x v="55"/>
    <x v="55"/>
    <x v="23"/>
    <x v="23"/>
    <n v="182325"/>
    <n v="0"/>
    <n v="0"/>
    <n v="0"/>
    <n v="0"/>
  </r>
  <r>
    <x v="56"/>
    <x v="56"/>
    <x v="23"/>
    <x v="23"/>
    <n v="245927"/>
    <n v="0"/>
    <n v="0"/>
    <n v="0"/>
    <n v="0"/>
  </r>
  <r>
    <x v="57"/>
    <x v="57"/>
    <x v="23"/>
    <x v="23"/>
    <n v="1958628"/>
    <n v="0"/>
    <n v="0"/>
    <n v="0"/>
    <n v="175168"/>
  </r>
  <r>
    <x v="58"/>
    <x v="58"/>
    <x v="23"/>
    <x v="23"/>
    <n v="200384361"/>
    <n v="0"/>
    <n v="0"/>
    <n v="0"/>
    <n v="59690712"/>
  </r>
  <r>
    <x v="59"/>
    <x v="59"/>
    <x v="23"/>
    <x v="23"/>
    <n v="29888490"/>
    <n v="0"/>
    <n v="0"/>
    <n v="0"/>
    <n v="0"/>
  </r>
  <r>
    <x v="60"/>
    <x v="60"/>
    <x v="23"/>
    <x v="23"/>
    <n v="37597366"/>
    <n v="0"/>
    <n v="0"/>
    <n v="0"/>
    <n v="0"/>
  </r>
  <r>
    <x v="61"/>
    <x v="61"/>
    <x v="23"/>
    <x v="23"/>
    <n v="15295478"/>
    <n v="0"/>
    <n v="0"/>
    <n v="0"/>
    <n v="0"/>
  </r>
  <r>
    <x v="62"/>
    <x v="62"/>
    <x v="23"/>
    <x v="23"/>
    <n v="8664710"/>
    <n v="0"/>
    <n v="0"/>
    <n v="0"/>
    <n v="0"/>
  </r>
  <r>
    <x v="63"/>
    <x v="63"/>
    <x v="23"/>
    <x v="23"/>
    <n v="91446044"/>
    <n v="0"/>
    <n v="0"/>
    <n v="0"/>
    <n v="0"/>
  </r>
  <r>
    <x v="64"/>
    <x v="64"/>
    <x v="23"/>
    <x v="23"/>
    <n v="291830405"/>
    <n v="0"/>
    <n v="0"/>
    <n v="0"/>
    <n v="0"/>
  </r>
  <r>
    <x v="0"/>
    <x v="0"/>
    <x v="24"/>
    <x v="24"/>
    <n v="187802"/>
    <n v="14388"/>
    <n v="0"/>
    <n v="1434"/>
    <n v="0"/>
  </r>
  <r>
    <x v="1"/>
    <x v="1"/>
    <x v="24"/>
    <x v="24"/>
    <n v="0"/>
    <n v="0"/>
    <n v="0"/>
    <n v="0"/>
    <n v="0"/>
  </r>
  <r>
    <x v="2"/>
    <x v="2"/>
    <x v="24"/>
    <x v="24"/>
    <n v="0"/>
    <n v="0"/>
    <n v="0"/>
    <n v="0"/>
    <n v="0"/>
  </r>
  <r>
    <x v="3"/>
    <x v="3"/>
    <x v="24"/>
    <x v="24"/>
    <n v="0"/>
    <n v="0"/>
    <n v="0"/>
    <n v="0"/>
    <n v="0"/>
  </r>
  <r>
    <x v="4"/>
    <x v="4"/>
    <x v="24"/>
    <x v="24"/>
    <n v="0"/>
    <n v="0"/>
    <n v="0"/>
    <n v="0"/>
    <n v="0"/>
  </r>
  <r>
    <x v="5"/>
    <x v="5"/>
    <x v="24"/>
    <x v="24"/>
    <n v="0"/>
    <n v="0"/>
    <n v="0"/>
    <n v="0"/>
    <n v="0"/>
  </r>
  <r>
    <x v="6"/>
    <x v="6"/>
    <x v="24"/>
    <x v="24"/>
    <n v="0"/>
    <n v="0"/>
    <n v="0"/>
    <n v="0"/>
    <n v="0"/>
  </r>
  <r>
    <x v="7"/>
    <x v="7"/>
    <x v="24"/>
    <x v="24"/>
    <n v="3128"/>
    <n v="143"/>
    <n v="0"/>
    <n v="20"/>
    <n v="2796"/>
  </r>
  <r>
    <x v="8"/>
    <x v="8"/>
    <x v="24"/>
    <x v="24"/>
    <n v="0"/>
    <n v="0"/>
    <n v="0"/>
    <n v="0"/>
    <n v="0"/>
  </r>
  <r>
    <x v="9"/>
    <x v="9"/>
    <x v="24"/>
    <x v="24"/>
    <n v="6063713"/>
    <n v="388354"/>
    <n v="0"/>
    <n v="81019"/>
    <n v="0"/>
  </r>
  <r>
    <x v="10"/>
    <x v="10"/>
    <x v="24"/>
    <x v="24"/>
    <n v="0"/>
    <n v="0"/>
    <n v="0"/>
    <n v="0"/>
    <n v="0"/>
  </r>
  <r>
    <x v="11"/>
    <x v="11"/>
    <x v="24"/>
    <x v="24"/>
    <n v="0"/>
    <n v="0"/>
    <n v="0"/>
    <n v="0"/>
    <n v="0"/>
  </r>
  <r>
    <x v="12"/>
    <x v="12"/>
    <x v="24"/>
    <x v="24"/>
    <n v="0"/>
    <n v="0"/>
    <n v="0"/>
    <n v="0"/>
    <n v="0"/>
  </r>
  <r>
    <x v="13"/>
    <x v="13"/>
    <x v="24"/>
    <x v="24"/>
    <n v="410497"/>
    <n v="43886"/>
    <n v="0"/>
    <n v="38553"/>
    <n v="36439"/>
  </r>
  <r>
    <x v="14"/>
    <x v="14"/>
    <x v="24"/>
    <x v="24"/>
    <n v="0"/>
    <n v="0"/>
    <n v="0"/>
    <n v="0"/>
    <n v="0"/>
  </r>
  <r>
    <x v="15"/>
    <x v="15"/>
    <x v="24"/>
    <x v="24"/>
    <n v="0"/>
    <n v="0"/>
    <n v="0"/>
    <n v="0"/>
    <n v="0"/>
  </r>
  <r>
    <x v="16"/>
    <x v="16"/>
    <x v="24"/>
    <x v="24"/>
    <n v="327252"/>
    <n v="213"/>
    <n v="27962"/>
    <n v="3157"/>
    <n v="77258"/>
  </r>
  <r>
    <x v="17"/>
    <x v="17"/>
    <x v="24"/>
    <x v="24"/>
    <n v="1572475"/>
    <n v="101313"/>
    <n v="100717"/>
    <n v="29048"/>
    <n v="0"/>
  </r>
  <r>
    <x v="18"/>
    <x v="18"/>
    <x v="24"/>
    <x v="24"/>
    <n v="10757"/>
    <n v="1020"/>
    <n v="336"/>
    <n v="151"/>
    <n v="0"/>
  </r>
  <r>
    <x v="19"/>
    <x v="19"/>
    <x v="24"/>
    <x v="24"/>
    <n v="0"/>
    <n v="0"/>
    <n v="0"/>
    <n v="0"/>
    <n v="0"/>
  </r>
  <r>
    <x v="20"/>
    <x v="20"/>
    <x v="24"/>
    <x v="24"/>
    <n v="0"/>
    <n v="0"/>
    <n v="0"/>
    <n v="0"/>
    <n v="0"/>
  </r>
  <r>
    <x v="21"/>
    <x v="21"/>
    <x v="24"/>
    <x v="24"/>
    <n v="0"/>
    <n v="0"/>
    <n v="0"/>
    <n v="0"/>
    <n v="0"/>
  </r>
  <r>
    <x v="22"/>
    <x v="22"/>
    <x v="24"/>
    <x v="24"/>
    <n v="28378"/>
    <n v="155"/>
    <n v="99"/>
    <n v="86"/>
    <n v="0"/>
  </r>
  <r>
    <x v="23"/>
    <x v="23"/>
    <x v="24"/>
    <x v="24"/>
    <n v="18632"/>
    <n v="3533"/>
    <n v="3717"/>
    <n v="100"/>
    <n v="0"/>
  </r>
  <r>
    <x v="24"/>
    <x v="24"/>
    <x v="24"/>
    <x v="24"/>
    <n v="88412212"/>
    <n v="6919846"/>
    <n v="6690020"/>
    <n v="1610924"/>
    <n v="65383657"/>
  </r>
  <r>
    <x v="25"/>
    <x v="25"/>
    <x v="24"/>
    <x v="24"/>
    <n v="5709"/>
    <n v="363"/>
    <n v="567"/>
    <n v="51"/>
    <n v="0"/>
  </r>
  <r>
    <x v="26"/>
    <x v="26"/>
    <x v="24"/>
    <x v="24"/>
    <n v="10463460"/>
    <n v="1290179"/>
    <n v="893131"/>
    <n v="237014"/>
    <n v="6133387"/>
  </r>
  <r>
    <x v="27"/>
    <x v="27"/>
    <x v="24"/>
    <x v="24"/>
    <n v="0"/>
    <n v="0"/>
    <n v="0"/>
    <n v="0"/>
    <n v="0"/>
  </r>
  <r>
    <x v="28"/>
    <x v="28"/>
    <x v="24"/>
    <x v="24"/>
    <n v="8219020"/>
    <n v="1123431"/>
    <n v="947057"/>
    <n v="130168"/>
    <n v="4934856"/>
  </r>
  <r>
    <x v="29"/>
    <x v="29"/>
    <x v="24"/>
    <x v="24"/>
    <n v="1807902"/>
    <n v="141482"/>
    <n v="120548"/>
    <n v="22231"/>
    <n v="325827"/>
  </r>
  <r>
    <x v="30"/>
    <x v="30"/>
    <x v="24"/>
    <x v="24"/>
    <n v="0"/>
    <n v="0"/>
    <n v="0"/>
    <n v="0"/>
    <n v="0"/>
  </r>
  <r>
    <x v="31"/>
    <x v="31"/>
    <x v="24"/>
    <x v="24"/>
    <n v="1890973"/>
    <n v="32897"/>
    <n v="45072"/>
    <n v="14756"/>
    <n v="876662"/>
  </r>
  <r>
    <x v="32"/>
    <x v="32"/>
    <x v="24"/>
    <x v="24"/>
    <n v="0"/>
    <n v="0"/>
    <n v="0"/>
    <n v="0"/>
    <n v="0"/>
  </r>
  <r>
    <x v="33"/>
    <x v="33"/>
    <x v="24"/>
    <x v="24"/>
    <n v="0"/>
    <n v="0"/>
    <n v="0"/>
    <n v="0"/>
    <n v="0"/>
  </r>
  <r>
    <x v="34"/>
    <x v="34"/>
    <x v="24"/>
    <x v="24"/>
    <n v="0"/>
    <n v="0"/>
    <n v="0"/>
    <n v="0"/>
    <n v="0"/>
  </r>
  <r>
    <x v="35"/>
    <x v="35"/>
    <x v="24"/>
    <x v="24"/>
    <n v="15867"/>
    <n v="514"/>
    <n v="495"/>
    <n v="0"/>
    <n v="9468"/>
  </r>
  <r>
    <x v="36"/>
    <x v="36"/>
    <x v="24"/>
    <x v="24"/>
    <n v="1398979"/>
    <n v="18862"/>
    <n v="39967"/>
    <n v="2683"/>
    <n v="1121681"/>
  </r>
  <r>
    <x v="37"/>
    <x v="37"/>
    <x v="24"/>
    <x v="24"/>
    <n v="1075781"/>
    <n v="39918"/>
    <n v="0"/>
    <n v="10559"/>
    <n v="0"/>
  </r>
  <r>
    <x v="38"/>
    <x v="38"/>
    <x v="24"/>
    <x v="24"/>
    <n v="188390"/>
    <n v="6430"/>
    <n v="0"/>
    <n v="1572"/>
    <n v="0"/>
  </r>
  <r>
    <x v="39"/>
    <x v="39"/>
    <x v="24"/>
    <x v="24"/>
    <n v="222659"/>
    <n v="0"/>
    <n v="0"/>
    <n v="0"/>
    <n v="0"/>
  </r>
  <r>
    <x v="40"/>
    <x v="40"/>
    <x v="24"/>
    <x v="24"/>
    <n v="0"/>
    <n v="0"/>
    <n v="0"/>
    <n v="0"/>
    <n v="0"/>
  </r>
  <r>
    <x v="41"/>
    <x v="41"/>
    <x v="24"/>
    <x v="24"/>
    <n v="0"/>
    <n v="0"/>
    <n v="0"/>
    <n v="0"/>
    <n v="0"/>
  </r>
  <r>
    <x v="42"/>
    <x v="42"/>
    <x v="24"/>
    <x v="24"/>
    <n v="0"/>
    <n v="0"/>
    <n v="0"/>
    <n v="0"/>
    <n v="0"/>
  </r>
  <r>
    <x v="43"/>
    <x v="43"/>
    <x v="24"/>
    <x v="24"/>
    <n v="390953"/>
    <n v="31611"/>
    <n v="51688"/>
    <n v="4080"/>
    <n v="0"/>
  </r>
  <r>
    <x v="44"/>
    <x v="44"/>
    <x v="24"/>
    <x v="24"/>
    <n v="5747087"/>
    <n v="3219"/>
    <n v="6157"/>
    <n v="1883"/>
    <n v="0"/>
  </r>
  <r>
    <x v="45"/>
    <x v="45"/>
    <x v="24"/>
    <x v="24"/>
    <n v="240453"/>
    <n v="0"/>
    <n v="0"/>
    <n v="0"/>
    <n v="0"/>
  </r>
  <r>
    <x v="46"/>
    <x v="46"/>
    <x v="24"/>
    <x v="24"/>
    <n v="166994"/>
    <n v="0"/>
    <n v="0"/>
    <n v="0"/>
    <n v="0"/>
  </r>
  <r>
    <x v="47"/>
    <x v="47"/>
    <x v="24"/>
    <x v="24"/>
    <n v="0"/>
    <n v="0"/>
    <n v="0"/>
    <n v="0"/>
    <n v="0"/>
  </r>
  <r>
    <x v="48"/>
    <x v="48"/>
    <x v="24"/>
    <x v="24"/>
    <n v="0"/>
    <n v="-10161757"/>
    <n v="-8927533"/>
    <n v="0"/>
    <n v="0"/>
  </r>
  <r>
    <x v="49"/>
    <x v="49"/>
    <x v="24"/>
    <x v="24"/>
    <n v="240779"/>
    <n v="0"/>
    <n v="0"/>
    <n v="0"/>
    <n v="0"/>
  </r>
  <r>
    <x v="50"/>
    <x v="50"/>
    <x v="24"/>
    <x v="24"/>
    <n v="418455"/>
    <n v="0"/>
    <n v="0"/>
    <n v="-2189489"/>
    <n v="0"/>
  </r>
  <r>
    <x v="51"/>
    <x v="51"/>
    <x v="24"/>
    <x v="24"/>
    <n v="410663"/>
    <n v="0"/>
    <n v="0"/>
    <n v="0"/>
    <n v="0"/>
  </r>
  <r>
    <x v="52"/>
    <x v="52"/>
    <x v="24"/>
    <x v="24"/>
    <n v="3399780"/>
    <n v="0"/>
    <n v="0"/>
    <n v="0"/>
    <n v="0"/>
  </r>
  <r>
    <x v="53"/>
    <x v="53"/>
    <x v="24"/>
    <x v="24"/>
    <n v="143569"/>
    <n v="0"/>
    <n v="0"/>
    <n v="0"/>
    <n v="0"/>
  </r>
  <r>
    <x v="54"/>
    <x v="54"/>
    <x v="24"/>
    <x v="24"/>
    <n v="5334616"/>
    <n v="0"/>
    <n v="0"/>
    <n v="0"/>
    <n v="0"/>
  </r>
  <r>
    <x v="55"/>
    <x v="55"/>
    <x v="24"/>
    <x v="24"/>
    <n v="279363"/>
    <n v="0"/>
    <n v="0"/>
    <n v="0"/>
    <n v="0"/>
  </r>
  <r>
    <x v="56"/>
    <x v="56"/>
    <x v="24"/>
    <x v="24"/>
    <n v="163777"/>
    <n v="0"/>
    <n v="0"/>
    <n v="0"/>
    <n v="0"/>
  </r>
  <r>
    <x v="57"/>
    <x v="57"/>
    <x v="24"/>
    <x v="24"/>
    <n v="885677"/>
    <n v="0"/>
    <n v="0"/>
    <n v="0"/>
    <n v="102627"/>
  </r>
  <r>
    <x v="58"/>
    <x v="58"/>
    <x v="24"/>
    <x v="24"/>
    <n v="140145752"/>
    <n v="0"/>
    <n v="0"/>
    <n v="0"/>
    <n v="79004658"/>
  </r>
  <r>
    <x v="59"/>
    <x v="59"/>
    <x v="24"/>
    <x v="24"/>
    <n v="16018297"/>
    <n v="0"/>
    <n v="0"/>
    <n v="0"/>
    <n v="0"/>
  </r>
  <r>
    <x v="60"/>
    <x v="60"/>
    <x v="24"/>
    <x v="24"/>
    <n v="26432469"/>
    <n v="0"/>
    <n v="0"/>
    <n v="0"/>
    <n v="0"/>
  </r>
  <r>
    <x v="61"/>
    <x v="61"/>
    <x v="24"/>
    <x v="24"/>
    <n v="13748888"/>
    <n v="0"/>
    <n v="0"/>
    <n v="0"/>
    <n v="0"/>
  </r>
  <r>
    <x v="62"/>
    <x v="62"/>
    <x v="24"/>
    <x v="24"/>
    <n v="4237165"/>
    <n v="0"/>
    <n v="0"/>
    <n v="0"/>
    <n v="0"/>
  </r>
  <r>
    <x v="63"/>
    <x v="63"/>
    <x v="24"/>
    <x v="24"/>
    <n v="60436819"/>
    <n v="0"/>
    <n v="0"/>
    <n v="0"/>
    <n v="0"/>
  </r>
  <r>
    <x v="64"/>
    <x v="64"/>
    <x v="24"/>
    <x v="24"/>
    <n v="200582571"/>
    <n v="0"/>
    <n v="0"/>
    <n v="0"/>
    <n v="0"/>
  </r>
  <r>
    <x v="0"/>
    <x v="0"/>
    <x v="25"/>
    <x v="25"/>
    <n v="0"/>
    <n v="0"/>
    <n v="0"/>
    <n v="0"/>
    <n v="0"/>
  </r>
  <r>
    <x v="1"/>
    <x v="1"/>
    <x v="25"/>
    <x v="25"/>
    <n v="0"/>
    <n v="0"/>
    <n v="0"/>
    <n v="0"/>
    <n v="0"/>
  </r>
  <r>
    <x v="2"/>
    <x v="2"/>
    <x v="25"/>
    <x v="25"/>
    <n v="0"/>
    <n v="0"/>
    <n v="0"/>
    <n v="0"/>
    <n v="0"/>
  </r>
  <r>
    <x v="3"/>
    <x v="3"/>
    <x v="25"/>
    <x v="25"/>
    <n v="0"/>
    <n v="0"/>
    <n v="0"/>
    <n v="0"/>
    <n v="0"/>
  </r>
  <r>
    <x v="4"/>
    <x v="4"/>
    <x v="25"/>
    <x v="25"/>
    <n v="0"/>
    <n v="0"/>
    <n v="0"/>
    <n v="0"/>
    <n v="0"/>
  </r>
  <r>
    <x v="5"/>
    <x v="5"/>
    <x v="25"/>
    <x v="25"/>
    <n v="0"/>
    <n v="0"/>
    <n v="0"/>
    <n v="0"/>
    <n v="0"/>
  </r>
  <r>
    <x v="6"/>
    <x v="6"/>
    <x v="25"/>
    <x v="25"/>
    <n v="0"/>
    <n v="0"/>
    <n v="0"/>
    <n v="0"/>
    <n v="0"/>
  </r>
  <r>
    <x v="7"/>
    <x v="7"/>
    <x v="25"/>
    <x v="25"/>
    <n v="0"/>
    <n v="0"/>
    <n v="0"/>
    <n v="0"/>
    <n v="0"/>
  </r>
  <r>
    <x v="8"/>
    <x v="8"/>
    <x v="25"/>
    <x v="25"/>
    <n v="0"/>
    <n v="0"/>
    <n v="0"/>
    <n v="0"/>
    <n v="0"/>
  </r>
  <r>
    <x v="9"/>
    <x v="9"/>
    <x v="25"/>
    <x v="25"/>
    <n v="0"/>
    <n v="0"/>
    <n v="0"/>
    <n v="0"/>
    <n v="0"/>
  </r>
  <r>
    <x v="10"/>
    <x v="10"/>
    <x v="25"/>
    <x v="25"/>
    <n v="0"/>
    <n v="0"/>
    <n v="0"/>
    <n v="0"/>
    <n v="0"/>
  </r>
  <r>
    <x v="11"/>
    <x v="11"/>
    <x v="25"/>
    <x v="25"/>
    <n v="0"/>
    <n v="0"/>
    <n v="0"/>
    <n v="0"/>
    <n v="0"/>
  </r>
  <r>
    <x v="12"/>
    <x v="12"/>
    <x v="25"/>
    <x v="25"/>
    <n v="0"/>
    <n v="0"/>
    <n v="0"/>
    <n v="0"/>
    <n v="0"/>
  </r>
  <r>
    <x v="13"/>
    <x v="13"/>
    <x v="25"/>
    <x v="25"/>
    <n v="0"/>
    <n v="0"/>
    <n v="0"/>
    <n v="0"/>
    <n v="0"/>
  </r>
  <r>
    <x v="14"/>
    <x v="14"/>
    <x v="25"/>
    <x v="25"/>
    <n v="0"/>
    <n v="0"/>
    <n v="0"/>
    <n v="0"/>
    <n v="0"/>
  </r>
  <r>
    <x v="15"/>
    <x v="15"/>
    <x v="25"/>
    <x v="25"/>
    <n v="0"/>
    <n v="0"/>
    <n v="0"/>
    <n v="0"/>
    <n v="0"/>
  </r>
  <r>
    <x v="16"/>
    <x v="16"/>
    <x v="25"/>
    <x v="25"/>
    <n v="679"/>
    <n v="26"/>
    <n v="128"/>
    <n v="5"/>
    <n v="0"/>
  </r>
  <r>
    <x v="17"/>
    <x v="17"/>
    <x v="25"/>
    <x v="25"/>
    <n v="0"/>
    <n v="0"/>
    <n v="0"/>
    <n v="0"/>
    <n v="0"/>
  </r>
  <r>
    <x v="18"/>
    <x v="18"/>
    <x v="25"/>
    <x v="25"/>
    <n v="0"/>
    <n v="0"/>
    <n v="0"/>
    <n v="0"/>
    <n v="0"/>
  </r>
  <r>
    <x v="19"/>
    <x v="19"/>
    <x v="25"/>
    <x v="25"/>
    <n v="0"/>
    <n v="0"/>
    <n v="0"/>
    <n v="0"/>
    <n v="0"/>
  </r>
  <r>
    <x v="20"/>
    <x v="20"/>
    <x v="25"/>
    <x v="25"/>
    <n v="0"/>
    <n v="0"/>
    <n v="0"/>
    <n v="0"/>
    <n v="0"/>
  </r>
  <r>
    <x v="21"/>
    <x v="21"/>
    <x v="25"/>
    <x v="25"/>
    <n v="0"/>
    <n v="0"/>
    <n v="0"/>
    <n v="0"/>
    <n v="0"/>
  </r>
  <r>
    <x v="22"/>
    <x v="22"/>
    <x v="25"/>
    <x v="25"/>
    <n v="8508"/>
    <n v="1171"/>
    <n v="388"/>
    <n v="19"/>
    <n v="0"/>
  </r>
  <r>
    <x v="23"/>
    <x v="23"/>
    <x v="25"/>
    <x v="25"/>
    <n v="0"/>
    <n v="0"/>
    <n v="0"/>
    <n v="0"/>
    <n v="0"/>
  </r>
  <r>
    <x v="24"/>
    <x v="24"/>
    <x v="25"/>
    <x v="25"/>
    <n v="28566506"/>
    <n v="2896181"/>
    <n v="1707876"/>
    <n v="479595"/>
    <n v="19521956"/>
  </r>
  <r>
    <x v="25"/>
    <x v="25"/>
    <x v="25"/>
    <x v="25"/>
    <n v="88813"/>
    <n v="9331"/>
    <n v="18663"/>
    <n v="955"/>
    <n v="37262"/>
  </r>
  <r>
    <x v="26"/>
    <x v="26"/>
    <x v="25"/>
    <x v="25"/>
    <n v="128175"/>
    <n v="11487"/>
    <n v="7782"/>
    <n v="2034"/>
    <n v="51591"/>
  </r>
  <r>
    <x v="27"/>
    <x v="27"/>
    <x v="25"/>
    <x v="25"/>
    <n v="0"/>
    <n v="0"/>
    <n v="0"/>
    <n v="0"/>
    <n v="0"/>
  </r>
  <r>
    <x v="28"/>
    <x v="28"/>
    <x v="25"/>
    <x v="25"/>
    <n v="14181536"/>
    <n v="1282445"/>
    <n v="1246364"/>
    <n v="181757"/>
    <n v="10678065"/>
  </r>
  <r>
    <x v="29"/>
    <x v="29"/>
    <x v="25"/>
    <x v="25"/>
    <n v="376511"/>
    <n v="28914"/>
    <n v="28662"/>
    <n v="3418"/>
    <n v="66074"/>
  </r>
  <r>
    <x v="30"/>
    <x v="30"/>
    <x v="25"/>
    <x v="25"/>
    <n v="0"/>
    <n v="0"/>
    <n v="0"/>
    <n v="0"/>
    <n v="0"/>
  </r>
  <r>
    <x v="31"/>
    <x v="31"/>
    <x v="25"/>
    <x v="25"/>
    <n v="2314611"/>
    <n v="75969"/>
    <n v="80631"/>
    <n v="16550"/>
    <n v="1105522"/>
  </r>
  <r>
    <x v="32"/>
    <x v="32"/>
    <x v="25"/>
    <x v="25"/>
    <n v="0"/>
    <n v="0"/>
    <n v="0"/>
    <n v="0"/>
    <n v="0"/>
  </r>
  <r>
    <x v="33"/>
    <x v="33"/>
    <x v="25"/>
    <x v="25"/>
    <n v="0"/>
    <n v="0"/>
    <n v="0"/>
    <n v="0"/>
    <n v="0"/>
  </r>
  <r>
    <x v="34"/>
    <x v="34"/>
    <x v="25"/>
    <x v="25"/>
    <n v="0"/>
    <n v="0"/>
    <n v="0"/>
    <n v="0"/>
    <n v="0"/>
  </r>
  <r>
    <x v="35"/>
    <x v="35"/>
    <x v="25"/>
    <x v="25"/>
    <n v="204007"/>
    <n v="12065"/>
    <n v="4246"/>
    <n v="320"/>
    <n v="121360"/>
  </r>
  <r>
    <x v="36"/>
    <x v="36"/>
    <x v="25"/>
    <x v="25"/>
    <n v="886601"/>
    <n v="15977"/>
    <n v="29343"/>
    <n v="1935"/>
    <n v="699630"/>
  </r>
  <r>
    <x v="37"/>
    <x v="37"/>
    <x v="25"/>
    <x v="25"/>
    <n v="424837"/>
    <n v="30028"/>
    <n v="0"/>
    <n v="6809"/>
    <n v="0"/>
  </r>
  <r>
    <x v="38"/>
    <x v="38"/>
    <x v="25"/>
    <x v="25"/>
    <n v="250248"/>
    <n v="9359"/>
    <n v="0"/>
    <n v="2138"/>
    <n v="0"/>
  </r>
  <r>
    <x v="39"/>
    <x v="39"/>
    <x v="25"/>
    <x v="25"/>
    <n v="62601"/>
    <n v="0"/>
    <n v="0"/>
    <n v="0"/>
    <n v="0"/>
  </r>
  <r>
    <x v="40"/>
    <x v="40"/>
    <x v="25"/>
    <x v="25"/>
    <n v="0"/>
    <n v="0"/>
    <n v="0"/>
    <n v="0"/>
    <n v="0"/>
  </r>
  <r>
    <x v="41"/>
    <x v="41"/>
    <x v="25"/>
    <x v="25"/>
    <n v="0"/>
    <n v="0"/>
    <n v="0"/>
    <n v="0"/>
    <n v="0"/>
  </r>
  <r>
    <x v="42"/>
    <x v="42"/>
    <x v="25"/>
    <x v="25"/>
    <n v="0"/>
    <n v="0"/>
    <n v="0"/>
    <n v="0"/>
    <n v="0"/>
  </r>
  <r>
    <x v="43"/>
    <x v="43"/>
    <x v="25"/>
    <x v="25"/>
    <n v="665214"/>
    <n v="44009"/>
    <n v="40307"/>
    <n v="7103"/>
    <n v="244248"/>
  </r>
  <r>
    <x v="44"/>
    <x v="44"/>
    <x v="25"/>
    <x v="25"/>
    <n v="1632622"/>
    <n v="44"/>
    <n v="96"/>
    <n v="27"/>
    <n v="0"/>
  </r>
  <r>
    <x v="45"/>
    <x v="45"/>
    <x v="25"/>
    <x v="25"/>
    <n v="21459"/>
    <n v="0"/>
    <n v="0"/>
    <n v="0"/>
    <n v="0"/>
  </r>
  <r>
    <x v="46"/>
    <x v="46"/>
    <x v="25"/>
    <x v="25"/>
    <n v="76735"/>
    <n v="0"/>
    <n v="0"/>
    <n v="0"/>
    <n v="0"/>
  </r>
  <r>
    <x v="47"/>
    <x v="47"/>
    <x v="25"/>
    <x v="25"/>
    <n v="0"/>
    <n v="0"/>
    <n v="0"/>
    <n v="0"/>
    <n v="0"/>
  </r>
  <r>
    <x v="48"/>
    <x v="48"/>
    <x v="25"/>
    <x v="25"/>
    <n v="0"/>
    <n v="-4417006"/>
    <n v="-3164486"/>
    <n v="0"/>
    <n v="0"/>
  </r>
  <r>
    <x v="49"/>
    <x v="49"/>
    <x v="25"/>
    <x v="25"/>
    <n v="93809"/>
    <n v="0"/>
    <n v="0"/>
    <n v="0"/>
    <n v="0"/>
  </r>
  <r>
    <x v="50"/>
    <x v="50"/>
    <x v="25"/>
    <x v="25"/>
    <n v="68875"/>
    <n v="0"/>
    <n v="0"/>
    <n v="-702665"/>
    <n v="0"/>
  </r>
  <r>
    <x v="51"/>
    <x v="51"/>
    <x v="25"/>
    <x v="25"/>
    <n v="68918"/>
    <n v="0"/>
    <n v="0"/>
    <n v="0"/>
    <n v="0"/>
  </r>
  <r>
    <x v="52"/>
    <x v="52"/>
    <x v="25"/>
    <x v="25"/>
    <n v="777491"/>
    <n v="0"/>
    <n v="0"/>
    <n v="0"/>
    <n v="0"/>
  </r>
  <r>
    <x v="53"/>
    <x v="53"/>
    <x v="25"/>
    <x v="25"/>
    <n v="109412"/>
    <n v="0"/>
    <n v="0"/>
    <n v="0"/>
    <n v="0"/>
  </r>
  <r>
    <x v="54"/>
    <x v="54"/>
    <x v="25"/>
    <x v="25"/>
    <n v="1498435"/>
    <n v="0"/>
    <n v="0"/>
    <n v="0"/>
    <n v="0"/>
  </r>
  <r>
    <x v="55"/>
    <x v="55"/>
    <x v="25"/>
    <x v="25"/>
    <n v="24482"/>
    <n v="0"/>
    <n v="0"/>
    <n v="0"/>
    <n v="0"/>
  </r>
  <r>
    <x v="56"/>
    <x v="56"/>
    <x v="25"/>
    <x v="25"/>
    <n v="135931"/>
    <n v="0"/>
    <n v="0"/>
    <n v="0"/>
    <n v="0"/>
  </r>
  <r>
    <x v="57"/>
    <x v="57"/>
    <x v="25"/>
    <x v="25"/>
    <n v="579607"/>
    <n v="0"/>
    <n v="0"/>
    <n v="0"/>
    <n v="61085"/>
  </r>
  <r>
    <x v="58"/>
    <x v="58"/>
    <x v="25"/>
    <x v="25"/>
    <n v="53246623"/>
    <n v="0"/>
    <n v="0"/>
    <n v="0"/>
    <n v="32586793"/>
  </r>
  <r>
    <x v="59"/>
    <x v="59"/>
    <x v="25"/>
    <x v="25"/>
    <n v="8521990"/>
    <n v="0"/>
    <n v="0"/>
    <n v="0"/>
    <n v="0"/>
  </r>
  <r>
    <x v="60"/>
    <x v="60"/>
    <x v="25"/>
    <x v="25"/>
    <n v="9746331"/>
    <n v="0"/>
    <n v="0"/>
    <n v="0"/>
    <n v="0"/>
  </r>
  <r>
    <x v="61"/>
    <x v="61"/>
    <x v="25"/>
    <x v="25"/>
    <n v="5121897"/>
    <n v="0"/>
    <n v="0"/>
    <n v="0"/>
    <n v="0"/>
  </r>
  <r>
    <x v="62"/>
    <x v="62"/>
    <x v="25"/>
    <x v="25"/>
    <n v="1678479"/>
    <n v="0"/>
    <n v="0"/>
    <n v="0"/>
    <n v="0"/>
  </r>
  <r>
    <x v="63"/>
    <x v="63"/>
    <x v="25"/>
    <x v="25"/>
    <n v="25068697"/>
    <n v="0"/>
    <n v="0"/>
    <n v="0"/>
    <n v="0"/>
  </r>
  <r>
    <x v="64"/>
    <x v="64"/>
    <x v="25"/>
    <x v="25"/>
    <n v="78315320"/>
    <n v="0"/>
    <n v="0"/>
    <n v="0"/>
    <n v="0"/>
  </r>
  <r>
    <x v="0"/>
    <x v="0"/>
    <x v="26"/>
    <x v="26"/>
    <n v="0"/>
    <n v="0"/>
    <n v="0"/>
    <n v="0"/>
    <n v="0"/>
  </r>
  <r>
    <x v="1"/>
    <x v="1"/>
    <x v="26"/>
    <x v="26"/>
    <n v="0"/>
    <n v="0"/>
    <n v="0"/>
    <n v="0"/>
    <n v="0"/>
  </r>
  <r>
    <x v="2"/>
    <x v="2"/>
    <x v="26"/>
    <x v="26"/>
    <n v="0"/>
    <n v="0"/>
    <n v="0"/>
    <n v="0"/>
    <n v="0"/>
  </r>
  <r>
    <x v="3"/>
    <x v="3"/>
    <x v="26"/>
    <x v="26"/>
    <n v="0"/>
    <n v="0"/>
    <n v="0"/>
    <n v="0"/>
    <n v="0"/>
  </r>
  <r>
    <x v="4"/>
    <x v="4"/>
    <x v="26"/>
    <x v="26"/>
    <n v="1104460"/>
    <n v="90758"/>
    <n v="0"/>
    <n v="25277"/>
    <n v="0"/>
  </r>
  <r>
    <x v="5"/>
    <x v="5"/>
    <x v="26"/>
    <x v="26"/>
    <n v="0"/>
    <n v="0"/>
    <n v="0"/>
    <n v="0"/>
    <n v="0"/>
  </r>
  <r>
    <x v="6"/>
    <x v="6"/>
    <x v="26"/>
    <x v="26"/>
    <n v="0"/>
    <n v="0"/>
    <n v="0"/>
    <n v="0"/>
    <n v="0"/>
  </r>
  <r>
    <x v="7"/>
    <x v="7"/>
    <x v="26"/>
    <x v="26"/>
    <n v="0"/>
    <n v="0"/>
    <n v="0"/>
    <n v="0"/>
    <n v="0"/>
  </r>
  <r>
    <x v="8"/>
    <x v="8"/>
    <x v="26"/>
    <x v="26"/>
    <n v="0"/>
    <n v="0"/>
    <n v="0"/>
    <n v="0"/>
    <n v="0"/>
  </r>
  <r>
    <x v="9"/>
    <x v="9"/>
    <x v="26"/>
    <x v="26"/>
    <n v="0"/>
    <n v="0"/>
    <n v="0"/>
    <n v="0"/>
    <n v="0"/>
  </r>
  <r>
    <x v="10"/>
    <x v="10"/>
    <x v="26"/>
    <x v="26"/>
    <n v="0"/>
    <n v="0"/>
    <n v="0"/>
    <n v="0"/>
    <n v="0"/>
  </r>
  <r>
    <x v="11"/>
    <x v="11"/>
    <x v="26"/>
    <x v="26"/>
    <n v="3145740"/>
    <n v="35208"/>
    <n v="0"/>
    <n v="19583"/>
    <n v="2375183"/>
  </r>
  <r>
    <x v="12"/>
    <x v="12"/>
    <x v="26"/>
    <x v="26"/>
    <n v="1096937"/>
    <n v="122013"/>
    <n v="0"/>
    <n v="28398"/>
    <n v="0"/>
  </r>
  <r>
    <x v="13"/>
    <x v="13"/>
    <x v="26"/>
    <x v="26"/>
    <n v="7405932"/>
    <n v="264210"/>
    <n v="61494"/>
    <n v="511882"/>
    <n v="2492525"/>
  </r>
  <r>
    <x v="14"/>
    <x v="14"/>
    <x v="26"/>
    <x v="26"/>
    <n v="0"/>
    <n v="0"/>
    <n v="0"/>
    <n v="0"/>
    <n v="0"/>
  </r>
  <r>
    <x v="15"/>
    <x v="15"/>
    <x v="26"/>
    <x v="26"/>
    <n v="578705"/>
    <n v="26504"/>
    <n v="16276"/>
    <n v="5383"/>
    <n v="0"/>
  </r>
  <r>
    <x v="16"/>
    <x v="16"/>
    <x v="26"/>
    <x v="26"/>
    <n v="2552134"/>
    <n v="24843"/>
    <n v="86178"/>
    <n v="19711"/>
    <n v="883765"/>
  </r>
  <r>
    <x v="17"/>
    <x v="17"/>
    <x v="26"/>
    <x v="26"/>
    <n v="449265"/>
    <n v="2573"/>
    <n v="1738"/>
    <n v="4722"/>
    <n v="241235"/>
  </r>
  <r>
    <x v="18"/>
    <x v="18"/>
    <x v="26"/>
    <x v="26"/>
    <n v="0"/>
    <n v="0"/>
    <n v="0"/>
    <n v="0"/>
    <n v="0"/>
  </r>
  <r>
    <x v="19"/>
    <x v="19"/>
    <x v="26"/>
    <x v="26"/>
    <n v="0"/>
    <n v="0"/>
    <n v="0"/>
    <n v="0"/>
    <n v="0"/>
  </r>
  <r>
    <x v="20"/>
    <x v="20"/>
    <x v="26"/>
    <x v="26"/>
    <n v="0"/>
    <n v="0"/>
    <n v="0"/>
    <n v="0"/>
    <n v="0"/>
  </r>
  <r>
    <x v="21"/>
    <x v="21"/>
    <x v="26"/>
    <x v="26"/>
    <n v="0"/>
    <n v="0"/>
    <n v="0"/>
    <n v="0"/>
    <n v="0"/>
  </r>
  <r>
    <x v="22"/>
    <x v="22"/>
    <x v="26"/>
    <x v="26"/>
    <n v="2282326"/>
    <n v="206779"/>
    <n v="90792"/>
    <n v="25599"/>
    <n v="0"/>
  </r>
  <r>
    <x v="23"/>
    <x v="23"/>
    <x v="26"/>
    <x v="26"/>
    <n v="75193"/>
    <n v="2268"/>
    <n v="10584"/>
    <n v="839"/>
    <n v="17"/>
  </r>
  <r>
    <x v="24"/>
    <x v="24"/>
    <x v="26"/>
    <x v="26"/>
    <n v="1705075"/>
    <n v="197167"/>
    <n v="178805"/>
    <n v="27660"/>
    <n v="0"/>
  </r>
  <r>
    <x v="25"/>
    <x v="25"/>
    <x v="26"/>
    <x v="26"/>
    <n v="31186"/>
    <n v="671"/>
    <n v="1512"/>
    <n v="222"/>
    <n v="0"/>
  </r>
  <r>
    <x v="26"/>
    <x v="26"/>
    <x v="26"/>
    <x v="26"/>
    <n v="322888358"/>
    <n v="21984937"/>
    <n v="11293600"/>
    <n v="3510931"/>
    <n v="186932063"/>
  </r>
  <r>
    <x v="27"/>
    <x v="27"/>
    <x v="26"/>
    <x v="26"/>
    <n v="0"/>
    <n v="0"/>
    <n v="0"/>
    <n v="0"/>
    <n v="0"/>
  </r>
  <r>
    <x v="28"/>
    <x v="28"/>
    <x v="26"/>
    <x v="26"/>
    <n v="2518926"/>
    <n v="160574"/>
    <n v="133705"/>
    <n v="22329"/>
    <n v="395707"/>
  </r>
  <r>
    <x v="29"/>
    <x v="29"/>
    <x v="26"/>
    <x v="26"/>
    <n v="77861438"/>
    <n v="3072915"/>
    <n v="3686827"/>
    <n v="686340"/>
    <n v="14937744"/>
  </r>
  <r>
    <x v="30"/>
    <x v="30"/>
    <x v="26"/>
    <x v="26"/>
    <n v="0"/>
    <n v="0"/>
    <n v="0"/>
    <n v="0"/>
    <n v="0"/>
  </r>
  <r>
    <x v="31"/>
    <x v="31"/>
    <x v="26"/>
    <x v="26"/>
    <n v="7078957"/>
    <n v="147164"/>
    <n v="223506"/>
    <n v="49695"/>
    <n v="2363049"/>
  </r>
  <r>
    <x v="32"/>
    <x v="32"/>
    <x v="26"/>
    <x v="26"/>
    <n v="566331"/>
    <n v="32573"/>
    <n v="22881"/>
    <n v="8205"/>
    <n v="0"/>
  </r>
  <r>
    <x v="33"/>
    <x v="33"/>
    <x v="26"/>
    <x v="26"/>
    <n v="107335"/>
    <n v="12061"/>
    <n v="13801"/>
    <n v="1284"/>
    <n v="0"/>
  </r>
  <r>
    <x v="34"/>
    <x v="34"/>
    <x v="26"/>
    <x v="26"/>
    <n v="0"/>
    <n v="0"/>
    <n v="0"/>
    <n v="0"/>
    <n v="0"/>
  </r>
  <r>
    <x v="35"/>
    <x v="35"/>
    <x v="26"/>
    <x v="26"/>
    <n v="63912"/>
    <n v="3827"/>
    <n v="1857"/>
    <n v="107"/>
    <n v="37822"/>
  </r>
  <r>
    <x v="36"/>
    <x v="36"/>
    <x v="26"/>
    <x v="26"/>
    <n v="1741644"/>
    <n v="17522"/>
    <n v="42273"/>
    <n v="3955"/>
    <n v="1441185"/>
  </r>
  <r>
    <x v="37"/>
    <x v="37"/>
    <x v="26"/>
    <x v="26"/>
    <n v="6946020"/>
    <n v="387468"/>
    <n v="0"/>
    <n v="71980"/>
    <n v="2597802"/>
  </r>
  <r>
    <x v="38"/>
    <x v="38"/>
    <x v="26"/>
    <x v="26"/>
    <n v="459977"/>
    <n v="20888"/>
    <n v="14166"/>
    <n v="4955"/>
    <n v="0"/>
  </r>
  <r>
    <x v="39"/>
    <x v="39"/>
    <x v="26"/>
    <x v="26"/>
    <n v="1553153"/>
    <n v="0"/>
    <n v="0"/>
    <n v="0"/>
    <n v="0"/>
  </r>
  <r>
    <x v="40"/>
    <x v="40"/>
    <x v="26"/>
    <x v="26"/>
    <n v="0"/>
    <n v="0"/>
    <n v="0"/>
    <n v="0"/>
    <n v="0"/>
  </r>
  <r>
    <x v="41"/>
    <x v="41"/>
    <x v="26"/>
    <x v="26"/>
    <n v="0"/>
    <n v="0"/>
    <n v="0"/>
    <n v="0"/>
    <n v="0"/>
  </r>
  <r>
    <x v="42"/>
    <x v="42"/>
    <x v="26"/>
    <x v="26"/>
    <n v="0"/>
    <n v="0"/>
    <n v="0"/>
    <n v="0"/>
    <n v="0"/>
  </r>
  <r>
    <x v="43"/>
    <x v="43"/>
    <x v="26"/>
    <x v="26"/>
    <n v="627273"/>
    <n v="45542"/>
    <n v="54297"/>
    <n v="6797"/>
    <n v="0"/>
  </r>
  <r>
    <x v="44"/>
    <x v="44"/>
    <x v="26"/>
    <x v="26"/>
    <n v="69114559"/>
    <n v="450891"/>
    <n v="783340"/>
    <n v="101797"/>
    <n v="18481184"/>
  </r>
  <r>
    <x v="45"/>
    <x v="45"/>
    <x v="26"/>
    <x v="26"/>
    <n v="1042790"/>
    <n v="0"/>
    <n v="0"/>
    <n v="0"/>
    <n v="0"/>
  </r>
  <r>
    <x v="46"/>
    <x v="46"/>
    <x v="26"/>
    <x v="26"/>
    <n v="561669"/>
    <n v="0"/>
    <n v="0"/>
    <n v="0"/>
    <n v="0"/>
  </r>
  <r>
    <x v="47"/>
    <x v="47"/>
    <x v="26"/>
    <x v="26"/>
    <n v="0"/>
    <n v="0"/>
    <n v="0"/>
    <n v="0"/>
    <n v="0"/>
  </r>
  <r>
    <x v="48"/>
    <x v="48"/>
    <x v="26"/>
    <x v="26"/>
    <n v="0"/>
    <n v="-27309356"/>
    <n v="-16717632"/>
    <n v="0"/>
    <n v="0"/>
  </r>
  <r>
    <x v="49"/>
    <x v="49"/>
    <x v="26"/>
    <x v="26"/>
    <n v="1233718"/>
    <n v="0"/>
    <n v="0"/>
    <n v="0"/>
    <n v="0"/>
  </r>
  <r>
    <x v="50"/>
    <x v="50"/>
    <x v="26"/>
    <x v="26"/>
    <n v="1723082"/>
    <n v="0"/>
    <n v="0"/>
    <n v="-5137651"/>
    <n v="0"/>
  </r>
  <r>
    <x v="51"/>
    <x v="51"/>
    <x v="26"/>
    <x v="26"/>
    <n v="757746"/>
    <n v="0"/>
    <n v="0"/>
    <n v="0"/>
    <n v="0"/>
  </r>
  <r>
    <x v="52"/>
    <x v="52"/>
    <x v="26"/>
    <x v="26"/>
    <n v="17418531"/>
    <n v="0"/>
    <n v="0"/>
    <n v="0"/>
    <n v="0"/>
  </r>
  <r>
    <x v="53"/>
    <x v="53"/>
    <x v="26"/>
    <x v="26"/>
    <n v="464674"/>
    <n v="0"/>
    <n v="0"/>
    <n v="0"/>
    <n v="0"/>
  </r>
  <r>
    <x v="54"/>
    <x v="54"/>
    <x v="26"/>
    <x v="26"/>
    <n v="18373459"/>
    <n v="0"/>
    <n v="0"/>
    <n v="0"/>
    <n v="0"/>
  </r>
  <r>
    <x v="55"/>
    <x v="55"/>
    <x v="26"/>
    <x v="26"/>
    <n v="619258"/>
    <n v="0"/>
    <n v="0"/>
    <n v="0"/>
    <n v="0"/>
  </r>
  <r>
    <x v="56"/>
    <x v="56"/>
    <x v="26"/>
    <x v="26"/>
    <n v="551059"/>
    <n v="0"/>
    <n v="0"/>
    <n v="0"/>
    <n v="0"/>
  </r>
  <r>
    <x v="57"/>
    <x v="57"/>
    <x v="26"/>
    <x v="26"/>
    <n v="2023470"/>
    <n v="0"/>
    <n v="0"/>
    <n v="0"/>
    <n v="206616"/>
  </r>
  <r>
    <x v="58"/>
    <x v="58"/>
    <x v="26"/>
    <x v="26"/>
    <n v="556724292"/>
    <n v="0"/>
    <n v="0"/>
    <n v="0"/>
    <n v="233385897"/>
  </r>
  <r>
    <x v="59"/>
    <x v="59"/>
    <x v="26"/>
    <x v="26"/>
    <n v="86118488"/>
    <n v="0"/>
    <n v="0"/>
    <n v="0"/>
    <n v="0"/>
  </r>
  <r>
    <x v="60"/>
    <x v="60"/>
    <x v="26"/>
    <x v="26"/>
    <n v="113625088"/>
    <n v="0"/>
    <n v="0"/>
    <n v="0"/>
    <n v="0"/>
  </r>
  <r>
    <x v="61"/>
    <x v="61"/>
    <x v="26"/>
    <x v="26"/>
    <n v="58052753"/>
    <n v="0"/>
    <n v="0"/>
    <n v="0"/>
    <n v="0"/>
  </r>
  <r>
    <x v="62"/>
    <x v="62"/>
    <x v="26"/>
    <x v="26"/>
    <n v="20642223"/>
    <n v="0"/>
    <n v="0"/>
    <n v="0"/>
    <n v="0"/>
  </r>
  <r>
    <x v="63"/>
    <x v="63"/>
    <x v="26"/>
    <x v="26"/>
    <n v="278438552"/>
    <n v="0"/>
    <n v="0"/>
    <n v="0"/>
    <n v="0"/>
  </r>
  <r>
    <x v="64"/>
    <x v="64"/>
    <x v="26"/>
    <x v="26"/>
    <n v="835162844"/>
    <n v="0"/>
    <n v="0"/>
    <n v="0"/>
    <n v="0"/>
  </r>
  <r>
    <x v="0"/>
    <x v="0"/>
    <x v="27"/>
    <x v="27"/>
    <n v="288979"/>
    <n v="13067"/>
    <n v="0"/>
    <n v="1789"/>
    <n v="0"/>
  </r>
  <r>
    <x v="1"/>
    <x v="1"/>
    <x v="27"/>
    <x v="27"/>
    <n v="41504"/>
    <n v="1366"/>
    <n v="0"/>
    <n v="296"/>
    <n v="0"/>
  </r>
  <r>
    <x v="2"/>
    <x v="2"/>
    <x v="27"/>
    <x v="27"/>
    <n v="0"/>
    <n v="0"/>
    <n v="0"/>
    <n v="0"/>
    <n v="0"/>
  </r>
  <r>
    <x v="3"/>
    <x v="3"/>
    <x v="27"/>
    <x v="27"/>
    <n v="480022"/>
    <n v="22870"/>
    <n v="5651"/>
    <n v="754"/>
    <n v="378983"/>
  </r>
  <r>
    <x v="4"/>
    <x v="4"/>
    <x v="27"/>
    <x v="27"/>
    <n v="3988"/>
    <n v="342"/>
    <n v="0"/>
    <n v="0"/>
    <n v="0"/>
  </r>
  <r>
    <x v="5"/>
    <x v="5"/>
    <x v="27"/>
    <x v="27"/>
    <n v="2232"/>
    <n v="0"/>
    <n v="0"/>
    <n v="0"/>
    <n v="0"/>
  </r>
  <r>
    <x v="6"/>
    <x v="6"/>
    <x v="27"/>
    <x v="27"/>
    <n v="0"/>
    <n v="0"/>
    <n v="0"/>
    <n v="0"/>
    <n v="0"/>
  </r>
  <r>
    <x v="7"/>
    <x v="7"/>
    <x v="27"/>
    <x v="27"/>
    <n v="163081"/>
    <n v="6089"/>
    <n v="1499"/>
    <n v="1630"/>
    <n v="2392"/>
  </r>
  <r>
    <x v="8"/>
    <x v="8"/>
    <x v="27"/>
    <x v="27"/>
    <n v="284322"/>
    <n v="7203"/>
    <n v="1683"/>
    <n v="577"/>
    <n v="0"/>
  </r>
  <r>
    <x v="9"/>
    <x v="9"/>
    <x v="27"/>
    <x v="27"/>
    <n v="15938"/>
    <n v="784"/>
    <n v="855"/>
    <n v="118"/>
    <n v="0"/>
  </r>
  <r>
    <x v="10"/>
    <x v="10"/>
    <x v="27"/>
    <x v="27"/>
    <n v="0"/>
    <n v="0"/>
    <n v="0"/>
    <n v="0"/>
    <n v="0"/>
  </r>
  <r>
    <x v="11"/>
    <x v="11"/>
    <x v="27"/>
    <x v="27"/>
    <n v="0"/>
    <n v="0"/>
    <n v="0"/>
    <n v="0"/>
    <n v="0"/>
  </r>
  <r>
    <x v="12"/>
    <x v="12"/>
    <x v="27"/>
    <x v="27"/>
    <n v="0"/>
    <n v="0"/>
    <n v="0"/>
    <n v="0"/>
    <n v="0"/>
  </r>
  <r>
    <x v="13"/>
    <x v="13"/>
    <x v="27"/>
    <x v="27"/>
    <n v="3704237"/>
    <n v="161765"/>
    <n v="8158"/>
    <n v="126378"/>
    <n v="1477908"/>
  </r>
  <r>
    <x v="14"/>
    <x v="14"/>
    <x v="27"/>
    <x v="27"/>
    <n v="0"/>
    <n v="0"/>
    <n v="0"/>
    <n v="0"/>
    <n v="0"/>
  </r>
  <r>
    <x v="15"/>
    <x v="15"/>
    <x v="27"/>
    <x v="27"/>
    <n v="0"/>
    <n v="0"/>
    <n v="0"/>
    <n v="0"/>
    <n v="0"/>
  </r>
  <r>
    <x v="16"/>
    <x v="16"/>
    <x v="27"/>
    <x v="27"/>
    <n v="69186"/>
    <n v="1692"/>
    <n v="2707"/>
    <n v="1192"/>
    <n v="0"/>
  </r>
  <r>
    <x v="17"/>
    <x v="17"/>
    <x v="27"/>
    <x v="27"/>
    <n v="505301"/>
    <n v="4248"/>
    <n v="110"/>
    <n v="4962"/>
    <n v="253591"/>
  </r>
  <r>
    <x v="18"/>
    <x v="18"/>
    <x v="27"/>
    <x v="27"/>
    <n v="50811"/>
    <n v="1355"/>
    <n v="1655"/>
    <n v="667"/>
    <n v="0"/>
  </r>
  <r>
    <x v="19"/>
    <x v="19"/>
    <x v="27"/>
    <x v="27"/>
    <n v="0"/>
    <n v="0"/>
    <n v="0"/>
    <n v="0"/>
    <n v="0"/>
  </r>
  <r>
    <x v="20"/>
    <x v="20"/>
    <x v="27"/>
    <x v="27"/>
    <n v="0"/>
    <n v="0"/>
    <n v="0"/>
    <n v="0"/>
    <n v="0"/>
  </r>
  <r>
    <x v="21"/>
    <x v="21"/>
    <x v="27"/>
    <x v="27"/>
    <n v="0"/>
    <n v="0"/>
    <n v="0"/>
    <n v="0"/>
    <n v="0"/>
  </r>
  <r>
    <x v="22"/>
    <x v="22"/>
    <x v="27"/>
    <x v="27"/>
    <n v="1602"/>
    <n v="157"/>
    <n v="0"/>
    <n v="5"/>
    <n v="0"/>
  </r>
  <r>
    <x v="23"/>
    <x v="23"/>
    <x v="27"/>
    <x v="27"/>
    <n v="0"/>
    <n v="0"/>
    <n v="0"/>
    <n v="0"/>
    <n v="0"/>
  </r>
  <r>
    <x v="24"/>
    <x v="24"/>
    <x v="27"/>
    <x v="27"/>
    <n v="202717"/>
    <n v="10502"/>
    <n v="4516"/>
    <n v="1891"/>
    <n v="0"/>
  </r>
  <r>
    <x v="25"/>
    <x v="25"/>
    <x v="27"/>
    <x v="27"/>
    <n v="0"/>
    <n v="0"/>
    <n v="0"/>
    <n v="0"/>
    <n v="0"/>
  </r>
  <r>
    <x v="26"/>
    <x v="26"/>
    <x v="27"/>
    <x v="27"/>
    <n v="23472382"/>
    <n v="1321323"/>
    <n v="489111"/>
    <n v="415558"/>
    <n v="18645926"/>
  </r>
  <r>
    <x v="27"/>
    <x v="27"/>
    <x v="27"/>
    <x v="27"/>
    <n v="11667881"/>
    <n v="901920"/>
    <n v="448311"/>
    <n v="474537"/>
    <n v="8441038"/>
  </r>
  <r>
    <x v="28"/>
    <x v="28"/>
    <x v="27"/>
    <x v="27"/>
    <n v="1227240"/>
    <n v="142286"/>
    <n v="32074"/>
    <n v="12642"/>
    <n v="827013"/>
  </r>
  <r>
    <x v="29"/>
    <x v="29"/>
    <x v="27"/>
    <x v="27"/>
    <n v="1042237"/>
    <n v="57149"/>
    <n v="31182"/>
    <n v="7153"/>
    <n v="197610"/>
  </r>
  <r>
    <x v="30"/>
    <x v="30"/>
    <x v="27"/>
    <x v="27"/>
    <n v="0"/>
    <n v="0"/>
    <n v="0"/>
    <n v="0"/>
    <n v="0"/>
  </r>
  <r>
    <x v="31"/>
    <x v="31"/>
    <x v="27"/>
    <x v="27"/>
    <n v="1455907"/>
    <n v="37479"/>
    <n v="33642"/>
    <n v="10581"/>
    <n v="687803"/>
  </r>
  <r>
    <x v="32"/>
    <x v="32"/>
    <x v="27"/>
    <x v="27"/>
    <n v="219801"/>
    <n v="15750"/>
    <n v="8903"/>
    <n v="3262"/>
    <n v="0"/>
  </r>
  <r>
    <x v="33"/>
    <x v="33"/>
    <x v="27"/>
    <x v="27"/>
    <n v="125170"/>
    <n v="18658"/>
    <n v="19427"/>
    <n v="1698"/>
    <n v="0"/>
  </r>
  <r>
    <x v="34"/>
    <x v="34"/>
    <x v="27"/>
    <x v="27"/>
    <n v="0"/>
    <n v="0"/>
    <n v="0"/>
    <n v="0"/>
    <n v="0"/>
  </r>
  <r>
    <x v="35"/>
    <x v="35"/>
    <x v="27"/>
    <x v="27"/>
    <n v="0"/>
    <n v="0"/>
    <n v="0"/>
    <n v="0"/>
    <n v="0"/>
  </r>
  <r>
    <x v="36"/>
    <x v="36"/>
    <x v="27"/>
    <x v="27"/>
    <n v="9735"/>
    <n v="71"/>
    <n v="585"/>
    <n v="16"/>
    <n v="7394"/>
  </r>
  <r>
    <x v="37"/>
    <x v="37"/>
    <x v="27"/>
    <x v="27"/>
    <n v="696813"/>
    <n v="42127"/>
    <n v="33"/>
    <n v="11589"/>
    <n v="0"/>
  </r>
  <r>
    <x v="38"/>
    <x v="38"/>
    <x v="27"/>
    <x v="27"/>
    <n v="35845"/>
    <n v="2252"/>
    <n v="0"/>
    <n v="744"/>
    <n v="0"/>
  </r>
  <r>
    <x v="39"/>
    <x v="39"/>
    <x v="27"/>
    <x v="27"/>
    <n v="40977"/>
    <n v="0"/>
    <n v="0"/>
    <n v="0"/>
    <n v="0"/>
  </r>
  <r>
    <x v="40"/>
    <x v="40"/>
    <x v="27"/>
    <x v="27"/>
    <n v="0"/>
    <n v="0"/>
    <n v="0"/>
    <n v="0"/>
    <n v="0"/>
  </r>
  <r>
    <x v="41"/>
    <x v="41"/>
    <x v="27"/>
    <x v="27"/>
    <n v="0"/>
    <n v="0"/>
    <n v="0"/>
    <n v="0"/>
    <n v="0"/>
  </r>
  <r>
    <x v="42"/>
    <x v="42"/>
    <x v="27"/>
    <x v="27"/>
    <n v="235427"/>
    <n v="18541"/>
    <n v="39840"/>
    <n v="2467"/>
    <n v="0"/>
  </r>
  <r>
    <x v="43"/>
    <x v="43"/>
    <x v="27"/>
    <x v="27"/>
    <n v="32271"/>
    <n v="1892"/>
    <n v="2136"/>
    <n v="284"/>
    <n v="0"/>
  </r>
  <r>
    <x v="44"/>
    <x v="44"/>
    <x v="27"/>
    <x v="27"/>
    <n v="1082098"/>
    <n v="1032"/>
    <n v="1916"/>
    <n v="190"/>
    <n v="0"/>
  </r>
  <r>
    <x v="45"/>
    <x v="45"/>
    <x v="27"/>
    <x v="27"/>
    <n v="37780"/>
    <n v="0"/>
    <n v="0"/>
    <n v="0"/>
    <n v="0"/>
  </r>
  <r>
    <x v="46"/>
    <x v="46"/>
    <x v="27"/>
    <x v="27"/>
    <n v="52615"/>
    <n v="0"/>
    <n v="0"/>
    <n v="0"/>
    <n v="0"/>
  </r>
  <r>
    <x v="47"/>
    <x v="47"/>
    <x v="27"/>
    <x v="27"/>
    <n v="0"/>
    <n v="0"/>
    <n v="0"/>
    <n v="0"/>
    <n v="0"/>
  </r>
  <r>
    <x v="48"/>
    <x v="48"/>
    <x v="27"/>
    <x v="27"/>
    <n v="0"/>
    <n v="-2791920"/>
    <n v="-1133994"/>
    <n v="0"/>
    <n v="0"/>
  </r>
  <r>
    <x v="49"/>
    <x v="49"/>
    <x v="27"/>
    <x v="27"/>
    <n v="442362"/>
    <n v="0"/>
    <n v="0"/>
    <n v="0"/>
    <n v="0"/>
  </r>
  <r>
    <x v="50"/>
    <x v="50"/>
    <x v="27"/>
    <x v="27"/>
    <n v="921189"/>
    <n v="0"/>
    <n v="0"/>
    <n v="-1080980"/>
    <n v="0"/>
  </r>
  <r>
    <x v="51"/>
    <x v="51"/>
    <x v="27"/>
    <x v="27"/>
    <n v="181145"/>
    <n v="0"/>
    <n v="0"/>
    <n v="0"/>
    <n v="0"/>
  </r>
  <r>
    <x v="52"/>
    <x v="52"/>
    <x v="27"/>
    <x v="27"/>
    <n v="1492566"/>
    <n v="0"/>
    <n v="0"/>
    <n v="0"/>
    <n v="0"/>
  </r>
  <r>
    <x v="53"/>
    <x v="53"/>
    <x v="27"/>
    <x v="27"/>
    <n v="215623"/>
    <n v="0"/>
    <n v="0"/>
    <n v="0"/>
    <n v="0"/>
  </r>
  <r>
    <x v="54"/>
    <x v="54"/>
    <x v="27"/>
    <x v="27"/>
    <n v="1814964"/>
    <n v="0"/>
    <n v="0"/>
    <n v="0"/>
    <n v="0"/>
  </r>
  <r>
    <x v="55"/>
    <x v="55"/>
    <x v="27"/>
    <x v="27"/>
    <n v="60297"/>
    <n v="0"/>
    <n v="0"/>
    <n v="0"/>
    <n v="0"/>
  </r>
  <r>
    <x v="56"/>
    <x v="56"/>
    <x v="27"/>
    <x v="27"/>
    <n v="95452"/>
    <n v="0"/>
    <n v="0"/>
    <n v="0"/>
    <n v="0"/>
  </r>
  <r>
    <x v="57"/>
    <x v="57"/>
    <x v="27"/>
    <x v="27"/>
    <n v="2268"/>
    <n v="0"/>
    <n v="0"/>
    <n v="0"/>
    <n v="240"/>
  </r>
  <r>
    <x v="58"/>
    <x v="58"/>
    <x v="27"/>
    <x v="27"/>
    <n v="52473965"/>
    <n v="0"/>
    <n v="0"/>
    <n v="0"/>
    <n v="30919898"/>
  </r>
  <r>
    <x v="59"/>
    <x v="59"/>
    <x v="27"/>
    <x v="27"/>
    <n v="5605242"/>
    <n v="0"/>
    <n v="0"/>
    <n v="0"/>
    <n v="0"/>
  </r>
  <r>
    <x v="60"/>
    <x v="60"/>
    <x v="27"/>
    <x v="27"/>
    <n v="7866354"/>
    <n v="0"/>
    <n v="0"/>
    <n v="0"/>
    <n v="0"/>
  </r>
  <r>
    <x v="61"/>
    <x v="61"/>
    <x v="27"/>
    <x v="27"/>
    <n v="2782923"/>
    <n v="0"/>
    <n v="0"/>
    <n v="0"/>
    <n v="0"/>
  </r>
  <r>
    <x v="62"/>
    <x v="62"/>
    <x v="27"/>
    <x v="27"/>
    <n v="1511548"/>
    <n v="0"/>
    <n v="0"/>
    <n v="0"/>
    <n v="0"/>
  </r>
  <r>
    <x v="63"/>
    <x v="63"/>
    <x v="27"/>
    <x v="27"/>
    <n v="17766067"/>
    <n v="0"/>
    <n v="0"/>
    <n v="0"/>
    <n v="0"/>
  </r>
  <r>
    <x v="64"/>
    <x v="64"/>
    <x v="27"/>
    <x v="27"/>
    <n v="70240032"/>
    <n v="0"/>
    <n v="0"/>
    <n v="0"/>
    <n v="0"/>
  </r>
  <r>
    <x v="0"/>
    <x v="0"/>
    <x v="28"/>
    <x v="28"/>
    <n v="0"/>
    <n v="0"/>
    <n v="0"/>
    <n v="0"/>
    <n v="0"/>
  </r>
  <r>
    <x v="1"/>
    <x v="1"/>
    <x v="28"/>
    <x v="28"/>
    <n v="0"/>
    <n v="0"/>
    <n v="0"/>
    <n v="0"/>
    <n v="0"/>
  </r>
  <r>
    <x v="2"/>
    <x v="2"/>
    <x v="28"/>
    <x v="28"/>
    <n v="0"/>
    <n v="0"/>
    <n v="0"/>
    <n v="0"/>
    <n v="0"/>
  </r>
  <r>
    <x v="3"/>
    <x v="3"/>
    <x v="28"/>
    <x v="28"/>
    <n v="0"/>
    <n v="0"/>
    <n v="0"/>
    <n v="0"/>
    <n v="0"/>
  </r>
  <r>
    <x v="4"/>
    <x v="4"/>
    <x v="28"/>
    <x v="28"/>
    <n v="1435019"/>
    <n v="69852"/>
    <n v="110171"/>
    <n v="11781"/>
    <n v="0"/>
  </r>
  <r>
    <x v="5"/>
    <x v="5"/>
    <x v="28"/>
    <x v="28"/>
    <n v="0"/>
    <n v="0"/>
    <n v="0"/>
    <n v="0"/>
    <n v="0"/>
  </r>
  <r>
    <x v="6"/>
    <x v="6"/>
    <x v="28"/>
    <x v="28"/>
    <n v="96766"/>
    <n v="5612"/>
    <n v="0"/>
    <n v="668"/>
    <n v="0"/>
  </r>
  <r>
    <x v="7"/>
    <x v="7"/>
    <x v="28"/>
    <x v="28"/>
    <n v="8090848"/>
    <n v="406237"/>
    <n v="225068"/>
    <n v="126309"/>
    <n v="2552477"/>
  </r>
  <r>
    <x v="8"/>
    <x v="8"/>
    <x v="28"/>
    <x v="28"/>
    <n v="829987"/>
    <n v="25654"/>
    <n v="0"/>
    <n v="691"/>
    <n v="128488"/>
  </r>
  <r>
    <x v="9"/>
    <x v="9"/>
    <x v="28"/>
    <x v="28"/>
    <n v="1275852"/>
    <n v="24526"/>
    <n v="54765"/>
    <n v="23405"/>
    <n v="790665"/>
  </r>
  <r>
    <x v="10"/>
    <x v="10"/>
    <x v="28"/>
    <x v="28"/>
    <n v="4175208"/>
    <n v="185448"/>
    <n v="28737"/>
    <n v="64208"/>
    <n v="16054"/>
  </r>
  <r>
    <x v="11"/>
    <x v="11"/>
    <x v="28"/>
    <x v="28"/>
    <n v="7013921"/>
    <n v="0"/>
    <n v="0"/>
    <n v="0"/>
    <n v="5851099"/>
  </r>
  <r>
    <x v="12"/>
    <x v="12"/>
    <x v="28"/>
    <x v="28"/>
    <n v="26393"/>
    <n v="2201"/>
    <n v="0"/>
    <n v="628"/>
    <n v="0"/>
  </r>
  <r>
    <x v="13"/>
    <x v="13"/>
    <x v="28"/>
    <x v="28"/>
    <n v="1837541"/>
    <n v="102821"/>
    <n v="3651"/>
    <n v="127060"/>
    <n v="328341"/>
  </r>
  <r>
    <x v="14"/>
    <x v="14"/>
    <x v="28"/>
    <x v="28"/>
    <n v="13924"/>
    <n v="219"/>
    <n v="354"/>
    <n v="41"/>
    <n v="0"/>
  </r>
  <r>
    <x v="15"/>
    <x v="15"/>
    <x v="28"/>
    <x v="28"/>
    <n v="13448358"/>
    <n v="626875"/>
    <n v="458473"/>
    <n v="136426"/>
    <n v="6773110"/>
  </r>
  <r>
    <x v="16"/>
    <x v="16"/>
    <x v="28"/>
    <x v="28"/>
    <n v="2942943"/>
    <n v="78278"/>
    <n v="139558"/>
    <n v="25776"/>
    <n v="614472"/>
  </r>
  <r>
    <x v="17"/>
    <x v="17"/>
    <x v="28"/>
    <x v="28"/>
    <n v="1569571"/>
    <n v="39969"/>
    <n v="70110"/>
    <n v="20301"/>
    <n v="0"/>
  </r>
  <r>
    <x v="18"/>
    <x v="18"/>
    <x v="28"/>
    <x v="28"/>
    <n v="4348524"/>
    <n v="673891"/>
    <n v="188390"/>
    <n v="64520"/>
    <n v="2387747"/>
  </r>
  <r>
    <x v="19"/>
    <x v="19"/>
    <x v="28"/>
    <x v="28"/>
    <n v="0"/>
    <n v="0"/>
    <n v="0"/>
    <n v="0"/>
    <n v="0"/>
  </r>
  <r>
    <x v="20"/>
    <x v="20"/>
    <x v="28"/>
    <x v="28"/>
    <n v="73969"/>
    <n v="4085"/>
    <n v="5133"/>
    <n v="803"/>
    <n v="0"/>
  </r>
  <r>
    <x v="21"/>
    <x v="21"/>
    <x v="28"/>
    <x v="28"/>
    <n v="0"/>
    <n v="0"/>
    <n v="0"/>
    <n v="0"/>
    <n v="0"/>
  </r>
  <r>
    <x v="22"/>
    <x v="22"/>
    <x v="28"/>
    <x v="28"/>
    <n v="306008"/>
    <n v="581"/>
    <n v="1449"/>
    <n v="3431"/>
    <n v="0"/>
  </r>
  <r>
    <x v="23"/>
    <x v="23"/>
    <x v="28"/>
    <x v="28"/>
    <n v="379301"/>
    <n v="22846"/>
    <n v="41809"/>
    <n v="2402"/>
    <n v="72565"/>
  </r>
  <r>
    <x v="24"/>
    <x v="24"/>
    <x v="28"/>
    <x v="28"/>
    <n v="5693653"/>
    <n v="525708"/>
    <n v="475977"/>
    <n v="84619"/>
    <n v="0"/>
  </r>
  <r>
    <x v="25"/>
    <x v="25"/>
    <x v="28"/>
    <x v="28"/>
    <n v="53263"/>
    <n v="3147"/>
    <n v="6482"/>
    <n v="522"/>
    <n v="0"/>
  </r>
  <r>
    <x v="26"/>
    <x v="26"/>
    <x v="28"/>
    <x v="28"/>
    <n v="110084945"/>
    <n v="7865966"/>
    <n v="3972711"/>
    <n v="2043133"/>
    <n v="77623005"/>
  </r>
  <r>
    <x v="27"/>
    <x v="27"/>
    <x v="28"/>
    <x v="28"/>
    <n v="0"/>
    <n v="0"/>
    <n v="0"/>
    <n v="0"/>
    <n v="0"/>
  </r>
  <r>
    <x v="28"/>
    <x v="28"/>
    <x v="28"/>
    <x v="28"/>
    <n v="77367380"/>
    <n v="6939107"/>
    <n v="9173342"/>
    <n v="751745"/>
    <n v="30425616"/>
  </r>
  <r>
    <x v="29"/>
    <x v="29"/>
    <x v="28"/>
    <x v="28"/>
    <n v="5361296"/>
    <n v="192318"/>
    <n v="245914"/>
    <n v="44469"/>
    <n v="1209417"/>
  </r>
  <r>
    <x v="30"/>
    <x v="30"/>
    <x v="28"/>
    <x v="28"/>
    <n v="79815"/>
    <n v="7840"/>
    <n v="14908"/>
    <n v="2138"/>
    <n v="0"/>
  </r>
  <r>
    <x v="31"/>
    <x v="31"/>
    <x v="28"/>
    <x v="28"/>
    <n v="17898907"/>
    <n v="611933"/>
    <n v="702308"/>
    <n v="138008"/>
    <n v="8568004"/>
  </r>
  <r>
    <x v="32"/>
    <x v="32"/>
    <x v="28"/>
    <x v="28"/>
    <n v="0"/>
    <n v="0"/>
    <n v="0"/>
    <n v="0"/>
    <n v="0"/>
  </r>
  <r>
    <x v="33"/>
    <x v="33"/>
    <x v="28"/>
    <x v="28"/>
    <n v="5123916"/>
    <n v="370351"/>
    <n v="326442"/>
    <n v="63061"/>
    <n v="2011382"/>
  </r>
  <r>
    <x v="34"/>
    <x v="34"/>
    <x v="28"/>
    <x v="28"/>
    <n v="6522"/>
    <n v="285"/>
    <n v="290"/>
    <n v="71"/>
    <n v="1662"/>
  </r>
  <r>
    <x v="35"/>
    <x v="35"/>
    <x v="28"/>
    <x v="28"/>
    <n v="36266"/>
    <n v="1738"/>
    <n v="815"/>
    <n v="57"/>
    <n v="6881"/>
  </r>
  <r>
    <x v="36"/>
    <x v="36"/>
    <x v="28"/>
    <x v="28"/>
    <n v="3800239"/>
    <n v="42503"/>
    <n v="81366"/>
    <n v="7440"/>
    <n v="3094259"/>
  </r>
  <r>
    <x v="37"/>
    <x v="37"/>
    <x v="28"/>
    <x v="28"/>
    <n v="2213570"/>
    <n v="137917"/>
    <n v="0"/>
    <n v="25650"/>
    <n v="679855"/>
  </r>
  <r>
    <x v="38"/>
    <x v="38"/>
    <x v="28"/>
    <x v="28"/>
    <n v="281256"/>
    <n v="14372"/>
    <n v="3615"/>
    <n v="2532"/>
    <n v="0"/>
  </r>
  <r>
    <x v="39"/>
    <x v="39"/>
    <x v="28"/>
    <x v="28"/>
    <n v="666398"/>
    <n v="0"/>
    <n v="0"/>
    <n v="0"/>
    <n v="0"/>
  </r>
  <r>
    <x v="40"/>
    <x v="40"/>
    <x v="28"/>
    <x v="28"/>
    <n v="0"/>
    <n v="0"/>
    <n v="0"/>
    <n v="0"/>
    <n v="0"/>
  </r>
  <r>
    <x v="41"/>
    <x v="41"/>
    <x v="28"/>
    <x v="28"/>
    <n v="0"/>
    <n v="0"/>
    <n v="0"/>
    <n v="0"/>
    <n v="0"/>
  </r>
  <r>
    <x v="42"/>
    <x v="42"/>
    <x v="28"/>
    <x v="28"/>
    <n v="384046"/>
    <n v="36862"/>
    <n v="50210"/>
    <n v="3237"/>
    <n v="76"/>
  </r>
  <r>
    <x v="43"/>
    <x v="43"/>
    <x v="28"/>
    <x v="28"/>
    <n v="945936"/>
    <n v="67736"/>
    <n v="67092"/>
    <n v="7761"/>
    <n v="146005"/>
  </r>
  <r>
    <x v="44"/>
    <x v="44"/>
    <x v="28"/>
    <x v="28"/>
    <n v="10377361"/>
    <n v="20266"/>
    <n v="30665"/>
    <n v="4308"/>
    <n v="0"/>
  </r>
  <r>
    <x v="45"/>
    <x v="45"/>
    <x v="28"/>
    <x v="28"/>
    <n v="247997"/>
    <n v="0"/>
    <n v="0"/>
    <n v="0"/>
    <n v="0"/>
  </r>
  <r>
    <x v="46"/>
    <x v="46"/>
    <x v="28"/>
    <x v="28"/>
    <n v="378171"/>
    <n v="0"/>
    <n v="0"/>
    <n v="0"/>
    <n v="0"/>
  </r>
  <r>
    <x v="47"/>
    <x v="47"/>
    <x v="28"/>
    <x v="28"/>
    <n v="0"/>
    <n v="0"/>
    <n v="0"/>
    <n v="0"/>
    <n v="0"/>
  </r>
  <r>
    <x v="48"/>
    <x v="48"/>
    <x v="28"/>
    <x v="28"/>
    <n v="0"/>
    <n v="-19107144"/>
    <n v="-16479805"/>
    <n v="0"/>
    <n v="0"/>
  </r>
  <r>
    <x v="49"/>
    <x v="49"/>
    <x v="28"/>
    <x v="28"/>
    <n v="421317"/>
    <n v="0"/>
    <n v="0"/>
    <n v="0"/>
    <n v="0"/>
  </r>
  <r>
    <x v="50"/>
    <x v="50"/>
    <x v="28"/>
    <x v="28"/>
    <n v="2050405"/>
    <n v="0"/>
    <n v="0"/>
    <n v="-3787201"/>
    <n v="0"/>
  </r>
  <r>
    <x v="51"/>
    <x v="51"/>
    <x v="28"/>
    <x v="28"/>
    <n v="415311"/>
    <n v="0"/>
    <n v="0"/>
    <n v="0"/>
    <n v="0"/>
  </r>
  <r>
    <x v="52"/>
    <x v="52"/>
    <x v="28"/>
    <x v="28"/>
    <n v="6249012"/>
    <n v="0"/>
    <n v="0"/>
    <n v="0"/>
    <n v="0"/>
  </r>
  <r>
    <x v="53"/>
    <x v="53"/>
    <x v="28"/>
    <x v="28"/>
    <n v="557323"/>
    <n v="0"/>
    <n v="0"/>
    <n v="0"/>
    <n v="0"/>
  </r>
  <r>
    <x v="54"/>
    <x v="54"/>
    <x v="28"/>
    <x v="28"/>
    <n v="14675340"/>
    <n v="0"/>
    <n v="0"/>
    <n v="0"/>
    <n v="0"/>
  </r>
  <r>
    <x v="55"/>
    <x v="55"/>
    <x v="28"/>
    <x v="28"/>
    <n v="1827969"/>
    <n v="0"/>
    <n v="0"/>
    <n v="0"/>
    <n v="0"/>
  </r>
  <r>
    <x v="56"/>
    <x v="56"/>
    <x v="28"/>
    <x v="28"/>
    <n v="1552984"/>
    <n v="0"/>
    <n v="0"/>
    <n v="0"/>
    <n v="0"/>
  </r>
  <r>
    <x v="57"/>
    <x v="57"/>
    <x v="28"/>
    <x v="28"/>
    <n v="1501765"/>
    <n v="0"/>
    <n v="0"/>
    <n v="0"/>
    <n v="157803"/>
  </r>
  <r>
    <x v="58"/>
    <x v="58"/>
    <x v="28"/>
    <x v="28"/>
    <n v="318116496"/>
    <n v="0"/>
    <n v="0"/>
    <n v="0"/>
    <n v="143438983"/>
  </r>
  <r>
    <x v="59"/>
    <x v="59"/>
    <x v="28"/>
    <x v="28"/>
    <n v="46699106"/>
    <n v="0"/>
    <n v="0"/>
    <n v="0"/>
    <n v="0"/>
  </r>
  <r>
    <x v="60"/>
    <x v="60"/>
    <x v="28"/>
    <x v="28"/>
    <n v="66058854"/>
    <n v="0"/>
    <n v="0"/>
    <n v="0"/>
    <n v="0"/>
  </r>
  <r>
    <x v="61"/>
    <x v="61"/>
    <x v="28"/>
    <x v="28"/>
    <n v="28547955"/>
    <n v="0"/>
    <n v="0"/>
    <n v="0"/>
    <n v="0"/>
  </r>
  <r>
    <x v="62"/>
    <x v="62"/>
    <x v="28"/>
    <x v="28"/>
    <n v="13334411"/>
    <n v="0"/>
    <n v="0"/>
    <n v="0"/>
    <n v="0"/>
  </r>
  <r>
    <x v="63"/>
    <x v="63"/>
    <x v="28"/>
    <x v="28"/>
    <n v="154640326"/>
    <n v="0"/>
    <n v="0"/>
    <n v="0"/>
    <n v="0"/>
  </r>
  <r>
    <x v="64"/>
    <x v="64"/>
    <x v="28"/>
    <x v="28"/>
    <n v="472756822"/>
    <n v="0"/>
    <n v="0"/>
    <n v="0"/>
    <n v="0"/>
  </r>
  <r>
    <x v="0"/>
    <x v="0"/>
    <x v="29"/>
    <x v="29"/>
    <n v="0"/>
    <n v="0"/>
    <n v="0"/>
    <n v="0"/>
    <n v="0"/>
  </r>
  <r>
    <x v="1"/>
    <x v="1"/>
    <x v="29"/>
    <x v="29"/>
    <n v="0"/>
    <n v="0"/>
    <n v="0"/>
    <n v="0"/>
    <n v="0"/>
  </r>
  <r>
    <x v="2"/>
    <x v="2"/>
    <x v="29"/>
    <x v="29"/>
    <n v="0"/>
    <n v="0"/>
    <n v="0"/>
    <n v="0"/>
    <n v="0"/>
  </r>
  <r>
    <x v="3"/>
    <x v="3"/>
    <x v="29"/>
    <x v="29"/>
    <n v="0"/>
    <n v="0"/>
    <n v="0"/>
    <n v="0"/>
    <n v="0"/>
  </r>
  <r>
    <x v="4"/>
    <x v="4"/>
    <x v="29"/>
    <x v="29"/>
    <n v="0"/>
    <n v="0"/>
    <n v="0"/>
    <n v="0"/>
    <n v="0"/>
  </r>
  <r>
    <x v="5"/>
    <x v="5"/>
    <x v="29"/>
    <x v="29"/>
    <n v="0"/>
    <n v="0"/>
    <n v="0"/>
    <n v="0"/>
    <n v="0"/>
  </r>
  <r>
    <x v="6"/>
    <x v="6"/>
    <x v="29"/>
    <x v="29"/>
    <n v="0"/>
    <n v="0"/>
    <n v="0"/>
    <n v="0"/>
    <n v="0"/>
  </r>
  <r>
    <x v="7"/>
    <x v="7"/>
    <x v="29"/>
    <x v="29"/>
    <n v="0"/>
    <n v="0"/>
    <n v="0"/>
    <n v="0"/>
    <n v="0"/>
  </r>
  <r>
    <x v="8"/>
    <x v="8"/>
    <x v="29"/>
    <x v="29"/>
    <n v="0"/>
    <n v="0"/>
    <n v="0"/>
    <n v="0"/>
    <n v="0"/>
  </r>
  <r>
    <x v="9"/>
    <x v="9"/>
    <x v="29"/>
    <x v="29"/>
    <n v="0"/>
    <n v="0"/>
    <n v="0"/>
    <n v="0"/>
    <n v="0"/>
  </r>
  <r>
    <x v="10"/>
    <x v="10"/>
    <x v="29"/>
    <x v="29"/>
    <n v="0"/>
    <n v="0"/>
    <n v="0"/>
    <n v="0"/>
    <n v="0"/>
  </r>
  <r>
    <x v="11"/>
    <x v="11"/>
    <x v="29"/>
    <x v="29"/>
    <n v="807407767"/>
    <n v="0"/>
    <n v="0"/>
    <n v="0"/>
    <n v="659390028"/>
  </r>
  <r>
    <x v="12"/>
    <x v="12"/>
    <x v="29"/>
    <x v="29"/>
    <n v="0"/>
    <n v="0"/>
    <n v="0"/>
    <n v="0"/>
    <n v="0"/>
  </r>
  <r>
    <x v="13"/>
    <x v="13"/>
    <x v="29"/>
    <x v="29"/>
    <n v="0"/>
    <n v="0"/>
    <n v="0"/>
    <n v="0"/>
    <n v="0"/>
  </r>
  <r>
    <x v="14"/>
    <x v="14"/>
    <x v="29"/>
    <x v="29"/>
    <n v="0"/>
    <n v="0"/>
    <n v="0"/>
    <n v="0"/>
    <n v="0"/>
  </r>
  <r>
    <x v="15"/>
    <x v="15"/>
    <x v="29"/>
    <x v="29"/>
    <n v="92011"/>
    <n v="4902"/>
    <n v="6069"/>
    <n v="0"/>
    <n v="0"/>
  </r>
  <r>
    <x v="16"/>
    <x v="16"/>
    <x v="29"/>
    <x v="29"/>
    <n v="0"/>
    <n v="0"/>
    <n v="0"/>
    <n v="0"/>
    <n v="0"/>
  </r>
  <r>
    <x v="17"/>
    <x v="17"/>
    <x v="29"/>
    <x v="29"/>
    <n v="0"/>
    <n v="0"/>
    <n v="0"/>
    <n v="0"/>
    <n v="0"/>
  </r>
  <r>
    <x v="18"/>
    <x v="18"/>
    <x v="29"/>
    <x v="29"/>
    <n v="0"/>
    <n v="0"/>
    <n v="0"/>
    <n v="0"/>
    <n v="0"/>
  </r>
  <r>
    <x v="19"/>
    <x v="19"/>
    <x v="29"/>
    <x v="29"/>
    <n v="0"/>
    <n v="0"/>
    <n v="0"/>
    <n v="0"/>
    <n v="0"/>
  </r>
  <r>
    <x v="20"/>
    <x v="20"/>
    <x v="29"/>
    <x v="29"/>
    <n v="0"/>
    <n v="0"/>
    <n v="0"/>
    <n v="0"/>
    <n v="0"/>
  </r>
  <r>
    <x v="21"/>
    <x v="21"/>
    <x v="29"/>
    <x v="29"/>
    <n v="0"/>
    <n v="0"/>
    <n v="0"/>
    <n v="0"/>
    <n v="0"/>
  </r>
  <r>
    <x v="22"/>
    <x v="22"/>
    <x v="29"/>
    <x v="29"/>
    <n v="0"/>
    <n v="0"/>
    <n v="0"/>
    <n v="0"/>
    <n v="0"/>
  </r>
  <r>
    <x v="23"/>
    <x v="23"/>
    <x v="29"/>
    <x v="29"/>
    <n v="0"/>
    <n v="0"/>
    <n v="0"/>
    <n v="0"/>
    <n v="0"/>
  </r>
  <r>
    <x v="24"/>
    <x v="24"/>
    <x v="29"/>
    <x v="29"/>
    <n v="304931"/>
    <n v="9126"/>
    <n v="7911"/>
    <n v="2653"/>
    <n v="0"/>
  </r>
  <r>
    <x v="25"/>
    <x v="25"/>
    <x v="29"/>
    <x v="29"/>
    <n v="0"/>
    <n v="0"/>
    <n v="0"/>
    <n v="0"/>
    <n v="0"/>
  </r>
  <r>
    <x v="26"/>
    <x v="26"/>
    <x v="29"/>
    <x v="29"/>
    <n v="39605154"/>
    <n v="2736514"/>
    <n v="1272293"/>
    <n v="764784"/>
    <n v="29491277"/>
  </r>
  <r>
    <x v="27"/>
    <x v="27"/>
    <x v="29"/>
    <x v="29"/>
    <n v="0"/>
    <n v="0"/>
    <n v="0"/>
    <n v="0"/>
    <n v="0"/>
  </r>
  <r>
    <x v="28"/>
    <x v="28"/>
    <x v="29"/>
    <x v="29"/>
    <n v="1549564"/>
    <n v="251229"/>
    <n v="228802"/>
    <n v="20191"/>
    <n v="552506"/>
  </r>
  <r>
    <x v="29"/>
    <x v="29"/>
    <x v="29"/>
    <x v="29"/>
    <n v="35305854"/>
    <n v="2628060"/>
    <n v="2175409"/>
    <n v="282056"/>
    <n v="17444217"/>
  </r>
  <r>
    <x v="30"/>
    <x v="30"/>
    <x v="29"/>
    <x v="29"/>
    <n v="203047"/>
    <n v="27973"/>
    <n v="28111"/>
    <n v="6750"/>
    <n v="0"/>
  </r>
  <r>
    <x v="31"/>
    <x v="31"/>
    <x v="29"/>
    <x v="29"/>
    <n v="904767"/>
    <n v="10184"/>
    <n v="12127"/>
    <n v="5367"/>
    <n v="362933"/>
  </r>
  <r>
    <x v="32"/>
    <x v="32"/>
    <x v="29"/>
    <x v="29"/>
    <n v="0"/>
    <n v="0"/>
    <n v="0"/>
    <n v="0"/>
    <n v="0"/>
  </r>
  <r>
    <x v="33"/>
    <x v="33"/>
    <x v="29"/>
    <x v="29"/>
    <n v="0"/>
    <n v="0"/>
    <n v="0"/>
    <n v="0"/>
    <n v="0"/>
  </r>
  <r>
    <x v="34"/>
    <x v="34"/>
    <x v="29"/>
    <x v="29"/>
    <n v="0"/>
    <n v="0"/>
    <n v="0"/>
    <n v="0"/>
    <n v="0"/>
  </r>
  <r>
    <x v="35"/>
    <x v="35"/>
    <x v="29"/>
    <x v="29"/>
    <n v="0"/>
    <n v="0"/>
    <n v="0"/>
    <n v="0"/>
    <n v="0"/>
  </r>
  <r>
    <x v="36"/>
    <x v="36"/>
    <x v="29"/>
    <x v="29"/>
    <n v="124139"/>
    <n v="3092"/>
    <n v="5084"/>
    <n v="312"/>
    <n v="100886"/>
  </r>
  <r>
    <x v="37"/>
    <x v="37"/>
    <x v="29"/>
    <x v="29"/>
    <n v="3237869"/>
    <n v="263511"/>
    <n v="0"/>
    <n v="39219"/>
    <n v="1061264"/>
  </r>
  <r>
    <x v="38"/>
    <x v="38"/>
    <x v="29"/>
    <x v="29"/>
    <n v="39296"/>
    <n v="1469"/>
    <n v="569"/>
    <n v="371"/>
    <n v="0"/>
  </r>
  <r>
    <x v="39"/>
    <x v="39"/>
    <x v="29"/>
    <x v="29"/>
    <n v="567093"/>
    <n v="0"/>
    <n v="0"/>
    <n v="0"/>
    <n v="0"/>
  </r>
  <r>
    <x v="40"/>
    <x v="40"/>
    <x v="29"/>
    <x v="29"/>
    <n v="0"/>
    <n v="0"/>
    <n v="0"/>
    <n v="0"/>
    <n v="0"/>
  </r>
  <r>
    <x v="41"/>
    <x v="41"/>
    <x v="29"/>
    <x v="29"/>
    <n v="0"/>
    <n v="0"/>
    <n v="0"/>
    <n v="0"/>
    <n v="0"/>
  </r>
  <r>
    <x v="42"/>
    <x v="42"/>
    <x v="29"/>
    <x v="29"/>
    <n v="0"/>
    <n v="0"/>
    <n v="0"/>
    <n v="0"/>
    <n v="0"/>
  </r>
  <r>
    <x v="43"/>
    <x v="43"/>
    <x v="29"/>
    <x v="29"/>
    <n v="78343"/>
    <n v="4909"/>
    <n v="4129"/>
    <n v="701"/>
    <n v="0"/>
  </r>
  <r>
    <x v="44"/>
    <x v="44"/>
    <x v="29"/>
    <x v="29"/>
    <n v="26505494"/>
    <n v="209481"/>
    <n v="389226"/>
    <n v="44402"/>
    <n v="0"/>
  </r>
  <r>
    <x v="45"/>
    <x v="45"/>
    <x v="29"/>
    <x v="29"/>
    <n v="86675"/>
    <n v="0"/>
    <n v="0"/>
    <n v="0"/>
    <n v="0"/>
  </r>
  <r>
    <x v="46"/>
    <x v="46"/>
    <x v="29"/>
    <x v="29"/>
    <n v="113748"/>
    <n v="0"/>
    <n v="0"/>
    <n v="0"/>
    <n v="0"/>
  </r>
  <r>
    <x v="47"/>
    <x v="47"/>
    <x v="29"/>
    <x v="29"/>
    <n v="0"/>
    <n v="0"/>
    <n v="0"/>
    <n v="0"/>
    <n v="0"/>
  </r>
  <r>
    <x v="48"/>
    <x v="48"/>
    <x v="29"/>
    <x v="29"/>
    <n v="0"/>
    <n v="-6150450"/>
    <n v="-4129730"/>
    <n v="0"/>
    <n v="0"/>
  </r>
  <r>
    <x v="49"/>
    <x v="49"/>
    <x v="29"/>
    <x v="29"/>
    <n v="449161"/>
    <n v="0"/>
    <n v="0"/>
    <n v="0"/>
    <n v="0"/>
  </r>
  <r>
    <x v="50"/>
    <x v="50"/>
    <x v="29"/>
    <x v="29"/>
    <n v="1021435"/>
    <n v="0"/>
    <n v="0"/>
    <n v="-1166806"/>
    <n v="0"/>
  </r>
  <r>
    <x v="51"/>
    <x v="51"/>
    <x v="29"/>
    <x v="29"/>
    <n v="344341"/>
    <n v="0"/>
    <n v="0"/>
    <n v="0"/>
    <n v="0"/>
  </r>
  <r>
    <x v="52"/>
    <x v="52"/>
    <x v="29"/>
    <x v="29"/>
    <n v="18269912"/>
    <n v="0"/>
    <n v="0"/>
    <n v="0"/>
    <n v="0"/>
  </r>
  <r>
    <x v="53"/>
    <x v="53"/>
    <x v="29"/>
    <x v="29"/>
    <n v="1519707"/>
    <n v="0"/>
    <n v="0"/>
    <n v="0"/>
    <n v="0"/>
  </r>
  <r>
    <x v="54"/>
    <x v="54"/>
    <x v="29"/>
    <x v="29"/>
    <n v="16416748"/>
    <n v="0"/>
    <n v="0"/>
    <n v="0"/>
    <n v="0"/>
  </r>
  <r>
    <x v="55"/>
    <x v="55"/>
    <x v="29"/>
    <x v="29"/>
    <n v="224813"/>
    <n v="0"/>
    <n v="0"/>
    <n v="0"/>
    <n v="0"/>
  </r>
  <r>
    <x v="56"/>
    <x v="56"/>
    <x v="29"/>
    <x v="29"/>
    <n v="125244"/>
    <n v="0"/>
    <n v="0"/>
    <n v="0"/>
    <n v="0"/>
  </r>
  <r>
    <x v="57"/>
    <x v="57"/>
    <x v="29"/>
    <x v="29"/>
    <n v="9642608"/>
    <n v="0"/>
    <n v="0"/>
    <n v="0"/>
    <n v="859025"/>
  </r>
  <r>
    <x v="58"/>
    <x v="58"/>
    <x v="29"/>
    <x v="29"/>
    <n v="964139721"/>
    <n v="0"/>
    <n v="0"/>
    <n v="0"/>
    <n v="709262136"/>
  </r>
  <r>
    <x v="59"/>
    <x v="59"/>
    <x v="29"/>
    <x v="29"/>
    <n v="19313941"/>
    <n v="0"/>
    <n v="0"/>
    <n v="0"/>
    <n v="0"/>
  </r>
  <r>
    <x v="60"/>
    <x v="60"/>
    <x v="29"/>
    <x v="29"/>
    <n v="17259410"/>
    <n v="0"/>
    <n v="0"/>
    <n v="0"/>
    <n v="0"/>
  </r>
  <r>
    <x v="61"/>
    <x v="61"/>
    <x v="29"/>
    <x v="29"/>
    <n v="57550155"/>
    <n v="0"/>
    <n v="0"/>
    <n v="0"/>
    <n v="0"/>
  </r>
  <r>
    <x v="62"/>
    <x v="62"/>
    <x v="29"/>
    <x v="29"/>
    <n v="204210841"/>
    <n v="0"/>
    <n v="0"/>
    <n v="0"/>
    <n v="0"/>
  </r>
  <r>
    <x v="63"/>
    <x v="63"/>
    <x v="29"/>
    <x v="29"/>
    <n v="298334347"/>
    <n v="0"/>
    <n v="0"/>
    <n v="0"/>
    <n v="0"/>
  </r>
  <r>
    <x v="64"/>
    <x v="64"/>
    <x v="29"/>
    <x v="29"/>
    <n v="1262474068"/>
    <n v="0"/>
    <n v="0"/>
    <n v="0"/>
    <n v="0"/>
  </r>
  <r>
    <x v="0"/>
    <x v="0"/>
    <x v="30"/>
    <x v="30"/>
    <n v="0"/>
    <n v="0"/>
    <n v="0"/>
    <n v="0"/>
    <n v="0"/>
  </r>
  <r>
    <x v="1"/>
    <x v="1"/>
    <x v="30"/>
    <x v="30"/>
    <n v="0"/>
    <n v="0"/>
    <n v="0"/>
    <n v="0"/>
    <n v="0"/>
  </r>
  <r>
    <x v="2"/>
    <x v="2"/>
    <x v="30"/>
    <x v="30"/>
    <n v="0"/>
    <n v="0"/>
    <n v="0"/>
    <n v="0"/>
    <n v="0"/>
  </r>
  <r>
    <x v="3"/>
    <x v="3"/>
    <x v="30"/>
    <x v="30"/>
    <n v="0"/>
    <n v="0"/>
    <n v="0"/>
    <n v="0"/>
    <n v="0"/>
  </r>
  <r>
    <x v="4"/>
    <x v="4"/>
    <x v="30"/>
    <x v="30"/>
    <n v="0"/>
    <n v="0"/>
    <n v="0"/>
    <n v="0"/>
    <n v="0"/>
  </r>
  <r>
    <x v="5"/>
    <x v="5"/>
    <x v="30"/>
    <x v="30"/>
    <n v="0"/>
    <n v="0"/>
    <n v="0"/>
    <n v="0"/>
    <n v="0"/>
  </r>
  <r>
    <x v="6"/>
    <x v="6"/>
    <x v="30"/>
    <x v="30"/>
    <n v="105841640"/>
    <n v="6645748"/>
    <n v="0"/>
    <n v="739717"/>
    <n v="114326"/>
  </r>
  <r>
    <x v="7"/>
    <x v="7"/>
    <x v="30"/>
    <x v="30"/>
    <n v="0"/>
    <n v="0"/>
    <n v="0"/>
    <n v="0"/>
    <n v="0"/>
  </r>
  <r>
    <x v="8"/>
    <x v="8"/>
    <x v="30"/>
    <x v="30"/>
    <n v="0"/>
    <n v="0"/>
    <n v="0"/>
    <n v="0"/>
    <n v="0"/>
  </r>
  <r>
    <x v="9"/>
    <x v="9"/>
    <x v="30"/>
    <x v="30"/>
    <n v="110393"/>
    <n v="7581"/>
    <n v="10848"/>
    <n v="630"/>
    <n v="0"/>
  </r>
  <r>
    <x v="10"/>
    <x v="10"/>
    <x v="30"/>
    <x v="30"/>
    <n v="0"/>
    <n v="0"/>
    <n v="0"/>
    <n v="0"/>
    <n v="0"/>
  </r>
  <r>
    <x v="11"/>
    <x v="11"/>
    <x v="30"/>
    <x v="30"/>
    <n v="0"/>
    <n v="0"/>
    <n v="0"/>
    <n v="0"/>
    <n v="0"/>
  </r>
  <r>
    <x v="12"/>
    <x v="12"/>
    <x v="30"/>
    <x v="30"/>
    <n v="0"/>
    <n v="0"/>
    <n v="0"/>
    <n v="0"/>
    <n v="0"/>
  </r>
  <r>
    <x v="13"/>
    <x v="13"/>
    <x v="30"/>
    <x v="30"/>
    <n v="143094"/>
    <n v="11885"/>
    <n v="0"/>
    <n v="11450"/>
    <n v="0"/>
  </r>
  <r>
    <x v="14"/>
    <x v="14"/>
    <x v="30"/>
    <x v="30"/>
    <n v="0"/>
    <n v="0"/>
    <n v="0"/>
    <n v="0"/>
    <n v="0"/>
  </r>
  <r>
    <x v="15"/>
    <x v="15"/>
    <x v="30"/>
    <x v="30"/>
    <n v="0"/>
    <n v="0"/>
    <n v="0"/>
    <n v="0"/>
    <n v="0"/>
  </r>
  <r>
    <x v="16"/>
    <x v="16"/>
    <x v="30"/>
    <x v="30"/>
    <n v="509172"/>
    <n v="22760"/>
    <n v="23212"/>
    <n v="7679"/>
    <n v="0"/>
  </r>
  <r>
    <x v="17"/>
    <x v="17"/>
    <x v="30"/>
    <x v="30"/>
    <n v="69370"/>
    <n v="1465"/>
    <n v="0"/>
    <n v="900"/>
    <n v="0"/>
  </r>
  <r>
    <x v="18"/>
    <x v="18"/>
    <x v="30"/>
    <x v="30"/>
    <n v="0"/>
    <n v="0"/>
    <n v="0"/>
    <n v="0"/>
    <n v="0"/>
  </r>
  <r>
    <x v="19"/>
    <x v="19"/>
    <x v="30"/>
    <x v="30"/>
    <n v="0"/>
    <n v="0"/>
    <n v="0"/>
    <n v="0"/>
    <n v="0"/>
  </r>
  <r>
    <x v="20"/>
    <x v="20"/>
    <x v="30"/>
    <x v="30"/>
    <n v="0"/>
    <n v="0"/>
    <n v="0"/>
    <n v="0"/>
    <n v="0"/>
  </r>
  <r>
    <x v="21"/>
    <x v="21"/>
    <x v="30"/>
    <x v="30"/>
    <n v="0"/>
    <n v="0"/>
    <n v="0"/>
    <n v="0"/>
    <n v="0"/>
  </r>
  <r>
    <x v="22"/>
    <x v="22"/>
    <x v="30"/>
    <x v="30"/>
    <n v="12935418"/>
    <n v="2573877"/>
    <n v="1095524"/>
    <n v="203887"/>
    <n v="8733097"/>
  </r>
  <r>
    <x v="23"/>
    <x v="23"/>
    <x v="30"/>
    <x v="30"/>
    <n v="1475822"/>
    <n v="37260"/>
    <n v="79425"/>
    <n v="9492"/>
    <n v="1222032"/>
  </r>
  <r>
    <x v="24"/>
    <x v="24"/>
    <x v="30"/>
    <x v="30"/>
    <n v="354079"/>
    <n v="6946"/>
    <n v="17591"/>
    <n v="3728"/>
    <n v="0"/>
  </r>
  <r>
    <x v="25"/>
    <x v="25"/>
    <x v="30"/>
    <x v="30"/>
    <n v="4532"/>
    <n v="491"/>
    <n v="465"/>
    <n v="46"/>
    <n v="0"/>
  </r>
  <r>
    <x v="26"/>
    <x v="26"/>
    <x v="30"/>
    <x v="30"/>
    <n v="51884519"/>
    <n v="2903294"/>
    <n v="2065102"/>
    <n v="687142"/>
    <n v="34538598"/>
  </r>
  <r>
    <x v="27"/>
    <x v="27"/>
    <x v="30"/>
    <x v="30"/>
    <n v="0"/>
    <n v="0"/>
    <n v="0"/>
    <n v="0"/>
    <n v="0"/>
  </r>
  <r>
    <x v="28"/>
    <x v="28"/>
    <x v="30"/>
    <x v="30"/>
    <n v="3300001"/>
    <n v="178745"/>
    <n v="203927"/>
    <n v="44724"/>
    <n v="2524890"/>
  </r>
  <r>
    <x v="29"/>
    <x v="29"/>
    <x v="30"/>
    <x v="30"/>
    <n v="7351233"/>
    <n v="308992"/>
    <n v="294059"/>
    <n v="67592"/>
    <n v="1335319"/>
  </r>
  <r>
    <x v="30"/>
    <x v="30"/>
    <x v="30"/>
    <x v="30"/>
    <n v="57247160"/>
    <n v="6243825"/>
    <n v="7037091"/>
    <n v="1863039"/>
    <n v="3935041"/>
  </r>
  <r>
    <x v="31"/>
    <x v="31"/>
    <x v="30"/>
    <x v="30"/>
    <n v="4567844"/>
    <n v="93449"/>
    <n v="107801"/>
    <n v="32852"/>
    <n v="1682314"/>
  </r>
  <r>
    <x v="32"/>
    <x v="32"/>
    <x v="30"/>
    <x v="30"/>
    <n v="0"/>
    <n v="0"/>
    <n v="0"/>
    <n v="0"/>
    <n v="0"/>
  </r>
  <r>
    <x v="33"/>
    <x v="33"/>
    <x v="30"/>
    <x v="30"/>
    <n v="0"/>
    <n v="0"/>
    <n v="0"/>
    <n v="0"/>
    <n v="0"/>
  </r>
  <r>
    <x v="34"/>
    <x v="34"/>
    <x v="30"/>
    <x v="30"/>
    <n v="2153330"/>
    <n v="92084"/>
    <n v="100882"/>
    <n v="23097"/>
    <n v="547581"/>
  </r>
  <r>
    <x v="35"/>
    <x v="35"/>
    <x v="30"/>
    <x v="30"/>
    <n v="0"/>
    <n v="0"/>
    <n v="0"/>
    <n v="0"/>
    <n v="0"/>
  </r>
  <r>
    <x v="36"/>
    <x v="36"/>
    <x v="30"/>
    <x v="30"/>
    <n v="2257160"/>
    <n v="26574"/>
    <n v="43244"/>
    <n v="4472"/>
    <n v="1775074"/>
  </r>
  <r>
    <x v="37"/>
    <x v="37"/>
    <x v="30"/>
    <x v="30"/>
    <n v="1877097"/>
    <n v="99874"/>
    <n v="0"/>
    <n v="20901"/>
    <n v="505482"/>
  </r>
  <r>
    <x v="38"/>
    <x v="38"/>
    <x v="30"/>
    <x v="30"/>
    <n v="93000"/>
    <n v="4938"/>
    <n v="2471"/>
    <n v="925"/>
    <n v="0"/>
  </r>
  <r>
    <x v="39"/>
    <x v="39"/>
    <x v="30"/>
    <x v="30"/>
    <n v="883377"/>
    <n v="0"/>
    <n v="0"/>
    <n v="0"/>
    <n v="0"/>
  </r>
  <r>
    <x v="40"/>
    <x v="40"/>
    <x v="30"/>
    <x v="30"/>
    <n v="0"/>
    <n v="0"/>
    <n v="0"/>
    <n v="0"/>
    <n v="0"/>
  </r>
  <r>
    <x v="41"/>
    <x v="41"/>
    <x v="30"/>
    <x v="30"/>
    <n v="0"/>
    <n v="0"/>
    <n v="0"/>
    <n v="0"/>
    <n v="0"/>
  </r>
  <r>
    <x v="42"/>
    <x v="42"/>
    <x v="30"/>
    <x v="30"/>
    <n v="88958"/>
    <n v="7357"/>
    <n v="7789"/>
    <n v="706"/>
    <n v="0"/>
  </r>
  <r>
    <x v="43"/>
    <x v="43"/>
    <x v="30"/>
    <x v="30"/>
    <n v="648199"/>
    <n v="42847"/>
    <n v="40059"/>
    <n v="7406"/>
    <n v="0"/>
  </r>
  <r>
    <x v="44"/>
    <x v="44"/>
    <x v="30"/>
    <x v="30"/>
    <n v="7336351"/>
    <n v="2739"/>
    <n v="5852"/>
    <n v="624"/>
    <n v="0"/>
  </r>
  <r>
    <x v="45"/>
    <x v="45"/>
    <x v="30"/>
    <x v="30"/>
    <n v="115600"/>
    <n v="0"/>
    <n v="0"/>
    <n v="0"/>
    <n v="0"/>
  </r>
  <r>
    <x v="46"/>
    <x v="46"/>
    <x v="30"/>
    <x v="30"/>
    <n v="194454"/>
    <n v="0"/>
    <n v="0"/>
    <n v="0"/>
    <n v="0"/>
  </r>
  <r>
    <x v="47"/>
    <x v="47"/>
    <x v="30"/>
    <x v="30"/>
    <n v="0"/>
    <n v="0"/>
    <n v="0"/>
    <n v="0"/>
    <n v="0"/>
  </r>
  <r>
    <x v="48"/>
    <x v="48"/>
    <x v="30"/>
    <x v="30"/>
    <n v="0"/>
    <n v="-19312731"/>
    <n v="-11135342"/>
    <n v="0"/>
    <n v="0"/>
  </r>
  <r>
    <x v="49"/>
    <x v="49"/>
    <x v="30"/>
    <x v="30"/>
    <n v="638527"/>
    <n v="0"/>
    <n v="0"/>
    <n v="0"/>
    <n v="0"/>
  </r>
  <r>
    <x v="50"/>
    <x v="50"/>
    <x v="30"/>
    <x v="30"/>
    <n v="1476399"/>
    <n v="0"/>
    <n v="0"/>
    <n v="-3731009"/>
    <n v="0"/>
  </r>
  <r>
    <x v="51"/>
    <x v="51"/>
    <x v="30"/>
    <x v="30"/>
    <n v="155081"/>
    <n v="0"/>
    <n v="0"/>
    <n v="0"/>
    <n v="0"/>
  </r>
  <r>
    <x v="52"/>
    <x v="52"/>
    <x v="30"/>
    <x v="30"/>
    <n v="3681415"/>
    <n v="0"/>
    <n v="0"/>
    <n v="0"/>
    <n v="0"/>
  </r>
  <r>
    <x v="53"/>
    <x v="53"/>
    <x v="30"/>
    <x v="30"/>
    <n v="311791"/>
    <n v="0"/>
    <n v="0"/>
    <n v="0"/>
    <n v="0"/>
  </r>
  <r>
    <x v="54"/>
    <x v="54"/>
    <x v="30"/>
    <x v="30"/>
    <n v="4652796"/>
    <n v="0"/>
    <n v="0"/>
    <n v="0"/>
    <n v="0"/>
  </r>
  <r>
    <x v="55"/>
    <x v="55"/>
    <x v="30"/>
    <x v="30"/>
    <n v="115795"/>
    <n v="0"/>
    <n v="0"/>
    <n v="0"/>
    <n v="0"/>
  </r>
  <r>
    <x v="56"/>
    <x v="56"/>
    <x v="30"/>
    <x v="30"/>
    <n v="365501"/>
    <n v="0"/>
    <n v="0"/>
    <n v="0"/>
    <n v="0"/>
  </r>
  <r>
    <x v="57"/>
    <x v="57"/>
    <x v="30"/>
    <x v="30"/>
    <n v="717350"/>
    <n v="0"/>
    <n v="0"/>
    <n v="0"/>
    <n v="75054"/>
  </r>
  <r>
    <x v="58"/>
    <x v="58"/>
    <x v="30"/>
    <x v="30"/>
    <n v="273556458"/>
    <n v="0"/>
    <n v="0"/>
    <n v="0"/>
    <n v="56988808"/>
  </r>
  <r>
    <x v="59"/>
    <x v="59"/>
    <x v="30"/>
    <x v="30"/>
    <n v="23030390"/>
    <n v="0"/>
    <n v="0"/>
    <n v="0"/>
    <n v="0"/>
  </r>
  <r>
    <x v="60"/>
    <x v="60"/>
    <x v="30"/>
    <x v="30"/>
    <n v="37332756"/>
    <n v="0"/>
    <n v="0"/>
    <n v="0"/>
    <n v="0"/>
  </r>
  <r>
    <x v="61"/>
    <x v="61"/>
    <x v="30"/>
    <x v="30"/>
    <n v="23223244"/>
    <n v="0"/>
    <n v="0"/>
    <n v="0"/>
    <n v="0"/>
  </r>
  <r>
    <x v="62"/>
    <x v="62"/>
    <x v="30"/>
    <x v="30"/>
    <n v="8217988"/>
    <n v="0"/>
    <n v="0"/>
    <n v="0"/>
    <n v="0"/>
  </r>
  <r>
    <x v="63"/>
    <x v="63"/>
    <x v="30"/>
    <x v="30"/>
    <n v="91804378"/>
    <n v="0"/>
    <n v="0"/>
    <n v="0"/>
    <n v="0"/>
  </r>
  <r>
    <x v="64"/>
    <x v="64"/>
    <x v="30"/>
    <x v="30"/>
    <n v="365360836"/>
    <n v="0"/>
    <n v="0"/>
    <n v="0"/>
    <n v="0"/>
  </r>
  <r>
    <x v="0"/>
    <x v="0"/>
    <x v="31"/>
    <x v="31"/>
    <n v="0"/>
    <n v="0"/>
    <n v="0"/>
    <n v="0"/>
    <n v="0"/>
  </r>
  <r>
    <x v="1"/>
    <x v="1"/>
    <x v="31"/>
    <x v="31"/>
    <n v="0"/>
    <n v="0"/>
    <n v="0"/>
    <n v="0"/>
    <n v="0"/>
  </r>
  <r>
    <x v="2"/>
    <x v="2"/>
    <x v="31"/>
    <x v="31"/>
    <n v="0"/>
    <n v="0"/>
    <n v="0"/>
    <n v="0"/>
    <n v="0"/>
  </r>
  <r>
    <x v="3"/>
    <x v="3"/>
    <x v="31"/>
    <x v="31"/>
    <n v="0"/>
    <n v="0"/>
    <n v="0"/>
    <n v="0"/>
    <n v="0"/>
  </r>
  <r>
    <x v="4"/>
    <x v="4"/>
    <x v="31"/>
    <x v="31"/>
    <n v="0"/>
    <n v="0"/>
    <n v="0"/>
    <n v="0"/>
    <n v="0"/>
  </r>
  <r>
    <x v="5"/>
    <x v="5"/>
    <x v="31"/>
    <x v="31"/>
    <n v="0"/>
    <n v="0"/>
    <n v="0"/>
    <n v="0"/>
    <n v="0"/>
  </r>
  <r>
    <x v="6"/>
    <x v="6"/>
    <x v="31"/>
    <x v="31"/>
    <n v="0"/>
    <n v="0"/>
    <n v="0"/>
    <n v="0"/>
    <n v="0"/>
  </r>
  <r>
    <x v="7"/>
    <x v="7"/>
    <x v="31"/>
    <x v="31"/>
    <n v="0"/>
    <n v="0"/>
    <n v="0"/>
    <n v="0"/>
    <n v="0"/>
  </r>
  <r>
    <x v="8"/>
    <x v="8"/>
    <x v="31"/>
    <x v="31"/>
    <n v="0"/>
    <n v="0"/>
    <n v="0"/>
    <n v="0"/>
    <n v="0"/>
  </r>
  <r>
    <x v="9"/>
    <x v="9"/>
    <x v="31"/>
    <x v="31"/>
    <n v="0"/>
    <n v="0"/>
    <n v="0"/>
    <n v="0"/>
    <n v="0"/>
  </r>
  <r>
    <x v="10"/>
    <x v="10"/>
    <x v="31"/>
    <x v="31"/>
    <n v="0"/>
    <n v="0"/>
    <n v="0"/>
    <n v="0"/>
    <n v="0"/>
  </r>
  <r>
    <x v="11"/>
    <x v="11"/>
    <x v="31"/>
    <x v="31"/>
    <n v="0"/>
    <n v="0"/>
    <n v="0"/>
    <n v="0"/>
    <n v="0"/>
  </r>
  <r>
    <x v="12"/>
    <x v="12"/>
    <x v="31"/>
    <x v="31"/>
    <n v="0"/>
    <n v="0"/>
    <n v="0"/>
    <n v="0"/>
    <n v="0"/>
  </r>
  <r>
    <x v="13"/>
    <x v="13"/>
    <x v="31"/>
    <x v="31"/>
    <n v="28739"/>
    <n v="2032"/>
    <n v="1871"/>
    <n v="606"/>
    <n v="0"/>
  </r>
  <r>
    <x v="14"/>
    <x v="14"/>
    <x v="31"/>
    <x v="31"/>
    <n v="0"/>
    <n v="0"/>
    <n v="0"/>
    <n v="0"/>
    <n v="0"/>
  </r>
  <r>
    <x v="15"/>
    <x v="15"/>
    <x v="31"/>
    <x v="31"/>
    <n v="179048"/>
    <n v="7868"/>
    <n v="10650"/>
    <n v="1359"/>
    <n v="112706"/>
  </r>
  <r>
    <x v="16"/>
    <x v="16"/>
    <x v="31"/>
    <x v="31"/>
    <n v="12382"/>
    <n v="609"/>
    <n v="392"/>
    <n v="93"/>
    <n v="0"/>
  </r>
  <r>
    <x v="17"/>
    <x v="17"/>
    <x v="31"/>
    <x v="31"/>
    <n v="0"/>
    <n v="0"/>
    <n v="0"/>
    <n v="0"/>
    <n v="0"/>
  </r>
  <r>
    <x v="18"/>
    <x v="18"/>
    <x v="31"/>
    <x v="31"/>
    <n v="0"/>
    <n v="0"/>
    <n v="0"/>
    <n v="0"/>
    <n v="0"/>
  </r>
  <r>
    <x v="19"/>
    <x v="19"/>
    <x v="31"/>
    <x v="31"/>
    <n v="0"/>
    <n v="0"/>
    <n v="0"/>
    <n v="0"/>
    <n v="0"/>
  </r>
  <r>
    <x v="20"/>
    <x v="20"/>
    <x v="31"/>
    <x v="31"/>
    <n v="0"/>
    <n v="0"/>
    <n v="0"/>
    <n v="0"/>
    <n v="0"/>
  </r>
  <r>
    <x v="21"/>
    <x v="21"/>
    <x v="31"/>
    <x v="31"/>
    <n v="0"/>
    <n v="0"/>
    <n v="0"/>
    <n v="0"/>
    <n v="0"/>
  </r>
  <r>
    <x v="22"/>
    <x v="22"/>
    <x v="31"/>
    <x v="31"/>
    <n v="557860"/>
    <n v="33612"/>
    <n v="14386"/>
    <n v="3261"/>
    <n v="0"/>
  </r>
  <r>
    <x v="23"/>
    <x v="23"/>
    <x v="31"/>
    <x v="31"/>
    <n v="9884"/>
    <n v="243"/>
    <n v="1059"/>
    <n v="94"/>
    <n v="0"/>
  </r>
  <r>
    <x v="24"/>
    <x v="24"/>
    <x v="31"/>
    <x v="31"/>
    <n v="1501122"/>
    <n v="61908"/>
    <n v="51783"/>
    <n v="14576"/>
    <n v="0"/>
  </r>
  <r>
    <x v="25"/>
    <x v="25"/>
    <x v="31"/>
    <x v="31"/>
    <n v="164866"/>
    <n v="13446"/>
    <n v="30090"/>
    <n v="1667"/>
    <n v="0"/>
  </r>
  <r>
    <x v="26"/>
    <x v="26"/>
    <x v="31"/>
    <x v="31"/>
    <n v="241793781"/>
    <n v="20996976"/>
    <n v="5102129"/>
    <n v="1710608"/>
    <n v="137760129"/>
  </r>
  <r>
    <x v="27"/>
    <x v="27"/>
    <x v="31"/>
    <x v="31"/>
    <n v="0"/>
    <n v="0"/>
    <n v="0"/>
    <n v="0"/>
    <n v="0"/>
  </r>
  <r>
    <x v="28"/>
    <x v="28"/>
    <x v="31"/>
    <x v="31"/>
    <n v="13844351"/>
    <n v="1325424"/>
    <n v="615722"/>
    <n v="170202"/>
    <n v="6474939"/>
  </r>
  <r>
    <x v="29"/>
    <x v="29"/>
    <x v="31"/>
    <x v="31"/>
    <n v="7391843"/>
    <n v="325032"/>
    <n v="281532"/>
    <n v="63526"/>
    <n v="1371046"/>
  </r>
  <r>
    <x v="30"/>
    <x v="30"/>
    <x v="31"/>
    <x v="31"/>
    <n v="4433390"/>
    <n v="773412"/>
    <n v="747273"/>
    <n v="151804"/>
    <n v="0"/>
  </r>
  <r>
    <x v="31"/>
    <x v="31"/>
    <x v="31"/>
    <x v="31"/>
    <n v="21343232"/>
    <n v="1462590"/>
    <n v="1396012"/>
    <n v="143207"/>
    <n v="9275142"/>
  </r>
  <r>
    <x v="32"/>
    <x v="32"/>
    <x v="31"/>
    <x v="31"/>
    <n v="0"/>
    <n v="0"/>
    <n v="0"/>
    <n v="0"/>
    <n v="0"/>
  </r>
  <r>
    <x v="33"/>
    <x v="33"/>
    <x v="31"/>
    <x v="31"/>
    <n v="0"/>
    <n v="0"/>
    <n v="0"/>
    <n v="0"/>
    <n v="0"/>
  </r>
  <r>
    <x v="34"/>
    <x v="34"/>
    <x v="31"/>
    <x v="31"/>
    <n v="541545"/>
    <n v="23638"/>
    <n v="24061"/>
    <n v="6537"/>
    <n v="140303"/>
  </r>
  <r>
    <x v="35"/>
    <x v="35"/>
    <x v="31"/>
    <x v="31"/>
    <n v="144402"/>
    <n v="7705"/>
    <n v="2729"/>
    <n v="201"/>
    <n v="86115"/>
  </r>
  <r>
    <x v="36"/>
    <x v="36"/>
    <x v="31"/>
    <x v="31"/>
    <n v="839349"/>
    <n v="7254"/>
    <n v="23262"/>
    <n v="1725"/>
    <n v="650524"/>
  </r>
  <r>
    <x v="37"/>
    <x v="37"/>
    <x v="31"/>
    <x v="31"/>
    <n v="4581002"/>
    <n v="188053"/>
    <n v="0"/>
    <n v="49122"/>
    <n v="1446636"/>
  </r>
  <r>
    <x v="38"/>
    <x v="38"/>
    <x v="31"/>
    <x v="31"/>
    <n v="450949"/>
    <n v="21649"/>
    <n v="0"/>
    <n v="4629"/>
    <n v="0"/>
  </r>
  <r>
    <x v="39"/>
    <x v="39"/>
    <x v="31"/>
    <x v="31"/>
    <n v="1798958"/>
    <n v="0"/>
    <n v="0"/>
    <n v="0"/>
    <n v="0"/>
  </r>
  <r>
    <x v="40"/>
    <x v="40"/>
    <x v="31"/>
    <x v="31"/>
    <n v="0"/>
    <n v="0"/>
    <n v="0"/>
    <n v="0"/>
    <n v="0"/>
  </r>
  <r>
    <x v="41"/>
    <x v="41"/>
    <x v="31"/>
    <x v="31"/>
    <n v="0"/>
    <n v="0"/>
    <n v="0"/>
    <n v="0"/>
    <n v="0"/>
  </r>
  <r>
    <x v="42"/>
    <x v="42"/>
    <x v="31"/>
    <x v="31"/>
    <n v="0"/>
    <n v="0"/>
    <n v="0"/>
    <n v="0"/>
    <n v="0"/>
  </r>
  <r>
    <x v="43"/>
    <x v="43"/>
    <x v="31"/>
    <x v="31"/>
    <n v="949629"/>
    <n v="98285"/>
    <n v="34215"/>
    <n v="9484"/>
    <n v="0"/>
  </r>
  <r>
    <x v="44"/>
    <x v="44"/>
    <x v="31"/>
    <x v="31"/>
    <n v="31708797"/>
    <n v="28659"/>
    <n v="53190"/>
    <n v="5291"/>
    <n v="0"/>
  </r>
  <r>
    <x v="45"/>
    <x v="45"/>
    <x v="31"/>
    <x v="31"/>
    <n v="263757"/>
    <n v="0"/>
    <n v="0"/>
    <n v="0"/>
    <n v="0"/>
  </r>
  <r>
    <x v="46"/>
    <x v="46"/>
    <x v="31"/>
    <x v="31"/>
    <n v="216878"/>
    <n v="0"/>
    <n v="0"/>
    <n v="0"/>
    <n v="0"/>
  </r>
  <r>
    <x v="47"/>
    <x v="47"/>
    <x v="31"/>
    <x v="31"/>
    <n v="0"/>
    <n v="0"/>
    <n v="0"/>
    <n v="0"/>
    <n v="0"/>
  </r>
  <r>
    <x v="48"/>
    <x v="48"/>
    <x v="31"/>
    <x v="31"/>
    <n v="0"/>
    <n v="-25378395"/>
    <n v="-8390356"/>
    <n v="0"/>
    <n v="0"/>
  </r>
  <r>
    <x v="49"/>
    <x v="49"/>
    <x v="31"/>
    <x v="31"/>
    <n v="469863"/>
    <n v="0"/>
    <n v="0"/>
    <n v="0"/>
    <n v="0"/>
  </r>
  <r>
    <x v="50"/>
    <x v="50"/>
    <x v="31"/>
    <x v="31"/>
    <n v="1862346"/>
    <n v="0"/>
    <n v="0"/>
    <n v="-2337992"/>
    <n v="0"/>
  </r>
  <r>
    <x v="51"/>
    <x v="51"/>
    <x v="31"/>
    <x v="31"/>
    <n v="1134585"/>
    <n v="0"/>
    <n v="0"/>
    <n v="0"/>
    <n v="0"/>
  </r>
  <r>
    <x v="52"/>
    <x v="52"/>
    <x v="31"/>
    <x v="31"/>
    <n v="10490821"/>
    <n v="0"/>
    <n v="0"/>
    <n v="0"/>
    <n v="0"/>
  </r>
  <r>
    <x v="53"/>
    <x v="53"/>
    <x v="31"/>
    <x v="31"/>
    <n v="42496"/>
    <n v="0"/>
    <n v="0"/>
    <n v="0"/>
    <n v="0"/>
  </r>
  <r>
    <x v="54"/>
    <x v="54"/>
    <x v="31"/>
    <x v="31"/>
    <n v="8972951"/>
    <n v="0"/>
    <n v="0"/>
    <n v="0"/>
    <n v="0"/>
  </r>
  <r>
    <x v="55"/>
    <x v="55"/>
    <x v="31"/>
    <x v="31"/>
    <n v="462624"/>
    <n v="0"/>
    <n v="0"/>
    <n v="0"/>
    <n v="0"/>
  </r>
  <r>
    <x v="56"/>
    <x v="56"/>
    <x v="31"/>
    <x v="31"/>
    <n v="267995"/>
    <n v="0"/>
    <n v="0"/>
    <n v="0"/>
    <n v="0"/>
  </r>
  <r>
    <x v="57"/>
    <x v="57"/>
    <x v="31"/>
    <x v="31"/>
    <n v="971326"/>
    <n v="0"/>
    <n v="0"/>
    <n v="0"/>
    <n v="102069"/>
  </r>
  <r>
    <x v="58"/>
    <x v="58"/>
    <x v="31"/>
    <x v="31"/>
    <n v="357430771"/>
    <n v="0"/>
    <n v="0"/>
    <n v="0"/>
    <n v="157419609"/>
  </r>
  <r>
    <x v="59"/>
    <x v="59"/>
    <x v="31"/>
    <x v="31"/>
    <n v="47442202"/>
    <n v="0"/>
    <n v="0"/>
    <n v="0"/>
    <n v="0"/>
  </r>
  <r>
    <x v="60"/>
    <x v="60"/>
    <x v="31"/>
    <x v="31"/>
    <n v="54828558"/>
    <n v="0"/>
    <n v="0"/>
    <n v="0"/>
    <n v="0"/>
  </r>
  <r>
    <x v="61"/>
    <x v="61"/>
    <x v="31"/>
    <x v="31"/>
    <n v="30645892"/>
    <n v="0"/>
    <n v="0"/>
    <n v="0"/>
    <n v="0"/>
  </r>
  <r>
    <x v="62"/>
    <x v="62"/>
    <x v="31"/>
    <x v="31"/>
    <n v="10581774"/>
    <n v="0"/>
    <n v="0"/>
    <n v="0"/>
    <n v="0"/>
  </r>
  <r>
    <x v="63"/>
    <x v="63"/>
    <x v="31"/>
    <x v="31"/>
    <n v="143498426"/>
    <n v="0"/>
    <n v="0"/>
    <n v="0"/>
    <n v="0"/>
  </r>
  <r>
    <x v="64"/>
    <x v="64"/>
    <x v="31"/>
    <x v="31"/>
    <n v="500929197"/>
    <n v="0"/>
    <n v="0"/>
    <n v="0"/>
    <n v="0"/>
  </r>
  <r>
    <x v="0"/>
    <x v="0"/>
    <x v="32"/>
    <x v="32"/>
    <n v="0"/>
    <n v="0"/>
    <n v="0"/>
    <n v="0"/>
    <n v="0"/>
  </r>
  <r>
    <x v="1"/>
    <x v="1"/>
    <x v="32"/>
    <x v="32"/>
    <n v="0"/>
    <n v="0"/>
    <n v="0"/>
    <n v="0"/>
    <n v="0"/>
  </r>
  <r>
    <x v="2"/>
    <x v="2"/>
    <x v="32"/>
    <x v="32"/>
    <n v="0"/>
    <n v="0"/>
    <n v="0"/>
    <n v="0"/>
    <n v="0"/>
  </r>
  <r>
    <x v="3"/>
    <x v="3"/>
    <x v="32"/>
    <x v="32"/>
    <n v="0"/>
    <n v="0"/>
    <n v="0"/>
    <n v="0"/>
    <n v="0"/>
  </r>
  <r>
    <x v="4"/>
    <x v="4"/>
    <x v="32"/>
    <x v="32"/>
    <n v="0"/>
    <n v="0"/>
    <n v="0"/>
    <n v="0"/>
    <n v="0"/>
  </r>
  <r>
    <x v="5"/>
    <x v="5"/>
    <x v="32"/>
    <x v="32"/>
    <n v="0"/>
    <n v="0"/>
    <n v="0"/>
    <n v="0"/>
    <n v="0"/>
  </r>
  <r>
    <x v="6"/>
    <x v="6"/>
    <x v="32"/>
    <x v="32"/>
    <n v="0"/>
    <n v="0"/>
    <n v="0"/>
    <n v="0"/>
    <n v="0"/>
  </r>
  <r>
    <x v="7"/>
    <x v="7"/>
    <x v="32"/>
    <x v="32"/>
    <n v="0"/>
    <n v="0"/>
    <n v="0"/>
    <n v="0"/>
    <n v="0"/>
  </r>
  <r>
    <x v="8"/>
    <x v="8"/>
    <x v="32"/>
    <x v="32"/>
    <n v="0"/>
    <n v="0"/>
    <n v="0"/>
    <n v="0"/>
    <n v="0"/>
  </r>
  <r>
    <x v="9"/>
    <x v="9"/>
    <x v="32"/>
    <x v="32"/>
    <n v="0"/>
    <n v="0"/>
    <n v="0"/>
    <n v="0"/>
    <n v="0"/>
  </r>
  <r>
    <x v="10"/>
    <x v="10"/>
    <x v="32"/>
    <x v="32"/>
    <n v="0"/>
    <n v="0"/>
    <n v="0"/>
    <n v="0"/>
    <n v="0"/>
  </r>
  <r>
    <x v="11"/>
    <x v="11"/>
    <x v="32"/>
    <x v="32"/>
    <n v="7448520"/>
    <n v="48512"/>
    <n v="0"/>
    <n v="40830"/>
    <n v="6576188"/>
  </r>
  <r>
    <x v="12"/>
    <x v="12"/>
    <x v="32"/>
    <x v="32"/>
    <n v="564118"/>
    <n v="26651"/>
    <n v="0"/>
    <n v="12763"/>
    <n v="0"/>
  </r>
  <r>
    <x v="13"/>
    <x v="13"/>
    <x v="32"/>
    <x v="32"/>
    <n v="44615880"/>
    <n v="1084630"/>
    <n v="0"/>
    <n v="3443540"/>
    <n v="109169"/>
  </r>
  <r>
    <x v="14"/>
    <x v="14"/>
    <x v="32"/>
    <x v="32"/>
    <n v="0"/>
    <n v="0"/>
    <n v="0"/>
    <n v="0"/>
    <n v="0"/>
  </r>
  <r>
    <x v="15"/>
    <x v="15"/>
    <x v="32"/>
    <x v="32"/>
    <n v="0"/>
    <n v="0"/>
    <n v="0"/>
    <n v="0"/>
    <n v="0"/>
  </r>
  <r>
    <x v="16"/>
    <x v="16"/>
    <x v="32"/>
    <x v="32"/>
    <n v="0"/>
    <n v="0"/>
    <n v="0"/>
    <n v="0"/>
    <n v="0"/>
  </r>
  <r>
    <x v="17"/>
    <x v="17"/>
    <x v="32"/>
    <x v="32"/>
    <n v="0"/>
    <n v="0"/>
    <n v="0"/>
    <n v="0"/>
    <n v="0"/>
  </r>
  <r>
    <x v="18"/>
    <x v="18"/>
    <x v="32"/>
    <x v="32"/>
    <n v="0"/>
    <n v="0"/>
    <n v="0"/>
    <n v="0"/>
    <n v="0"/>
  </r>
  <r>
    <x v="19"/>
    <x v="19"/>
    <x v="32"/>
    <x v="32"/>
    <n v="0"/>
    <n v="0"/>
    <n v="0"/>
    <n v="0"/>
    <n v="0"/>
  </r>
  <r>
    <x v="20"/>
    <x v="20"/>
    <x v="32"/>
    <x v="32"/>
    <n v="0"/>
    <n v="0"/>
    <n v="0"/>
    <n v="0"/>
    <n v="0"/>
  </r>
  <r>
    <x v="21"/>
    <x v="21"/>
    <x v="32"/>
    <x v="32"/>
    <n v="0"/>
    <n v="0"/>
    <n v="0"/>
    <n v="0"/>
    <n v="0"/>
  </r>
  <r>
    <x v="22"/>
    <x v="22"/>
    <x v="32"/>
    <x v="32"/>
    <n v="0"/>
    <n v="0"/>
    <n v="0"/>
    <n v="0"/>
    <n v="0"/>
  </r>
  <r>
    <x v="23"/>
    <x v="23"/>
    <x v="32"/>
    <x v="32"/>
    <n v="5020"/>
    <n v="619"/>
    <n v="738"/>
    <n v="21"/>
    <n v="0"/>
  </r>
  <r>
    <x v="24"/>
    <x v="24"/>
    <x v="32"/>
    <x v="32"/>
    <n v="1717460"/>
    <n v="149297"/>
    <n v="71717"/>
    <n v="19691"/>
    <n v="669653"/>
  </r>
  <r>
    <x v="25"/>
    <x v="25"/>
    <x v="32"/>
    <x v="32"/>
    <n v="3618"/>
    <n v="166"/>
    <n v="391"/>
    <n v="34"/>
    <n v="0"/>
  </r>
  <r>
    <x v="26"/>
    <x v="26"/>
    <x v="32"/>
    <x v="32"/>
    <n v="2275383"/>
    <n v="181620"/>
    <n v="75743"/>
    <n v="45828"/>
    <n v="1260511"/>
  </r>
  <r>
    <x v="27"/>
    <x v="27"/>
    <x v="32"/>
    <x v="32"/>
    <n v="0"/>
    <n v="0"/>
    <n v="0"/>
    <n v="0"/>
    <n v="0"/>
  </r>
  <r>
    <x v="28"/>
    <x v="28"/>
    <x v="32"/>
    <x v="32"/>
    <n v="2621699"/>
    <n v="80842"/>
    <n v="133165"/>
    <n v="28878"/>
    <n v="2312935"/>
  </r>
  <r>
    <x v="29"/>
    <x v="29"/>
    <x v="32"/>
    <x v="32"/>
    <n v="7771452"/>
    <n v="236523"/>
    <n v="211865"/>
    <n v="64765"/>
    <n v="1312907"/>
  </r>
  <r>
    <x v="30"/>
    <x v="30"/>
    <x v="32"/>
    <x v="32"/>
    <n v="0"/>
    <n v="0"/>
    <n v="0"/>
    <n v="0"/>
    <n v="0"/>
  </r>
  <r>
    <x v="31"/>
    <x v="31"/>
    <x v="32"/>
    <x v="32"/>
    <n v="178290"/>
    <n v="8222"/>
    <n v="12750"/>
    <n v="1391"/>
    <n v="54601"/>
  </r>
  <r>
    <x v="32"/>
    <x v="32"/>
    <x v="32"/>
    <x v="32"/>
    <n v="25377238"/>
    <n v="998946"/>
    <n v="841661"/>
    <n v="342252"/>
    <n v="228630"/>
  </r>
  <r>
    <x v="33"/>
    <x v="33"/>
    <x v="32"/>
    <x v="32"/>
    <n v="41096"/>
    <n v="2314"/>
    <n v="2636"/>
    <n v="255"/>
    <n v="0"/>
  </r>
  <r>
    <x v="34"/>
    <x v="34"/>
    <x v="32"/>
    <x v="32"/>
    <n v="14285865"/>
    <n v="1528436"/>
    <n v="1122330"/>
    <n v="163809"/>
    <n v="8450269"/>
  </r>
  <r>
    <x v="35"/>
    <x v="35"/>
    <x v="32"/>
    <x v="32"/>
    <n v="0"/>
    <n v="0"/>
    <n v="0"/>
    <n v="0"/>
    <n v="0"/>
  </r>
  <r>
    <x v="36"/>
    <x v="36"/>
    <x v="32"/>
    <x v="32"/>
    <n v="176778"/>
    <n v="3105"/>
    <n v="15047"/>
    <n v="468"/>
    <n v="78108"/>
  </r>
  <r>
    <x v="37"/>
    <x v="37"/>
    <x v="32"/>
    <x v="32"/>
    <n v="1894148"/>
    <n v="132654"/>
    <n v="0"/>
    <n v="20975"/>
    <n v="0"/>
  </r>
  <r>
    <x v="38"/>
    <x v="38"/>
    <x v="32"/>
    <x v="32"/>
    <n v="120983"/>
    <n v="6055"/>
    <n v="1318"/>
    <n v="1194"/>
    <n v="0"/>
  </r>
  <r>
    <x v="39"/>
    <x v="39"/>
    <x v="32"/>
    <x v="32"/>
    <n v="588376"/>
    <n v="0"/>
    <n v="0"/>
    <n v="0"/>
    <n v="0"/>
  </r>
  <r>
    <x v="40"/>
    <x v="40"/>
    <x v="32"/>
    <x v="32"/>
    <n v="0"/>
    <n v="0"/>
    <n v="0"/>
    <n v="0"/>
    <n v="0"/>
  </r>
  <r>
    <x v="41"/>
    <x v="41"/>
    <x v="32"/>
    <x v="32"/>
    <n v="0"/>
    <n v="0"/>
    <n v="0"/>
    <n v="0"/>
    <n v="0"/>
  </r>
  <r>
    <x v="42"/>
    <x v="42"/>
    <x v="32"/>
    <x v="32"/>
    <n v="20581"/>
    <n v="1668"/>
    <n v="2702"/>
    <n v="302"/>
    <n v="0"/>
  </r>
  <r>
    <x v="43"/>
    <x v="43"/>
    <x v="32"/>
    <x v="32"/>
    <n v="343648"/>
    <n v="32545"/>
    <n v="27614"/>
    <n v="3977"/>
    <n v="0"/>
  </r>
  <r>
    <x v="44"/>
    <x v="44"/>
    <x v="32"/>
    <x v="32"/>
    <n v="10938238"/>
    <n v="397"/>
    <n v="693"/>
    <n v="85"/>
    <n v="0"/>
  </r>
  <r>
    <x v="45"/>
    <x v="45"/>
    <x v="32"/>
    <x v="32"/>
    <n v="261608"/>
    <n v="0"/>
    <n v="0"/>
    <n v="0"/>
    <n v="0"/>
  </r>
  <r>
    <x v="46"/>
    <x v="46"/>
    <x v="32"/>
    <x v="32"/>
    <n v="181692"/>
    <n v="0"/>
    <n v="0"/>
    <n v="0"/>
    <n v="0"/>
  </r>
  <r>
    <x v="47"/>
    <x v="47"/>
    <x v="32"/>
    <x v="32"/>
    <n v="0"/>
    <n v="0"/>
    <n v="0"/>
    <n v="0"/>
    <n v="0"/>
  </r>
  <r>
    <x v="48"/>
    <x v="48"/>
    <x v="32"/>
    <x v="32"/>
    <n v="0"/>
    <n v="-4523202"/>
    <n v="-2520370"/>
    <n v="0"/>
    <n v="0"/>
  </r>
  <r>
    <x v="49"/>
    <x v="49"/>
    <x v="32"/>
    <x v="32"/>
    <n v="265683"/>
    <n v="0"/>
    <n v="0"/>
    <n v="0"/>
    <n v="0"/>
  </r>
  <r>
    <x v="50"/>
    <x v="50"/>
    <x v="32"/>
    <x v="32"/>
    <n v="588377"/>
    <n v="0"/>
    <n v="0"/>
    <n v="-4191058"/>
    <n v="0"/>
  </r>
  <r>
    <x v="51"/>
    <x v="51"/>
    <x v="32"/>
    <x v="32"/>
    <n v="92870"/>
    <n v="0"/>
    <n v="0"/>
    <n v="0"/>
    <n v="0"/>
  </r>
  <r>
    <x v="52"/>
    <x v="52"/>
    <x v="32"/>
    <x v="32"/>
    <n v="5443802"/>
    <n v="0"/>
    <n v="0"/>
    <n v="0"/>
    <n v="0"/>
  </r>
  <r>
    <x v="53"/>
    <x v="53"/>
    <x v="32"/>
    <x v="32"/>
    <n v="92023"/>
    <n v="0"/>
    <n v="0"/>
    <n v="0"/>
    <n v="0"/>
  </r>
  <r>
    <x v="54"/>
    <x v="54"/>
    <x v="32"/>
    <x v="32"/>
    <n v="2323811"/>
    <n v="0"/>
    <n v="0"/>
    <n v="0"/>
    <n v="0"/>
  </r>
  <r>
    <x v="55"/>
    <x v="55"/>
    <x v="32"/>
    <x v="32"/>
    <n v="232938"/>
    <n v="0"/>
    <n v="0"/>
    <n v="0"/>
    <n v="0"/>
  </r>
  <r>
    <x v="56"/>
    <x v="56"/>
    <x v="32"/>
    <x v="32"/>
    <n v="60121"/>
    <n v="0"/>
    <n v="0"/>
    <n v="0"/>
    <n v="0"/>
  </r>
  <r>
    <x v="57"/>
    <x v="57"/>
    <x v="32"/>
    <x v="32"/>
    <n v="731092"/>
    <n v="0"/>
    <n v="0"/>
    <n v="0"/>
    <n v="77005"/>
  </r>
  <r>
    <x v="58"/>
    <x v="58"/>
    <x v="32"/>
    <x v="32"/>
    <n v="131262408"/>
    <n v="0"/>
    <n v="0"/>
    <n v="0"/>
    <n v="21129976"/>
  </r>
  <r>
    <x v="59"/>
    <x v="59"/>
    <x v="32"/>
    <x v="32"/>
    <n v="21976498"/>
    <n v="0"/>
    <n v="0"/>
    <n v="0"/>
    <n v="0"/>
  </r>
  <r>
    <x v="60"/>
    <x v="60"/>
    <x v="32"/>
    <x v="32"/>
    <n v="34399811"/>
    <n v="0"/>
    <n v="0"/>
    <n v="0"/>
    <n v="0"/>
  </r>
  <r>
    <x v="61"/>
    <x v="61"/>
    <x v="32"/>
    <x v="32"/>
    <n v="14237400"/>
    <n v="0"/>
    <n v="0"/>
    <n v="0"/>
    <n v="0"/>
  </r>
  <r>
    <x v="62"/>
    <x v="62"/>
    <x v="32"/>
    <x v="32"/>
    <n v="4356519"/>
    <n v="0"/>
    <n v="0"/>
    <n v="0"/>
    <n v="0"/>
  </r>
  <r>
    <x v="63"/>
    <x v="63"/>
    <x v="32"/>
    <x v="32"/>
    <n v="74970228"/>
    <n v="0"/>
    <n v="0"/>
    <n v="0"/>
    <n v="0"/>
  </r>
  <r>
    <x v="64"/>
    <x v="64"/>
    <x v="32"/>
    <x v="32"/>
    <n v="206232636"/>
    <n v="0"/>
    <n v="0"/>
    <n v="0"/>
    <n v="0"/>
  </r>
  <r>
    <x v="0"/>
    <x v="0"/>
    <x v="33"/>
    <x v="33"/>
    <n v="0"/>
    <n v="0"/>
    <n v="0"/>
    <n v="0"/>
    <n v="0"/>
  </r>
  <r>
    <x v="1"/>
    <x v="1"/>
    <x v="33"/>
    <x v="33"/>
    <n v="0"/>
    <n v="0"/>
    <n v="0"/>
    <n v="0"/>
    <n v="0"/>
  </r>
  <r>
    <x v="2"/>
    <x v="2"/>
    <x v="33"/>
    <x v="33"/>
    <n v="0"/>
    <n v="0"/>
    <n v="0"/>
    <n v="0"/>
    <n v="0"/>
  </r>
  <r>
    <x v="3"/>
    <x v="3"/>
    <x v="33"/>
    <x v="33"/>
    <n v="0"/>
    <n v="0"/>
    <n v="0"/>
    <n v="0"/>
    <n v="0"/>
  </r>
  <r>
    <x v="4"/>
    <x v="4"/>
    <x v="33"/>
    <x v="33"/>
    <n v="0"/>
    <n v="0"/>
    <n v="0"/>
    <n v="0"/>
    <n v="0"/>
  </r>
  <r>
    <x v="5"/>
    <x v="5"/>
    <x v="33"/>
    <x v="33"/>
    <n v="0"/>
    <n v="0"/>
    <n v="0"/>
    <n v="0"/>
    <n v="0"/>
  </r>
  <r>
    <x v="6"/>
    <x v="6"/>
    <x v="33"/>
    <x v="33"/>
    <n v="0"/>
    <n v="0"/>
    <n v="0"/>
    <n v="0"/>
    <n v="0"/>
  </r>
  <r>
    <x v="7"/>
    <x v="7"/>
    <x v="33"/>
    <x v="33"/>
    <n v="0"/>
    <n v="0"/>
    <n v="0"/>
    <n v="0"/>
    <n v="0"/>
  </r>
  <r>
    <x v="8"/>
    <x v="8"/>
    <x v="33"/>
    <x v="33"/>
    <n v="0"/>
    <n v="0"/>
    <n v="0"/>
    <n v="0"/>
    <n v="0"/>
  </r>
  <r>
    <x v="9"/>
    <x v="9"/>
    <x v="33"/>
    <x v="33"/>
    <n v="127132"/>
    <n v="5269"/>
    <n v="3493"/>
    <n v="614"/>
    <n v="0"/>
  </r>
  <r>
    <x v="10"/>
    <x v="10"/>
    <x v="33"/>
    <x v="33"/>
    <n v="0"/>
    <n v="0"/>
    <n v="0"/>
    <n v="0"/>
    <n v="0"/>
  </r>
  <r>
    <x v="11"/>
    <x v="11"/>
    <x v="33"/>
    <x v="33"/>
    <n v="0"/>
    <n v="0"/>
    <n v="0"/>
    <n v="0"/>
    <n v="0"/>
  </r>
  <r>
    <x v="12"/>
    <x v="12"/>
    <x v="33"/>
    <x v="33"/>
    <n v="915536"/>
    <n v="15028"/>
    <n v="0"/>
    <n v="14324"/>
    <n v="341703"/>
  </r>
  <r>
    <x v="13"/>
    <x v="13"/>
    <x v="33"/>
    <x v="33"/>
    <n v="40748264"/>
    <n v="3591474"/>
    <n v="0"/>
    <n v="4529427"/>
    <n v="5161360"/>
  </r>
  <r>
    <x v="14"/>
    <x v="14"/>
    <x v="33"/>
    <x v="33"/>
    <n v="0"/>
    <n v="0"/>
    <n v="0"/>
    <n v="0"/>
    <n v="0"/>
  </r>
  <r>
    <x v="15"/>
    <x v="15"/>
    <x v="33"/>
    <x v="33"/>
    <n v="0"/>
    <n v="0"/>
    <n v="0"/>
    <n v="0"/>
    <n v="0"/>
  </r>
  <r>
    <x v="16"/>
    <x v="16"/>
    <x v="33"/>
    <x v="33"/>
    <n v="771384"/>
    <n v="42893"/>
    <n v="41155"/>
    <n v="12123"/>
    <n v="0"/>
  </r>
  <r>
    <x v="17"/>
    <x v="17"/>
    <x v="33"/>
    <x v="33"/>
    <n v="0"/>
    <n v="0"/>
    <n v="0"/>
    <n v="0"/>
    <n v="0"/>
  </r>
  <r>
    <x v="18"/>
    <x v="18"/>
    <x v="33"/>
    <x v="33"/>
    <n v="0"/>
    <n v="0"/>
    <n v="0"/>
    <n v="0"/>
    <n v="0"/>
  </r>
  <r>
    <x v="19"/>
    <x v="19"/>
    <x v="33"/>
    <x v="33"/>
    <n v="0"/>
    <n v="0"/>
    <n v="0"/>
    <n v="0"/>
    <n v="0"/>
  </r>
  <r>
    <x v="20"/>
    <x v="20"/>
    <x v="33"/>
    <x v="33"/>
    <n v="0"/>
    <n v="0"/>
    <n v="0"/>
    <n v="0"/>
    <n v="0"/>
  </r>
  <r>
    <x v="21"/>
    <x v="21"/>
    <x v="33"/>
    <x v="33"/>
    <n v="0"/>
    <n v="0"/>
    <n v="0"/>
    <n v="0"/>
    <n v="0"/>
  </r>
  <r>
    <x v="22"/>
    <x v="22"/>
    <x v="33"/>
    <x v="33"/>
    <n v="259612"/>
    <n v="1454"/>
    <n v="1586"/>
    <n v="2904"/>
    <n v="0"/>
  </r>
  <r>
    <x v="23"/>
    <x v="23"/>
    <x v="33"/>
    <x v="33"/>
    <n v="28328"/>
    <n v="4983"/>
    <n v="6465"/>
    <n v="142"/>
    <n v="0"/>
  </r>
  <r>
    <x v="24"/>
    <x v="24"/>
    <x v="33"/>
    <x v="33"/>
    <n v="982323"/>
    <n v="28104"/>
    <n v="26978"/>
    <n v="10632"/>
    <n v="0"/>
  </r>
  <r>
    <x v="25"/>
    <x v="25"/>
    <x v="33"/>
    <x v="33"/>
    <n v="8982"/>
    <n v="495"/>
    <n v="796"/>
    <n v="80"/>
    <n v="0"/>
  </r>
  <r>
    <x v="26"/>
    <x v="26"/>
    <x v="33"/>
    <x v="33"/>
    <n v="21561735"/>
    <n v="1834503"/>
    <n v="887901"/>
    <n v="352006"/>
    <n v="9731365"/>
  </r>
  <r>
    <x v="27"/>
    <x v="27"/>
    <x v="33"/>
    <x v="33"/>
    <n v="0"/>
    <n v="0"/>
    <n v="0"/>
    <n v="0"/>
    <n v="0"/>
  </r>
  <r>
    <x v="28"/>
    <x v="28"/>
    <x v="33"/>
    <x v="33"/>
    <n v="22205032"/>
    <n v="667244"/>
    <n v="659013"/>
    <n v="258893"/>
    <n v="16441619"/>
  </r>
  <r>
    <x v="29"/>
    <x v="29"/>
    <x v="33"/>
    <x v="33"/>
    <n v="10449671"/>
    <n v="540440"/>
    <n v="603563"/>
    <n v="93822"/>
    <n v="1922046"/>
  </r>
  <r>
    <x v="30"/>
    <x v="30"/>
    <x v="33"/>
    <x v="33"/>
    <n v="0"/>
    <n v="0"/>
    <n v="0"/>
    <n v="0"/>
    <n v="0"/>
  </r>
  <r>
    <x v="31"/>
    <x v="31"/>
    <x v="33"/>
    <x v="33"/>
    <n v="2201263"/>
    <n v="113403"/>
    <n v="179927"/>
    <n v="18486"/>
    <n v="752252"/>
  </r>
  <r>
    <x v="32"/>
    <x v="32"/>
    <x v="33"/>
    <x v="33"/>
    <n v="16467981"/>
    <n v="1249163"/>
    <n v="723666"/>
    <n v="232022"/>
    <n v="0"/>
  </r>
  <r>
    <x v="33"/>
    <x v="33"/>
    <x v="33"/>
    <x v="33"/>
    <n v="35605844"/>
    <n v="1764194"/>
    <n v="2460281"/>
    <n v="380848"/>
    <n v="8593484"/>
  </r>
  <r>
    <x v="34"/>
    <x v="34"/>
    <x v="33"/>
    <x v="33"/>
    <n v="703209"/>
    <n v="28243"/>
    <n v="69436"/>
    <n v="8555"/>
    <n v="373822"/>
  </r>
  <r>
    <x v="35"/>
    <x v="35"/>
    <x v="33"/>
    <x v="33"/>
    <n v="326727"/>
    <n v="12265"/>
    <n v="4612"/>
    <n v="465"/>
    <n v="196523"/>
  </r>
  <r>
    <x v="36"/>
    <x v="36"/>
    <x v="33"/>
    <x v="33"/>
    <n v="1088555"/>
    <n v="15183"/>
    <n v="32012"/>
    <n v="2705"/>
    <n v="709625"/>
  </r>
  <r>
    <x v="37"/>
    <x v="37"/>
    <x v="33"/>
    <x v="33"/>
    <n v="1644929"/>
    <n v="83776"/>
    <n v="0"/>
    <n v="15246"/>
    <n v="0"/>
  </r>
  <r>
    <x v="38"/>
    <x v="38"/>
    <x v="33"/>
    <x v="33"/>
    <n v="237389"/>
    <n v="13311"/>
    <n v="8955"/>
    <n v="2017"/>
    <n v="0"/>
  </r>
  <r>
    <x v="39"/>
    <x v="39"/>
    <x v="33"/>
    <x v="33"/>
    <n v="275692"/>
    <n v="0"/>
    <n v="0"/>
    <n v="0"/>
    <n v="0"/>
  </r>
  <r>
    <x v="40"/>
    <x v="40"/>
    <x v="33"/>
    <x v="33"/>
    <n v="0"/>
    <n v="0"/>
    <n v="0"/>
    <n v="0"/>
    <n v="0"/>
  </r>
  <r>
    <x v="41"/>
    <x v="41"/>
    <x v="33"/>
    <x v="33"/>
    <n v="0"/>
    <n v="0"/>
    <n v="0"/>
    <n v="0"/>
    <n v="0"/>
  </r>
  <r>
    <x v="42"/>
    <x v="42"/>
    <x v="33"/>
    <x v="33"/>
    <n v="495943"/>
    <n v="28186"/>
    <n v="44951"/>
    <n v="3852"/>
    <n v="11300"/>
  </r>
  <r>
    <x v="43"/>
    <x v="43"/>
    <x v="33"/>
    <x v="33"/>
    <n v="193661"/>
    <n v="11530"/>
    <n v="14801"/>
    <n v="1930"/>
    <n v="8736"/>
  </r>
  <r>
    <x v="44"/>
    <x v="44"/>
    <x v="33"/>
    <x v="33"/>
    <n v="11481055"/>
    <n v="42772"/>
    <n v="47866"/>
    <n v="8926"/>
    <n v="0"/>
  </r>
  <r>
    <x v="45"/>
    <x v="45"/>
    <x v="33"/>
    <x v="33"/>
    <n v="110675"/>
    <n v="0"/>
    <n v="0"/>
    <n v="0"/>
    <n v="0"/>
  </r>
  <r>
    <x v="46"/>
    <x v="46"/>
    <x v="33"/>
    <x v="33"/>
    <n v="246210"/>
    <n v="0"/>
    <n v="0"/>
    <n v="0"/>
    <n v="0"/>
  </r>
  <r>
    <x v="47"/>
    <x v="47"/>
    <x v="33"/>
    <x v="33"/>
    <n v="0"/>
    <n v="0"/>
    <n v="0"/>
    <n v="0"/>
    <n v="0"/>
  </r>
  <r>
    <x v="48"/>
    <x v="48"/>
    <x v="33"/>
    <x v="33"/>
    <n v="0"/>
    <n v="-10093913"/>
    <n v="-5817457"/>
    <n v="0"/>
    <n v="0"/>
  </r>
  <r>
    <x v="49"/>
    <x v="49"/>
    <x v="33"/>
    <x v="33"/>
    <n v="327475"/>
    <n v="0"/>
    <n v="0"/>
    <n v="0"/>
    <n v="0"/>
  </r>
  <r>
    <x v="50"/>
    <x v="50"/>
    <x v="33"/>
    <x v="33"/>
    <n v="832192"/>
    <n v="0"/>
    <n v="0"/>
    <n v="-5950019"/>
    <n v="0"/>
  </r>
  <r>
    <x v="51"/>
    <x v="51"/>
    <x v="33"/>
    <x v="33"/>
    <n v="754092"/>
    <n v="0"/>
    <n v="0"/>
    <n v="0"/>
    <n v="0"/>
  </r>
  <r>
    <x v="52"/>
    <x v="52"/>
    <x v="33"/>
    <x v="33"/>
    <n v="7927810"/>
    <n v="0"/>
    <n v="0"/>
    <n v="0"/>
    <n v="0"/>
  </r>
  <r>
    <x v="53"/>
    <x v="53"/>
    <x v="33"/>
    <x v="33"/>
    <n v="104828"/>
    <n v="0"/>
    <n v="0"/>
    <n v="0"/>
    <n v="0"/>
  </r>
  <r>
    <x v="54"/>
    <x v="54"/>
    <x v="33"/>
    <x v="33"/>
    <n v="8935184"/>
    <n v="0"/>
    <n v="0"/>
    <n v="0"/>
    <n v="0"/>
  </r>
  <r>
    <x v="55"/>
    <x v="55"/>
    <x v="33"/>
    <x v="33"/>
    <n v="456505"/>
    <n v="0"/>
    <n v="0"/>
    <n v="0"/>
    <n v="0"/>
  </r>
  <r>
    <x v="56"/>
    <x v="56"/>
    <x v="33"/>
    <x v="33"/>
    <n v="210844"/>
    <n v="0"/>
    <n v="0"/>
    <n v="0"/>
    <n v="0"/>
  </r>
  <r>
    <x v="57"/>
    <x v="57"/>
    <x v="33"/>
    <x v="33"/>
    <n v="1915720"/>
    <n v="0"/>
    <n v="0"/>
    <n v="0"/>
    <n v="169684"/>
  </r>
  <r>
    <x v="58"/>
    <x v="58"/>
    <x v="33"/>
    <x v="33"/>
    <n v="190601782"/>
    <n v="0"/>
    <n v="0"/>
    <n v="0"/>
    <n v="44413519"/>
  </r>
  <r>
    <x v="59"/>
    <x v="59"/>
    <x v="33"/>
    <x v="33"/>
    <n v="29329386"/>
    <n v="0"/>
    <n v="0"/>
    <n v="0"/>
    <n v="0"/>
  </r>
  <r>
    <x v="60"/>
    <x v="60"/>
    <x v="33"/>
    <x v="33"/>
    <n v="34035645"/>
    <n v="0"/>
    <n v="0"/>
    <n v="0"/>
    <n v="0"/>
  </r>
  <r>
    <x v="61"/>
    <x v="61"/>
    <x v="33"/>
    <x v="33"/>
    <n v="21217832"/>
    <n v="0"/>
    <n v="0"/>
    <n v="0"/>
    <n v="0"/>
  </r>
  <r>
    <x v="62"/>
    <x v="62"/>
    <x v="33"/>
    <x v="33"/>
    <n v="6449318"/>
    <n v="0"/>
    <n v="0"/>
    <n v="0"/>
    <n v="0"/>
  </r>
  <r>
    <x v="63"/>
    <x v="63"/>
    <x v="33"/>
    <x v="33"/>
    <n v="91032181"/>
    <n v="0"/>
    <n v="0"/>
    <n v="0"/>
    <n v="0"/>
  </r>
  <r>
    <x v="64"/>
    <x v="64"/>
    <x v="33"/>
    <x v="33"/>
    <n v="281633963"/>
    <n v="0"/>
    <n v="0"/>
    <n v="0"/>
    <n v="0"/>
  </r>
  <r>
    <x v="0"/>
    <x v="0"/>
    <x v="34"/>
    <x v="34"/>
    <n v="0"/>
    <n v="0"/>
    <n v="0"/>
    <n v="0"/>
    <n v="0"/>
  </r>
  <r>
    <x v="1"/>
    <x v="1"/>
    <x v="34"/>
    <x v="34"/>
    <n v="0"/>
    <n v="0"/>
    <n v="0"/>
    <n v="0"/>
    <n v="0"/>
  </r>
  <r>
    <x v="2"/>
    <x v="2"/>
    <x v="34"/>
    <x v="34"/>
    <n v="0"/>
    <n v="0"/>
    <n v="0"/>
    <n v="0"/>
    <n v="0"/>
  </r>
  <r>
    <x v="3"/>
    <x v="3"/>
    <x v="34"/>
    <x v="34"/>
    <n v="0"/>
    <n v="0"/>
    <n v="0"/>
    <n v="0"/>
    <n v="0"/>
  </r>
  <r>
    <x v="4"/>
    <x v="4"/>
    <x v="34"/>
    <x v="34"/>
    <n v="0"/>
    <n v="0"/>
    <n v="0"/>
    <n v="0"/>
    <n v="0"/>
  </r>
  <r>
    <x v="5"/>
    <x v="5"/>
    <x v="34"/>
    <x v="34"/>
    <n v="0"/>
    <n v="0"/>
    <n v="0"/>
    <n v="0"/>
    <n v="0"/>
  </r>
  <r>
    <x v="6"/>
    <x v="6"/>
    <x v="34"/>
    <x v="34"/>
    <n v="0"/>
    <n v="0"/>
    <n v="0"/>
    <n v="0"/>
    <n v="0"/>
  </r>
  <r>
    <x v="7"/>
    <x v="7"/>
    <x v="34"/>
    <x v="34"/>
    <n v="0"/>
    <n v="0"/>
    <n v="0"/>
    <n v="0"/>
    <n v="0"/>
  </r>
  <r>
    <x v="8"/>
    <x v="8"/>
    <x v="34"/>
    <x v="34"/>
    <n v="0"/>
    <n v="0"/>
    <n v="0"/>
    <n v="0"/>
    <n v="0"/>
  </r>
  <r>
    <x v="9"/>
    <x v="9"/>
    <x v="34"/>
    <x v="34"/>
    <n v="0"/>
    <n v="0"/>
    <n v="0"/>
    <n v="0"/>
    <n v="0"/>
  </r>
  <r>
    <x v="10"/>
    <x v="10"/>
    <x v="34"/>
    <x v="34"/>
    <n v="0"/>
    <n v="0"/>
    <n v="0"/>
    <n v="0"/>
    <n v="0"/>
  </r>
  <r>
    <x v="11"/>
    <x v="11"/>
    <x v="34"/>
    <x v="34"/>
    <n v="0"/>
    <n v="0"/>
    <n v="0"/>
    <n v="0"/>
    <n v="0"/>
  </r>
  <r>
    <x v="12"/>
    <x v="12"/>
    <x v="34"/>
    <x v="34"/>
    <n v="1804607"/>
    <n v="691"/>
    <n v="0"/>
    <n v="13637"/>
    <n v="78379"/>
  </r>
  <r>
    <x v="13"/>
    <x v="13"/>
    <x v="34"/>
    <x v="34"/>
    <n v="2115112"/>
    <n v="173048"/>
    <n v="0"/>
    <n v="163817"/>
    <n v="21469"/>
  </r>
  <r>
    <x v="14"/>
    <x v="14"/>
    <x v="34"/>
    <x v="34"/>
    <n v="0"/>
    <n v="0"/>
    <n v="0"/>
    <n v="0"/>
    <n v="0"/>
  </r>
  <r>
    <x v="15"/>
    <x v="15"/>
    <x v="34"/>
    <x v="34"/>
    <n v="0"/>
    <n v="0"/>
    <n v="0"/>
    <n v="0"/>
    <n v="0"/>
  </r>
  <r>
    <x v="16"/>
    <x v="16"/>
    <x v="34"/>
    <x v="34"/>
    <n v="0"/>
    <n v="0"/>
    <n v="0"/>
    <n v="0"/>
    <n v="0"/>
  </r>
  <r>
    <x v="17"/>
    <x v="17"/>
    <x v="34"/>
    <x v="34"/>
    <n v="0"/>
    <n v="0"/>
    <n v="0"/>
    <n v="0"/>
    <n v="0"/>
  </r>
  <r>
    <x v="18"/>
    <x v="18"/>
    <x v="34"/>
    <x v="34"/>
    <n v="0"/>
    <n v="0"/>
    <n v="0"/>
    <n v="0"/>
    <n v="0"/>
  </r>
  <r>
    <x v="19"/>
    <x v="19"/>
    <x v="34"/>
    <x v="34"/>
    <n v="0"/>
    <n v="0"/>
    <n v="0"/>
    <n v="0"/>
    <n v="0"/>
  </r>
  <r>
    <x v="20"/>
    <x v="20"/>
    <x v="34"/>
    <x v="34"/>
    <n v="0"/>
    <n v="0"/>
    <n v="0"/>
    <n v="0"/>
    <n v="0"/>
  </r>
  <r>
    <x v="21"/>
    <x v="21"/>
    <x v="34"/>
    <x v="34"/>
    <n v="0"/>
    <n v="0"/>
    <n v="0"/>
    <n v="0"/>
    <n v="0"/>
  </r>
  <r>
    <x v="22"/>
    <x v="22"/>
    <x v="34"/>
    <x v="34"/>
    <n v="0"/>
    <n v="0"/>
    <n v="0"/>
    <n v="0"/>
    <n v="0"/>
  </r>
  <r>
    <x v="23"/>
    <x v="23"/>
    <x v="34"/>
    <x v="34"/>
    <n v="59060"/>
    <n v="778"/>
    <n v="936"/>
    <n v="188"/>
    <n v="0"/>
  </r>
  <r>
    <x v="24"/>
    <x v="24"/>
    <x v="34"/>
    <x v="34"/>
    <n v="110694"/>
    <n v="15972"/>
    <n v="14459"/>
    <n v="1959"/>
    <n v="0"/>
  </r>
  <r>
    <x v="25"/>
    <x v="25"/>
    <x v="34"/>
    <x v="34"/>
    <n v="69371"/>
    <n v="2550"/>
    <n v="6359"/>
    <n v="613"/>
    <n v="0"/>
  </r>
  <r>
    <x v="26"/>
    <x v="26"/>
    <x v="34"/>
    <x v="34"/>
    <n v="5399137"/>
    <n v="301434"/>
    <n v="122464"/>
    <n v="99805"/>
    <n v="3683672"/>
  </r>
  <r>
    <x v="27"/>
    <x v="27"/>
    <x v="34"/>
    <x v="34"/>
    <n v="0"/>
    <n v="0"/>
    <n v="0"/>
    <n v="0"/>
    <n v="0"/>
  </r>
  <r>
    <x v="28"/>
    <x v="28"/>
    <x v="34"/>
    <x v="34"/>
    <n v="1089250"/>
    <n v="15761"/>
    <n v="82404"/>
    <n v="8405"/>
    <n v="39972"/>
  </r>
  <r>
    <x v="29"/>
    <x v="29"/>
    <x v="34"/>
    <x v="34"/>
    <n v="10988471"/>
    <n v="216926"/>
    <n v="212937"/>
    <n v="84443"/>
    <n v="1761805"/>
  </r>
  <r>
    <x v="30"/>
    <x v="30"/>
    <x v="34"/>
    <x v="34"/>
    <n v="0"/>
    <n v="0"/>
    <n v="0"/>
    <n v="0"/>
    <n v="0"/>
  </r>
  <r>
    <x v="31"/>
    <x v="31"/>
    <x v="34"/>
    <x v="34"/>
    <n v="285211"/>
    <n v="12711"/>
    <n v="16806"/>
    <n v="2666"/>
    <n v="91771"/>
  </r>
  <r>
    <x v="32"/>
    <x v="32"/>
    <x v="34"/>
    <x v="34"/>
    <n v="0"/>
    <n v="0"/>
    <n v="0"/>
    <n v="0"/>
    <n v="0"/>
  </r>
  <r>
    <x v="33"/>
    <x v="33"/>
    <x v="34"/>
    <x v="34"/>
    <n v="65443"/>
    <n v="2833"/>
    <n v="3745"/>
    <n v="488"/>
    <n v="0"/>
  </r>
  <r>
    <x v="34"/>
    <x v="34"/>
    <x v="34"/>
    <x v="34"/>
    <n v="151566472"/>
    <n v="3574576"/>
    <n v="351462"/>
    <n v="749715"/>
    <n v="56911386"/>
  </r>
  <r>
    <x v="35"/>
    <x v="35"/>
    <x v="34"/>
    <x v="34"/>
    <n v="1271911"/>
    <n v="73152"/>
    <n v="34342"/>
    <n v="1906"/>
    <n v="957757"/>
  </r>
  <r>
    <x v="36"/>
    <x v="36"/>
    <x v="34"/>
    <x v="34"/>
    <n v="1128523"/>
    <n v="12465"/>
    <n v="20129"/>
    <n v="2053"/>
    <n v="932841"/>
  </r>
  <r>
    <x v="37"/>
    <x v="37"/>
    <x v="34"/>
    <x v="34"/>
    <n v="1999018"/>
    <n v="113885"/>
    <n v="0"/>
    <n v="24463"/>
    <n v="0"/>
  </r>
  <r>
    <x v="38"/>
    <x v="38"/>
    <x v="34"/>
    <x v="34"/>
    <n v="178572"/>
    <n v="10225"/>
    <n v="7278"/>
    <n v="1152"/>
    <n v="0"/>
  </r>
  <r>
    <x v="39"/>
    <x v="39"/>
    <x v="34"/>
    <x v="34"/>
    <n v="165480"/>
    <n v="0"/>
    <n v="0"/>
    <n v="0"/>
    <n v="0"/>
  </r>
  <r>
    <x v="40"/>
    <x v="40"/>
    <x v="34"/>
    <x v="34"/>
    <n v="0"/>
    <n v="0"/>
    <n v="0"/>
    <n v="0"/>
    <n v="0"/>
  </r>
  <r>
    <x v="41"/>
    <x v="41"/>
    <x v="34"/>
    <x v="34"/>
    <n v="0"/>
    <n v="0"/>
    <n v="0"/>
    <n v="0"/>
    <n v="0"/>
  </r>
  <r>
    <x v="42"/>
    <x v="42"/>
    <x v="34"/>
    <x v="34"/>
    <n v="0"/>
    <n v="0"/>
    <n v="0"/>
    <n v="0"/>
    <n v="0"/>
  </r>
  <r>
    <x v="43"/>
    <x v="43"/>
    <x v="34"/>
    <x v="34"/>
    <n v="252999"/>
    <n v="13589"/>
    <n v="11153"/>
    <n v="2468"/>
    <n v="0"/>
  </r>
  <r>
    <x v="44"/>
    <x v="44"/>
    <x v="34"/>
    <x v="34"/>
    <n v="12138123"/>
    <n v="4992"/>
    <n v="9352"/>
    <n v="1016"/>
    <n v="0"/>
  </r>
  <r>
    <x v="45"/>
    <x v="45"/>
    <x v="34"/>
    <x v="34"/>
    <n v="21244"/>
    <n v="0"/>
    <n v="0"/>
    <n v="0"/>
    <n v="0"/>
  </r>
  <r>
    <x v="46"/>
    <x v="46"/>
    <x v="34"/>
    <x v="34"/>
    <n v="112238"/>
    <n v="0"/>
    <n v="0"/>
    <n v="0"/>
    <n v="0"/>
  </r>
  <r>
    <x v="47"/>
    <x v="47"/>
    <x v="34"/>
    <x v="34"/>
    <n v="0"/>
    <n v="0"/>
    <n v="0"/>
    <n v="0"/>
    <n v="0"/>
  </r>
  <r>
    <x v="48"/>
    <x v="48"/>
    <x v="34"/>
    <x v="34"/>
    <n v="0"/>
    <n v="-4545588"/>
    <n v="-893826"/>
    <n v="0"/>
    <n v="0"/>
  </r>
  <r>
    <x v="49"/>
    <x v="49"/>
    <x v="34"/>
    <x v="34"/>
    <n v="304685"/>
    <n v="0"/>
    <n v="0"/>
    <n v="0"/>
    <n v="0"/>
  </r>
  <r>
    <x v="50"/>
    <x v="50"/>
    <x v="34"/>
    <x v="34"/>
    <n v="870707"/>
    <n v="0"/>
    <n v="0"/>
    <n v="-1158794"/>
    <n v="0"/>
  </r>
  <r>
    <x v="51"/>
    <x v="51"/>
    <x v="34"/>
    <x v="34"/>
    <n v="267885"/>
    <n v="0"/>
    <n v="0"/>
    <n v="0"/>
    <n v="0"/>
  </r>
  <r>
    <x v="52"/>
    <x v="52"/>
    <x v="34"/>
    <x v="34"/>
    <n v="4318564"/>
    <n v="0"/>
    <n v="0"/>
    <n v="0"/>
    <n v="0"/>
  </r>
  <r>
    <x v="53"/>
    <x v="53"/>
    <x v="34"/>
    <x v="34"/>
    <n v="98125"/>
    <n v="0"/>
    <n v="0"/>
    <n v="0"/>
    <n v="0"/>
  </r>
  <r>
    <x v="54"/>
    <x v="54"/>
    <x v="34"/>
    <x v="34"/>
    <n v="1954168"/>
    <n v="0"/>
    <n v="0"/>
    <n v="0"/>
    <n v="0"/>
  </r>
  <r>
    <x v="55"/>
    <x v="55"/>
    <x v="34"/>
    <x v="34"/>
    <n v="93217"/>
    <n v="0"/>
    <n v="0"/>
    <n v="0"/>
    <n v="0"/>
  </r>
  <r>
    <x v="56"/>
    <x v="56"/>
    <x v="34"/>
    <x v="34"/>
    <n v="79165"/>
    <n v="0"/>
    <n v="0"/>
    <n v="0"/>
    <n v="0"/>
  </r>
  <r>
    <x v="57"/>
    <x v="57"/>
    <x v="34"/>
    <x v="34"/>
    <n v="991417"/>
    <n v="0"/>
    <n v="0"/>
    <n v="0"/>
    <n v="103161"/>
  </r>
  <r>
    <x v="58"/>
    <x v="58"/>
    <x v="34"/>
    <x v="34"/>
    <n v="199798869"/>
    <n v="0"/>
    <n v="0"/>
    <n v="0"/>
    <n v="64582213"/>
  </r>
  <r>
    <x v="59"/>
    <x v="59"/>
    <x v="34"/>
    <x v="34"/>
    <n v="18482114"/>
    <n v="0"/>
    <n v="0"/>
    <n v="0"/>
    <n v="0"/>
  </r>
  <r>
    <x v="60"/>
    <x v="60"/>
    <x v="34"/>
    <x v="34"/>
    <n v="26131144"/>
    <n v="0"/>
    <n v="0"/>
    <n v="0"/>
    <n v="0"/>
  </r>
  <r>
    <x v="61"/>
    <x v="61"/>
    <x v="34"/>
    <x v="34"/>
    <n v="9025763"/>
    <n v="0"/>
    <n v="0"/>
    <n v="0"/>
    <n v="0"/>
  </r>
  <r>
    <x v="62"/>
    <x v="62"/>
    <x v="34"/>
    <x v="34"/>
    <n v="8315757"/>
    <n v="0"/>
    <n v="0"/>
    <n v="0"/>
    <n v="0"/>
  </r>
  <r>
    <x v="63"/>
    <x v="63"/>
    <x v="34"/>
    <x v="34"/>
    <n v="61954778"/>
    <n v="0"/>
    <n v="0"/>
    <n v="0"/>
    <n v="0"/>
  </r>
  <r>
    <x v="64"/>
    <x v="64"/>
    <x v="34"/>
    <x v="34"/>
    <n v="261753647"/>
    <n v="0"/>
    <n v="0"/>
    <n v="0"/>
    <n v="0"/>
  </r>
  <r>
    <x v="0"/>
    <x v="0"/>
    <x v="35"/>
    <x v="35"/>
    <n v="0"/>
    <n v="0"/>
    <n v="0"/>
    <n v="0"/>
    <n v="0"/>
  </r>
  <r>
    <x v="1"/>
    <x v="1"/>
    <x v="35"/>
    <x v="35"/>
    <n v="0"/>
    <n v="0"/>
    <n v="0"/>
    <n v="0"/>
    <n v="0"/>
  </r>
  <r>
    <x v="2"/>
    <x v="2"/>
    <x v="35"/>
    <x v="35"/>
    <n v="0"/>
    <n v="0"/>
    <n v="0"/>
    <n v="0"/>
    <n v="0"/>
  </r>
  <r>
    <x v="3"/>
    <x v="3"/>
    <x v="35"/>
    <x v="35"/>
    <n v="0"/>
    <n v="0"/>
    <n v="0"/>
    <n v="0"/>
    <n v="0"/>
  </r>
  <r>
    <x v="4"/>
    <x v="4"/>
    <x v="35"/>
    <x v="35"/>
    <n v="0"/>
    <n v="0"/>
    <n v="0"/>
    <n v="0"/>
    <n v="0"/>
  </r>
  <r>
    <x v="5"/>
    <x v="5"/>
    <x v="35"/>
    <x v="35"/>
    <n v="0"/>
    <n v="0"/>
    <n v="0"/>
    <n v="0"/>
    <n v="0"/>
  </r>
  <r>
    <x v="6"/>
    <x v="6"/>
    <x v="35"/>
    <x v="35"/>
    <n v="0"/>
    <n v="0"/>
    <n v="0"/>
    <n v="0"/>
    <n v="0"/>
  </r>
  <r>
    <x v="7"/>
    <x v="7"/>
    <x v="35"/>
    <x v="35"/>
    <n v="0"/>
    <n v="0"/>
    <n v="0"/>
    <n v="0"/>
    <n v="0"/>
  </r>
  <r>
    <x v="8"/>
    <x v="8"/>
    <x v="35"/>
    <x v="35"/>
    <n v="0"/>
    <n v="0"/>
    <n v="0"/>
    <n v="0"/>
    <n v="0"/>
  </r>
  <r>
    <x v="9"/>
    <x v="9"/>
    <x v="35"/>
    <x v="35"/>
    <n v="0"/>
    <n v="0"/>
    <n v="0"/>
    <n v="0"/>
    <n v="0"/>
  </r>
  <r>
    <x v="10"/>
    <x v="10"/>
    <x v="35"/>
    <x v="35"/>
    <n v="0"/>
    <n v="0"/>
    <n v="0"/>
    <n v="0"/>
    <n v="0"/>
  </r>
  <r>
    <x v="11"/>
    <x v="11"/>
    <x v="35"/>
    <x v="35"/>
    <n v="5289759"/>
    <n v="15463"/>
    <n v="0"/>
    <n v="28192"/>
    <n v="3885514"/>
  </r>
  <r>
    <x v="12"/>
    <x v="12"/>
    <x v="35"/>
    <x v="35"/>
    <n v="22835657"/>
    <n v="1035280"/>
    <n v="0"/>
    <n v="568192"/>
    <n v="18602631"/>
  </r>
  <r>
    <x v="13"/>
    <x v="13"/>
    <x v="35"/>
    <x v="35"/>
    <n v="725897"/>
    <n v="60451"/>
    <n v="0"/>
    <n v="46888"/>
    <n v="8945"/>
  </r>
  <r>
    <x v="14"/>
    <x v="14"/>
    <x v="35"/>
    <x v="35"/>
    <n v="0"/>
    <n v="0"/>
    <n v="0"/>
    <n v="0"/>
    <n v="0"/>
  </r>
  <r>
    <x v="15"/>
    <x v="15"/>
    <x v="35"/>
    <x v="35"/>
    <n v="38"/>
    <n v="2"/>
    <n v="1"/>
    <n v="0"/>
    <n v="0"/>
  </r>
  <r>
    <x v="16"/>
    <x v="16"/>
    <x v="35"/>
    <x v="35"/>
    <n v="0"/>
    <n v="0"/>
    <n v="0"/>
    <n v="0"/>
    <n v="0"/>
  </r>
  <r>
    <x v="17"/>
    <x v="17"/>
    <x v="35"/>
    <x v="35"/>
    <n v="0"/>
    <n v="0"/>
    <n v="0"/>
    <n v="0"/>
    <n v="0"/>
  </r>
  <r>
    <x v="18"/>
    <x v="18"/>
    <x v="35"/>
    <x v="35"/>
    <n v="0"/>
    <n v="0"/>
    <n v="0"/>
    <n v="0"/>
    <n v="0"/>
  </r>
  <r>
    <x v="19"/>
    <x v="19"/>
    <x v="35"/>
    <x v="35"/>
    <n v="0"/>
    <n v="0"/>
    <n v="0"/>
    <n v="0"/>
    <n v="0"/>
  </r>
  <r>
    <x v="20"/>
    <x v="20"/>
    <x v="35"/>
    <x v="35"/>
    <n v="0"/>
    <n v="0"/>
    <n v="0"/>
    <n v="0"/>
    <n v="0"/>
  </r>
  <r>
    <x v="21"/>
    <x v="21"/>
    <x v="35"/>
    <x v="35"/>
    <n v="0"/>
    <n v="0"/>
    <n v="0"/>
    <n v="0"/>
    <n v="0"/>
  </r>
  <r>
    <x v="22"/>
    <x v="22"/>
    <x v="35"/>
    <x v="35"/>
    <n v="0"/>
    <n v="0"/>
    <n v="0"/>
    <n v="0"/>
    <n v="0"/>
  </r>
  <r>
    <x v="23"/>
    <x v="23"/>
    <x v="35"/>
    <x v="35"/>
    <n v="0"/>
    <n v="0"/>
    <n v="0"/>
    <n v="0"/>
    <n v="0"/>
  </r>
  <r>
    <x v="24"/>
    <x v="24"/>
    <x v="35"/>
    <x v="35"/>
    <n v="139712"/>
    <n v="4589"/>
    <n v="3843"/>
    <n v="1214"/>
    <n v="0"/>
  </r>
  <r>
    <x v="25"/>
    <x v="25"/>
    <x v="35"/>
    <x v="35"/>
    <n v="0"/>
    <n v="0"/>
    <n v="0"/>
    <n v="0"/>
    <n v="0"/>
  </r>
  <r>
    <x v="26"/>
    <x v="26"/>
    <x v="35"/>
    <x v="35"/>
    <n v="1799513"/>
    <n v="124798"/>
    <n v="60074"/>
    <n v="33744"/>
    <n v="945401"/>
  </r>
  <r>
    <x v="27"/>
    <x v="27"/>
    <x v="35"/>
    <x v="35"/>
    <n v="0"/>
    <n v="0"/>
    <n v="0"/>
    <n v="0"/>
    <n v="0"/>
  </r>
  <r>
    <x v="28"/>
    <x v="28"/>
    <x v="35"/>
    <x v="35"/>
    <n v="348622"/>
    <n v="51760"/>
    <n v="61914"/>
    <n v="3262"/>
    <n v="4801"/>
  </r>
  <r>
    <x v="29"/>
    <x v="29"/>
    <x v="35"/>
    <x v="35"/>
    <n v="7112122"/>
    <n v="209054"/>
    <n v="268563"/>
    <n v="56992"/>
    <n v="1270423"/>
  </r>
  <r>
    <x v="30"/>
    <x v="30"/>
    <x v="35"/>
    <x v="35"/>
    <n v="25626"/>
    <n v="1420"/>
    <n v="2519"/>
    <n v="599"/>
    <n v="0"/>
  </r>
  <r>
    <x v="31"/>
    <x v="31"/>
    <x v="35"/>
    <x v="35"/>
    <n v="321899"/>
    <n v="13388"/>
    <n v="16624"/>
    <n v="2721"/>
    <n v="104693"/>
  </r>
  <r>
    <x v="32"/>
    <x v="32"/>
    <x v="35"/>
    <x v="35"/>
    <n v="175971"/>
    <n v="13095"/>
    <n v="5360"/>
    <n v="2849"/>
    <n v="0"/>
  </r>
  <r>
    <x v="33"/>
    <x v="33"/>
    <x v="35"/>
    <x v="35"/>
    <n v="11548"/>
    <n v="653"/>
    <n v="764"/>
    <n v="76"/>
    <n v="0"/>
  </r>
  <r>
    <x v="34"/>
    <x v="34"/>
    <x v="35"/>
    <x v="35"/>
    <n v="595543"/>
    <n v="26001"/>
    <n v="26201"/>
    <n v="6355"/>
    <n v="312316"/>
  </r>
  <r>
    <x v="35"/>
    <x v="35"/>
    <x v="35"/>
    <x v="35"/>
    <n v="35325502"/>
    <n v="1547904"/>
    <n v="1023087"/>
    <n v="72931"/>
    <n v="27694796"/>
  </r>
  <r>
    <x v="36"/>
    <x v="36"/>
    <x v="35"/>
    <x v="35"/>
    <n v="27617"/>
    <n v="344"/>
    <n v="1049"/>
    <n v="81"/>
    <n v="16832"/>
  </r>
  <r>
    <x v="37"/>
    <x v="37"/>
    <x v="35"/>
    <x v="35"/>
    <n v="778360"/>
    <n v="62605"/>
    <n v="0"/>
    <n v="9224"/>
    <n v="0"/>
  </r>
  <r>
    <x v="38"/>
    <x v="38"/>
    <x v="35"/>
    <x v="35"/>
    <n v="18354"/>
    <n v="876"/>
    <n v="0"/>
    <n v="202"/>
    <n v="0"/>
  </r>
  <r>
    <x v="39"/>
    <x v="39"/>
    <x v="35"/>
    <x v="35"/>
    <n v="79299"/>
    <n v="0"/>
    <n v="0"/>
    <n v="0"/>
    <n v="0"/>
  </r>
  <r>
    <x v="40"/>
    <x v="40"/>
    <x v="35"/>
    <x v="35"/>
    <n v="0"/>
    <n v="0"/>
    <n v="0"/>
    <n v="0"/>
    <n v="0"/>
  </r>
  <r>
    <x v="41"/>
    <x v="41"/>
    <x v="35"/>
    <x v="35"/>
    <n v="0"/>
    <n v="0"/>
    <n v="0"/>
    <n v="0"/>
    <n v="0"/>
  </r>
  <r>
    <x v="42"/>
    <x v="42"/>
    <x v="35"/>
    <x v="35"/>
    <n v="0"/>
    <n v="0"/>
    <n v="0"/>
    <n v="0"/>
    <n v="0"/>
  </r>
  <r>
    <x v="43"/>
    <x v="43"/>
    <x v="35"/>
    <x v="35"/>
    <n v="60081"/>
    <n v="9797"/>
    <n v="7986"/>
    <n v="854"/>
    <n v="0"/>
  </r>
  <r>
    <x v="44"/>
    <x v="44"/>
    <x v="35"/>
    <x v="35"/>
    <n v="3139207"/>
    <n v="7071"/>
    <n v="13136"/>
    <n v="1496"/>
    <n v="0"/>
  </r>
  <r>
    <x v="45"/>
    <x v="45"/>
    <x v="35"/>
    <x v="35"/>
    <n v="12110"/>
    <n v="0"/>
    <n v="0"/>
    <n v="0"/>
    <n v="0"/>
  </r>
  <r>
    <x v="46"/>
    <x v="46"/>
    <x v="35"/>
    <x v="35"/>
    <n v="40946"/>
    <n v="0"/>
    <n v="0"/>
    <n v="0"/>
    <n v="0"/>
  </r>
  <r>
    <x v="47"/>
    <x v="47"/>
    <x v="35"/>
    <x v="35"/>
    <n v="0"/>
    <n v="0"/>
    <n v="0"/>
    <n v="0"/>
    <n v="0"/>
  </r>
  <r>
    <x v="48"/>
    <x v="48"/>
    <x v="35"/>
    <x v="35"/>
    <n v="0"/>
    <n v="-3184551"/>
    <n v="-1491121"/>
    <n v="0"/>
    <n v="0"/>
  </r>
  <r>
    <x v="49"/>
    <x v="49"/>
    <x v="35"/>
    <x v="35"/>
    <n v="87831"/>
    <n v="0"/>
    <n v="0"/>
    <n v="0"/>
    <n v="0"/>
  </r>
  <r>
    <x v="50"/>
    <x v="50"/>
    <x v="35"/>
    <x v="35"/>
    <n v="310184"/>
    <n v="0"/>
    <n v="0"/>
    <n v="-835872"/>
    <n v="0"/>
  </r>
  <r>
    <x v="51"/>
    <x v="51"/>
    <x v="35"/>
    <x v="35"/>
    <n v="38128"/>
    <n v="0"/>
    <n v="0"/>
    <n v="0"/>
    <n v="0"/>
  </r>
  <r>
    <x v="52"/>
    <x v="52"/>
    <x v="35"/>
    <x v="35"/>
    <n v="1576072"/>
    <n v="0"/>
    <n v="0"/>
    <n v="0"/>
    <n v="0"/>
  </r>
  <r>
    <x v="53"/>
    <x v="53"/>
    <x v="35"/>
    <x v="35"/>
    <n v="9333"/>
    <n v="0"/>
    <n v="0"/>
    <n v="0"/>
    <n v="0"/>
  </r>
  <r>
    <x v="54"/>
    <x v="54"/>
    <x v="35"/>
    <x v="35"/>
    <n v="976092"/>
    <n v="0"/>
    <n v="0"/>
    <n v="0"/>
    <n v="0"/>
  </r>
  <r>
    <x v="55"/>
    <x v="55"/>
    <x v="35"/>
    <x v="35"/>
    <n v="35928"/>
    <n v="0"/>
    <n v="0"/>
    <n v="0"/>
    <n v="0"/>
  </r>
  <r>
    <x v="56"/>
    <x v="56"/>
    <x v="35"/>
    <x v="35"/>
    <n v="177729"/>
    <n v="0"/>
    <n v="0"/>
    <n v="0"/>
    <n v="0"/>
  </r>
  <r>
    <x v="57"/>
    <x v="57"/>
    <x v="35"/>
    <x v="35"/>
    <n v="200012"/>
    <n v="0"/>
    <n v="0"/>
    <n v="0"/>
    <n v="21694"/>
  </r>
  <r>
    <x v="58"/>
    <x v="58"/>
    <x v="35"/>
    <x v="35"/>
    <n v="82274692"/>
    <n v="0"/>
    <n v="0"/>
    <n v="0"/>
    <n v="52868046"/>
  </r>
  <r>
    <x v="59"/>
    <x v="59"/>
    <x v="35"/>
    <x v="35"/>
    <n v="19138116"/>
    <n v="0"/>
    <n v="0"/>
    <n v="0"/>
    <n v="0"/>
  </r>
  <r>
    <x v="60"/>
    <x v="60"/>
    <x v="35"/>
    <x v="35"/>
    <n v="24360395"/>
    <n v="0"/>
    <n v="0"/>
    <n v="0"/>
    <n v="0"/>
  </r>
  <r>
    <x v="61"/>
    <x v="61"/>
    <x v="35"/>
    <x v="35"/>
    <n v="7725868"/>
    <n v="0"/>
    <n v="0"/>
    <n v="0"/>
    <n v="0"/>
  </r>
  <r>
    <x v="62"/>
    <x v="62"/>
    <x v="35"/>
    <x v="35"/>
    <n v="4924091"/>
    <n v="0"/>
    <n v="0"/>
    <n v="0"/>
    <n v="0"/>
  </r>
  <r>
    <x v="63"/>
    <x v="63"/>
    <x v="35"/>
    <x v="35"/>
    <n v="56148470"/>
    <n v="0"/>
    <n v="0"/>
    <n v="0"/>
    <n v="0"/>
  </r>
  <r>
    <x v="64"/>
    <x v="64"/>
    <x v="35"/>
    <x v="35"/>
    <n v="138423162"/>
    <n v="0"/>
    <n v="0"/>
    <n v="0"/>
    <n v="0"/>
  </r>
  <r>
    <x v="0"/>
    <x v="0"/>
    <x v="36"/>
    <x v="36"/>
    <n v="0"/>
    <n v="0"/>
    <n v="0"/>
    <n v="0"/>
    <n v="0"/>
  </r>
  <r>
    <x v="1"/>
    <x v="1"/>
    <x v="36"/>
    <x v="36"/>
    <n v="0"/>
    <n v="0"/>
    <n v="0"/>
    <n v="0"/>
    <n v="0"/>
  </r>
  <r>
    <x v="2"/>
    <x v="2"/>
    <x v="36"/>
    <x v="36"/>
    <n v="0"/>
    <n v="0"/>
    <n v="0"/>
    <n v="0"/>
    <n v="0"/>
  </r>
  <r>
    <x v="3"/>
    <x v="3"/>
    <x v="36"/>
    <x v="36"/>
    <n v="0"/>
    <n v="0"/>
    <n v="0"/>
    <n v="0"/>
    <n v="0"/>
  </r>
  <r>
    <x v="4"/>
    <x v="4"/>
    <x v="36"/>
    <x v="36"/>
    <n v="0"/>
    <n v="0"/>
    <n v="0"/>
    <n v="0"/>
    <n v="0"/>
  </r>
  <r>
    <x v="5"/>
    <x v="5"/>
    <x v="36"/>
    <x v="36"/>
    <n v="0"/>
    <n v="0"/>
    <n v="0"/>
    <n v="0"/>
    <n v="0"/>
  </r>
  <r>
    <x v="6"/>
    <x v="6"/>
    <x v="36"/>
    <x v="36"/>
    <n v="0"/>
    <n v="0"/>
    <n v="0"/>
    <n v="0"/>
    <n v="0"/>
  </r>
  <r>
    <x v="7"/>
    <x v="7"/>
    <x v="36"/>
    <x v="36"/>
    <n v="0"/>
    <n v="0"/>
    <n v="0"/>
    <n v="0"/>
    <n v="0"/>
  </r>
  <r>
    <x v="8"/>
    <x v="8"/>
    <x v="36"/>
    <x v="36"/>
    <n v="0"/>
    <n v="0"/>
    <n v="0"/>
    <n v="0"/>
    <n v="0"/>
  </r>
  <r>
    <x v="9"/>
    <x v="9"/>
    <x v="36"/>
    <x v="36"/>
    <n v="0"/>
    <n v="0"/>
    <n v="0"/>
    <n v="0"/>
    <n v="0"/>
  </r>
  <r>
    <x v="10"/>
    <x v="10"/>
    <x v="36"/>
    <x v="36"/>
    <n v="0"/>
    <n v="0"/>
    <n v="0"/>
    <n v="0"/>
    <n v="0"/>
  </r>
  <r>
    <x v="11"/>
    <x v="11"/>
    <x v="36"/>
    <x v="36"/>
    <n v="0"/>
    <n v="0"/>
    <n v="0"/>
    <n v="0"/>
    <n v="0"/>
  </r>
  <r>
    <x v="12"/>
    <x v="12"/>
    <x v="36"/>
    <x v="36"/>
    <n v="0"/>
    <n v="0"/>
    <n v="0"/>
    <n v="0"/>
    <n v="0"/>
  </r>
  <r>
    <x v="13"/>
    <x v="13"/>
    <x v="36"/>
    <x v="36"/>
    <n v="262073"/>
    <n v="28067"/>
    <n v="0"/>
    <n v="30382"/>
    <n v="0"/>
  </r>
  <r>
    <x v="14"/>
    <x v="14"/>
    <x v="36"/>
    <x v="36"/>
    <n v="0"/>
    <n v="0"/>
    <n v="0"/>
    <n v="0"/>
    <n v="0"/>
  </r>
  <r>
    <x v="15"/>
    <x v="15"/>
    <x v="36"/>
    <x v="36"/>
    <n v="0"/>
    <n v="0"/>
    <n v="0"/>
    <n v="0"/>
    <n v="0"/>
  </r>
  <r>
    <x v="16"/>
    <x v="16"/>
    <x v="36"/>
    <x v="36"/>
    <n v="0"/>
    <n v="0"/>
    <n v="0"/>
    <n v="0"/>
    <n v="0"/>
  </r>
  <r>
    <x v="17"/>
    <x v="17"/>
    <x v="36"/>
    <x v="36"/>
    <n v="0"/>
    <n v="0"/>
    <n v="0"/>
    <n v="0"/>
    <n v="0"/>
  </r>
  <r>
    <x v="18"/>
    <x v="18"/>
    <x v="36"/>
    <x v="36"/>
    <n v="0"/>
    <n v="0"/>
    <n v="0"/>
    <n v="0"/>
    <n v="0"/>
  </r>
  <r>
    <x v="19"/>
    <x v="19"/>
    <x v="36"/>
    <x v="36"/>
    <n v="0"/>
    <n v="0"/>
    <n v="0"/>
    <n v="0"/>
    <n v="0"/>
  </r>
  <r>
    <x v="20"/>
    <x v="20"/>
    <x v="36"/>
    <x v="36"/>
    <n v="0"/>
    <n v="0"/>
    <n v="0"/>
    <n v="0"/>
    <n v="0"/>
  </r>
  <r>
    <x v="21"/>
    <x v="21"/>
    <x v="36"/>
    <x v="36"/>
    <n v="0"/>
    <n v="0"/>
    <n v="0"/>
    <n v="0"/>
    <n v="0"/>
  </r>
  <r>
    <x v="22"/>
    <x v="22"/>
    <x v="36"/>
    <x v="36"/>
    <n v="54043"/>
    <n v="5489"/>
    <n v="3910"/>
    <n v="722"/>
    <n v="0"/>
  </r>
  <r>
    <x v="23"/>
    <x v="23"/>
    <x v="36"/>
    <x v="36"/>
    <n v="119831"/>
    <n v="10369"/>
    <n v="18584"/>
    <n v="852"/>
    <n v="42379"/>
  </r>
  <r>
    <x v="24"/>
    <x v="24"/>
    <x v="36"/>
    <x v="36"/>
    <n v="1010785"/>
    <n v="53770"/>
    <n v="32481"/>
    <n v="9970"/>
    <n v="0"/>
  </r>
  <r>
    <x v="25"/>
    <x v="25"/>
    <x v="36"/>
    <x v="36"/>
    <n v="0"/>
    <n v="0"/>
    <n v="0"/>
    <n v="0"/>
    <n v="0"/>
  </r>
  <r>
    <x v="26"/>
    <x v="26"/>
    <x v="36"/>
    <x v="36"/>
    <n v="9385422"/>
    <n v="703230"/>
    <n v="383944"/>
    <n v="160846"/>
    <n v="4258408"/>
  </r>
  <r>
    <x v="27"/>
    <x v="27"/>
    <x v="36"/>
    <x v="36"/>
    <n v="0"/>
    <n v="0"/>
    <n v="0"/>
    <n v="0"/>
    <n v="0"/>
  </r>
  <r>
    <x v="28"/>
    <x v="28"/>
    <x v="36"/>
    <x v="36"/>
    <n v="10525598"/>
    <n v="640652"/>
    <n v="570085"/>
    <n v="107802"/>
    <n v="4406065"/>
  </r>
  <r>
    <x v="29"/>
    <x v="29"/>
    <x v="36"/>
    <x v="36"/>
    <n v="5028448"/>
    <n v="226451"/>
    <n v="254871"/>
    <n v="43254"/>
    <n v="919385"/>
  </r>
  <r>
    <x v="30"/>
    <x v="30"/>
    <x v="36"/>
    <x v="36"/>
    <n v="211739"/>
    <n v="23348"/>
    <n v="34061"/>
    <n v="6471"/>
    <n v="0"/>
  </r>
  <r>
    <x v="31"/>
    <x v="31"/>
    <x v="36"/>
    <x v="36"/>
    <n v="6164463"/>
    <n v="212389"/>
    <n v="336691"/>
    <n v="42810"/>
    <n v="2189220"/>
  </r>
  <r>
    <x v="32"/>
    <x v="32"/>
    <x v="36"/>
    <x v="36"/>
    <n v="1074240"/>
    <n v="69642"/>
    <n v="48593"/>
    <n v="14628"/>
    <n v="0"/>
  </r>
  <r>
    <x v="33"/>
    <x v="33"/>
    <x v="36"/>
    <x v="36"/>
    <n v="2242348"/>
    <n v="140223"/>
    <n v="78785"/>
    <n v="19514"/>
    <n v="0"/>
  </r>
  <r>
    <x v="34"/>
    <x v="34"/>
    <x v="36"/>
    <x v="36"/>
    <n v="177227063"/>
    <n v="6367441"/>
    <n v="7083756"/>
    <n v="1729972"/>
    <n v="124686993"/>
  </r>
  <r>
    <x v="35"/>
    <x v="35"/>
    <x v="36"/>
    <x v="36"/>
    <n v="59710744"/>
    <n v="3064526"/>
    <n v="1225814"/>
    <n v="85479"/>
    <n v="43850281"/>
  </r>
  <r>
    <x v="36"/>
    <x v="36"/>
    <x v="36"/>
    <x v="36"/>
    <n v="24414306"/>
    <n v="245998"/>
    <n v="710617"/>
    <n v="48676"/>
    <n v="21435581"/>
  </r>
  <r>
    <x v="37"/>
    <x v="37"/>
    <x v="36"/>
    <x v="36"/>
    <n v="2520425"/>
    <n v="140145"/>
    <n v="0"/>
    <n v="23146"/>
    <n v="281684"/>
  </r>
  <r>
    <x v="38"/>
    <x v="38"/>
    <x v="36"/>
    <x v="36"/>
    <n v="1771190"/>
    <n v="77273"/>
    <n v="90020"/>
    <n v="10022"/>
    <n v="0"/>
  </r>
  <r>
    <x v="39"/>
    <x v="39"/>
    <x v="36"/>
    <x v="36"/>
    <n v="807431"/>
    <n v="0"/>
    <n v="0"/>
    <n v="0"/>
    <n v="0"/>
  </r>
  <r>
    <x v="40"/>
    <x v="40"/>
    <x v="36"/>
    <x v="36"/>
    <n v="0"/>
    <n v="0"/>
    <n v="0"/>
    <n v="0"/>
    <n v="0"/>
  </r>
  <r>
    <x v="41"/>
    <x v="41"/>
    <x v="36"/>
    <x v="36"/>
    <n v="3148395"/>
    <n v="209309"/>
    <n v="116658"/>
    <n v="15079"/>
    <n v="2403931"/>
  </r>
  <r>
    <x v="42"/>
    <x v="42"/>
    <x v="36"/>
    <x v="36"/>
    <n v="1606135"/>
    <n v="70071"/>
    <n v="136933"/>
    <n v="14319"/>
    <n v="0"/>
  </r>
  <r>
    <x v="43"/>
    <x v="43"/>
    <x v="36"/>
    <x v="36"/>
    <n v="532989"/>
    <n v="63510"/>
    <n v="63984"/>
    <n v="6651"/>
    <n v="4624"/>
  </r>
  <r>
    <x v="44"/>
    <x v="44"/>
    <x v="36"/>
    <x v="36"/>
    <n v="8583184"/>
    <n v="10873"/>
    <n v="19464"/>
    <n v="2425"/>
    <n v="0"/>
  </r>
  <r>
    <x v="45"/>
    <x v="45"/>
    <x v="36"/>
    <x v="36"/>
    <n v="102616"/>
    <n v="0"/>
    <n v="0"/>
    <n v="0"/>
    <n v="0"/>
  </r>
  <r>
    <x v="46"/>
    <x v="46"/>
    <x v="36"/>
    <x v="36"/>
    <n v="385592"/>
    <n v="0"/>
    <n v="0"/>
    <n v="0"/>
    <n v="0"/>
  </r>
  <r>
    <x v="47"/>
    <x v="47"/>
    <x v="36"/>
    <x v="36"/>
    <n v="0"/>
    <n v="0"/>
    <n v="0"/>
    <n v="0"/>
    <n v="0"/>
  </r>
  <r>
    <x v="48"/>
    <x v="48"/>
    <x v="36"/>
    <x v="36"/>
    <n v="0"/>
    <n v="-12362776"/>
    <n v="-11209251"/>
    <n v="0"/>
    <n v="0"/>
  </r>
  <r>
    <x v="49"/>
    <x v="49"/>
    <x v="36"/>
    <x v="36"/>
    <n v="1050224"/>
    <n v="0"/>
    <n v="0"/>
    <n v="0"/>
    <n v="0"/>
  </r>
  <r>
    <x v="50"/>
    <x v="50"/>
    <x v="36"/>
    <x v="36"/>
    <n v="2685742"/>
    <n v="0"/>
    <n v="0"/>
    <n v="-2373020"/>
    <n v="0"/>
  </r>
  <r>
    <x v="51"/>
    <x v="51"/>
    <x v="36"/>
    <x v="36"/>
    <n v="678605"/>
    <n v="0"/>
    <n v="0"/>
    <n v="0"/>
    <n v="0"/>
  </r>
  <r>
    <x v="52"/>
    <x v="52"/>
    <x v="36"/>
    <x v="36"/>
    <n v="6077310"/>
    <n v="0"/>
    <n v="0"/>
    <n v="0"/>
    <n v="0"/>
  </r>
  <r>
    <x v="53"/>
    <x v="53"/>
    <x v="36"/>
    <x v="36"/>
    <n v="138207"/>
    <n v="0"/>
    <n v="0"/>
    <n v="0"/>
    <n v="0"/>
  </r>
  <r>
    <x v="54"/>
    <x v="54"/>
    <x v="36"/>
    <x v="36"/>
    <n v="5650220"/>
    <n v="0"/>
    <n v="0"/>
    <n v="0"/>
    <n v="0"/>
  </r>
  <r>
    <x v="55"/>
    <x v="55"/>
    <x v="36"/>
    <x v="36"/>
    <n v="254240"/>
    <n v="0"/>
    <n v="0"/>
    <n v="0"/>
    <n v="0"/>
  </r>
  <r>
    <x v="56"/>
    <x v="56"/>
    <x v="36"/>
    <x v="36"/>
    <n v="339065"/>
    <n v="0"/>
    <n v="0"/>
    <n v="0"/>
    <n v="0"/>
  </r>
  <r>
    <x v="57"/>
    <x v="57"/>
    <x v="36"/>
    <x v="36"/>
    <n v="1078372"/>
    <n v="0"/>
    <n v="0"/>
    <n v="0"/>
    <n v="108436"/>
  </r>
  <r>
    <x v="58"/>
    <x v="58"/>
    <x v="36"/>
    <x v="36"/>
    <n v="334841045"/>
    <n v="0"/>
    <n v="0"/>
    <n v="0"/>
    <n v="204586987"/>
  </r>
  <r>
    <x v="59"/>
    <x v="59"/>
    <x v="36"/>
    <x v="36"/>
    <n v="53518694"/>
    <n v="0"/>
    <n v="0"/>
    <n v="0"/>
    <n v="0"/>
  </r>
  <r>
    <x v="60"/>
    <x v="60"/>
    <x v="36"/>
    <x v="36"/>
    <n v="83521995"/>
    <n v="0"/>
    <n v="0"/>
    <n v="0"/>
    <n v="0"/>
  </r>
  <r>
    <x v="61"/>
    <x v="61"/>
    <x v="36"/>
    <x v="36"/>
    <n v="24961642"/>
    <n v="0"/>
    <n v="0"/>
    <n v="0"/>
    <n v="0"/>
  </r>
  <r>
    <x v="62"/>
    <x v="62"/>
    <x v="36"/>
    <x v="36"/>
    <n v="13275908"/>
    <n v="0"/>
    <n v="0"/>
    <n v="0"/>
    <n v="0"/>
  </r>
  <r>
    <x v="63"/>
    <x v="63"/>
    <x v="36"/>
    <x v="36"/>
    <n v="175278239"/>
    <n v="0"/>
    <n v="0"/>
    <n v="0"/>
    <n v="0"/>
  </r>
  <r>
    <x v="64"/>
    <x v="64"/>
    <x v="36"/>
    <x v="36"/>
    <n v="510119284"/>
    <n v="0"/>
    <n v="0"/>
    <n v="0"/>
    <n v="0"/>
  </r>
  <r>
    <x v="0"/>
    <x v="0"/>
    <x v="37"/>
    <x v="37"/>
    <n v="0"/>
    <n v="0"/>
    <n v="0"/>
    <n v="0"/>
    <n v="0"/>
  </r>
  <r>
    <x v="1"/>
    <x v="1"/>
    <x v="37"/>
    <x v="37"/>
    <n v="0"/>
    <n v="0"/>
    <n v="0"/>
    <n v="0"/>
    <n v="0"/>
  </r>
  <r>
    <x v="2"/>
    <x v="2"/>
    <x v="37"/>
    <x v="37"/>
    <n v="0"/>
    <n v="0"/>
    <n v="0"/>
    <n v="0"/>
    <n v="0"/>
  </r>
  <r>
    <x v="3"/>
    <x v="3"/>
    <x v="37"/>
    <x v="37"/>
    <n v="0"/>
    <n v="0"/>
    <n v="0"/>
    <n v="0"/>
    <n v="0"/>
  </r>
  <r>
    <x v="4"/>
    <x v="4"/>
    <x v="37"/>
    <x v="37"/>
    <n v="0"/>
    <n v="0"/>
    <n v="0"/>
    <n v="0"/>
    <n v="0"/>
  </r>
  <r>
    <x v="5"/>
    <x v="5"/>
    <x v="37"/>
    <x v="37"/>
    <n v="0"/>
    <n v="0"/>
    <n v="0"/>
    <n v="0"/>
    <n v="0"/>
  </r>
  <r>
    <x v="6"/>
    <x v="6"/>
    <x v="37"/>
    <x v="37"/>
    <n v="0"/>
    <n v="0"/>
    <n v="0"/>
    <n v="0"/>
    <n v="0"/>
  </r>
  <r>
    <x v="7"/>
    <x v="7"/>
    <x v="37"/>
    <x v="37"/>
    <n v="0"/>
    <n v="0"/>
    <n v="0"/>
    <n v="0"/>
    <n v="0"/>
  </r>
  <r>
    <x v="8"/>
    <x v="8"/>
    <x v="37"/>
    <x v="37"/>
    <n v="0"/>
    <n v="0"/>
    <n v="0"/>
    <n v="0"/>
    <n v="0"/>
  </r>
  <r>
    <x v="9"/>
    <x v="9"/>
    <x v="37"/>
    <x v="37"/>
    <n v="0"/>
    <n v="0"/>
    <n v="0"/>
    <n v="0"/>
    <n v="0"/>
  </r>
  <r>
    <x v="10"/>
    <x v="10"/>
    <x v="37"/>
    <x v="37"/>
    <n v="0"/>
    <n v="0"/>
    <n v="0"/>
    <n v="0"/>
    <n v="0"/>
  </r>
  <r>
    <x v="11"/>
    <x v="11"/>
    <x v="37"/>
    <x v="37"/>
    <n v="0"/>
    <n v="0"/>
    <n v="0"/>
    <n v="0"/>
    <n v="0"/>
  </r>
  <r>
    <x v="12"/>
    <x v="12"/>
    <x v="37"/>
    <x v="37"/>
    <n v="0"/>
    <n v="0"/>
    <n v="0"/>
    <n v="0"/>
    <n v="0"/>
  </r>
  <r>
    <x v="13"/>
    <x v="13"/>
    <x v="37"/>
    <x v="37"/>
    <n v="421669"/>
    <n v="18894"/>
    <n v="0"/>
    <n v="43519"/>
    <n v="0"/>
  </r>
  <r>
    <x v="14"/>
    <x v="14"/>
    <x v="37"/>
    <x v="37"/>
    <n v="0"/>
    <n v="0"/>
    <n v="0"/>
    <n v="0"/>
    <n v="0"/>
  </r>
  <r>
    <x v="15"/>
    <x v="15"/>
    <x v="37"/>
    <x v="37"/>
    <n v="0"/>
    <n v="0"/>
    <n v="0"/>
    <n v="0"/>
    <n v="0"/>
  </r>
  <r>
    <x v="16"/>
    <x v="16"/>
    <x v="37"/>
    <x v="37"/>
    <n v="0"/>
    <n v="0"/>
    <n v="0"/>
    <n v="0"/>
    <n v="0"/>
  </r>
  <r>
    <x v="17"/>
    <x v="17"/>
    <x v="37"/>
    <x v="37"/>
    <n v="0"/>
    <n v="0"/>
    <n v="0"/>
    <n v="0"/>
    <n v="0"/>
  </r>
  <r>
    <x v="18"/>
    <x v="18"/>
    <x v="37"/>
    <x v="37"/>
    <n v="0"/>
    <n v="0"/>
    <n v="0"/>
    <n v="0"/>
    <n v="0"/>
  </r>
  <r>
    <x v="19"/>
    <x v="19"/>
    <x v="37"/>
    <x v="37"/>
    <n v="0"/>
    <n v="0"/>
    <n v="0"/>
    <n v="0"/>
    <n v="0"/>
  </r>
  <r>
    <x v="20"/>
    <x v="20"/>
    <x v="37"/>
    <x v="37"/>
    <n v="0"/>
    <n v="0"/>
    <n v="0"/>
    <n v="0"/>
    <n v="0"/>
  </r>
  <r>
    <x v="21"/>
    <x v="21"/>
    <x v="37"/>
    <x v="37"/>
    <n v="0"/>
    <n v="0"/>
    <n v="0"/>
    <n v="0"/>
    <n v="0"/>
  </r>
  <r>
    <x v="22"/>
    <x v="22"/>
    <x v="37"/>
    <x v="37"/>
    <n v="0"/>
    <n v="0"/>
    <n v="0"/>
    <n v="0"/>
    <n v="0"/>
  </r>
  <r>
    <x v="23"/>
    <x v="23"/>
    <x v="37"/>
    <x v="37"/>
    <n v="133933"/>
    <n v="2760"/>
    <n v="8655"/>
    <n v="908"/>
    <n v="0"/>
  </r>
  <r>
    <x v="24"/>
    <x v="24"/>
    <x v="37"/>
    <x v="37"/>
    <n v="279796"/>
    <n v="5555"/>
    <n v="7800"/>
    <n v="2368"/>
    <n v="0"/>
  </r>
  <r>
    <x v="25"/>
    <x v="25"/>
    <x v="37"/>
    <x v="37"/>
    <n v="0"/>
    <n v="0"/>
    <n v="0"/>
    <n v="0"/>
    <n v="0"/>
  </r>
  <r>
    <x v="26"/>
    <x v="26"/>
    <x v="37"/>
    <x v="37"/>
    <n v="4123987"/>
    <n v="488739"/>
    <n v="154255"/>
    <n v="57430"/>
    <n v="1615517"/>
  </r>
  <r>
    <x v="27"/>
    <x v="27"/>
    <x v="37"/>
    <x v="37"/>
    <n v="0"/>
    <n v="0"/>
    <n v="0"/>
    <n v="0"/>
    <n v="0"/>
  </r>
  <r>
    <x v="28"/>
    <x v="28"/>
    <x v="37"/>
    <x v="37"/>
    <n v="6550864"/>
    <n v="437668"/>
    <n v="446852"/>
    <n v="66925"/>
    <n v="2177148"/>
  </r>
  <r>
    <x v="29"/>
    <x v="29"/>
    <x v="37"/>
    <x v="37"/>
    <n v="10114192"/>
    <n v="331281"/>
    <n v="356467"/>
    <n v="84580"/>
    <n v="2317662"/>
  </r>
  <r>
    <x v="30"/>
    <x v="30"/>
    <x v="37"/>
    <x v="37"/>
    <n v="7666971"/>
    <n v="561120"/>
    <n v="1131989"/>
    <n v="183558"/>
    <n v="4665391"/>
  </r>
  <r>
    <x v="31"/>
    <x v="31"/>
    <x v="37"/>
    <x v="37"/>
    <n v="5150759"/>
    <n v="134420"/>
    <n v="198353"/>
    <n v="32737"/>
    <n v="2259172"/>
  </r>
  <r>
    <x v="32"/>
    <x v="32"/>
    <x v="37"/>
    <x v="37"/>
    <n v="38881"/>
    <n v="2129"/>
    <n v="1574"/>
    <n v="594"/>
    <n v="0"/>
  </r>
  <r>
    <x v="33"/>
    <x v="33"/>
    <x v="37"/>
    <x v="37"/>
    <n v="5426190"/>
    <n v="323445"/>
    <n v="378590"/>
    <n v="33543"/>
    <n v="0"/>
  </r>
  <r>
    <x v="34"/>
    <x v="34"/>
    <x v="37"/>
    <x v="37"/>
    <n v="81672540"/>
    <n v="3389791"/>
    <n v="4382014"/>
    <n v="860349"/>
    <n v="41845392"/>
  </r>
  <r>
    <x v="35"/>
    <x v="35"/>
    <x v="37"/>
    <x v="37"/>
    <n v="15797928"/>
    <n v="610690"/>
    <n v="290559"/>
    <n v="24956"/>
    <n v="10706834"/>
  </r>
  <r>
    <x v="36"/>
    <x v="36"/>
    <x v="37"/>
    <x v="37"/>
    <n v="30892041"/>
    <n v="241234"/>
    <n v="844417"/>
    <n v="71883"/>
    <n v="25701121"/>
  </r>
  <r>
    <x v="37"/>
    <x v="37"/>
    <x v="37"/>
    <x v="37"/>
    <n v="187820577"/>
    <n v="14031672"/>
    <n v="6744087"/>
    <n v="1641419"/>
    <n v="137295653"/>
  </r>
  <r>
    <x v="38"/>
    <x v="38"/>
    <x v="37"/>
    <x v="37"/>
    <n v="15498415"/>
    <n v="705477"/>
    <n v="968522"/>
    <n v="131059"/>
    <n v="9436712"/>
  </r>
  <r>
    <x v="39"/>
    <x v="39"/>
    <x v="37"/>
    <x v="37"/>
    <n v="3324662"/>
    <n v="28921"/>
    <n v="19928"/>
    <n v="1104"/>
    <n v="70648"/>
  </r>
  <r>
    <x v="40"/>
    <x v="40"/>
    <x v="37"/>
    <x v="37"/>
    <n v="0"/>
    <n v="0"/>
    <n v="0"/>
    <n v="0"/>
    <n v="0"/>
  </r>
  <r>
    <x v="41"/>
    <x v="41"/>
    <x v="37"/>
    <x v="37"/>
    <n v="0"/>
    <n v="0"/>
    <n v="0"/>
    <n v="0"/>
    <n v="0"/>
  </r>
  <r>
    <x v="42"/>
    <x v="42"/>
    <x v="37"/>
    <x v="37"/>
    <n v="953271"/>
    <n v="67799"/>
    <n v="109851"/>
    <n v="8929"/>
    <n v="0"/>
  </r>
  <r>
    <x v="43"/>
    <x v="43"/>
    <x v="37"/>
    <x v="37"/>
    <n v="2031721"/>
    <n v="126570"/>
    <n v="155819"/>
    <n v="16856"/>
    <n v="1093169"/>
  </r>
  <r>
    <x v="44"/>
    <x v="44"/>
    <x v="37"/>
    <x v="37"/>
    <n v="8989664"/>
    <n v="6177"/>
    <n v="11725"/>
    <n v="1326"/>
    <n v="0"/>
  </r>
  <r>
    <x v="45"/>
    <x v="45"/>
    <x v="37"/>
    <x v="37"/>
    <n v="114271"/>
    <n v="0"/>
    <n v="0"/>
    <n v="0"/>
    <n v="0"/>
  </r>
  <r>
    <x v="46"/>
    <x v="46"/>
    <x v="37"/>
    <x v="37"/>
    <n v="221634"/>
    <n v="0"/>
    <n v="0"/>
    <n v="0"/>
    <n v="0"/>
  </r>
  <r>
    <x v="47"/>
    <x v="47"/>
    <x v="37"/>
    <x v="37"/>
    <n v="0"/>
    <n v="0"/>
    <n v="0"/>
    <n v="0"/>
    <n v="0"/>
  </r>
  <r>
    <x v="48"/>
    <x v="48"/>
    <x v="37"/>
    <x v="37"/>
    <n v="0"/>
    <n v="-21514342"/>
    <n v="-16211457"/>
    <n v="0"/>
    <n v="0"/>
  </r>
  <r>
    <x v="49"/>
    <x v="49"/>
    <x v="37"/>
    <x v="37"/>
    <n v="504724"/>
    <n v="0"/>
    <n v="0"/>
    <n v="0"/>
    <n v="0"/>
  </r>
  <r>
    <x v="50"/>
    <x v="50"/>
    <x v="37"/>
    <x v="37"/>
    <n v="903322"/>
    <n v="0"/>
    <n v="0"/>
    <n v="-3264043"/>
    <n v="0"/>
  </r>
  <r>
    <x v="51"/>
    <x v="51"/>
    <x v="37"/>
    <x v="37"/>
    <n v="379770"/>
    <n v="0"/>
    <n v="0"/>
    <n v="0"/>
    <n v="0"/>
  </r>
  <r>
    <x v="52"/>
    <x v="52"/>
    <x v="37"/>
    <x v="37"/>
    <n v="4430350"/>
    <n v="0"/>
    <n v="0"/>
    <n v="0"/>
    <n v="0"/>
  </r>
  <r>
    <x v="53"/>
    <x v="53"/>
    <x v="37"/>
    <x v="37"/>
    <n v="125822"/>
    <n v="0"/>
    <n v="0"/>
    <n v="0"/>
    <n v="0"/>
  </r>
  <r>
    <x v="54"/>
    <x v="54"/>
    <x v="37"/>
    <x v="37"/>
    <n v="6742431"/>
    <n v="0"/>
    <n v="0"/>
    <n v="0"/>
    <n v="0"/>
  </r>
  <r>
    <x v="55"/>
    <x v="55"/>
    <x v="37"/>
    <x v="37"/>
    <n v="467584"/>
    <n v="0"/>
    <n v="0"/>
    <n v="0"/>
    <n v="0"/>
  </r>
  <r>
    <x v="56"/>
    <x v="56"/>
    <x v="37"/>
    <x v="37"/>
    <n v="326439"/>
    <n v="0"/>
    <n v="0"/>
    <n v="0"/>
    <n v="0"/>
  </r>
  <r>
    <x v="57"/>
    <x v="57"/>
    <x v="37"/>
    <x v="37"/>
    <n v="1684338"/>
    <n v="0"/>
    <n v="0"/>
    <n v="0"/>
    <n v="158371"/>
  </r>
  <r>
    <x v="58"/>
    <x v="58"/>
    <x v="37"/>
    <x v="37"/>
    <n v="402788746"/>
    <n v="0"/>
    <n v="0"/>
    <n v="0"/>
    <n v="239342790"/>
  </r>
  <r>
    <x v="59"/>
    <x v="59"/>
    <x v="37"/>
    <x v="37"/>
    <n v="52341917"/>
    <n v="0"/>
    <n v="0"/>
    <n v="0"/>
    <n v="0"/>
  </r>
  <r>
    <x v="60"/>
    <x v="60"/>
    <x v="37"/>
    <x v="37"/>
    <n v="70657723"/>
    <n v="0"/>
    <n v="0"/>
    <n v="0"/>
    <n v="0"/>
  </r>
  <r>
    <x v="61"/>
    <x v="61"/>
    <x v="37"/>
    <x v="37"/>
    <n v="33787543"/>
    <n v="0"/>
    <n v="0"/>
    <n v="0"/>
    <n v="0"/>
  </r>
  <r>
    <x v="62"/>
    <x v="62"/>
    <x v="37"/>
    <x v="37"/>
    <n v="15140477"/>
    <n v="0"/>
    <n v="0"/>
    <n v="0"/>
    <n v="0"/>
  </r>
  <r>
    <x v="63"/>
    <x v="63"/>
    <x v="37"/>
    <x v="37"/>
    <n v="171927660"/>
    <n v="0"/>
    <n v="0"/>
    <n v="0"/>
    <n v="0"/>
  </r>
  <r>
    <x v="64"/>
    <x v="64"/>
    <x v="37"/>
    <x v="37"/>
    <n v="574716406"/>
    <n v="0"/>
    <n v="0"/>
    <n v="0"/>
    <n v="0"/>
  </r>
  <r>
    <x v="0"/>
    <x v="0"/>
    <x v="38"/>
    <x v="38"/>
    <n v="0"/>
    <n v="0"/>
    <n v="0"/>
    <n v="0"/>
    <n v="0"/>
  </r>
  <r>
    <x v="1"/>
    <x v="1"/>
    <x v="38"/>
    <x v="38"/>
    <n v="0"/>
    <n v="0"/>
    <n v="0"/>
    <n v="0"/>
    <n v="0"/>
  </r>
  <r>
    <x v="2"/>
    <x v="2"/>
    <x v="38"/>
    <x v="38"/>
    <n v="0"/>
    <n v="0"/>
    <n v="0"/>
    <n v="0"/>
    <n v="0"/>
  </r>
  <r>
    <x v="3"/>
    <x v="3"/>
    <x v="38"/>
    <x v="38"/>
    <n v="0"/>
    <n v="0"/>
    <n v="0"/>
    <n v="0"/>
    <n v="0"/>
  </r>
  <r>
    <x v="4"/>
    <x v="4"/>
    <x v="38"/>
    <x v="38"/>
    <n v="0"/>
    <n v="0"/>
    <n v="0"/>
    <n v="0"/>
    <n v="0"/>
  </r>
  <r>
    <x v="5"/>
    <x v="5"/>
    <x v="38"/>
    <x v="38"/>
    <n v="0"/>
    <n v="0"/>
    <n v="0"/>
    <n v="0"/>
    <n v="0"/>
  </r>
  <r>
    <x v="6"/>
    <x v="6"/>
    <x v="38"/>
    <x v="38"/>
    <n v="0"/>
    <n v="0"/>
    <n v="0"/>
    <n v="0"/>
    <n v="0"/>
  </r>
  <r>
    <x v="7"/>
    <x v="7"/>
    <x v="38"/>
    <x v="38"/>
    <n v="0"/>
    <n v="0"/>
    <n v="0"/>
    <n v="0"/>
    <n v="0"/>
  </r>
  <r>
    <x v="8"/>
    <x v="8"/>
    <x v="38"/>
    <x v="38"/>
    <n v="0"/>
    <n v="0"/>
    <n v="0"/>
    <n v="0"/>
    <n v="0"/>
  </r>
  <r>
    <x v="9"/>
    <x v="9"/>
    <x v="38"/>
    <x v="38"/>
    <n v="0"/>
    <n v="0"/>
    <n v="0"/>
    <n v="0"/>
    <n v="0"/>
  </r>
  <r>
    <x v="10"/>
    <x v="10"/>
    <x v="38"/>
    <x v="38"/>
    <n v="0"/>
    <n v="0"/>
    <n v="0"/>
    <n v="0"/>
    <n v="0"/>
  </r>
  <r>
    <x v="11"/>
    <x v="11"/>
    <x v="38"/>
    <x v="38"/>
    <n v="0"/>
    <n v="0"/>
    <n v="0"/>
    <n v="0"/>
    <n v="0"/>
  </r>
  <r>
    <x v="12"/>
    <x v="12"/>
    <x v="38"/>
    <x v="38"/>
    <n v="0"/>
    <n v="0"/>
    <n v="0"/>
    <n v="0"/>
    <n v="0"/>
  </r>
  <r>
    <x v="13"/>
    <x v="13"/>
    <x v="38"/>
    <x v="38"/>
    <n v="746547"/>
    <n v="30115"/>
    <n v="816"/>
    <n v="51788"/>
    <n v="193205"/>
  </r>
  <r>
    <x v="14"/>
    <x v="14"/>
    <x v="38"/>
    <x v="38"/>
    <n v="0"/>
    <n v="0"/>
    <n v="0"/>
    <n v="0"/>
    <n v="0"/>
  </r>
  <r>
    <x v="15"/>
    <x v="15"/>
    <x v="38"/>
    <x v="38"/>
    <n v="0"/>
    <n v="0"/>
    <n v="0"/>
    <n v="0"/>
    <n v="0"/>
  </r>
  <r>
    <x v="16"/>
    <x v="16"/>
    <x v="38"/>
    <x v="38"/>
    <n v="28614"/>
    <n v="1504"/>
    <n v="1524"/>
    <n v="599"/>
    <n v="0"/>
  </r>
  <r>
    <x v="17"/>
    <x v="17"/>
    <x v="38"/>
    <x v="38"/>
    <n v="0"/>
    <n v="0"/>
    <n v="0"/>
    <n v="0"/>
    <n v="0"/>
  </r>
  <r>
    <x v="18"/>
    <x v="18"/>
    <x v="38"/>
    <x v="38"/>
    <n v="0"/>
    <n v="0"/>
    <n v="0"/>
    <n v="0"/>
    <n v="0"/>
  </r>
  <r>
    <x v="19"/>
    <x v="19"/>
    <x v="38"/>
    <x v="38"/>
    <n v="0"/>
    <n v="0"/>
    <n v="0"/>
    <n v="0"/>
    <n v="0"/>
  </r>
  <r>
    <x v="20"/>
    <x v="20"/>
    <x v="38"/>
    <x v="38"/>
    <n v="33310"/>
    <n v="2788"/>
    <n v="4532"/>
    <n v="806"/>
    <n v="0"/>
  </r>
  <r>
    <x v="21"/>
    <x v="21"/>
    <x v="38"/>
    <x v="38"/>
    <n v="0"/>
    <n v="0"/>
    <n v="0"/>
    <n v="0"/>
    <n v="0"/>
  </r>
  <r>
    <x v="22"/>
    <x v="22"/>
    <x v="38"/>
    <x v="38"/>
    <n v="0"/>
    <n v="0"/>
    <n v="0"/>
    <n v="0"/>
    <n v="0"/>
  </r>
  <r>
    <x v="23"/>
    <x v="23"/>
    <x v="38"/>
    <x v="38"/>
    <n v="3766743"/>
    <n v="61688"/>
    <n v="329398"/>
    <n v="28350"/>
    <n v="2067903"/>
  </r>
  <r>
    <x v="24"/>
    <x v="24"/>
    <x v="38"/>
    <x v="38"/>
    <n v="9645724"/>
    <n v="664808"/>
    <n v="445560"/>
    <n v="97734"/>
    <n v="0"/>
  </r>
  <r>
    <x v="25"/>
    <x v="25"/>
    <x v="38"/>
    <x v="38"/>
    <n v="274704"/>
    <n v="12832"/>
    <n v="28517"/>
    <n v="2638"/>
    <n v="0"/>
  </r>
  <r>
    <x v="26"/>
    <x v="26"/>
    <x v="38"/>
    <x v="38"/>
    <n v="74806861"/>
    <n v="9886311"/>
    <n v="8777671"/>
    <n v="1536066"/>
    <n v="37350632"/>
  </r>
  <r>
    <x v="27"/>
    <x v="27"/>
    <x v="38"/>
    <x v="38"/>
    <n v="0"/>
    <n v="0"/>
    <n v="0"/>
    <n v="0"/>
    <n v="0"/>
  </r>
  <r>
    <x v="28"/>
    <x v="28"/>
    <x v="38"/>
    <x v="38"/>
    <n v="39712835"/>
    <n v="4903799"/>
    <n v="5104078"/>
    <n v="471496"/>
    <n v="17256613"/>
  </r>
  <r>
    <x v="29"/>
    <x v="29"/>
    <x v="38"/>
    <x v="38"/>
    <n v="20447912"/>
    <n v="1558657"/>
    <n v="1620769"/>
    <n v="198512"/>
    <n v="3460692"/>
  </r>
  <r>
    <x v="30"/>
    <x v="30"/>
    <x v="38"/>
    <x v="38"/>
    <n v="6454265"/>
    <n v="901744"/>
    <n v="1039400"/>
    <n v="197917"/>
    <n v="3062440"/>
  </r>
  <r>
    <x v="31"/>
    <x v="31"/>
    <x v="38"/>
    <x v="38"/>
    <n v="84067968"/>
    <n v="2969241"/>
    <n v="4240532"/>
    <n v="684520"/>
    <n v="26808243"/>
  </r>
  <r>
    <x v="32"/>
    <x v="32"/>
    <x v="38"/>
    <x v="38"/>
    <n v="0"/>
    <n v="0"/>
    <n v="0"/>
    <n v="0"/>
    <n v="0"/>
  </r>
  <r>
    <x v="33"/>
    <x v="33"/>
    <x v="38"/>
    <x v="38"/>
    <n v="48715815"/>
    <n v="4758446"/>
    <n v="3590635"/>
    <n v="618065"/>
    <n v="5530926"/>
  </r>
  <r>
    <x v="34"/>
    <x v="34"/>
    <x v="38"/>
    <x v="38"/>
    <n v="114060177"/>
    <n v="5896878"/>
    <n v="6572242"/>
    <n v="1224312"/>
    <n v="72374722"/>
  </r>
  <r>
    <x v="35"/>
    <x v="35"/>
    <x v="38"/>
    <x v="38"/>
    <n v="244342691"/>
    <n v="12138169"/>
    <n v="6394447"/>
    <n v="439820"/>
    <n v="185659271"/>
  </r>
  <r>
    <x v="36"/>
    <x v="36"/>
    <x v="38"/>
    <x v="38"/>
    <n v="44264472"/>
    <n v="798089"/>
    <n v="2483429"/>
    <n v="105392"/>
    <n v="34595997"/>
  </r>
  <r>
    <x v="37"/>
    <x v="37"/>
    <x v="38"/>
    <x v="38"/>
    <n v="28325909"/>
    <n v="2553090"/>
    <n v="1406511"/>
    <n v="288093"/>
    <n v="12472734"/>
  </r>
  <r>
    <x v="38"/>
    <x v="38"/>
    <x v="38"/>
    <x v="38"/>
    <n v="1753075785"/>
    <n v="111144633"/>
    <n v="129570476"/>
    <n v="11986545"/>
    <n v="1115274445"/>
  </r>
  <r>
    <x v="39"/>
    <x v="39"/>
    <x v="38"/>
    <x v="38"/>
    <n v="8131843"/>
    <n v="29636"/>
    <n v="43287"/>
    <n v="2561"/>
    <n v="0"/>
  </r>
  <r>
    <x v="40"/>
    <x v="40"/>
    <x v="38"/>
    <x v="38"/>
    <n v="0"/>
    <n v="0"/>
    <n v="0"/>
    <n v="0"/>
    <n v="0"/>
  </r>
  <r>
    <x v="41"/>
    <x v="41"/>
    <x v="38"/>
    <x v="38"/>
    <n v="0"/>
    <n v="0"/>
    <n v="0"/>
    <n v="0"/>
    <n v="0"/>
  </r>
  <r>
    <x v="42"/>
    <x v="42"/>
    <x v="38"/>
    <x v="38"/>
    <n v="3384380"/>
    <n v="213803"/>
    <n v="192890"/>
    <n v="24540"/>
    <n v="60"/>
  </r>
  <r>
    <x v="43"/>
    <x v="43"/>
    <x v="38"/>
    <x v="38"/>
    <n v="18951629"/>
    <n v="2074071"/>
    <n v="2028787"/>
    <n v="159008"/>
    <n v="6007177"/>
  </r>
  <r>
    <x v="44"/>
    <x v="44"/>
    <x v="38"/>
    <x v="38"/>
    <n v="45006251"/>
    <n v="30016"/>
    <n v="61901"/>
    <n v="7610"/>
    <n v="0"/>
  </r>
  <r>
    <x v="45"/>
    <x v="45"/>
    <x v="38"/>
    <x v="38"/>
    <n v="991204"/>
    <n v="0"/>
    <n v="0"/>
    <n v="0"/>
    <n v="0"/>
  </r>
  <r>
    <x v="46"/>
    <x v="46"/>
    <x v="38"/>
    <x v="38"/>
    <n v="1082095"/>
    <n v="0"/>
    <n v="0"/>
    <n v="0"/>
    <n v="0"/>
  </r>
  <r>
    <x v="47"/>
    <x v="47"/>
    <x v="38"/>
    <x v="38"/>
    <n v="0"/>
    <n v="0"/>
    <n v="0"/>
    <n v="0"/>
    <n v="0"/>
  </r>
  <r>
    <x v="48"/>
    <x v="48"/>
    <x v="38"/>
    <x v="38"/>
    <n v="0"/>
    <n v="-160630318"/>
    <n v="-173937402"/>
    <n v="0"/>
    <n v="0"/>
  </r>
  <r>
    <x v="49"/>
    <x v="49"/>
    <x v="38"/>
    <x v="38"/>
    <n v="4119023"/>
    <n v="0"/>
    <n v="0"/>
    <n v="0"/>
    <n v="0"/>
  </r>
  <r>
    <x v="50"/>
    <x v="50"/>
    <x v="38"/>
    <x v="38"/>
    <n v="16075630"/>
    <n v="0"/>
    <n v="0"/>
    <n v="-18126372"/>
    <n v="0"/>
  </r>
  <r>
    <x v="51"/>
    <x v="51"/>
    <x v="38"/>
    <x v="38"/>
    <n v="3605863"/>
    <n v="0"/>
    <n v="0"/>
    <n v="0"/>
    <n v="0"/>
  </r>
  <r>
    <x v="52"/>
    <x v="52"/>
    <x v="38"/>
    <x v="38"/>
    <n v="21017490"/>
    <n v="0"/>
    <n v="0"/>
    <n v="0"/>
    <n v="0"/>
  </r>
  <r>
    <x v="53"/>
    <x v="53"/>
    <x v="38"/>
    <x v="38"/>
    <n v="1520250"/>
    <n v="0"/>
    <n v="0"/>
    <n v="0"/>
    <n v="0"/>
  </r>
  <r>
    <x v="54"/>
    <x v="54"/>
    <x v="38"/>
    <x v="38"/>
    <n v="28942831"/>
    <n v="0"/>
    <n v="0"/>
    <n v="0"/>
    <n v="0"/>
  </r>
  <r>
    <x v="55"/>
    <x v="55"/>
    <x v="38"/>
    <x v="38"/>
    <n v="2637052"/>
    <n v="0"/>
    <n v="0"/>
    <n v="0"/>
    <n v="0"/>
  </r>
  <r>
    <x v="56"/>
    <x v="56"/>
    <x v="38"/>
    <x v="38"/>
    <n v="9686108"/>
    <n v="0"/>
    <n v="0"/>
    <n v="0"/>
    <n v="0"/>
  </r>
  <r>
    <x v="57"/>
    <x v="57"/>
    <x v="38"/>
    <x v="38"/>
    <n v="3927501"/>
    <n v="0"/>
    <n v="0"/>
    <n v="0"/>
    <n v="422657"/>
  </r>
  <r>
    <x v="58"/>
    <x v="58"/>
    <x v="38"/>
    <x v="38"/>
    <n v="2641849482"/>
    <n v="0"/>
    <n v="0"/>
    <n v="0"/>
    <n v="1522537717"/>
  </r>
  <r>
    <x v="59"/>
    <x v="59"/>
    <x v="38"/>
    <x v="38"/>
    <n v="211962643"/>
    <n v="0"/>
    <n v="0"/>
    <n v="0"/>
    <n v="0"/>
  </r>
  <r>
    <x v="60"/>
    <x v="60"/>
    <x v="38"/>
    <x v="38"/>
    <n v="320472134"/>
    <n v="0"/>
    <n v="0"/>
    <n v="0"/>
    <n v="0"/>
  </r>
  <r>
    <x v="61"/>
    <x v="61"/>
    <x v="38"/>
    <x v="38"/>
    <n v="153620165"/>
    <n v="0"/>
    <n v="0"/>
    <n v="0"/>
    <n v="0"/>
  </r>
  <r>
    <x v="62"/>
    <x v="62"/>
    <x v="38"/>
    <x v="38"/>
    <n v="79347221"/>
    <n v="0"/>
    <n v="0"/>
    <n v="0"/>
    <n v="0"/>
  </r>
  <r>
    <x v="63"/>
    <x v="63"/>
    <x v="38"/>
    <x v="38"/>
    <n v="765402163"/>
    <n v="0"/>
    <n v="0"/>
    <n v="0"/>
    <n v="0"/>
  </r>
  <r>
    <x v="64"/>
    <x v="64"/>
    <x v="38"/>
    <x v="38"/>
    <n v="3407251645"/>
    <n v="0"/>
    <n v="0"/>
    <n v="0"/>
    <n v="0"/>
  </r>
  <r>
    <x v="0"/>
    <x v="0"/>
    <x v="39"/>
    <x v="39"/>
    <n v="0"/>
    <n v="0"/>
    <n v="0"/>
    <n v="0"/>
    <n v="0"/>
  </r>
  <r>
    <x v="1"/>
    <x v="1"/>
    <x v="39"/>
    <x v="39"/>
    <n v="0"/>
    <n v="0"/>
    <n v="0"/>
    <n v="0"/>
    <n v="0"/>
  </r>
  <r>
    <x v="2"/>
    <x v="2"/>
    <x v="39"/>
    <x v="39"/>
    <n v="0"/>
    <n v="0"/>
    <n v="0"/>
    <n v="0"/>
    <n v="0"/>
  </r>
  <r>
    <x v="3"/>
    <x v="3"/>
    <x v="39"/>
    <x v="39"/>
    <n v="0"/>
    <n v="0"/>
    <n v="0"/>
    <n v="0"/>
    <n v="0"/>
  </r>
  <r>
    <x v="4"/>
    <x v="4"/>
    <x v="39"/>
    <x v="39"/>
    <n v="0"/>
    <n v="0"/>
    <n v="0"/>
    <n v="0"/>
    <n v="0"/>
  </r>
  <r>
    <x v="5"/>
    <x v="5"/>
    <x v="39"/>
    <x v="39"/>
    <n v="0"/>
    <n v="0"/>
    <n v="0"/>
    <n v="0"/>
    <n v="0"/>
  </r>
  <r>
    <x v="6"/>
    <x v="6"/>
    <x v="39"/>
    <x v="39"/>
    <n v="0"/>
    <n v="0"/>
    <n v="0"/>
    <n v="0"/>
    <n v="0"/>
  </r>
  <r>
    <x v="7"/>
    <x v="7"/>
    <x v="39"/>
    <x v="39"/>
    <n v="0"/>
    <n v="0"/>
    <n v="0"/>
    <n v="0"/>
    <n v="0"/>
  </r>
  <r>
    <x v="8"/>
    <x v="8"/>
    <x v="39"/>
    <x v="39"/>
    <n v="0"/>
    <n v="0"/>
    <n v="0"/>
    <n v="0"/>
    <n v="0"/>
  </r>
  <r>
    <x v="9"/>
    <x v="9"/>
    <x v="39"/>
    <x v="39"/>
    <n v="0"/>
    <n v="0"/>
    <n v="0"/>
    <n v="0"/>
    <n v="0"/>
  </r>
  <r>
    <x v="10"/>
    <x v="10"/>
    <x v="39"/>
    <x v="39"/>
    <n v="0"/>
    <n v="0"/>
    <n v="0"/>
    <n v="0"/>
    <n v="0"/>
  </r>
  <r>
    <x v="11"/>
    <x v="11"/>
    <x v="39"/>
    <x v="39"/>
    <n v="0"/>
    <n v="0"/>
    <n v="0"/>
    <n v="0"/>
    <n v="0"/>
  </r>
  <r>
    <x v="12"/>
    <x v="12"/>
    <x v="39"/>
    <x v="39"/>
    <n v="0"/>
    <n v="0"/>
    <n v="0"/>
    <n v="0"/>
    <n v="0"/>
  </r>
  <r>
    <x v="13"/>
    <x v="13"/>
    <x v="39"/>
    <x v="39"/>
    <n v="0"/>
    <n v="0"/>
    <n v="0"/>
    <n v="0"/>
    <n v="0"/>
  </r>
  <r>
    <x v="14"/>
    <x v="14"/>
    <x v="39"/>
    <x v="39"/>
    <n v="0"/>
    <n v="0"/>
    <n v="0"/>
    <n v="0"/>
    <n v="0"/>
  </r>
  <r>
    <x v="15"/>
    <x v="15"/>
    <x v="39"/>
    <x v="39"/>
    <n v="0"/>
    <n v="0"/>
    <n v="0"/>
    <n v="0"/>
    <n v="0"/>
  </r>
  <r>
    <x v="16"/>
    <x v="16"/>
    <x v="39"/>
    <x v="39"/>
    <n v="0"/>
    <n v="0"/>
    <n v="0"/>
    <n v="0"/>
    <n v="0"/>
  </r>
  <r>
    <x v="17"/>
    <x v="17"/>
    <x v="39"/>
    <x v="39"/>
    <n v="0"/>
    <n v="0"/>
    <n v="0"/>
    <n v="0"/>
    <n v="0"/>
  </r>
  <r>
    <x v="18"/>
    <x v="18"/>
    <x v="39"/>
    <x v="39"/>
    <n v="0"/>
    <n v="0"/>
    <n v="0"/>
    <n v="0"/>
    <n v="0"/>
  </r>
  <r>
    <x v="19"/>
    <x v="19"/>
    <x v="39"/>
    <x v="39"/>
    <n v="0"/>
    <n v="0"/>
    <n v="0"/>
    <n v="0"/>
    <n v="0"/>
  </r>
  <r>
    <x v="20"/>
    <x v="20"/>
    <x v="39"/>
    <x v="39"/>
    <n v="0"/>
    <n v="0"/>
    <n v="0"/>
    <n v="0"/>
    <n v="0"/>
  </r>
  <r>
    <x v="21"/>
    <x v="21"/>
    <x v="39"/>
    <x v="39"/>
    <n v="0"/>
    <n v="0"/>
    <n v="0"/>
    <n v="0"/>
    <n v="0"/>
  </r>
  <r>
    <x v="22"/>
    <x v="22"/>
    <x v="39"/>
    <x v="39"/>
    <n v="592576"/>
    <n v="18753"/>
    <n v="13001"/>
    <n v="2860"/>
    <n v="0"/>
  </r>
  <r>
    <x v="23"/>
    <x v="23"/>
    <x v="39"/>
    <x v="39"/>
    <n v="2401793"/>
    <n v="70181"/>
    <n v="137247"/>
    <n v="13958"/>
    <n v="1030859"/>
  </r>
  <r>
    <x v="24"/>
    <x v="24"/>
    <x v="39"/>
    <x v="39"/>
    <n v="7705666"/>
    <n v="196695"/>
    <n v="145964"/>
    <n v="66924"/>
    <n v="0"/>
  </r>
  <r>
    <x v="25"/>
    <x v="25"/>
    <x v="39"/>
    <x v="39"/>
    <n v="363919"/>
    <n v="16089"/>
    <n v="35663"/>
    <n v="3408"/>
    <n v="0"/>
  </r>
  <r>
    <x v="26"/>
    <x v="26"/>
    <x v="39"/>
    <x v="39"/>
    <n v="14857271"/>
    <n v="891784"/>
    <n v="315319"/>
    <n v="156090"/>
    <n v="4809365"/>
  </r>
  <r>
    <x v="27"/>
    <x v="27"/>
    <x v="39"/>
    <x v="39"/>
    <n v="0"/>
    <n v="0"/>
    <n v="0"/>
    <n v="0"/>
    <n v="0"/>
  </r>
  <r>
    <x v="28"/>
    <x v="28"/>
    <x v="39"/>
    <x v="39"/>
    <n v="68026968"/>
    <n v="5486277"/>
    <n v="4889616"/>
    <n v="559296"/>
    <n v="17189451"/>
  </r>
  <r>
    <x v="29"/>
    <x v="29"/>
    <x v="39"/>
    <x v="39"/>
    <n v="39430065"/>
    <n v="2116396"/>
    <n v="1171322"/>
    <n v="298593"/>
    <n v="14135743"/>
  </r>
  <r>
    <x v="30"/>
    <x v="30"/>
    <x v="39"/>
    <x v="39"/>
    <n v="60105400"/>
    <n v="3392300"/>
    <n v="5535397"/>
    <n v="680695"/>
    <n v="26002683"/>
  </r>
  <r>
    <x v="31"/>
    <x v="31"/>
    <x v="39"/>
    <x v="39"/>
    <n v="42078283"/>
    <n v="696681"/>
    <n v="724262"/>
    <n v="308374"/>
    <n v="10666551"/>
  </r>
  <r>
    <x v="32"/>
    <x v="32"/>
    <x v="39"/>
    <x v="39"/>
    <n v="0"/>
    <n v="0"/>
    <n v="0"/>
    <n v="0"/>
    <n v="0"/>
  </r>
  <r>
    <x v="33"/>
    <x v="33"/>
    <x v="39"/>
    <x v="39"/>
    <n v="21928023"/>
    <n v="1462538"/>
    <n v="733305"/>
    <n v="217590"/>
    <n v="9159683"/>
  </r>
  <r>
    <x v="34"/>
    <x v="34"/>
    <x v="39"/>
    <x v="39"/>
    <n v="287940083"/>
    <n v="9587167"/>
    <n v="11066963"/>
    <n v="2673629"/>
    <n v="194058495"/>
  </r>
  <r>
    <x v="35"/>
    <x v="35"/>
    <x v="39"/>
    <x v="39"/>
    <n v="30399130"/>
    <n v="532648"/>
    <n v="231453"/>
    <n v="38714"/>
    <n v="22520097"/>
  </r>
  <r>
    <x v="36"/>
    <x v="36"/>
    <x v="39"/>
    <x v="39"/>
    <n v="37805580"/>
    <n v="521093"/>
    <n v="1521961"/>
    <n v="66463"/>
    <n v="32994173"/>
  </r>
  <r>
    <x v="37"/>
    <x v="37"/>
    <x v="39"/>
    <x v="39"/>
    <n v="143192291"/>
    <n v="9197620"/>
    <n v="1744516"/>
    <n v="716412"/>
    <n v="91104100"/>
  </r>
  <r>
    <x v="38"/>
    <x v="38"/>
    <x v="39"/>
    <x v="39"/>
    <n v="191768620"/>
    <n v="7436803"/>
    <n v="7645129"/>
    <n v="967603"/>
    <n v="130057906"/>
  </r>
  <r>
    <x v="39"/>
    <x v="39"/>
    <x v="39"/>
    <x v="39"/>
    <n v="476531360"/>
    <n v="25870905"/>
    <n v="46178045"/>
    <n v="3902237"/>
    <n v="276141403"/>
  </r>
  <r>
    <x v="40"/>
    <x v="40"/>
    <x v="39"/>
    <x v="39"/>
    <n v="0"/>
    <n v="0"/>
    <n v="0"/>
    <n v="0"/>
    <n v="0"/>
  </r>
  <r>
    <x v="41"/>
    <x v="41"/>
    <x v="39"/>
    <x v="39"/>
    <n v="0"/>
    <n v="0"/>
    <n v="0"/>
    <n v="0"/>
    <n v="0"/>
  </r>
  <r>
    <x v="42"/>
    <x v="42"/>
    <x v="39"/>
    <x v="39"/>
    <n v="2425686"/>
    <n v="126418"/>
    <n v="162037"/>
    <n v="20757"/>
    <n v="0"/>
  </r>
  <r>
    <x v="43"/>
    <x v="43"/>
    <x v="39"/>
    <x v="39"/>
    <n v="4955104"/>
    <n v="314784"/>
    <n v="229066"/>
    <n v="36953"/>
    <n v="2502678"/>
  </r>
  <r>
    <x v="44"/>
    <x v="44"/>
    <x v="39"/>
    <x v="39"/>
    <n v="36010944"/>
    <n v="27946"/>
    <n v="42087"/>
    <n v="9120"/>
    <n v="0"/>
  </r>
  <r>
    <x v="45"/>
    <x v="45"/>
    <x v="39"/>
    <x v="39"/>
    <n v="705358"/>
    <n v="0"/>
    <n v="0"/>
    <n v="0"/>
    <n v="0"/>
  </r>
  <r>
    <x v="46"/>
    <x v="46"/>
    <x v="39"/>
    <x v="39"/>
    <n v="759797"/>
    <n v="0"/>
    <n v="0"/>
    <n v="0"/>
    <n v="0"/>
  </r>
  <r>
    <x v="47"/>
    <x v="47"/>
    <x v="39"/>
    <x v="39"/>
    <n v="0"/>
    <n v="0"/>
    <n v="0"/>
    <n v="0"/>
    <n v="0"/>
  </r>
  <r>
    <x v="48"/>
    <x v="48"/>
    <x v="39"/>
    <x v="39"/>
    <n v="0"/>
    <n v="-67963078"/>
    <n v="-82522353"/>
    <n v="0"/>
    <n v="0"/>
  </r>
  <r>
    <x v="49"/>
    <x v="49"/>
    <x v="39"/>
    <x v="39"/>
    <n v="2074471"/>
    <n v="0"/>
    <n v="0"/>
    <n v="0"/>
    <n v="0"/>
  </r>
  <r>
    <x v="50"/>
    <x v="50"/>
    <x v="39"/>
    <x v="39"/>
    <n v="14256507"/>
    <n v="0"/>
    <n v="0"/>
    <n v="-10739676"/>
    <n v="0"/>
  </r>
  <r>
    <x v="51"/>
    <x v="51"/>
    <x v="39"/>
    <x v="39"/>
    <n v="2988081"/>
    <n v="0"/>
    <n v="0"/>
    <n v="0"/>
    <n v="0"/>
  </r>
  <r>
    <x v="52"/>
    <x v="52"/>
    <x v="39"/>
    <x v="39"/>
    <n v="35222209"/>
    <n v="0"/>
    <n v="0"/>
    <n v="0"/>
    <n v="0"/>
  </r>
  <r>
    <x v="53"/>
    <x v="53"/>
    <x v="39"/>
    <x v="39"/>
    <n v="610708"/>
    <n v="0"/>
    <n v="0"/>
    <n v="0"/>
    <n v="0"/>
  </r>
  <r>
    <x v="54"/>
    <x v="54"/>
    <x v="39"/>
    <x v="39"/>
    <n v="30181223"/>
    <n v="0"/>
    <n v="0"/>
    <n v="0"/>
    <n v="0"/>
  </r>
  <r>
    <x v="55"/>
    <x v="55"/>
    <x v="39"/>
    <x v="39"/>
    <n v="3614400"/>
    <n v="0"/>
    <n v="0"/>
    <n v="0"/>
    <n v="0"/>
  </r>
  <r>
    <x v="56"/>
    <x v="56"/>
    <x v="39"/>
    <x v="39"/>
    <n v="3158093"/>
    <n v="0"/>
    <n v="0"/>
    <n v="0"/>
    <n v="0"/>
  </r>
  <r>
    <x v="57"/>
    <x v="57"/>
    <x v="39"/>
    <x v="39"/>
    <n v="6080645"/>
    <n v="0"/>
    <n v="0"/>
    <n v="0"/>
    <n v="549398"/>
  </r>
  <r>
    <x v="58"/>
    <x v="58"/>
    <x v="39"/>
    <x v="39"/>
    <n v="1568170254"/>
    <n v="0"/>
    <n v="0"/>
    <n v="0"/>
    <n v="832922585"/>
  </r>
  <r>
    <x v="59"/>
    <x v="59"/>
    <x v="39"/>
    <x v="39"/>
    <n v="182634401"/>
    <n v="0"/>
    <n v="0"/>
    <n v="0"/>
    <n v="0"/>
  </r>
  <r>
    <x v="60"/>
    <x v="60"/>
    <x v="39"/>
    <x v="39"/>
    <n v="207807404"/>
    <n v="0"/>
    <n v="0"/>
    <n v="0"/>
    <n v="0"/>
  </r>
  <r>
    <x v="61"/>
    <x v="61"/>
    <x v="39"/>
    <x v="39"/>
    <n v="108764737"/>
    <n v="0"/>
    <n v="0"/>
    <n v="0"/>
    <n v="0"/>
  </r>
  <r>
    <x v="62"/>
    <x v="62"/>
    <x v="39"/>
    <x v="39"/>
    <n v="115825059"/>
    <n v="0"/>
    <n v="0"/>
    <n v="0"/>
    <n v="0"/>
  </r>
  <r>
    <x v="63"/>
    <x v="63"/>
    <x v="39"/>
    <x v="39"/>
    <n v="615031601"/>
    <n v="0"/>
    <n v="0"/>
    <n v="0"/>
    <n v="0"/>
  </r>
  <r>
    <x v="64"/>
    <x v="64"/>
    <x v="39"/>
    <x v="39"/>
    <n v="2183201855"/>
    <n v="0"/>
    <n v="0"/>
    <n v="0"/>
    <n v="0"/>
  </r>
  <r>
    <x v="0"/>
    <x v="0"/>
    <x v="40"/>
    <x v="40"/>
    <n v="0"/>
    <n v="0"/>
    <n v="0"/>
    <n v="0"/>
    <n v="0"/>
  </r>
  <r>
    <x v="1"/>
    <x v="1"/>
    <x v="40"/>
    <x v="40"/>
    <n v="0"/>
    <n v="0"/>
    <n v="0"/>
    <n v="0"/>
    <n v="0"/>
  </r>
  <r>
    <x v="2"/>
    <x v="2"/>
    <x v="40"/>
    <x v="40"/>
    <n v="0"/>
    <n v="0"/>
    <n v="0"/>
    <n v="0"/>
    <n v="0"/>
  </r>
  <r>
    <x v="3"/>
    <x v="3"/>
    <x v="40"/>
    <x v="40"/>
    <n v="0"/>
    <n v="0"/>
    <n v="0"/>
    <n v="0"/>
    <n v="0"/>
  </r>
  <r>
    <x v="4"/>
    <x v="4"/>
    <x v="40"/>
    <x v="40"/>
    <n v="0"/>
    <n v="0"/>
    <n v="0"/>
    <n v="0"/>
    <n v="0"/>
  </r>
  <r>
    <x v="5"/>
    <x v="5"/>
    <x v="40"/>
    <x v="40"/>
    <n v="0"/>
    <n v="0"/>
    <n v="0"/>
    <n v="0"/>
    <n v="0"/>
  </r>
  <r>
    <x v="6"/>
    <x v="6"/>
    <x v="40"/>
    <x v="40"/>
    <n v="15939"/>
    <n v="92"/>
    <n v="0"/>
    <n v="110"/>
    <n v="0"/>
  </r>
  <r>
    <x v="7"/>
    <x v="7"/>
    <x v="40"/>
    <x v="40"/>
    <n v="0"/>
    <n v="0"/>
    <n v="0"/>
    <n v="0"/>
    <n v="0"/>
  </r>
  <r>
    <x v="8"/>
    <x v="8"/>
    <x v="40"/>
    <x v="40"/>
    <n v="0"/>
    <n v="0"/>
    <n v="0"/>
    <n v="0"/>
    <n v="0"/>
  </r>
  <r>
    <x v="9"/>
    <x v="9"/>
    <x v="40"/>
    <x v="40"/>
    <n v="7227"/>
    <n v="188"/>
    <n v="0"/>
    <n v="165"/>
    <n v="646"/>
  </r>
  <r>
    <x v="10"/>
    <x v="10"/>
    <x v="40"/>
    <x v="40"/>
    <n v="0"/>
    <n v="0"/>
    <n v="0"/>
    <n v="0"/>
    <n v="0"/>
  </r>
  <r>
    <x v="11"/>
    <x v="11"/>
    <x v="40"/>
    <x v="40"/>
    <n v="0"/>
    <n v="0"/>
    <n v="0"/>
    <n v="0"/>
    <n v="0"/>
  </r>
  <r>
    <x v="12"/>
    <x v="12"/>
    <x v="40"/>
    <x v="40"/>
    <n v="0"/>
    <n v="0"/>
    <n v="0"/>
    <n v="0"/>
    <n v="0"/>
  </r>
  <r>
    <x v="13"/>
    <x v="13"/>
    <x v="40"/>
    <x v="40"/>
    <n v="114389"/>
    <n v="15234"/>
    <n v="0"/>
    <n v="13911"/>
    <n v="0"/>
  </r>
  <r>
    <x v="14"/>
    <x v="14"/>
    <x v="40"/>
    <x v="40"/>
    <n v="0"/>
    <n v="0"/>
    <n v="0"/>
    <n v="0"/>
    <n v="0"/>
  </r>
  <r>
    <x v="15"/>
    <x v="15"/>
    <x v="40"/>
    <x v="40"/>
    <n v="0"/>
    <n v="0"/>
    <n v="0"/>
    <n v="0"/>
    <n v="0"/>
  </r>
  <r>
    <x v="16"/>
    <x v="16"/>
    <x v="40"/>
    <x v="40"/>
    <n v="0"/>
    <n v="0"/>
    <n v="0"/>
    <n v="0"/>
    <n v="0"/>
  </r>
  <r>
    <x v="17"/>
    <x v="17"/>
    <x v="40"/>
    <x v="40"/>
    <n v="0"/>
    <n v="0"/>
    <n v="0"/>
    <n v="0"/>
    <n v="0"/>
  </r>
  <r>
    <x v="18"/>
    <x v="18"/>
    <x v="40"/>
    <x v="40"/>
    <n v="0"/>
    <n v="0"/>
    <n v="0"/>
    <n v="0"/>
    <n v="0"/>
  </r>
  <r>
    <x v="19"/>
    <x v="19"/>
    <x v="40"/>
    <x v="40"/>
    <n v="0"/>
    <n v="0"/>
    <n v="0"/>
    <n v="0"/>
    <n v="0"/>
  </r>
  <r>
    <x v="20"/>
    <x v="20"/>
    <x v="40"/>
    <x v="40"/>
    <n v="0"/>
    <n v="0"/>
    <n v="0"/>
    <n v="0"/>
    <n v="0"/>
  </r>
  <r>
    <x v="21"/>
    <x v="21"/>
    <x v="40"/>
    <x v="40"/>
    <n v="0"/>
    <n v="0"/>
    <n v="0"/>
    <n v="0"/>
    <n v="0"/>
  </r>
  <r>
    <x v="22"/>
    <x v="22"/>
    <x v="40"/>
    <x v="40"/>
    <n v="49849"/>
    <n v="2479"/>
    <n v="1270"/>
    <n v="231"/>
    <n v="0"/>
  </r>
  <r>
    <x v="23"/>
    <x v="23"/>
    <x v="40"/>
    <x v="40"/>
    <n v="1593070"/>
    <n v="76128"/>
    <n v="141398"/>
    <n v="8067"/>
    <n v="93661"/>
  </r>
  <r>
    <x v="24"/>
    <x v="24"/>
    <x v="40"/>
    <x v="40"/>
    <n v="34481"/>
    <n v="796"/>
    <n v="499"/>
    <n v="267"/>
    <n v="0"/>
  </r>
  <r>
    <x v="25"/>
    <x v="25"/>
    <x v="40"/>
    <x v="40"/>
    <n v="5436"/>
    <n v="125"/>
    <n v="255"/>
    <n v="43"/>
    <n v="0"/>
  </r>
  <r>
    <x v="26"/>
    <x v="26"/>
    <x v="40"/>
    <x v="40"/>
    <n v="2388325"/>
    <n v="281302"/>
    <n v="151290"/>
    <n v="29012"/>
    <n v="583325"/>
  </r>
  <r>
    <x v="27"/>
    <x v="27"/>
    <x v="40"/>
    <x v="40"/>
    <n v="0"/>
    <n v="0"/>
    <n v="0"/>
    <n v="0"/>
    <n v="0"/>
  </r>
  <r>
    <x v="28"/>
    <x v="28"/>
    <x v="40"/>
    <x v="40"/>
    <n v="3416810"/>
    <n v="212683"/>
    <n v="248204"/>
    <n v="31072"/>
    <n v="749752"/>
  </r>
  <r>
    <x v="29"/>
    <x v="29"/>
    <x v="40"/>
    <x v="40"/>
    <n v="1068799"/>
    <n v="27130"/>
    <n v="27206"/>
    <n v="8569"/>
    <n v="150627"/>
  </r>
  <r>
    <x v="30"/>
    <x v="30"/>
    <x v="40"/>
    <x v="40"/>
    <n v="197279"/>
    <n v="13952"/>
    <n v="24083"/>
    <n v="4550"/>
    <n v="147746"/>
  </r>
  <r>
    <x v="31"/>
    <x v="31"/>
    <x v="40"/>
    <x v="40"/>
    <n v="615738"/>
    <n v="10898"/>
    <n v="10741"/>
    <n v="4124"/>
    <n v="149380"/>
  </r>
  <r>
    <x v="32"/>
    <x v="32"/>
    <x v="40"/>
    <x v="40"/>
    <n v="15342"/>
    <n v="848"/>
    <n v="504"/>
    <n v="226"/>
    <n v="0"/>
  </r>
  <r>
    <x v="33"/>
    <x v="33"/>
    <x v="40"/>
    <x v="40"/>
    <n v="3803442"/>
    <n v="212841"/>
    <n v="190863"/>
    <n v="33862"/>
    <n v="10967"/>
  </r>
  <r>
    <x v="34"/>
    <x v="34"/>
    <x v="40"/>
    <x v="40"/>
    <n v="10224733"/>
    <n v="387892"/>
    <n v="1016068"/>
    <n v="113481"/>
    <n v="3705077"/>
  </r>
  <r>
    <x v="35"/>
    <x v="35"/>
    <x v="40"/>
    <x v="40"/>
    <n v="2604719"/>
    <n v="100502"/>
    <n v="46196"/>
    <n v="3750"/>
    <n v="1562690"/>
  </r>
  <r>
    <x v="36"/>
    <x v="36"/>
    <x v="40"/>
    <x v="40"/>
    <n v="3884996"/>
    <n v="33024"/>
    <n v="113632"/>
    <n v="7327"/>
    <n v="3388197"/>
  </r>
  <r>
    <x v="37"/>
    <x v="37"/>
    <x v="40"/>
    <x v="40"/>
    <n v="10864624"/>
    <n v="1098886"/>
    <n v="15685"/>
    <n v="57927"/>
    <n v="2137678"/>
  </r>
  <r>
    <x v="38"/>
    <x v="38"/>
    <x v="40"/>
    <x v="40"/>
    <n v="4126709"/>
    <n v="132061"/>
    <n v="108314"/>
    <n v="20486"/>
    <n v="2031643"/>
  </r>
  <r>
    <x v="39"/>
    <x v="39"/>
    <x v="40"/>
    <x v="40"/>
    <n v="309271"/>
    <n v="15546"/>
    <n v="33287"/>
    <n v="1465"/>
    <n v="113580"/>
  </r>
  <r>
    <x v="40"/>
    <x v="40"/>
    <x v="40"/>
    <x v="40"/>
    <n v="11047837"/>
    <n v="187535"/>
    <n v="84753"/>
    <n v="62120"/>
    <n v="7651800"/>
  </r>
  <r>
    <x v="41"/>
    <x v="41"/>
    <x v="40"/>
    <x v="40"/>
    <n v="40927"/>
    <n v="2597"/>
    <n v="6529"/>
    <n v="312"/>
    <n v="0"/>
  </r>
  <r>
    <x v="42"/>
    <x v="42"/>
    <x v="40"/>
    <x v="40"/>
    <n v="2696168"/>
    <n v="150240"/>
    <n v="186316"/>
    <n v="24109"/>
    <n v="0"/>
  </r>
  <r>
    <x v="43"/>
    <x v="43"/>
    <x v="40"/>
    <x v="40"/>
    <n v="128116"/>
    <n v="5473"/>
    <n v="5849"/>
    <n v="1098"/>
    <n v="0"/>
  </r>
  <r>
    <x v="44"/>
    <x v="44"/>
    <x v="40"/>
    <x v="40"/>
    <n v="2571562"/>
    <n v="6943"/>
    <n v="8144"/>
    <n v="3038"/>
    <n v="0"/>
  </r>
  <r>
    <x v="45"/>
    <x v="45"/>
    <x v="40"/>
    <x v="40"/>
    <n v="40909"/>
    <n v="0"/>
    <n v="0"/>
    <n v="0"/>
    <n v="0"/>
  </r>
  <r>
    <x v="46"/>
    <x v="46"/>
    <x v="40"/>
    <x v="40"/>
    <n v="66503"/>
    <n v="0"/>
    <n v="0"/>
    <n v="0"/>
    <n v="0"/>
  </r>
  <r>
    <x v="47"/>
    <x v="47"/>
    <x v="40"/>
    <x v="40"/>
    <n v="0"/>
    <n v="0"/>
    <n v="0"/>
    <n v="0"/>
    <n v="0"/>
  </r>
  <r>
    <x v="48"/>
    <x v="48"/>
    <x v="40"/>
    <x v="40"/>
    <n v="0"/>
    <n v="-2975395"/>
    <n v="-2421086"/>
    <n v="0"/>
    <n v="0"/>
  </r>
  <r>
    <x v="49"/>
    <x v="49"/>
    <x v="40"/>
    <x v="40"/>
    <n v="419365"/>
    <n v="0"/>
    <n v="0"/>
    <n v="0"/>
    <n v="0"/>
  </r>
  <r>
    <x v="50"/>
    <x v="50"/>
    <x v="40"/>
    <x v="40"/>
    <n v="274455"/>
    <n v="0"/>
    <n v="0"/>
    <n v="-429322"/>
    <n v="0"/>
  </r>
  <r>
    <x v="51"/>
    <x v="51"/>
    <x v="40"/>
    <x v="40"/>
    <n v="106894"/>
    <n v="0"/>
    <n v="0"/>
    <n v="0"/>
    <n v="0"/>
  </r>
  <r>
    <x v="52"/>
    <x v="52"/>
    <x v="40"/>
    <x v="40"/>
    <n v="2002589"/>
    <n v="0"/>
    <n v="0"/>
    <n v="0"/>
    <n v="0"/>
  </r>
  <r>
    <x v="53"/>
    <x v="53"/>
    <x v="40"/>
    <x v="40"/>
    <n v="81325"/>
    <n v="0"/>
    <n v="0"/>
    <n v="0"/>
    <n v="0"/>
  </r>
  <r>
    <x v="54"/>
    <x v="54"/>
    <x v="40"/>
    <x v="40"/>
    <n v="606126"/>
    <n v="0"/>
    <n v="0"/>
    <n v="0"/>
    <n v="0"/>
  </r>
  <r>
    <x v="55"/>
    <x v="55"/>
    <x v="40"/>
    <x v="40"/>
    <n v="20994"/>
    <n v="0"/>
    <n v="0"/>
    <n v="0"/>
    <n v="0"/>
  </r>
  <r>
    <x v="56"/>
    <x v="56"/>
    <x v="40"/>
    <x v="40"/>
    <n v="104314"/>
    <n v="0"/>
    <n v="0"/>
    <n v="0"/>
    <n v="0"/>
  </r>
  <r>
    <x v="57"/>
    <x v="57"/>
    <x v="40"/>
    <x v="40"/>
    <n v="527589"/>
    <n v="0"/>
    <n v="0"/>
    <n v="0"/>
    <n v="53016"/>
  </r>
  <r>
    <x v="58"/>
    <x v="58"/>
    <x v="40"/>
    <x v="40"/>
    <n v="66076851"/>
    <n v="0"/>
    <n v="0"/>
    <n v="0"/>
    <n v="22529785"/>
  </r>
  <r>
    <x v="59"/>
    <x v="59"/>
    <x v="40"/>
    <x v="40"/>
    <n v="14952073"/>
    <n v="0"/>
    <n v="0"/>
    <n v="0"/>
    <n v="0"/>
  </r>
  <r>
    <x v="60"/>
    <x v="60"/>
    <x v="40"/>
    <x v="40"/>
    <n v="22816474"/>
    <n v="0"/>
    <n v="0"/>
    <n v="0"/>
    <n v="0"/>
  </r>
  <r>
    <x v="61"/>
    <x v="61"/>
    <x v="40"/>
    <x v="40"/>
    <n v="6793652"/>
    <n v="0"/>
    <n v="0"/>
    <n v="0"/>
    <n v="0"/>
  </r>
  <r>
    <x v="62"/>
    <x v="62"/>
    <x v="40"/>
    <x v="40"/>
    <n v="2387607"/>
    <n v="0"/>
    <n v="0"/>
    <n v="0"/>
    <n v="0"/>
  </r>
  <r>
    <x v="63"/>
    <x v="63"/>
    <x v="40"/>
    <x v="40"/>
    <n v="46949806"/>
    <n v="0"/>
    <n v="0"/>
    <n v="0"/>
    <n v="0"/>
  </r>
  <r>
    <x v="64"/>
    <x v="64"/>
    <x v="40"/>
    <x v="40"/>
    <n v="113026657"/>
    <n v="0"/>
    <n v="0"/>
    <n v="0"/>
    <n v="0"/>
  </r>
  <r>
    <x v="0"/>
    <x v="0"/>
    <x v="41"/>
    <x v="41"/>
    <n v="0"/>
    <n v="0"/>
    <n v="0"/>
    <n v="0"/>
    <n v="0"/>
  </r>
  <r>
    <x v="1"/>
    <x v="1"/>
    <x v="41"/>
    <x v="41"/>
    <n v="0"/>
    <n v="0"/>
    <n v="0"/>
    <n v="0"/>
    <n v="0"/>
  </r>
  <r>
    <x v="2"/>
    <x v="2"/>
    <x v="41"/>
    <x v="41"/>
    <n v="0"/>
    <n v="0"/>
    <n v="0"/>
    <n v="0"/>
    <n v="0"/>
  </r>
  <r>
    <x v="3"/>
    <x v="3"/>
    <x v="41"/>
    <x v="41"/>
    <n v="0"/>
    <n v="0"/>
    <n v="0"/>
    <n v="0"/>
    <n v="0"/>
  </r>
  <r>
    <x v="4"/>
    <x v="4"/>
    <x v="41"/>
    <x v="41"/>
    <n v="0"/>
    <n v="0"/>
    <n v="0"/>
    <n v="0"/>
    <n v="0"/>
  </r>
  <r>
    <x v="5"/>
    <x v="5"/>
    <x v="41"/>
    <x v="41"/>
    <n v="0"/>
    <n v="0"/>
    <n v="0"/>
    <n v="0"/>
    <n v="0"/>
  </r>
  <r>
    <x v="6"/>
    <x v="6"/>
    <x v="41"/>
    <x v="41"/>
    <n v="0"/>
    <n v="0"/>
    <n v="0"/>
    <n v="0"/>
    <n v="0"/>
  </r>
  <r>
    <x v="7"/>
    <x v="7"/>
    <x v="41"/>
    <x v="41"/>
    <n v="0"/>
    <n v="0"/>
    <n v="0"/>
    <n v="0"/>
    <n v="0"/>
  </r>
  <r>
    <x v="8"/>
    <x v="8"/>
    <x v="41"/>
    <x v="41"/>
    <n v="1313067"/>
    <n v="31960"/>
    <n v="0"/>
    <n v="1565"/>
    <n v="1258007"/>
  </r>
  <r>
    <x v="9"/>
    <x v="9"/>
    <x v="41"/>
    <x v="41"/>
    <n v="0"/>
    <n v="0"/>
    <n v="0"/>
    <n v="0"/>
    <n v="0"/>
  </r>
  <r>
    <x v="10"/>
    <x v="10"/>
    <x v="41"/>
    <x v="41"/>
    <n v="0"/>
    <n v="0"/>
    <n v="0"/>
    <n v="0"/>
    <n v="0"/>
  </r>
  <r>
    <x v="11"/>
    <x v="11"/>
    <x v="41"/>
    <x v="41"/>
    <n v="0"/>
    <n v="0"/>
    <n v="0"/>
    <n v="0"/>
    <n v="0"/>
  </r>
  <r>
    <x v="12"/>
    <x v="12"/>
    <x v="41"/>
    <x v="41"/>
    <n v="0"/>
    <n v="0"/>
    <n v="0"/>
    <n v="0"/>
    <n v="0"/>
  </r>
  <r>
    <x v="13"/>
    <x v="13"/>
    <x v="41"/>
    <x v="41"/>
    <n v="49830"/>
    <n v="5217"/>
    <n v="3331"/>
    <n v="1080"/>
    <n v="0"/>
  </r>
  <r>
    <x v="14"/>
    <x v="14"/>
    <x v="41"/>
    <x v="41"/>
    <n v="9719406"/>
    <n v="5749"/>
    <n v="4902"/>
    <n v="21393"/>
    <n v="0"/>
  </r>
  <r>
    <x v="15"/>
    <x v="15"/>
    <x v="41"/>
    <x v="41"/>
    <n v="0"/>
    <n v="0"/>
    <n v="0"/>
    <n v="0"/>
    <n v="0"/>
  </r>
  <r>
    <x v="16"/>
    <x v="16"/>
    <x v="41"/>
    <x v="41"/>
    <n v="18432"/>
    <n v="1059"/>
    <n v="1302"/>
    <n v="292"/>
    <n v="0"/>
  </r>
  <r>
    <x v="17"/>
    <x v="17"/>
    <x v="41"/>
    <x v="41"/>
    <n v="0"/>
    <n v="0"/>
    <n v="0"/>
    <n v="0"/>
    <n v="0"/>
  </r>
  <r>
    <x v="18"/>
    <x v="18"/>
    <x v="41"/>
    <x v="41"/>
    <n v="0"/>
    <n v="0"/>
    <n v="0"/>
    <n v="0"/>
    <n v="0"/>
  </r>
  <r>
    <x v="19"/>
    <x v="19"/>
    <x v="41"/>
    <x v="41"/>
    <n v="0"/>
    <n v="0"/>
    <n v="0"/>
    <n v="0"/>
    <n v="0"/>
  </r>
  <r>
    <x v="20"/>
    <x v="20"/>
    <x v="41"/>
    <x v="41"/>
    <n v="0"/>
    <n v="0"/>
    <n v="0"/>
    <n v="0"/>
    <n v="0"/>
  </r>
  <r>
    <x v="21"/>
    <x v="21"/>
    <x v="41"/>
    <x v="41"/>
    <n v="0"/>
    <n v="0"/>
    <n v="0"/>
    <n v="0"/>
    <n v="0"/>
  </r>
  <r>
    <x v="22"/>
    <x v="22"/>
    <x v="41"/>
    <x v="41"/>
    <n v="4014291"/>
    <n v="101279"/>
    <n v="71172"/>
    <n v="35026"/>
    <n v="0"/>
  </r>
  <r>
    <x v="23"/>
    <x v="23"/>
    <x v="41"/>
    <x v="41"/>
    <n v="1067732"/>
    <n v="69280"/>
    <n v="133101"/>
    <n v="7360"/>
    <n v="482806"/>
  </r>
  <r>
    <x v="24"/>
    <x v="24"/>
    <x v="41"/>
    <x v="41"/>
    <n v="400919"/>
    <n v="39595"/>
    <n v="8339"/>
    <n v="4875"/>
    <n v="0"/>
  </r>
  <r>
    <x v="25"/>
    <x v="25"/>
    <x v="41"/>
    <x v="41"/>
    <n v="4142"/>
    <n v="56"/>
    <n v="109"/>
    <n v="32"/>
    <n v="0"/>
  </r>
  <r>
    <x v="26"/>
    <x v="26"/>
    <x v="41"/>
    <x v="41"/>
    <n v="4349661"/>
    <n v="456349"/>
    <n v="401524"/>
    <n v="69824"/>
    <n v="1402374"/>
  </r>
  <r>
    <x v="27"/>
    <x v="27"/>
    <x v="41"/>
    <x v="41"/>
    <n v="0"/>
    <n v="0"/>
    <n v="0"/>
    <n v="0"/>
    <n v="0"/>
  </r>
  <r>
    <x v="28"/>
    <x v="28"/>
    <x v="41"/>
    <x v="41"/>
    <n v="3002154"/>
    <n v="297973"/>
    <n v="403522"/>
    <n v="37524"/>
    <n v="1825309"/>
  </r>
  <r>
    <x v="29"/>
    <x v="29"/>
    <x v="41"/>
    <x v="41"/>
    <n v="454585"/>
    <n v="32296"/>
    <n v="33450"/>
    <n v="4705"/>
    <n v="81834"/>
  </r>
  <r>
    <x v="30"/>
    <x v="30"/>
    <x v="41"/>
    <x v="41"/>
    <n v="4813119"/>
    <n v="465080"/>
    <n v="679348"/>
    <n v="142968"/>
    <n v="2094253"/>
  </r>
  <r>
    <x v="31"/>
    <x v="31"/>
    <x v="41"/>
    <x v="41"/>
    <n v="2622628"/>
    <n v="42771"/>
    <n v="42768"/>
    <n v="17273"/>
    <n v="1553045"/>
  </r>
  <r>
    <x v="32"/>
    <x v="32"/>
    <x v="41"/>
    <x v="41"/>
    <n v="0"/>
    <n v="0"/>
    <n v="0"/>
    <n v="0"/>
    <n v="0"/>
  </r>
  <r>
    <x v="33"/>
    <x v="33"/>
    <x v="41"/>
    <x v="41"/>
    <n v="621"/>
    <n v="28"/>
    <n v="37"/>
    <n v="4"/>
    <n v="0"/>
  </r>
  <r>
    <x v="34"/>
    <x v="34"/>
    <x v="41"/>
    <x v="41"/>
    <n v="8156"/>
    <n v="356"/>
    <n v="430"/>
    <n v="89"/>
    <n v="2081"/>
  </r>
  <r>
    <x v="35"/>
    <x v="35"/>
    <x v="41"/>
    <x v="41"/>
    <n v="0"/>
    <n v="0"/>
    <n v="0"/>
    <n v="0"/>
    <n v="0"/>
  </r>
  <r>
    <x v="36"/>
    <x v="36"/>
    <x v="41"/>
    <x v="41"/>
    <n v="1402123"/>
    <n v="24275"/>
    <n v="47801"/>
    <n v="3885"/>
    <n v="981729"/>
  </r>
  <r>
    <x v="37"/>
    <x v="37"/>
    <x v="41"/>
    <x v="41"/>
    <n v="513539"/>
    <n v="27583"/>
    <n v="0"/>
    <n v="5058"/>
    <n v="0"/>
  </r>
  <r>
    <x v="38"/>
    <x v="38"/>
    <x v="41"/>
    <x v="41"/>
    <n v="182158"/>
    <n v="8890"/>
    <n v="8541"/>
    <n v="1805"/>
    <n v="0"/>
  </r>
  <r>
    <x v="39"/>
    <x v="39"/>
    <x v="41"/>
    <x v="41"/>
    <n v="189346"/>
    <n v="0"/>
    <n v="0"/>
    <n v="0"/>
    <n v="0"/>
  </r>
  <r>
    <x v="40"/>
    <x v="40"/>
    <x v="41"/>
    <x v="41"/>
    <n v="0"/>
    <n v="0"/>
    <n v="0"/>
    <n v="0"/>
    <n v="0"/>
  </r>
  <r>
    <x v="41"/>
    <x v="41"/>
    <x v="41"/>
    <x v="41"/>
    <n v="17375565"/>
    <n v="1234883"/>
    <n v="768359"/>
    <n v="93153"/>
    <n v="14764942"/>
  </r>
  <r>
    <x v="42"/>
    <x v="42"/>
    <x v="41"/>
    <x v="41"/>
    <n v="68339"/>
    <n v="5562"/>
    <n v="12476"/>
    <n v="879"/>
    <n v="0"/>
  </r>
  <r>
    <x v="43"/>
    <x v="43"/>
    <x v="41"/>
    <x v="41"/>
    <n v="3249233"/>
    <n v="340613"/>
    <n v="327167"/>
    <n v="43741"/>
    <n v="456097"/>
  </r>
  <r>
    <x v="44"/>
    <x v="44"/>
    <x v="41"/>
    <x v="41"/>
    <n v="1117194"/>
    <n v="242"/>
    <n v="406"/>
    <n v="80"/>
    <n v="0"/>
  </r>
  <r>
    <x v="45"/>
    <x v="45"/>
    <x v="41"/>
    <x v="41"/>
    <n v="37821"/>
    <n v="0"/>
    <n v="0"/>
    <n v="0"/>
    <n v="0"/>
  </r>
  <r>
    <x v="46"/>
    <x v="46"/>
    <x v="41"/>
    <x v="41"/>
    <n v="50381"/>
    <n v="0"/>
    <n v="0"/>
    <n v="0"/>
    <n v="0"/>
  </r>
  <r>
    <x v="47"/>
    <x v="47"/>
    <x v="41"/>
    <x v="41"/>
    <n v="0"/>
    <n v="0"/>
    <n v="0"/>
    <n v="0"/>
    <n v="0"/>
  </r>
  <r>
    <x v="48"/>
    <x v="48"/>
    <x v="41"/>
    <x v="41"/>
    <n v="0"/>
    <n v="-3191096"/>
    <n v="-2948085"/>
    <n v="0"/>
    <n v="0"/>
  </r>
  <r>
    <x v="49"/>
    <x v="49"/>
    <x v="41"/>
    <x v="41"/>
    <n v="274804"/>
    <n v="0"/>
    <n v="0"/>
    <n v="0"/>
    <n v="0"/>
  </r>
  <r>
    <x v="50"/>
    <x v="50"/>
    <x v="41"/>
    <x v="41"/>
    <n v="406070"/>
    <n v="0"/>
    <n v="0"/>
    <n v="-492611"/>
    <n v="0"/>
  </r>
  <r>
    <x v="51"/>
    <x v="51"/>
    <x v="41"/>
    <x v="41"/>
    <n v="130471"/>
    <n v="0"/>
    <n v="0"/>
    <n v="0"/>
    <n v="0"/>
  </r>
  <r>
    <x v="52"/>
    <x v="52"/>
    <x v="41"/>
    <x v="41"/>
    <n v="996935"/>
    <n v="0"/>
    <n v="0"/>
    <n v="0"/>
    <n v="0"/>
  </r>
  <r>
    <x v="53"/>
    <x v="53"/>
    <x v="41"/>
    <x v="41"/>
    <n v="67979"/>
    <n v="0"/>
    <n v="0"/>
    <n v="0"/>
    <n v="0"/>
  </r>
  <r>
    <x v="54"/>
    <x v="54"/>
    <x v="41"/>
    <x v="41"/>
    <n v="1239822"/>
    <n v="0"/>
    <n v="0"/>
    <n v="0"/>
    <n v="0"/>
  </r>
  <r>
    <x v="55"/>
    <x v="55"/>
    <x v="41"/>
    <x v="41"/>
    <n v="57833"/>
    <n v="0"/>
    <n v="0"/>
    <n v="0"/>
    <n v="0"/>
  </r>
  <r>
    <x v="56"/>
    <x v="56"/>
    <x v="41"/>
    <x v="41"/>
    <n v="73249"/>
    <n v="0"/>
    <n v="0"/>
    <n v="0"/>
    <n v="0"/>
  </r>
  <r>
    <x v="57"/>
    <x v="57"/>
    <x v="41"/>
    <x v="41"/>
    <n v="224972"/>
    <n v="0"/>
    <n v="0"/>
    <n v="0"/>
    <n v="25313"/>
  </r>
  <r>
    <x v="58"/>
    <x v="58"/>
    <x v="41"/>
    <x v="41"/>
    <n v="59496577"/>
    <n v="0"/>
    <n v="0"/>
    <n v="0"/>
    <n v="24927790"/>
  </r>
  <r>
    <x v="59"/>
    <x v="59"/>
    <x v="41"/>
    <x v="41"/>
    <n v="9470241"/>
    <n v="0"/>
    <n v="0"/>
    <n v="0"/>
    <n v="0"/>
  </r>
  <r>
    <x v="60"/>
    <x v="60"/>
    <x v="41"/>
    <x v="41"/>
    <n v="11479631"/>
    <n v="0"/>
    <n v="0"/>
    <n v="0"/>
    <n v="0"/>
  </r>
  <r>
    <x v="61"/>
    <x v="61"/>
    <x v="41"/>
    <x v="41"/>
    <n v="4893238"/>
    <n v="0"/>
    <n v="0"/>
    <n v="0"/>
    <n v="0"/>
  </r>
  <r>
    <x v="62"/>
    <x v="62"/>
    <x v="41"/>
    <x v="41"/>
    <n v="2148117"/>
    <n v="0"/>
    <n v="0"/>
    <n v="0"/>
    <n v="0"/>
  </r>
  <r>
    <x v="63"/>
    <x v="63"/>
    <x v="41"/>
    <x v="41"/>
    <n v="27991227"/>
    <n v="0"/>
    <n v="0"/>
    <n v="0"/>
    <n v="0"/>
  </r>
  <r>
    <x v="64"/>
    <x v="64"/>
    <x v="41"/>
    <x v="41"/>
    <n v="87487804"/>
    <n v="0"/>
    <n v="0"/>
    <n v="0"/>
    <n v="0"/>
  </r>
  <r>
    <x v="0"/>
    <x v="0"/>
    <x v="42"/>
    <x v="42"/>
    <n v="0"/>
    <n v="0"/>
    <n v="0"/>
    <n v="0"/>
    <n v="0"/>
  </r>
  <r>
    <x v="1"/>
    <x v="1"/>
    <x v="42"/>
    <x v="42"/>
    <n v="0"/>
    <n v="0"/>
    <n v="0"/>
    <n v="0"/>
    <n v="0"/>
  </r>
  <r>
    <x v="2"/>
    <x v="2"/>
    <x v="42"/>
    <x v="42"/>
    <n v="0"/>
    <n v="0"/>
    <n v="0"/>
    <n v="0"/>
    <n v="0"/>
  </r>
  <r>
    <x v="3"/>
    <x v="3"/>
    <x v="42"/>
    <x v="42"/>
    <n v="0"/>
    <n v="0"/>
    <n v="0"/>
    <n v="0"/>
    <n v="0"/>
  </r>
  <r>
    <x v="4"/>
    <x v="4"/>
    <x v="42"/>
    <x v="42"/>
    <n v="0"/>
    <n v="0"/>
    <n v="0"/>
    <n v="0"/>
    <n v="0"/>
  </r>
  <r>
    <x v="5"/>
    <x v="5"/>
    <x v="42"/>
    <x v="42"/>
    <n v="0"/>
    <n v="0"/>
    <n v="0"/>
    <n v="0"/>
    <n v="0"/>
  </r>
  <r>
    <x v="6"/>
    <x v="6"/>
    <x v="42"/>
    <x v="42"/>
    <n v="0"/>
    <n v="0"/>
    <n v="0"/>
    <n v="0"/>
    <n v="0"/>
  </r>
  <r>
    <x v="7"/>
    <x v="7"/>
    <x v="42"/>
    <x v="42"/>
    <n v="255123"/>
    <n v="37894"/>
    <n v="0"/>
    <n v="3711"/>
    <n v="0"/>
  </r>
  <r>
    <x v="8"/>
    <x v="8"/>
    <x v="42"/>
    <x v="42"/>
    <n v="0"/>
    <n v="0"/>
    <n v="0"/>
    <n v="0"/>
    <n v="0"/>
  </r>
  <r>
    <x v="9"/>
    <x v="9"/>
    <x v="42"/>
    <x v="42"/>
    <n v="38887303"/>
    <n v="2472930"/>
    <n v="198270"/>
    <n v="556315"/>
    <n v="703872"/>
  </r>
  <r>
    <x v="10"/>
    <x v="10"/>
    <x v="42"/>
    <x v="42"/>
    <n v="0"/>
    <n v="0"/>
    <n v="0"/>
    <n v="0"/>
    <n v="0"/>
  </r>
  <r>
    <x v="11"/>
    <x v="11"/>
    <x v="42"/>
    <x v="42"/>
    <n v="0"/>
    <n v="0"/>
    <n v="0"/>
    <n v="0"/>
    <n v="0"/>
  </r>
  <r>
    <x v="12"/>
    <x v="12"/>
    <x v="42"/>
    <x v="42"/>
    <n v="0"/>
    <n v="0"/>
    <n v="0"/>
    <n v="0"/>
    <n v="0"/>
  </r>
  <r>
    <x v="13"/>
    <x v="13"/>
    <x v="42"/>
    <x v="42"/>
    <n v="0"/>
    <n v="0"/>
    <n v="0"/>
    <n v="0"/>
    <n v="0"/>
  </r>
  <r>
    <x v="14"/>
    <x v="14"/>
    <x v="42"/>
    <x v="42"/>
    <n v="0"/>
    <n v="0"/>
    <n v="0"/>
    <n v="0"/>
    <n v="0"/>
  </r>
  <r>
    <x v="15"/>
    <x v="15"/>
    <x v="42"/>
    <x v="42"/>
    <n v="0"/>
    <n v="0"/>
    <n v="0"/>
    <n v="0"/>
    <n v="0"/>
  </r>
  <r>
    <x v="16"/>
    <x v="16"/>
    <x v="42"/>
    <x v="42"/>
    <n v="14797"/>
    <n v="905"/>
    <n v="422"/>
    <n v="108"/>
    <n v="0"/>
  </r>
  <r>
    <x v="17"/>
    <x v="17"/>
    <x v="42"/>
    <x v="42"/>
    <n v="495360"/>
    <n v="10459"/>
    <n v="0"/>
    <n v="6424"/>
    <n v="0"/>
  </r>
  <r>
    <x v="18"/>
    <x v="18"/>
    <x v="42"/>
    <x v="42"/>
    <n v="0"/>
    <n v="0"/>
    <n v="0"/>
    <n v="0"/>
    <n v="0"/>
  </r>
  <r>
    <x v="19"/>
    <x v="19"/>
    <x v="42"/>
    <x v="42"/>
    <n v="0"/>
    <n v="0"/>
    <n v="0"/>
    <n v="0"/>
    <n v="0"/>
  </r>
  <r>
    <x v="20"/>
    <x v="20"/>
    <x v="42"/>
    <x v="42"/>
    <n v="0"/>
    <n v="0"/>
    <n v="0"/>
    <n v="0"/>
    <n v="0"/>
  </r>
  <r>
    <x v="21"/>
    <x v="21"/>
    <x v="42"/>
    <x v="42"/>
    <n v="0"/>
    <n v="0"/>
    <n v="0"/>
    <n v="0"/>
    <n v="0"/>
  </r>
  <r>
    <x v="22"/>
    <x v="22"/>
    <x v="42"/>
    <x v="42"/>
    <n v="121572"/>
    <n v="489"/>
    <n v="234"/>
    <n v="385"/>
    <n v="0"/>
  </r>
  <r>
    <x v="23"/>
    <x v="23"/>
    <x v="42"/>
    <x v="42"/>
    <n v="16963"/>
    <n v="1829"/>
    <n v="2585"/>
    <n v="71"/>
    <n v="0"/>
  </r>
  <r>
    <x v="24"/>
    <x v="24"/>
    <x v="42"/>
    <x v="42"/>
    <n v="521598"/>
    <n v="15271"/>
    <n v="13061"/>
    <n v="4524"/>
    <n v="0"/>
  </r>
  <r>
    <x v="25"/>
    <x v="25"/>
    <x v="42"/>
    <x v="42"/>
    <n v="32623"/>
    <n v="1428"/>
    <n v="1873"/>
    <n v="246"/>
    <n v="0"/>
  </r>
  <r>
    <x v="26"/>
    <x v="26"/>
    <x v="42"/>
    <x v="42"/>
    <n v="1527351"/>
    <n v="113002"/>
    <n v="55126"/>
    <n v="20501"/>
    <n v="474024"/>
  </r>
  <r>
    <x v="27"/>
    <x v="27"/>
    <x v="42"/>
    <x v="42"/>
    <n v="172118"/>
    <n v="15522"/>
    <n v="15629"/>
    <n v="5962"/>
    <n v="74400"/>
  </r>
  <r>
    <x v="28"/>
    <x v="28"/>
    <x v="42"/>
    <x v="42"/>
    <n v="13495482"/>
    <n v="1594675"/>
    <n v="1449445"/>
    <n v="149847"/>
    <n v="5782763"/>
  </r>
  <r>
    <x v="29"/>
    <x v="29"/>
    <x v="42"/>
    <x v="42"/>
    <n v="2356995"/>
    <n v="171439"/>
    <n v="184235"/>
    <n v="26731"/>
    <n v="434301"/>
  </r>
  <r>
    <x v="30"/>
    <x v="30"/>
    <x v="42"/>
    <x v="42"/>
    <n v="73977"/>
    <n v="8149"/>
    <n v="11409"/>
    <n v="2064"/>
    <n v="0"/>
  </r>
  <r>
    <x v="31"/>
    <x v="31"/>
    <x v="42"/>
    <x v="42"/>
    <n v="3514405"/>
    <n v="59394"/>
    <n v="58904"/>
    <n v="23292"/>
    <n v="1595942"/>
  </r>
  <r>
    <x v="32"/>
    <x v="32"/>
    <x v="42"/>
    <x v="42"/>
    <n v="163978"/>
    <n v="5850"/>
    <n v="4599"/>
    <n v="2753"/>
    <n v="0"/>
  </r>
  <r>
    <x v="33"/>
    <x v="33"/>
    <x v="42"/>
    <x v="42"/>
    <n v="350701"/>
    <n v="46650"/>
    <n v="46423"/>
    <n v="4012"/>
    <n v="0"/>
  </r>
  <r>
    <x v="34"/>
    <x v="34"/>
    <x v="42"/>
    <x v="42"/>
    <n v="311703"/>
    <n v="16563"/>
    <n v="25526"/>
    <n v="4438"/>
    <n v="83222"/>
  </r>
  <r>
    <x v="35"/>
    <x v="35"/>
    <x v="42"/>
    <x v="42"/>
    <n v="391559"/>
    <n v="6179"/>
    <n v="2831"/>
    <n v="635"/>
    <n v="238471"/>
  </r>
  <r>
    <x v="36"/>
    <x v="36"/>
    <x v="42"/>
    <x v="42"/>
    <n v="6271953"/>
    <n v="87824"/>
    <n v="181076"/>
    <n v="15213"/>
    <n v="4563456"/>
  </r>
  <r>
    <x v="37"/>
    <x v="37"/>
    <x v="42"/>
    <x v="42"/>
    <n v="2568541"/>
    <n v="152907"/>
    <n v="0"/>
    <n v="23308"/>
    <n v="0"/>
  </r>
  <r>
    <x v="38"/>
    <x v="38"/>
    <x v="42"/>
    <x v="42"/>
    <n v="88463"/>
    <n v="4243"/>
    <n v="2163"/>
    <n v="759"/>
    <n v="0"/>
  </r>
  <r>
    <x v="39"/>
    <x v="39"/>
    <x v="42"/>
    <x v="42"/>
    <n v="385735"/>
    <n v="0"/>
    <n v="0"/>
    <n v="0"/>
    <n v="0"/>
  </r>
  <r>
    <x v="40"/>
    <x v="40"/>
    <x v="42"/>
    <x v="42"/>
    <n v="0"/>
    <n v="0"/>
    <n v="0"/>
    <n v="0"/>
    <n v="0"/>
  </r>
  <r>
    <x v="41"/>
    <x v="41"/>
    <x v="42"/>
    <x v="42"/>
    <n v="470050"/>
    <n v="12146"/>
    <n v="7834"/>
    <n v="2164"/>
    <n v="436475"/>
  </r>
  <r>
    <x v="42"/>
    <x v="42"/>
    <x v="42"/>
    <x v="42"/>
    <n v="66816170"/>
    <n v="8851215"/>
    <n v="10517903"/>
    <n v="536474"/>
    <n v="17933240"/>
  </r>
  <r>
    <x v="43"/>
    <x v="43"/>
    <x v="42"/>
    <x v="42"/>
    <n v="782316"/>
    <n v="56470"/>
    <n v="50773"/>
    <n v="7732"/>
    <n v="36434"/>
  </r>
  <r>
    <x v="44"/>
    <x v="44"/>
    <x v="42"/>
    <x v="42"/>
    <n v="6682382"/>
    <n v="858"/>
    <n v="1602"/>
    <n v="280"/>
    <n v="0"/>
  </r>
  <r>
    <x v="45"/>
    <x v="45"/>
    <x v="42"/>
    <x v="42"/>
    <n v="83785"/>
    <n v="0"/>
    <n v="0"/>
    <n v="0"/>
    <n v="0"/>
  </r>
  <r>
    <x v="46"/>
    <x v="46"/>
    <x v="42"/>
    <x v="42"/>
    <n v="148979"/>
    <n v="0"/>
    <n v="0"/>
    <n v="0"/>
    <n v="0"/>
  </r>
  <r>
    <x v="47"/>
    <x v="47"/>
    <x v="42"/>
    <x v="42"/>
    <n v="0"/>
    <n v="0"/>
    <n v="0"/>
    <n v="0"/>
    <n v="0"/>
  </r>
  <r>
    <x v="48"/>
    <x v="48"/>
    <x v="42"/>
    <x v="42"/>
    <n v="0"/>
    <n v="-13744291"/>
    <n v="-12831923"/>
    <n v="0"/>
    <n v="0"/>
  </r>
  <r>
    <x v="49"/>
    <x v="49"/>
    <x v="42"/>
    <x v="42"/>
    <n v="788176"/>
    <n v="0"/>
    <n v="0"/>
    <n v="0"/>
    <n v="0"/>
  </r>
  <r>
    <x v="50"/>
    <x v="50"/>
    <x v="42"/>
    <x v="42"/>
    <n v="869939"/>
    <n v="0"/>
    <n v="0"/>
    <n v="-1397949"/>
    <n v="0"/>
  </r>
  <r>
    <x v="51"/>
    <x v="51"/>
    <x v="42"/>
    <x v="42"/>
    <n v="222931"/>
    <n v="0"/>
    <n v="0"/>
    <n v="0"/>
    <n v="0"/>
  </r>
  <r>
    <x v="52"/>
    <x v="52"/>
    <x v="42"/>
    <x v="42"/>
    <n v="5362687"/>
    <n v="0"/>
    <n v="0"/>
    <n v="0"/>
    <n v="0"/>
  </r>
  <r>
    <x v="53"/>
    <x v="53"/>
    <x v="42"/>
    <x v="42"/>
    <n v="323688"/>
    <n v="0"/>
    <n v="0"/>
    <n v="0"/>
    <n v="0"/>
  </r>
  <r>
    <x v="54"/>
    <x v="54"/>
    <x v="42"/>
    <x v="42"/>
    <n v="4095129"/>
    <n v="0"/>
    <n v="0"/>
    <n v="0"/>
    <n v="0"/>
  </r>
  <r>
    <x v="55"/>
    <x v="55"/>
    <x v="42"/>
    <x v="42"/>
    <n v="65926"/>
    <n v="0"/>
    <n v="0"/>
    <n v="0"/>
    <n v="0"/>
  </r>
  <r>
    <x v="56"/>
    <x v="56"/>
    <x v="42"/>
    <x v="42"/>
    <n v="95691"/>
    <n v="0"/>
    <n v="0"/>
    <n v="0"/>
    <n v="0"/>
  </r>
  <r>
    <x v="57"/>
    <x v="57"/>
    <x v="42"/>
    <x v="42"/>
    <n v="695409"/>
    <n v="0"/>
    <n v="0"/>
    <n v="0"/>
    <n v="71745"/>
  </r>
  <r>
    <x v="58"/>
    <x v="58"/>
    <x v="42"/>
    <x v="42"/>
    <n v="159521558"/>
    <n v="0"/>
    <n v="0"/>
    <n v="0"/>
    <n v="32428345"/>
  </r>
  <r>
    <x v="59"/>
    <x v="59"/>
    <x v="42"/>
    <x v="42"/>
    <n v="36677620"/>
    <n v="0"/>
    <n v="0"/>
    <n v="0"/>
    <n v="0"/>
  </r>
  <r>
    <x v="60"/>
    <x v="60"/>
    <x v="42"/>
    <x v="42"/>
    <n v="48466444"/>
    <n v="0"/>
    <n v="0"/>
    <n v="0"/>
    <n v="0"/>
  </r>
  <r>
    <x v="61"/>
    <x v="61"/>
    <x v="42"/>
    <x v="42"/>
    <n v="15956666"/>
    <n v="0"/>
    <n v="0"/>
    <n v="0"/>
    <n v="0"/>
  </r>
  <r>
    <x v="62"/>
    <x v="62"/>
    <x v="42"/>
    <x v="42"/>
    <n v="5624269"/>
    <n v="0"/>
    <n v="0"/>
    <n v="0"/>
    <n v="0"/>
  </r>
  <r>
    <x v="63"/>
    <x v="63"/>
    <x v="42"/>
    <x v="42"/>
    <n v="106724999"/>
    <n v="0"/>
    <n v="0"/>
    <n v="0"/>
    <n v="0"/>
  </r>
  <r>
    <x v="64"/>
    <x v="64"/>
    <x v="42"/>
    <x v="42"/>
    <n v="266246557"/>
    <n v="0"/>
    <n v="0"/>
    <n v="0"/>
    <n v="0"/>
  </r>
  <r>
    <x v="0"/>
    <x v="0"/>
    <x v="43"/>
    <x v="43"/>
    <n v="68315"/>
    <n v="4648"/>
    <n v="3258"/>
    <n v="565"/>
    <n v="0"/>
  </r>
  <r>
    <x v="1"/>
    <x v="1"/>
    <x v="43"/>
    <x v="43"/>
    <n v="0"/>
    <n v="0"/>
    <n v="0"/>
    <n v="0"/>
    <n v="0"/>
  </r>
  <r>
    <x v="2"/>
    <x v="2"/>
    <x v="43"/>
    <x v="43"/>
    <n v="0"/>
    <n v="0"/>
    <n v="0"/>
    <n v="0"/>
    <n v="0"/>
  </r>
  <r>
    <x v="3"/>
    <x v="3"/>
    <x v="43"/>
    <x v="43"/>
    <n v="0"/>
    <n v="0"/>
    <n v="0"/>
    <n v="0"/>
    <n v="0"/>
  </r>
  <r>
    <x v="4"/>
    <x v="4"/>
    <x v="43"/>
    <x v="43"/>
    <n v="0"/>
    <n v="0"/>
    <n v="0"/>
    <n v="0"/>
    <n v="0"/>
  </r>
  <r>
    <x v="5"/>
    <x v="5"/>
    <x v="43"/>
    <x v="43"/>
    <n v="0"/>
    <n v="0"/>
    <n v="0"/>
    <n v="0"/>
    <n v="0"/>
  </r>
  <r>
    <x v="6"/>
    <x v="6"/>
    <x v="43"/>
    <x v="43"/>
    <n v="35200"/>
    <n v="1167"/>
    <n v="0"/>
    <n v="275"/>
    <n v="0"/>
  </r>
  <r>
    <x v="7"/>
    <x v="7"/>
    <x v="43"/>
    <x v="43"/>
    <n v="160203"/>
    <n v="5893"/>
    <n v="114"/>
    <n v="2513"/>
    <n v="0"/>
  </r>
  <r>
    <x v="8"/>
    <x v="8"/>
    <x v="43"/>
    <x v="43"/>
    <n v="25524"/>
    <n v="728"/>
    <n v="1426"/>
    <n v="176"/>
    <n v="0"/>
  </r>
  <r>
    <x v="9"/>
    <x v="9"/>
    <x v="43"/>
    <x v="43"/>
    <n v="22766"/>
    <n v="3260"/>
    <n v="4420"/>
    <n v="805"/>
    <n v="0"/>
  </r>
  <r>
    <x v="10"/>
    <x v="10"/>
    <x v="43"/>
    <x v="43"/>
    <n v="0"/>
    <n v="0"/>
    <n v="0"/>
    <n v="0"/>
    <n v="0"/>
  </r>
  <r>
    <x v="11"/>
    <x v="11"/>
    <x v="43"/>
    <x v="43"/>
    <n v="0"/>
    <n v="0"/>
    <n v="0"/>
    <n v="0"/>
    <n v="0"/>
  </r>
  <r>
    <x v="12"/>
    <x v="12"/>
    <x v="43"/>
    <x v="43"/>
    <n v="0"/>
    <n v="0"/>
    <n v="0"/>
    <n v="0"/>
    <n v="0"/>
  </r>
  <r>
    <x v="13"/>
    <x v="13"/>
    <x v="43"/>
    <x v="43"/>
    <n v="10671636"/>
    <n v="312321"/>
    <n v="0"/>
    <n v="1016666"/>
    <n v="8689"/>
  </r>
  <r>
    <x v="14"/>
    <x v="14"/>
    <x v="43"/>
    <x v="43"/>
    <n v="2147182"/>
    <n v="1879"/>
    <n v="2297"/>
    <n v="4813"/>
    <n v="10102"/>
  </r>
  <r>
    <x v="15"/>
    <x v="15"/>
    <x v="43"/>
    <x v="43"/>
    <n v="0"/>
    <n v="0"/>
    <n v="0"/>
    <n v="0"/>
    <n v="0"/>
  </r>
  <r>
    <x v="16"/>
    <x v="16"/>
    <x v="43"/>
    <x v="43"/>
    <n v="9196"/>
    <n v="397"/>
    <n v="432"/>
    <n v="147"/>
    <n v="0"/>
  </r>
  <r>
    <x v="17"/>
    <x v="17"/>
    <x v="43"/>
    <x v="43"/>
    <n v="0"/>
    <n v="0"/>
    <n v="0"/>
    <n v="0"/>
    <n v="0"/>
  </r>
  <r>
    <x v="18"/>
    <x v="18"/>
    <x v="43"/>
    <x v="43"/>
    <n v="0"/>
    <n v="0"/>
    <n v="0"/>
    <n v="0"/>
    <n v="0"/>
  </r>
  <r>
    <x v="19"/>
    <x v="19"/>
    <x v="43"/>
    <x v="43"/>
    <n v="0"/>
    <n v="0"/>
    <n v="0"/>
    <n v="0"/>
    <n v="0"/>
  </r>
  <r>
    <x v="20"/>
    <x v="20"/>
    <x v="43"/>
    <x v="43"/>
    <n v="0"/>
    <n v="0"/>
    <n v="0"/>
    <n v="0"/>
    <n v="0"/>
  </r>
  <r>
    <x v="21"/>
    <x v="21"/>
    <x v="43"/>
    <x v="43"/>
    <n v="0"/>
    <n v="0"/>
    <n v="0"/>
    <n v="0"/>
    <n v="0"/>
  </r>
  <r>
    <x v="22"/>
    <x v="22"/>
    <x v="43"/>
    <x v="43"/>
    <n v="8458963"/>
    <n v="808941"/>
    <n v="301499"/>
    <n v="64205"/>
    <n v="734406"/>
  </r>
  <r>
    <x v="23"/>
    <x v="23"/>
    <x v="43"/>
    <x v="43"/>
    <n v="4318771"/>
    <n v="134700"/>
    <n v="690141"/>
    <n v="32759"/>
    <n v="2651174"/>
  </r>
  <r>
    <x v="24"/>
    <x v="24"/>
    <x v="43"/>
    <x v="43"/>
    <n v="5301099"/>
    <n v="514200"/>
    <n v="567608"/>
    <n v="85481"/>
    <n v="561517"/>
  </r>
  <r>
    <x v="25"/>
    <x v="25"/>
    <x v="43"/>
    <x v="43"/>
    <n v="119707"/>
    <n v="5824"/>
    <n v="12820"/>
    <n v="1186"/>
    <n v="0"/>
  </r>
  <r>
    <x v="26"/>
    <x v="26"/>
    <x v="43"/>
    <x v="43"/>
    <n v="25191384"/>
    <n v="2621035"/>
    <n v="1140844"/>
    <n v="355029"/>
    <n v="9516529"/>
  </r>
  <r>
    <x v="27"/>
    <x v="27"/>
    <x v="43"/>
    <x v="43"/>
    <n v="0"/>
    <n v="0"/>
    <n v="0"/>
    <n v="0"/>
    <n v="0"/>
  </r>
  <r>
    <x v="28"/>
    <x v="28"/>
    <x v="43"/>
    <x v="43"/>
    <n v="10814307"/>
    <n v="954645"/>
    <n v="988115"/>
    <n v="136188"/>
    <n v="5421593"/>
  </r>
  <r>
    <x v="29"/>
    <x v="29"/>
    <x v="43"/>
    <x v="43"/>
    <n v="6867271"/>
    <n v="387372"/>
    <n v="430868"/>
    <n v="64332"/>
    <n v="1196367"/>
  </r>
  <r>
    <x v="30"/>
    <x v="30"/>
    <x v="43"/>
    <x v="43"/>
    <n v="6728304"/>
    <n v="856495"/>
    <n v="990412"/>
    <n v="211680"/>
    <n v="1522104"/>
  </r>
  <r>
    <x v="31"/>
    <x v="31"/>
    <x v="43"/>
    <x v="43"/>
    <n v="21376772"/>
    <n v="871470"/>
    <n v="1138891"/>
    <n v="172747"/>
    <n v="5428050"/>
  </r>
  <r>
    <x v="32"/>
    <x v="32"/>
    <x v="43"/>
    <x v="43"/>
    <n v="4574"/>
    <n v="252"/>
    <n v="187"/>
    <n v="70"/>
    <n v="0"/>
  </r>
  <r>
    <x v="33"/>
    <x v="33"/>
    <x v="43"/>
    <x v="43"/>
    <n v="17022569"/>
    <n v="667652"/>
    <n v="790571"/>
    <n v="209366"/>
    <n v="9430795"/>
  </r>
  <r>
    <x v="34"/>
    <x v="34"/>
    <x v="43"/>
    <x v="43"/>
    <n v="15421600"/>
    <n v="1149771"/>
    <n v="1469500"/>
    <n v="198379"/>
    <n v="7948362"/>
  </r>
  <r>
    <x v="35"/>
    <x v="35"/>
    <x v="43"/>
    <x v="43"/>
    <n v="220341608"/>
    <n v="13055023"/>
    <n v="7336922"/>
    <n v="304963"/>
    <n v="183162924"/>
  </r>
  <r>
    <x v="36"/>
    <x v="36"/>
    <x v="43"/>
    <x v="43"/>
    <n v="6182526"/>
    <n v="103507"/>
    <n v="343640"/>
    <n v="15990"/>
    <n v="4881970"/>
  </r>
  <r>
    <x v="37"/>
    <x v="37"/>
    <x v="43"/>
    <x v="43"/>
    <n v="4608876"/>
    <n v="275772"/>
    <n v="0"/>
    <n v="47739"/>
    <n v="0"/>
  </r>
  <r>
    <x v="38"/>
    <x v="38"/>
    <x v="43"/>
    <x v="43"/>
    <n v="3569069"/>
    <n v="172747"/>
    <n v="150482"/>
    <n v="18296"/>
    <n v="1230006"/>
  </r>
  <r>
    <x v="39"/>
    <x v="39"/>
    <x v="43"/>
    <x v="43"/>
    <n v="2014696"/>
    <n v="1809"/>
    <n v="0"/>
    <n v="175"/>
    <n v="0"/>
  </r>
  <r>
    <x v="40"/>
    <x v="40"/>
    <x v="43"/>
    <x v="43"/>
    <n v="0"/>
    <n v="0"/>
    <n v="0"/>
    <n v="0"/>
    <n v="0"/>
  </r>
  <r>
    <x v="41"/>
    <x v="41"/>
    <x v="43"/>
    <x v="43"/>
    <n v="4151513"/>
    <n v="185153"/>
    <n v="193772"/>
    <n v="21755"/>
    <n v="3349669"/>
  </r>
  <r>
    <x v="42"/>
    <x v="42"/>
    <x v="43"/>
    <x v="43"/>
    <n v="4745886"/>
    <n v="528575"/>
    <n v="770412"/>
    <n v="45859"/>
    <n v="237738"/>
  </r>
  <r>
    <x v="43"/>
    <x v="43"/>
    <x v="43"/>
    <x v="43"/>
    <n v="497965378"/>
    <n v="27744984"/>
    <n v="57470639"/>
    <n v="1230944"/>
    <n v="164176485"/>
  </r>
  <r>
    <x v="44"/>
    <x v="44"/>
    <x v="43"/>
    <x v="43"/>
    <n v="15030187"/>
    <n v="6177"/>
    <n v="8630"/>
    <n v="2844"/>
    <n v="0"/>
  </r>
  <r>
    <x v="45"/>
    <x v="45"/>
    <x v="43"/>
    <x v="43"/>
    <n v="340288"/>
    <n v="0"/>
    <n v="0"/>
    <n v="0"/>
    <n v="0"/>
  </r>
  <r>
    <x v="46"/>
    <x v="46"/>
    <x v="43"/>
    <x v="43"/>
    <n v="373471"/>
    <n v="0"/>
    <n v="0"/>
    <n v="0"/>
    <n v="0"/>
  </r>
  <r>
    <x v="47"/>
    <x v="47"/>
    <x v="43"/>
    <x v="43"/>
    <n v="0"/>
    <n v="0"/>
    <n v="0"/>
    <n v="0"/>
    <n v="0"/>
  </r>
  <r>
    <x v="48"/>
    <x v="48"/>
    <x v="43"/>
    <x v="43"/>
    <n v="0"/>
    <n v="-51376397"/>
    <n v="-74807900"/>
    <n v="0"/>
    <n v="0"/>
  </r>
  <r>
    <x v="49"/>
    <x v="49"/>
    <x v="43"/>
    <x v="43"/>
    <n v="1804474"/>
    <n v="0"/>
    <n v="0"/>
    <n v="0"/>
    <n v="0"/>
  </r>
  <r>
    <x v="50"/>
    <x v="50"/>
    <x v="43"/>
    <x v="43"/>
    <n v="5914012"/>
    <n v="0"/>
    <n v="0"/>
    <n v="-4245947"/>
    <n v="0"/>
  </r>
  <r>
    <x v="51"/>
    <x v="51"/>
    <x v="43"/>
    <x v="43"/>
    <n v="2304959"/>
    <n v="0"/>
    <n v="0"/>
    <n v="0"/>
    <n v="0"/>
  </r>
  <r>
    <x v="52"/>
    <x v="52"/>
    <x v="43"/>
    <x v="43"/>
    <n v="19401593"/>
    <n v="0"/>
    <n v="0"/>
    <n v="0"/>
    <n v="0"/>
  </r>
  <r>
    <x v="53"/>
    <x v="53"/>
    <x v="43"/>
    <x v="43"/>
    <n v="1339666"/>
    <n v="0"/>
    <n v="0"/>
    <n v="0"/>
    <n v="0"/>
  </r>
  <r>
    <x v="54"/>
    <x v="54"/>
    <x v="43"/>
    <x v="43"/>
    <n v="22175090"/>
    <n v="0"/>
    <n v="0"/>
    <n v="0"/>
    <n v="0"/>
  </r>
  <r>
    <x v="55"/>
    <x v="55"/>
    <x v="43"/>
    <x v="43"/>
    <n v="236087"/>
    <n v="0"/>
    <n v="0"/>
    <n v="0"/>
    <n v="0"/>
  </r>
  <r>
    <x v="56"/>
    <x v="56"/>
    <x v="43"/>
    <x v="43"/>
    <n v="915066"/>
    <n v="0"/>
    <n v="0"/>
    <n v="0"/>
    <n v="0"/>
  </r>
  <r>
    <x v="57"/>
    <x v="57"/>
    <x v="43"/>
    <x v="43"/>
    <n v="1948485"/>
    <n v="0"/>
    <n v="0"/>
    <n v="0"/>
    <n v="196283"/>
  </r>
  <r>
    <x v="58"/>
    <x v="58"/>
    <x v="43"/>
    <x v="43"/>
    <n v="950128273"/>
    <n v="0"/>
    <n v="0"/>
    <n v="0"/>
    <n v="401664763"/>
  </r>
  <r>
    <x v="59"/>
    <x v="59"/>
    <x v="43"/>
    <x v="43"/>
    <n v="102883422"/>
    <n v="0"/>
    <n v="0"/>
    <n v="0"/>
    <n v="0"/>
  </r>
  <r>
    <x v="60"/>
    <x v="60"/>
    <x v="43"/>
    <x v="43"/>
    <n v="151097808"/>
    <n v="0"/>
    <n v="0"/>
    <n v="0"/>
    <n v="0"/>
  </r>
  <r>
    <x v="61"/>
    <x v="61"/>
    <x v="43"/>
    <x v="43"/>
    <n v="61092259"/>
    <n v="0"/>
    <n v="0"/>
    <n v="0"/>
    <n v="0"/>
  </r>
  <r>
    <x v="62"/>
    <x v="62"/>
    <x v="43"/>
    <x v="43"/>
    <n v="28174403"/>
    <n v="0"/>
    <n v="0"/>
    <n v="0"/>
    <n v="0"/>
  </r>
  <r>
    <x v="63"/>
    <x v="63"/>
    <x v="43"/>
    <x v="43"/>
    <n v="343247892"/>
    <n v="0"/>
    <n v="0"/>
    <n v="0"/>
    <n v="0"/>
  </r>
  <r>
    <x v="64"/>
    <x v="64"/>
    <x v="43"/>
    <x v="43"/>
    <n v="1293376165"/>
    <n v="0"/>
    <n v="0"/>
    <n v="0"/>
    <n v="0"/>
  </r>
  <r>
    <x v="0"/>
    <x v="0"/>
    <x v="44"/>
    <x v="44"/>
    <n v="296681"/>
    <n v="13201"/>
    <n v="0"/>
    <n v="1835"/>
    <n v="0"/>
  </r>
  <r>
    <x v="1"/>
    <x v="1"/>
    <x v="44"/>
    <x v="44"/>
    <n v="43796"/>
    <n v="1075"/>
    <n v="0"/>
    <n v="319"/>
    <n v="0"/>
  </r>
  <r>
    <x v="2"/>
    <x v="2"/>
    <x v="44"/>
    <x v="44"/>
    <n v="0"/>
    <n v="0"/>
    <n v="0"/>
    <n v="0"/>
    <n v="0"/>
  </r>
  <r>
    <x v="3"/>
    <x v="3"/>
    <x v="44"/>
    <x v="44"/>
    <n v="0"/>
    <n v="0"/>
    <n v="0"/>
    <n v="0"/>
    <n v="0"/>
  </r>
  <r>
    <x v="4"/>
    <x v="4"/>
    <x v="44"/>
    <x v="44"/>
    <n v="0"/>
    <n v="0"/>
    <n v="0"/>
    <n v="0"/>
    <n v="0"/>
  </r>
  <r>
    <x v="5"/>
    <x v="5"/>
    <x v="44"/>
    <x v="44"/>
    <n v="0"/>
    <n v="0"/>
    <n v="0"/>
    <n v="0"/>
    <n v="0"/>
  </r>
  <r>
    <x v="6"/>
    <x v="6"/>
    <x v="44"/>
    <x v="44"/>
    <n v="0"/>
    <n v="0"/>
    <n v="0"/>
    <n v="0"/>
    <n v="0"/>
  </r>
  <r>
    <x v="7"/>
    <x v="7"/>
    <x v="44"/>
    <x v="44"/>
    <n v="0"/>
    <n v="0"/>
    <n v="0"/>
    <n v="0"/>
    <n v="0"/>
  </r>
  <r>
    <x v="8"/>
    <x v="8"/>
    <x v="44"/>
    <x v="44"/>
    <n v="0"/>
    <n v="0"/>
    <n v="0"/>
    <n v="0"/>
    <n v="0"/>
  </r>
  <r>
    <x v="9"/>
    <x v="9"/>
    <x v="44"/>
    <x v="44"/>
    <n v="345213"/>
    <n v="18180"/>
    <n v="24228"/>
    <n v="1707"/>
    <n v="0"/>
  </r>
  <r>
    <x v="10"/>
    <x v="10"/>
    <x v="44"/>
    <x v="44"/>
    <n v="0"/>
    <n v="0"/>
    <n v="0"/>
    <n v="0"/>
    <n v="0"/>
  </r>
  <r>
    <x v="11"/>
    <x v="11"/>
    <x v="44"/>
    <x v="44"/>
    <n v="401159406"/>
    <n v="745779"/>
    <n v="0"/>
    <n v="668160"/>
    <n v="331348057"/>
  </r>
  <r>
    <x v="12"/>
    <x v="12"/>
    <x v="44"/>
    <x v="44"/>
    <n v="0"/>
    <n v="0"/>
    <n v="0"/>
    <n v="0"/>
    <n v="0"/>
  </r>
  <r>
    <x v="13"/>
    <x v="13"/>
    <x v="44"/>
    <x v="44"/>
    <n v="29524"/>
    <n v="653"/>
    <n v="0"/>
    <n v="939"/>
    <n v="0"/>
  </r>
  <r>
    <x v="14"/>
    <x v="14"/>
    <x v="44"/>
    <x v="44"/>
    <n v="0"/>
    <n v="0"/>
    <n v="0"/>
    <n v="0"/>
    <n v="0"/>
  </r>
  <r>
    <x v="15"/>
    <x v="15"/>
    <x v="44"/>
    <x v="44"/>
    <n v="27541"/>
    <n v="1271"/>
    <n v="781"/>
    <n v="257"/>
    <n v="0"/>
  </r>
  <r>
    <x v="16"/>
    <x v="16"/>
    <x v="44"/>
    <x v="44"/>
    <n v="780304"/>
    <n v="19831"/>
    <n v="31292"/>
    <n v="13409"/>
    <n v="0"/>
  </r>
  <r>
    <x v="17"/>
    <x v="17"/>
    <x v="44"/>
    <x v="44"/>
    <n v="1455650"/>
    <n v="30734"/>
    <n v="0"/>
    <n v="18877"/>
    <n v="776558"/>
  </r>
  <r>
    <x v="18"/>
    <x v="18"/>
    <x v="44"/>
    <x v="44"/>
    <n v="0"/>
    <n v="0"/>
    <n v="0"/>
    <n v="0"/>
    <n v="0"/>
  </r>
  <r>
    <x v="19"/>
    <x v="19"/>
    <x v="44"/>
    <x v="44"/>
    <n v="0"/>
    <n v="0"/>
    <n v="0"/>
    <n v="0"/>
    <n v="0"/>
  </r>
  <r>
    <x v="20"/>
    <x v="20"/>
    <x v="44"/>
    <x v="44"/>
    <n v="0"/>
    <n v="0"/>
    <n v="0"/>
    <n v="0"/>
    <n v="0"/>
  </r>
  <r>
    <x v="21"/>
    <x v="21"/>
    <x v="44"/>
    <x v="44"/>
    <n v="0"/>
    <n v="0"/>
    <n v="0"/>
    <n v="0"/>
    <n v="0"/>
  </r>
  <r>
    <x v="22"/>
    <x v="22"/>
    <x v="44"/>
    <x v="44"/>
    <n v="0"/>
    <n v="0"/>
    <n v="0"/>
    <n v="0"/>
    <n v="0"/>
  </r>
  <r>
    <x v="23"/>
    <x v="23"/>
    <x v="44"/>
    <x v="44"/>
    <n v="167278"/>
    <n v="5676"/>
    <n v="14146"/>
    <n v="1195"/>
    <n v="16550"/>
  </r>
  <r>
    <x v="24"/>
    <x v="24"/>
    <x v="44"/>
    <x v="44"/>
    <n v="766212"/>
    <n v="24115"/>
    <n v="21611"/>
    <n v="6441"/>
    <n v="0"/>
  </r>
  <r>
    <x v="25"/>
    <x v="25"/>
    <x v="44"/>
    <x v="44"/>
    <n v="198591"/>
    <n v="6505"/>
    <n v="15107"/>
    <n v="1755"/>
    <n v="0"/>
  </r>
  <r>
    <x v="26"/>
    <x v="26"/>
    <x v="44"/>
    <x v="44"/>
    <n v="2817351"/>
    <n v="302609"/>
    <n v="128766"/>
    <n v="59500"/>
    <n v="1943029"/>
  </r>
  <r>
    <x v="27"/>
    <x v="27"/>
    <x v="44"/>
    <x v="44"/>
    <n v="0"/>
    <n v="0"/>
    <n v="0"/>
    <n v="0"/>
    <n v="0"/>
  </r>
  <r>
    <x v="28"/>
    <x v="28"/>
    <x v="44"/>
    <x v="44"/>
    <n v="110585"/>
    <n v="6566"/>
    <n v="9802"/>
    <n v="1380"/>
    <n v="15910"/>
  </r>
  <r>
    <x v="29"/>
    <x v="29"/>
    <x v="44"/>
    <x v="44"/>
    <n v="69372916"/>
    <n v="3243652"/>
    <n v="1884200"/>
    <n v="645147"/>
    <n v="13848998"/>
  </r>
  <r>
    <x v="30"/>
    <x v="30"/>
    <x v="44"/>
    <x v="44"/>
    <n v="0"/>
    <n v="0"/>
    <n v="0"/>
    <n v="0"/>
    <n v="0"/>
  </r>
  <r>
    <x v="31"/>
    <x v="31"/>
    <x v="44"/>
    <x v="44"/>
    <n v="205258"/>
    <n v="5872"/>
    <n v="7353"/>
    <n v="1326"/>
    <n v="50067"/>
  </r>
  <r>
    <x v="32"/>
    <x v="32"/>
    <x v="44"/>
    <x v="44"/>
    <n v="0"/>
    <n v="0"/>
    <n v="0"/>
    <n v="0"/>
    <n v="0"/>
  </r>
  <r>
    <x v="33"/>
    <x v="33"/>
    <x v="44"/>
    <x v="44"/>
    <n v="0"/>
    <n v="0"/>
    <n v="0"/>
    <n v="0"/>
    <n v="0"/>
  </r>
  <r>
    <x v="34"/>
    <x v="34"/>
    <x v="44"/>
    <x v="44"/>
    <n v="0"/>
    <n v="0"/>
    <n v="0"/>
    <n v="0"/>
    <n v="0"/>
  </r>
  <r>
    <x v="35"/>
    <x v="35"/>
    <x v="44"/>
    <x v="44"/>
    <n v="0"/>
    <n v="0"/>
    <n v="0"/>
    <n v="0"/>
    <n v="0"/>
  </r>
  <r>
    <x v="36"/>
    <x v="36"/>
    <x v="44"/>
    <x v="44"/>
    <n v="3955667"/>
    <n v="39371"/>
    <n v="91516"/>
    <n v="7223"/>
    <n v="3631787"/>
  </r>
  <r>
    <x v="37"/>
    <x v="37"/>
    <x v="44"/>
    <x v="44"/>
    <n v="6837942"/>
    <n v="529171"/>
    <n v="0"/>
    <n v="67103"/>
    <n v="2619461"/>
  </r>
  <r>
    <x v="38"/>
    <x v="38"/>
    <x v="44"/>
    <x v="44"/>
    <n v="21105287"/>
    <n v="1528746"/>
    <n v="1528024"/>
    <n v="278490"/>
    <n v="11630201"/>
  </r>
  <r>
    <x v="39"/>
    <x v="39"/>
    <x v="44"/>
    <x v="44"/>
    <n v="2953713"/>
    <n v="0"/>
    <n v="0"/>
    <n v="0"/>
    <n v="0"/>
  </r>
  <r>
    <x v="40"/>
    <x v="40"/>
    <x v="44"/>
    <x v="44"/>
    <n v="0"/>
    <n v="0"/>
    <n v="0"/>
    <n v="0"/>
    <n v="0"/>
  </r>
  <r>
    <x v="41"/>
    <x v="41"/>
    <x v="44"/>
    <x v="44"/>
    <n v="0"/>
    <n v="0"/>
    <n v="0"/>
    <n v="0"/>
    <n v="0"/>
  </r>
  <r>
    <x v="42"/>
    <x v="42"/>
    <x v="44"/>
    <x v="44"/>
    <n v="605614"/>
    <n v="49295"/>
    <n v="110564"/>
    <n v="6388"/>
    <n v="0"/>
  </r>
  <r>
    <x v="43"/>
    <x v="43"/>
    <x v="44"/>
    <x v="44"/>
    <n v="922507"/>
    <n v="107010"/>
    <n v="105605"/>
    <n v="12943"/>
    <n v="0"/>
  </r>
  <r>
    <x v="44"/>
    <x v="44"/>
    <x v="44"/>
    <x v="44"/>
    <n v="452468230"/>
    <n v="2190602"/>
    <n v="3287924"/>
    <n v="364420"/>
    <n v="123767282"/>
  </r>
  <r>
    <x v="45"/>
    <x v="45"/>
    <x v="44"/>
    <x v="44"/>
    <n v="200866"/>
    <n v="0"/>
    <n v="0"/>
    <n v="0"/>
    <n v="0"/>
  </r>
  <r>
    <x v="46"/>
    <x v="46"/>
    <x v="44"/>
    <x v="44"/>
    <n v="1770619"/>
    <n v="0"/>
    <n v="0"/>
    <n v="0"/>
    <n v="0"/>
  </r>
  <r>
    <x v="47"/>
    <x v="47"/>
    <x v="44"/>
    <x v="44"/>
    <n v="0"/>
    <n v="0"/>
    <n v="0"/>
    <n v="0"/>
    <n v="0"/>
  </r>
  <r>
    <x v="48"/>
    <x v="48"/>
    <x v="44"/>
    <x v="44"/>
    <n v="0"/>
    <n v="-8869914"/>
    <n v="-7260919"/>
    <n v="0"/>
    <n v="0"/>
  </r>
  <r>
    <x v="49"/>
    <x v="49"/>
    <x v="44"/>
    <x v="44"/>
    <n v="1239150"/>
    <n v="0"/>
    <n v="0"/>
    <n v="0"/>
    <n v="0"/>
  </r>
  <r>
    <x v="50"/>
    <x v="50"/>
    <x v="44"/>
    <x v="44"/>
    <n v="1253293"/>
    <n v="0"/>
    <n v="0"/>
    <n v="-2158814"/>
    <n v="0"/>
  </r>
  <r>
    <x v="51"/>
    <x v="51"/>
    <x v="44"/>
    <x v="44"/>
    <n v="2588782"/>
    <n v="0"/>
    <n v="0"/>
    <n v="0"/>
    <n v="0"/>
  </r>
  <r>
    <x v="52"/>
    <x v="52"/>
    <x v="44"/>
    <x v="44"/>
    <n v="60970189"/>
    <n v="0"/>
    <n v="0"/>
    <n v="0"/>
    <n v="0"/>
  </r>
  <r>
    <x v="53"/>
    <x v="53"/>
    <x v="44"/>
    <x v="44"/>
    <n v="250482"/>
    <n v="0"/>
    <n v="0"/>
    <n v="0"/>
    <n v="0"/>
  </r>
  <r>
    <x v="54"/>
    <x v="54"/>
    <x v="44"/>
    <x v="44"/>
    <n v="10580519"/>
    <n v="0"/>
    <n v="0"/>
    <n v="0"/>
    <n v="0"/>
  </r>
  <r>
    <x v="55"/>
    <x v="55"/>
    <x v="44"/>
    <x v="44"/>
    <n v="2987591"/>
    <n v="0"/>
    <n v="0"/>
    <n v="0"/>
    <n v="0"/>
  </r>
  <r>
    <x v="56"/>
    <x v="56"/>
    <x v="44"/>
    <x v="44"/>
    <n v="4156006"/>
    <n v="0"/>
    <n v="0"/>
    <n v="0"/>
    <n v="0"/>
  </r>
  <r>
    <x v="57"/>
    <x v="57"/>
    <x v="44"/>
    <x v="44"/>
    <n v="1733282"/>
    <n v="0"/>
    <n v="0"/>
    <n v="0"/>
    <n v="203545"/>
  </r>
  <r>
    <x v="58"/>
    <x v="58"/>
    <x v="44"/>
    <x v="44"/>
    <n v="1054356045"/>
    <n v="0"/>
    <n v="0"/>
    <n v="0"/>
    <n v="489851445"/>
  </r>
  <r>
    <x v="59"/>
    <x v="59"/>
    <x v="44"/>
    <x v="44"/>
    <n v="124771661"/>
    <n v="0"/>
    <n v="0"/>
    <n v="0"/>
    <n v="0"/>
  </r>
  <r>
    <x v="60"/>
    <x v="60"/>
    <x v="44"/>
    <x v="44"/>
    <n v="160731710"/>
    <n v="0"/>
    <n v="0"/>
    <n v="0"/>
    <n v="0"/>
  </r>
  <r>
    <x v="61"/>
    <x v="61"/>
    <x v="44"/>
    <x v="44"/>
    <n v="167999545"/>
    <n v="0"/>
    <n v="0"/>
    <n v="0"/>
    <n v="0"/>
  </r>
  <r>
    <x v="62"/>
    <x v="62"/>
    <x v="44"/>
    <x v="44"/>
    <n v="32533488"/>
    <n v="0"/>
    <n v="0"/>
    <n v="0"/>
    <n v="0"/>
  </r>
  <r>
    <x v="63"/>
    <x v="63"/>
    <x v="44"/>
    <x v="44"/>
    <n v="486036404"/>
    <n v="0"/>
    <n v="0"/>
    <n v="0"/>
    <n v="0"/>
  </r>
  <r>
    <x v="64"/>
    <x v="64"/>
    <x v="44"/>
    <x v="44"/>
    <n v="1540392449"/>
    <n v="0"/>
    <n v="0"/>
    <n v="0"/>
    <n v="0"/>
  </r>
  <r>
    <x v="0"/>
    <x v="0"/>
    <x v="45"/>
    <x v="45"/>
    <n v="0"/>
    <n v="0"/>
    <n v="0"/>
    <n v="0"/>
    <n v="0"/>
  </r>
  <r>
    <x v="1"/>
    <x v="1"/>
    <x v="45"/>
    <x v="45"/>
    <n v="0"/>
    <n v="0"/>
    <n v="0"/>
    <n v="0"/>
    <n v="0"/>
  </r>
  <r>
    <x v="2"/>
    <x v="2"/>
    <x v="45"/>
    <x v="45"/>
    <n v="0"/>
    <n v="0"/>
    <n v="0"/>
    <n v="0"/>
    <n v="0"/>
  </r>
  <r>
    <x v="3"/>
    <x v="3"/>
    <x v="45"/>
    <x v="45"/>
    <n v="0"/>
    <n v="0"/>
    <n v="0"/>
    <n v="0"/>
    <n v="0"/>
  </r>
  <r>
    <x v="4"/>
    <x v="4"/>
    <x v="45"/>
    <x v="45"/>
    <n v="0"/>
    <n v="0"/>
    <n v="0"/>
    <n v="0"/>
    <n v="0"/>
  </r>
  <r>
    <x v="5"/>
    <x v="5"/>
    <x v="45"/>
    <x v="45"/>
    <n v="0"/>
    <n v="0"/>
    <n v="0"/>
    <n v="0"/>
    <n v="0"/>
  </r>
  <r>
    <x v="6"/>
    <x v="6"/>
    <x v="45"/>
    <x v="45"/>
    <n v="0"/>
    <n v="0"/>
    <n v="0"/>
    <n v="0"/>
    <n v="0"/>
  </r>
  <r>
    <x v="7"/>
    <x v="7"/>
    <x v="45"/>
    <x v="45"/>
    <n v="0"/>
    <n v="0"/>
    <n v="0"/>
    <n v="0"/>
    <n v="0"/>
  </r>
  <r>
    <x v="8"/>
    <x v="8"/>
    <x v="45"/>
    <x v="45"/>
    <n v="0"/>
    <n v="0"/>
    <n v="0"/>
    <n v="0"/>
    <n v="0"/>
  </r>
  <r>
    <x v="9"/>
    <x v="9"/>
    <x v="45"/>
    <x v="45"/>
    <n v="0"/>
    <n v="0"/>
    <n v="0"/>
    <n v="0"/>
    <n v="0"/>
  </r>
  <r>
    <x v="10"/>
    <x v="10"/>
    <x v="45"/>
    <x v="45"/>
    <n v="0"/>
    <n v="0"/>
    <n v="0"/>
    <n v="0"/>
    <n v="0"/>
  </r>
  <r>
    <x v="11"/>
    <x v="11"/>
    <x v="45"/>
    <x v="45"/>
    <n v="0"/>
    <n v="0"/>
    <n v="0"/>
    <n v="0"/>
    <n v="0"/>
  </r>
  <r>
    <x v="12"/>
    <x v="12"/>
    <x v="45"/>
    <x v="45"/>
    <n v="0"/>
    <n v="0"/>
    <n v="0"/>
    <n v="0"/>
    <n v="0"/>
  </r>
  <r>
    <x v="13"/>
    <x v="13"/>
    <x v="45"/>
    <x v="45"/>
    <n v="45871"/>
    <n v="3609"/>
    <n v="3988"/>
    <n v="884"/>
    <n v="0"/>
  </r>
  <r>
    <x v="14"/>
    <x v="14"/>
    <x v="45"/>
    <x v="45"/>
    <n v="0"/>
    <n v="0"/>
    <n v="0"/>
    <n v="0"/>
    <n v="0"/>
  </r>
  <r>
    <x v="15"/>
    <x v="15"/>
    <x v="45"/>
    <x v="45"/>
    <n v="0"/>
    <n v="0"/>
    <n v="0"/>
    <n v="0"/>
    <n v="0"/>
  </r>
  <r>
    <x v="16"/>
    <x v="16"/>
    <x v="45"/>
    <x v="45"/>
    <n v="0"/>
    <n v="0"/>
    <n v="0"/>
    <n v="0"/>
    <n v="0"/>
  </r>
  <r>
    <x v="17"/>
    <x v="17"/>
    <x v="45"/>
    <x v="45"/>
    <n v="0"/>
    <n v="0"/>
    <n v="0"/>
    <n v="0"/>
    <n v="0"/>
  </r>
  <r>
    <x v="18"/>
    <x v="18"/>
    <x v="45"/>
    <x v="45"/>
    <n v="0"/>
    <n v="0"/>
    <n v="0"/>
    <n v="0"/>
    <n v="0"/>
  </r>
  <r>
    <x v="19"/>
    <x v="19"/>
    <x v="45"/>
    <x v="45"/>
    <n v="0"/>
    <n v="0"/>
    <n v="0"/>
    <n v="0"/>
    <n v="0"/>
  </r>
  <r>
    <x v="20"/>
    <x v="20"/>
    <x v="45"/>
    <x v="45"/>
    <n v="0"/>
    <n v="0"/>
    <n v="0"/>
    <n v="0"/>
    <n v="0"/>
  </r>
  <r>
    <x v="21"/>
    <x v="21"/>
    <x v="45"/>
    <x v="45"/>
    <n v="0"/>
    <n v="0"/>
    <n v="0"/>
    <n v="0"/>
    <n v="0"/>
  </r>
  <r>
    <x v="22"/>
    <x v="22"/>
    <x v="45"/>
    <x v="45"/>
    <n v="0"/>
    <n v="0"/>
    <n v="0"/>
    <n v="0"/>
    <n v="0"/>
  </r>
  <r>
    <x v="23"/>
    <x v="23"/>
    <x v="45"/>
    <x v="45"/>
    <n v="18049"/>
    <n v="2856"/>
    <n v="2203"/>
    <n v="243"/>
    <n v="1645"/>
  </r>
  <r>
    <x v="24"/>
    <x v="24"/>
    <x v="45"/>
    <x v="45"/>
    <n v="21712"/>
    <n v="1452"/>
    <n v="1456"/>
    <n v="260"/>
    <n v="0"/>
  </r>
  <r>
    <x v="25"/>
    <x v="25"/>
    <x v="45"/>
    <x v="45"/>
    <n v="2135"/>
    <n v="98"/>
    <n v="205"/>
    <n v="19"/>
    <n v="0"/>
  </r>
  <r>
    <x v="26"/>
    <x v="26"/>
    <x v="45"/>
    <x v="45"/>
    <n v="3536388"/>
    <n v="251499"/>
    <n v="117721"/>
    <n v="68676"/>
    <n v="2656674"/>
  </r>
  <r>
    <x v="27"/>
    <x v="27"/>
    <x v="45"/>
    <x v="45"/>
    <n v="0"/>
    <n v="0"/>
    <n v="0"/>
    <n v="0"/>
    <n v="0"/>
  </r>
  <r>
    <x v="28"/>
    <x v="28"/>
    <x v="45"/>
    <x v="45"/>
    <n v="11416"/>
    <n v="805"/>
    <n v="1367"/>
    <n v="225"/>
    <n v="7615"/>
  </r>
  <r>
    <x v="29"/>
    <x v="29"/>
    <x v="45"/>
    <x v="45"/>
    <n v="457457"/>
    <n v="18971"/>
    <n v="7755"/>
    <n v="4216"/>
    <n v="90419"/>
  </r>
  <r>
    <x v="30"/>
    <x v="30"/>
    <x v="45"/>
    <x v="45"/>
    <n v="4145"/>
    <n v="324"/>
    <n v="630"/>
    <n v="112"/>
    <n v="0"/>
  </r>
  <r>
    <x v="31"/>
    <x v="31"/>
    <x v="45"/>
    <x v="45"/>
    <n v="635081"/>
    <n v="25088"/>
    <n v="19003"/>
    <n v="4227"/>
    <n v="155981"/>
  </r>
  <r>
    <x v="32"/>
    <x v="32"/>
    <x v="45"/>
    <x v="45"/>
    <n v="491784"/>
    <n v="36939"/>
    <n v="36070"/>
    <n v="8770"/>
    <n v="0"/>
  </r>
  <r>
    <x v="33"/>
    <x v="33"/>
    <x v="45"/>
    <x v="45"/>
    <n v="0"/>
    <n v="0"/>
    <n v="0"/>
    <n v="0"/>
    <n v="0"/>
  </r>
  <r>
    <x v="34"/>
    <x v="34"/>
    <x v="45"/>
    <x v="45"/>
    <n v="9410"/>
    <n v="712"/>
    <n v="772"/>
    <n v="117"/>
    <n v="0"/>
  </r>
  <r>
    <x v="35"/>
    <x v="35"/>
    <x v="45"/>
    <x v="45"/>
    <n v="3743"/>
    <n v="167"/>
    <n v="92"/>
    <n v="6"/>
    <n v="2233"/>
  </r>
  <r>
    <x v="36"/>
    <x v="36"/>
    <x v="45"/>
    <x v="45"/>
    <n v="94292"/>
    <n v="1622"/>
    <n v="6051"/>
    <n v="231"/>
    <n v="78878"/>
  </r>
  <r>
    <x v="37"/>
    <x v="37"/>
    <x v="45"/>
    <x v="45"/>
    <n v="40066"/>
    <n v="3224"/>
    <n v="0"/>
    <n v="455"/>
    <n v="0"/>
  </r>
  <r>
    <x v="38"/>
    <x v="38"/>
    <x v="45"/>
    <x v="45"/>
    <n v="59838"/>
    <n v="3700"/>
    <n v="5137"/>
    <n v="675"/>
    <n v="0"/>
  </r>
  <r>
    <x v="39"/>
    <x v="39"/>
    <x v="45"/>
    <x v="45"/>
    <n v="78856"/>
    <n v="615"/>
    <n v="0"/>
    <n v="60"/>
    <n v="0"/>
  </r>
  <r>
    <x v="40"/>
    <x v="40"/>
    <x v="45"/>
    <x v="45"/>
    <n v="0"/>
    <n v="0"/>
    <n v="0"/>
    <n v="0"/>
    <n v="0"/>
  </r>
  <r>
    <x v="41"/>
    <x v="41"/>
    <x v="45"/>
    <x v="45"/>
    <n v="0"/>
    <n v="0"/>
    <n v="0"/>
    <n v="0"/>
    <n v="0"/>
  </r>
  <r>
    <x v="42"/>
    <x v="42"/>
    <x v="45"/>
    <x v="45"/>
    <n v="0"/>
    <n v="0"/>
    <n v="0"/>
    <n v="0"/>
    <n v="0"/>
  </r>
  <r>
    <x v="43"/>
    <x v="43"/>
    <x v="45"/>
    <x v="45"/>
    <n v="296447"/>
    <n v="10962"/>
    <n v="16652"/>
    <n v="2013"/>
    <n v="128333"/>
  </r>
  <r>
    <x v="44"/>
    <x v="44"/>
    <x v="45"/>
    <x v="45"/>
    <n v="8191830"/>
    <n v="0"/>
    <n v="0"/>
    <n v="0"/>
    <n v="0"/>
  </r>
  <r>
    <x v="45"/>
    <x v="45"/>
    <x v="45"/>
    <x v="45"/>
    <n v="2240731"/>
    <n v="0"/>
    <n v="0"/>
    <n v="0"/>
    <n v="0"/>
  </r>
  <r>
    <x v="46"/>
    <x v="46"/>
    <x v="45"/>
    <x v="45"/>
    <n v="0"/>
    <n v="0"/>
    <n v="0"/>
    <n v="0"/>
    <n v="0"/>
  </r>
  <r>
    <x v="47"/>
    <x v="47"/>
    <x v="45"/>
    <x v="45"/>
    <n v="0"/>
    <n v="0"/>
    <n v="0"/>
    <n v="0"/>
    <n v="0"/>
  </r>
  <r>
    <x v="48"/>
    <x v="48"/>
    <x v="45"/>
    <x v="45"/>
    <n v="0"/>
    <n v="-362643"/>
    <n v="-219102"/>
    <n v="0"/>
    <n v="0"/>
  </r>
  <r>
    <x v="49"/>
    <x v="49"/>
    <x v="45"/>
    <x v="45"/>
    <n v="41242"/>
    <n v="0"/>
    <n v="0"/>
    <n v="0"/>
    <n v="0"/>
  </r>
  <r>
    <x v="50"/>
    <x v="50"/>
    <x v="45"/>
    <x v="45"/>
    <n v="11795"/>
    <n v="0"/>
    <n v="0"/>
    <n v="-91189"/>
    <n v="0"/>
  </r>
  <r>
    <x v="51"/>
    <x v="51"/>
    <x v="45"/>
    <x v="45"/>
    <n v="4574"/>
    <n v="0"/>
    <n v="0"/>
    <n v="0"/>
    <n v="0"/>
  </r>
  <r>
    <x v="52"/>
    <x v="52"/>
    <x v="45"/>
    <x v="45"/>
    <n v="4895112"/>
    <n v="0"/>
    <n v="0"/>
    <n v="0"/>
    <n v="0"/>
  </r>
  <r>
    <x v="53"/>
    <x v="53"/>
    <x v="45"/>
    <x v="45"/>
    <n v="2524"/>
    <n v="0"/>
    <n v="0"/>
    <n v="0"/>
    <n v="0"/>
  </r>
  <r>
    <x v="54"/>
    <x v="54"/>
    <x v="45"/>
    <x v="45"/>
    <n v="1425035"/>
    <n v="0"/>
    <n v="0"/>
    <n v="0"/>
    <n v="0"/>
  </r>
  <r>
    <x v="55"/>
    <x v="55"/>
    <x v="45"/>
    <x v="45"/>
    <n v="220223"/>
    <n v="0"/>
    <n v="0"/>
    <n v="0"/>
    <n v="0"/>
  </r>
  <r>
    <x v="56"/>
    <x v="56"/>
    <x v="45"/>
    <x v="45"/>
    <n v="793616"/>
    <n v="0"/>
    <n v="0"/>
    <n v="0"/>
    <n v="0"/>
  </r>
  <r>
    <x v="57"/>
    <x v="57"/>
    <x v="45"/>
    <x v="45"/>
    <n v="906464"/>
    <n v="0"/>
    <n v="0"/>
    <n v="0"/>
    <n v="90426"/>
  </r>
  <r>
    <x v="58"/>
    <x v="58"/>
    <x v="45"/>
    <x v="45"/>
    <n v="24539836"/>
    <n v="0"/>
    <n v="0"/>
    <n v="0"/>
    <n v="3212204"/>
  </r>
  <r>
    <x v="59"/>
    <x v="59"/>
    <x v="45"/>
    <x v="45"/>
    <n v="12984883"/>
    <n v="0"/>
    <n v="0"/>
    <n v="0"/>
    <n v="0"/>
  </r>
  <r>
    <x v="60"/>
    <x v="60"/>
    <x v="45"/>
    <x v="45"/>
    <n v="15125897"/>
    <n v="0"/>
    <n v="0"/>
    <n v="0"/>
    <n v="0"/>
  </r>
  <r>
    <x v="61"/>
    <x v="61"/>
    <x v="45"/>
    <x v="45"/>
    <n v="16099776"/>
    <n v="0"/>
    <n v="0"/>
    <n v="0"/>
    <n v="0"/>
  </r>
  <r>
    <x v="62"/>
    <x v="62"/>
    <x v="45"/>
    <x v="45"/>
    <n v="2513142"/>
    <n v="0"/>
    <n v="0"/>
    <n v="0"/>
    <n v="0"/>
  </r>
  <r>
    <x v="63"/>
    <x v="63"/>
    <x v="45"/>
    <x v="45"/>
    <n v="46723698"/>
    <n v="0"/>
    <n v="0"/>
    <n v="0"/>
    <n v="0"/>
  </r>
  <r>
    <x v="64"/>
    <x v="64"/>
    <x v="45"/>
    <x v="45"/>
    <n v="71263534"/>
    <n v="0"/>
    <n v="0"/>
    <n v="0"/>
    <n v="0"/>
  </r>
  <r>
    <x v="0"/>
    <x v="0"/>
    <x v="46"/>
    <x v="46"/>
    <n v="0"/>
    <n v="0"/>
    <n v="0"/>
    <n v="0"/>
    <n v="0"/>
  </r>
  <r>
    <x v="1"/>
    <x v="1"/>
    <x v="46"/>
    <x v="46"/>
    <n v="0"/>
    <n v="0"/>
    <n v="0"/>
    <n v="0"/>
    <n v="0"/>
  </r>
  <r>
    <x v="2"/>
    <x v="2"/>
    <x v="46"/>
    <x v="46"/>
    <n v="0"/>
    <n v="0"/>
    <n v="0"/>
    <n v="0"/>
    <n v="0"/>
  </r>
  <r>
    <x v="3"/>
    <x v="3"/>
    <x v="46"/>
    <x v="46"/>
    <n v="0"/>
    <n v="0"/>
    <n v="0"/>
    <n v="0"/>
    <n v="0"/>
  </r>
  <r>
    <x v="4"/>
    <x v="4"/>
    <x v="46"/>
    <x v="46"/>
    <n v="0"/>
    <n v="0"/>
    <n v="0"/>
    <n v="0"/>
    <n v="0"/>
  </r>
  <r>
    <x v="5"/>
    <x v="5"/>
    <x v="46"/>
    <x v="46"/>
    <n v="0"/>
    <n v="0"/>
    <n v="0"/>
    <n v="0"/>
    <n v="0"/>
  </r>
  <r>
    <x v="6"/>
    <x v="6"/>
    <x v="46"/>
    <x v="46"/>
    <n v="0"/>
    <n v="0"/>
    <n v="0"/>
    <n v="0"/>
    <n v="0"/>
  </r>
  <r>
    <x v="7"/>
    <x v="7"/>
    <x v="46"/>
    <x v="46"/>
    <n v="33565"/>
    <n v="5660"/>
    <n v="0"/>
    <n v="863"/>
    <n v="3562"/>
  </r>
  <r>
    <x v="8"/>
    <x v="8"/>
    <x v="46"/>
    <x v="46"/>
    <n v="0"/>
    <n v="0"/>
    <n v="0"/>
    <n v="0"/>
    <n v="0"/>
  </r>
  <r>
    <x v="9"/>
    <x v="9"/>
    <x v="46"/>
    <x v="46"/>
    <n v="1147176"/>
    <n v="101475"/>
    <n v="0"/>
    <n v="14178"/>
    <n v="0"/>
  </r>
  <r>
    <x v="10"/>
    <x v="10"/>
    <x v="46"/>
    <x v="46"/>
    <n v="0"/>
    <n v="0"/>
    <n v="0"/>
    <n v="0"/>
    <n v="0"/>
  </r>
  <r>
    <x v="11"/>
    <x v="11"/>
    <x v="46"/>
    <x v="46"/>
    <n v="0"/>
    <n v="0"/>
    <n v="0"/>
    <n v="0"/>
    <n v="0"/>
  </r>
  <r>
    <x v="12"/>
    <x v="12"/>
    <x v="46"/>
    <x v="46"/>
    <n v="0"/>
    <n v="0"/>
    <n v="0"/>
    <n v="0"/>
    <n v="0"/>
  </r>
  <r>
    <x v="13"/>
    <x v="13"/>
    <x v="46"/>
    <x v="46"/>
    <n v="28088563"/>
    <n v="1477861"/>
    <n v="714055"/>
    <n v="3775695"/>
    <n v="240037"/>
  </r>
  <r>
    <x v="14"/>
    <x v="14"/>
    <x v="46"/>
    <x v="46"/>
    <n v="0"/>
    <n v="0"/>
    <n v="0"/>
    <n v="0"/>
    <n v="0"/>
  </r>
  <r>
    <x v="15"/>
    <x v="15"/>
    <x v="46"/>
    <x v="46"/>
    <n v="0"/>
    <n v="0"/>
    <n v="0"/>
    <n v="0"/>
    <n v="0"/>
  </r>
  <r>
    <x v="16"/>
    <x v="16"/>
    <x v="46"/>
    <x v="46"/>
    <n v="0"/>
    <n v="0"/>
    <n v="0"/>
    <n v="0"/>
    <n v="0"/>
  </r>
  <r>
    <x v="17"/>
    <x v="17"/>
    <x v="46"/>
    <x v="46"/>
    <n v="0"/>
    <n v="0"/>
    <n v="0"/>
    <n v="0"/>
    <n v="0"/>
  </r>
  <r>
    <x v="18"/>
    <x v="18"/>
    <x v="46"/>
    <x v="46"/>
    <n v="0"/>
    <n v="0"/>
    <n v="0"/>
    <n v="0"/>
    <n v="0"/>
  </r>
  <r>
    <x v="19"/>
    <x v="19"/>
    <x v="46"/>
    <x v="46"/>
    <n v="0"/>
    <n v="0"/>
    <n v="0"/>
    <n v="0"/>
    <n v="0"/>
  </r>
  <r>
    <x v="20"/>
    <x v="20"/>
    <x v="46"/>
    <x v="46"/>
    <n v="0"/>
    <n v="0"/>
    <n v="0"/>
    <n v="0"/>
    <n v="0"/>
  </r>
  <r>
    <x v="21"/>
    <x v="21"/>
    <x v="46"/>
    <x v="46"/>
    <n v="0"/>
    <n v="0"/>
    <n v="0"/>
    <n v="0"/>
    <n v="0"/>
  </r>
  <r>
    <x v="22"/>
    <x v="22"/>
    <x v="46"/>
    <x v="46"/>
    <n v="27543"/>
    <n v="4126"/>
    <n v="2106"/>
    <n v="460"/>
    <n v="0"/>
  </r>
  <r>
    <x v="23"/>
    <x v="23"/>
    <x v="46"/>
    <x v="46"/>
    <n v="384967"/>
    <n v="17875"/>
    <n v="42377"/>
    <n v="3349"/>
    <n v="182969"/>
  </r>
  <r>
    <x v="24"/>
    <x v="24"/>
    <x v="46"/>
    <x v="46"/>
    <n v="564438"/>
    <n v="16806"/>
    <n v="16226"/>
    <n v="7485"/>
    <n v="286297"/>
  </r>
  <r>
    <x v="25"/>
    <x v="25"/>
    <x v="46"/>
    <x v="46"/>
    <n v="22317"/>
    <n v="791"/>
    <n v="1731"/>
    <n v="200"/>
    <n v="0"/>
  </r>
  <r>
    <x v="26"/>
    <x v="26"/>
    <x v="46"/>
    <x v="46"/>
    <n v="216022"/>
    <n v="15136"/>
    <n v="7193"/>
    <n v="4195"/>
    <n v="138992"/>
  </r>
  <r>
    <x v="27"/>
    <x v="27"/>
    <x v="46"/>
    <x v="46"/>
    <n v="3821"/>
    <n v="261"/>
    <n v="276"/>
    <n v="137"/>
    <n v="0"/>
  </r>
  <r>
    <x v="28"/>
    <x v="28"/>
    <x v="46"/>
    <x v="46"/>
    <n v="17028630"/>
    <n v="1725878"/>
    <n v="2197132"/>
    <n v="133058"/>
    <n v="6579682"/>
  </r>
  <r>
    <x v="29"/>
    <x v="29"/>
    <x v="46"/>
    <x v="46"/>
    <n v="5331439"/>
    <n v="361916"/>
    <n v="347093"/>
    <n v="51717"/>
    <n v="941557"/>
  </r>
  <r>
    <x v="30"/>
    <x v="30"/>
    <x v="46"/>
    <x v="46"/>
    <n v="6273564"/>
    <n v="476912"/>
    <n v="686327"/>
    <n v="158791"/>
    <n v="4375653"/>
  </r>
  <r>
    <x v="31"/>
    <x v="31"/>
    <x v="46"/>
    <x v="46"/>
    <n v="6935494"/>
    <n v="159987"/>
    <n v="274102"/>
    <n v="48785"/>
    <n v="3338938"/>
  </r>
  <r>
    <x v="32"/>
    <x v="32"/>
    <x v="46"/>
    <x v="46"/>
    <n v="94814538"/>
    <n v="5222925"/>
    <n v="4274696"/>
    <n v="1550145"/>
    <n v="0"/>
  </r>
  <r>
    <x v="33"/>
    <x v="33"/>
    <x v="46"/>
    <x v="46"/>
    <n v="83819882"/>
    <n v="5393558"/>
    <n v="4524232"/>
    <n v="1111234"/>
    <n v="26593430"/>
  </r>
  <r>
    <x v="34"/>
    <x v="34"/>
    <x v="46"/>
    <x v="46"/>
    <n v="44575286"/>
    <n v="1845006"/>
    <n v="2105437"/>
    <n v="456892"/>
    <n v="37433329"/>
  </r>
  <r>
    <x v="35"/>
    <x v="35"/>
    <x v="46"/>
    <x v="46"/>
    <n v="4751527"/>
    <n v="113315"/>
    <n v="48559"/>
    <n v="6144"/>
    <n v="3552392"/>
  </r>
  <r>
    <x v="36"/>
    <x v="36"/>
    <x v="46"/>
    <x v="46"/>
    <n v="54231039"/>
    <n v="1657301"/>
    <n v="2770308"/>
    <n v="146054"/>
    <n v="34318122"/>
  </r>
  <r>
    <x v="37"/>
    <x v="37"/>
    <x v="46"/>
    <x v="46"/>
    <n v="2366132"/>
    <n v="161410"/>
    <n v="0"/>
    <n v="37849"/>
    <n v="766942"/>
  </r>
  <r>
    <x v="38"/>
    <x v="38"/>
    <x v="46"/>
    <x v="46"/>
    <n v="44503623"/>
    <n v="2057506"/>
    <n v="2674089"/>
    <n v="191075"/>
    <n v="26746531"/>
  </r>
  <r>
    <x v="39"/>
    <x v="39"/>
    <x v="46"/>
    <x v="46"/>
    <n v="1605610"/>
    <n v="0"/>
    <n v="0"/>
    <n v="0"/>
    <n v="0"/>
  </r>
  <r>
    <x v="40"/>
    <x v="40"/>
    <x v="46"/>
    <x v="46"/>
    <n v="0"/>
    <n v="0"/>
    <n v="0"/>
    <n v="0"/>
    <n v="0"/>
  </r>
  <r>
    <x v="41"/>
    <x v="41"/>
    <x v="46"/>
    <x v="46"/>
    <n v="0"/>
    <n v="0"/>
    <n v="0"/>
    <n v="0"/>
    <n v="0"/>
  </r>
  <r>
    <x v="42"/>
    <x v="42"/>
    <x v="46"/>
    <x v="46"/>
    <n v="11483325"/>
    <n v="1411444"/>
    <n v="1865099"/>
    <n v="108819"/>
    <n v="1186318"/>
  </r>
  <r>
    <x v="43"/>
    <x v="43"/>
    <x v="46"/>
    <x v="46"/>
    <n v="361820"/>
    <n v="40133"/>
    <n v="62897"/>
    <n v="3042"/>
    <n v="91312"/>
  </r>
  <r>
    <x v="44"/>
    <x v="44"/>
    <x v="46"/>
    <x v="46"/>
    <n v="5841657"/>
    <n v="1051"/>
    <n v="1591"/>
    <n v="193"/>
    <n v="0"/>
  </r>
  <r>
    <x v="45"/>
    <x v="45"/>
    <x v="46"/>
    <x v="46"/>
    <n v="281073"/>
    <n v="0"/>
    <n v="0"/>
    <n v="0"/>
    <n v="0"/>
  </r>
  <r>
    <x v="46"/>
    <x v="46"/>
    <x v="46"/>
    <x v="46"/>
    <n v="173721"/>
    <n v="0"/>
    <n v="0"/>
    <n v="0"/>
    <n v="0"/>
  </r>
  <r>
    <x v="47"/>
    <x v="47"/>
    <x v="46"/>
    <x v="46"/>
    <n v="0"/>
    <n v="0"/>
    <n v="0"/>
    <n v="0"/>
    <n v="0"/>
  </r>
  <r>
    <x v="48"/>
    <x v="48"/>
    <x v="46"/>
    <x v="46"/>
    <n v="0"/>
    <n v="-22268333"/>
    <n v="-22615526"/>
    <n v="0"/>
    <n v="0"/>
  </r>
  <r>
    <x v="49"/>
    <x v="49"/>
    <x v="46"/>
    <x v="46"/>
    <n v="1983099"/>
    <n v="0"/>
    <n v="0"/>
    <n v="0"/>
    <n v="0"/>
  </r>
  <r>
    <x v="50"/>
    <x v="50"/>
    <x v="46"/>
    <x v="46"/>
    <n v="16263255"/>
    <n v="0"/>
    <n v="0"/>
    <n v="-7810360"/>
    <n v="0"/>
  </r>
  <r>
    <x v="51"/>
    <x v="51"/>
    <x v="46"/>
    <x v="46"/>
    <n v="313231"/>
    <n v="0"/>
    <n v="0"/>
    <n v="0"/>
    <n v="0"/>
  </r>
  <r>
    <x v="52"/>
    <x v="52"/>
    <x v="46"/>
    <x v="46"/>
    <n v="9952551"/>
    <n v="0"/>
    <n v="0"/>
    <n v="0"/>
    <n v="0"/>
  </r>
  <r>
    <x v="53"/>
    <x v="53"/>
    <x v="46"/>
    <x v="46"/>
    <n v="518289"/>
    <n v="0"/>
    <n v="0"/>
    <n v="0"/>
    <n v="0"/>
  </r>
  <r>
    <x v="54"/>
    <x v="54"/>
    <x v="46"/>
    <x v="46"/>
    <n v="28780189"/>
    <n v="0"/>
    <n v="0"/>
    <n v="0"/>
    <n v="0"/>
  </r>
  <r>
    <x v="55"/>
    <x v="55"/>
    <x v="46"/>
    <x v="46"/>
    <n v="248032"/>
    <n v="0"/>
    <n v="0"/>
    <n v="0"/>
    <n v="0"/>
  </r>
  <r>
    <x v="56"/>
    <x v="56"/>
    <x v="46"/>
    <x v="46"/>
    <n v="509028"/>
    <n v="0"/>
    <n v="0"/>
    <n v="0"/>
    <n v="0"/>
  </r>
  <r>
    <x v="57"/>
    <x v="57"/>
    <x v="46"/>
    <x v="46"/>
    <n v="550130"/>
    <n v="0"/>
    <n v="0"/>
    <n v="0"/>
    <n v="61099"/>
  </r>
  <r>
    <x v="58"/>
    <x v="58"/>
    <x v="46"/>
    <x v="46"/>
    <n v="473984576"/>
    <n v="0"/>
    <n v="0"/>
    <n v="0"/>
    <n v="146837162"/>
  </r>
  <r>
    <x v="59"/>
    <x v="59"/>
    <x v="46"/>
    <x v="46"/>
    <n v="41787909"/>
    <n v="0"/>
    <n v="0"/>
    <n v="0"/>
    <n v="0"/>
  </r>
  <r>
    <x v="60"/>
    <x v="60"/>
    <x v="46"/>
    <x v="46"/>
    <n v="53817134"/>
    <n v="0"/>
    <n v="0"/>
    <n v="0"/>
    <n v="0"/>
  </r>
  <r>
    <x v="61"/>
    <x v="61"/>
    <x v="46"/>
    <x v="46"/>
    <n v="34180226"/>
    <n v="0"/>
    <n v="0"/>
    <n v="0"/>
    <n v="0"/>
  </r>
  <r>
    <x v="62"/>
    <x v="62"/>
    <x v="46"/>
    <x v="46"/>
    <n v="8943455"/>
    <n v="0"/>
    <n v="0"/>
    <n v="0"/>
    <n v="0"/>
  </r>
  <r>
    <x v="63"/>
    <x v="63"/>
    <x v="46"/>
    <x v="46"/>
    <n v="138728724"/>
    <n v="0"/>
    <n v="0"/>
    <n v="0"/>
    <n v="0"/>
  </r>
  <r>
    <x v="64"/>
    <x v="64"/>
    <x v="46"/>
    <x v="46"/>
    <n v="612713300"/>
    <n v="0"/>
    <n v="0"/>
    <n v="0"/>
    <n v="0"/>
  </r>
  <r>
    <x v="0"/>
    <x v="0"/>
    <x v="47"/>
    <x v="47"/>
    <n v="0"/>
    <n v="0"/>
    <n v="0"/>
    <n v="0"/>
    <n v="0"/>
  </r>
  <r>
    <x v="1"/>
    <x v="1"/>
    <x v="47"/>
    <x v="47"/>
    <n v="0"/>
    <n v="0"/>
    <n v="0"/>
    <n v="0"/>
    <n v="0"/>
  </r>
  <r>
    <x v="2"/>
    <x v="2"/>
    <x v="47"/>
    <x v="47"/>
    <n v="0"/>
    <n v="0"/>
    <n v="0"/>
    <n v="0"/>
    <n v="0"/>
  </r>
  <r>
    <x v="3"/>
    <x v="3"/>
    <x v="47"/>
    <x v="47"/>
    <n v="0"/>
    <n v="0"/>
    <n v="0"/>
    <n v="0"/>
    <n v="0"/>
  </r>
  <r>
    <x v="4"/>
    <x v="4"/>
    <x v="47"/>
    <x v="47"/>
    <n v="0"/>
    <n v="0"/>
    <n v="0"/>
    <n v="0"/>
    <n v="0"/>
  </r>
  <r>
    <x v="5"/>
    <x v="5"/>
    <x v="47"/>
    <x v="47"/>
    <n v="0"/>
    <n v="0"/>
    <n v="0"/>
    <n v="0"/>
    <n v="0"/>
  </r>
  <r>
    <x v="6"/>
    <x v="6"/>
    <x v="47"/>
    <x v="47"/>
    <n v="0"/>
    <n v="0"/>
    <n v="0"/>
    <n v="0"/>
    <n v="0"/>
  </r>
  <r>
    <x v="7"/>
    <x v="7"/>
    <x v="47"/>
    <x v="47"/>
    <n v="1353797"/>
    <n v="345011"/>
    <n v="0"/>
    <n v="40896"/>
    <n v="188287"/>
  </r>
  <r>
    <x v="8"/>
    <x v="8"/>
    <x v="47"/>
    <x v="47"/>
    <n v="0"/>
    <n v="0"/>
    <n v="0"/>
    <n v="0"/>
    <n v="0"/>
  </r>
  <r>
    <x v="9"/>
    <x v="9"/>
    <x v="47"/>
    <x v="47"/>
    <n v="359353"/>
    <n v="35588"/>
    <n v="0"/>
    <n v="6917"/>
    <n v="0"/>
  </r>
  <r>
    <x v="10"/>
    <x v="10"/>
    <x v="47"/>
    <x v="47"/>
    <n v="0"/>
    <n v="0"/>
    <n v="0"/>
    <n v="0"/>
    <n v="0"/>
  </r>
  <r>
    <x v="11"/>
    <x v="11"/>
    <x v="47"/>
    <x v="47"/>
    <n v="0"/>
    <n v="0"/>
    <n v="0"/>
    <n v="0"/>
    <n v="0"/>
  </r>
  <r>
    <x v="12"/>
    <x v="12"/>
    <x v="47"/>
    <x v="47"/>
    <n v="0"/>
    <n v="0"/>
    <n v="0"/>
    <n v="0"/>
    <n v="0"/>
  </r>
  <r>
    <x v="13"/>
    <x v="13"/>
    <x v="47"/>
    <x v="47"/>
    <n v="68865876"/>
    <n v="3477172"/>
    <n v="762779"/>
    <n v="11495611"/>
    <n v="1004333"/>
  </r>
  <r>
    <x v="14"/>
    <x v="14"/>
    <x v="47"/>
    <x v="47"/>
    <n v="0"/>
    <n v="0"/>
    <n v="0"/>
    <n v="0"/>
    <n v="0"/>
  </r>
  <r>
    <x v="15"/>
    <x v="15"/>
    <x v="47"/>
    <x v="47"/>
    <n v="0"/>
    <n v="0"/>
    <n v="0"/>
    <n v="0"/>
    <n v="0"/>
  </r>
  <r>
    <x v="16"/>
    <x v="16"/>
    <x v="47"/>
    <x v="47"/>
    <n v="0"/>
    <n v="0"/>
    <n v="0"/>
    <n v="0"/>
    <n v="0"/>
  </r>
  <r>
    <x v="17"/>
    <x v="17"/>
    <x v="47"/>
    <x v="47"/>
    <n v="0"/>
    <n v="0"/>
    <n v="0"/>
    <n v="0"/>
    <n v="0"/>
  </r>
  <r>
    <x v="18"/>
    <x v="18"/>
    <x v="47"/>
    <x v="47"/>
    <n v="0"/>
    <n v="0"/>
    <n v="0"/>
    <n v="0"/>
    <n v="0"/>
  </r>
  <r>
    <x v="19"/>
    <x v="19"/>
    <x v="47"/>
    <x v="47"/>
    <n v="0"/>
    <n v="0"/>
    <n v="0"/>
    <n v="0"/>
    <n v="0"/>
  </r>
  <r>
    <x v="20"/>
    <x v="20"/>
    <x v="47"/>
    <x v="47"/>
    <n v="0"/>
    <n v="0"/>
    <n v="0"/>
    <n v="0"/>
    <n v="0"/>
  </r>
  <r>
    <x v="21"/>
    <x v="21"/>
    <x v="47"/>
    <x v="47"/>
    <n v="0"/>
    <n v="0"/>
    <n v="0"/>
    <n v="0"/>
    <n v="0"/>
  </r>
  <r>
    <x v="22"/>
    <x v="22"/>
    <x v="47"/>
    <x v="47"/>
    <n v="0"/>
    <n v="0"/>
    <n v="0"/>
    <n v="0"/>
    <n v="0"/>
  </r>
  <r>
    <x v="23"/>
    <x v="23"/>
    <x v="47"/>
    <x v="47"/>
    <n v="0"/>
    <n v="0"/>
    <n v="0"/>
    <n v="0"/>
    <n v="0"/>
  </r>
  <r>
    <x v="24"/>
    <x v="24"/>
    <x v="47"/>
    <x v="47"/>
    <n v="211685"/>
    <n v="9570"/>
    <n v="5830"/>
    <n v="1791"/>
    <n v="0"/>
  </r>
  <r>
    <x v="25"/>
    <x v="25"/>
    <x v="47"/>
    <x v="47"/>
    <n v="78877"/>
    <n v="4622"/>
    <n v="9991"/>
    <n v="806"/>
    <n v="0"/>
  </r>
  <r>
    <x v="26"/>
    <x v="26"/>
    <x v="47"/>
    <x v="47"/>
    <n v="1008551"/>
    <n v="83421"/>
    <n v="35115"/>
    <n v="19406"/>
    <n v="547786"/>
  </r>
  <r>
    <x v="27"/>
    <x v="27"/>
    <x v="47"/>
    <x v="47"/>
    <n v="412199"/>
    <n v="51383"/>
    <n v="65203"/>
    <n v="16647"/>
    <n v="0"/>
  </r>
  <r>
    <x v="28"/>
    <x v="28"/>
    <x v="47"/>
    <x v="47"/>
    <n v="4049439"/>
    <n v="674897"/>
    <n v="497497"/>
    <n v="45477"/>
    <n v="64437"/>
  </r>
  <r>
    <x v="29"/>
    <x v="29"/>
    <x v="47"/>
    <x v="47"/>
    <n v="28920433"/>
    <n v="3338079"/>
    <n v="3410188"/>
    <n v="398522"/>
    <n v="3946634"/>
  </r>
  <r>
    <x v="30"/>
    <x v="30"/>
    <x v="47"/>
    <x v="47"/>
    <n v="30603"/>
    <n v="2777"/>
    <n v="2923"/>
    <n v="887"/>
    <n v="0"/>
  </r>
  <r>
    <x v="31"/>
    <x v="31"/>
    <x v="47"/>
    <x v="47"/>
    <n v="1505056"/>
    <n v="92104"/>
    <n v="103879"/>
    <n v="11894"/>
    <n v="384657"/>
  </r>
  <r>
    <x v="32"/>
    <x v="32"/>
    <x v="47"/>
    <x v="47"/>
    <n v="114196130"/>
    <n v="6709513"/>
    <n v="5806566"/>
    <n v="1713353"/>
    <n v="2043760"/>
  </r>
  <r>
    <x v="33"/>
    <x v="33"/>
    <x v="47"/>
    <x v="47"/>
    <n v="11059261"/>
    <n v="474135"/>
    <n v="536409"/>
    <n v="125993"/>
    <n v="3307367"/>
  </r>
  <r>
    <x v="34"/>
    <x v="34"/>
    <x v="47"/>
    <x v="47"/>
    <n v="66756222"/>
    <n v="5133953"/>
    <n v="2848795"/>
    <n v="717550"/>
    <n v="52759473"/>
  </r>
  <r>
    <x v="35"/>
    <x v="35"/>
    <x v="47"/>
    <x v="47"/>
    <n v="10930074"/>
    <n v="554378"/>
    <n v="238088"/>
    <n v="16319"/>
    <n v="7342050"/>
  </r>
  <r>
    <x v="36"/>
    <x v="36"/>
    <x v="47"/>
    <x v="47"/>
    <n v="22975086"/>
    <n v="376375"/>
    <n v="710715"/>
    <n v="60501"/>
    <n v="17547174"/>
  </r>
  <r>
    <x v="37"/>
    <x v="37"/>
    <x v="47"/>
    <x v="47"/>
    <n v="6585453"/>
    <n v="279305"/>
    <n v="0"/>
    <n v="70950"/>
    <n v="3183482"/>
  </r>
  <r>
    <x v="38"/>
    <x v="38"/>
    <x v="47"/>
    <x v="47"/>
    <n v="43917782"/>
    <n v="2620071"/>
    <n v="2526457"/>
    <n v="213310"/>
    <n v="22900874"/>
  </r>
  <r>
    <x v="39"/>
    <x v="39"/>
    <x v="47"/>
    <x v="47"/>
    <n v="3061678"/>
    <n v="0"/>
    <n v="0"/>
    <n v="0"/>
    <n v="0"/>
  </r>
  <r>
    <x v="40"/>
    <x v="40"/>
    <x v="47"/>
    <x v="47"/>
    <n v="0"/>
    <n v="0"/>
    <n v="0"/>
    <n v="0"/>
    <n v="0"/>
  </r>
  <r>
    <x v="41"/>
    <x v="41"/>
    <x v="47"/>
    <x v="47"/>
    <n v="0"/>
    <n v="0"/>
    <n v="0"/>
    <n v="0"/>
    <n v="0"/>
  </r>
  <r>
    <x v="42"/>
    <x v="42"/>
    <x v="47"/>
    <x v="47"/>
    <n v="5979014"/>
    <n v="1061553"/>
    <n v="1065335"/>
    <n v="60461"/>
    <n v="0"/>
  </r>
  <r>
    <x v="43"/>
    <x v="43"/>
    <x v="47"/>
    <x v="47"/>
    <n v="1608341"/>
    <n v="160411"/>
    <n v="194824"/>
    <n v="19464"/>
    <n v="21508"/>
  </r>
  <r>
    <x v="44"/>
    <x v="44"/>
    <x v="47"/>
    <x v="47"/>
    <n v="953730"/>
    <n v="902"/>
    <n v="1414"/>
    <n v="168"/>
    <n v="0"/>
  </r>
  <r>
    <x v="45"/>
    <x v="45"/>
    <x v="47"/>
    <x v="47"/>
    <n v="59024"/>
    <n v="0"/>
    <n v="0"/>
    <n v="0"/>
    <n v="0"/>
  </r>
  <r>
    <x v="46"/>
    <x v="46"/>
    <x v="47"/>
    <x v="47"/>
    <n v="234655"/>
    <n v="0"/>
    <n v="0"/>
    <n v="0"/>
    <n v="0"/>
  </r>
  <r>
    <x v="47"/>
    <x v="47"/>
    <x v="47"/>
    <x v="47"/>
    <n v="0"/>
    <n v="0"/>
    <n v="0"/>
    <n v="0"/>
    <n v="0"/>
  </r>
  <r>
    <x v="48"/>
    <x v="48"/>
    <x v="47"/>
    <x v="47"/>
    <n v="0"/>
    <n v="-25485220"/>
    <n v="-18822008"/>
    <n v="0"/>
    <n v="0"/>
  </r>
  <r>
    <x v="49"/>
    <x v="49"/>
    <x v="47"/>
    <x v="47"/>
    <n v="2020220"/>
    <n v="0"/>
    <n v="0"/>
    <n v="0"/>
    <n v="0"/>
  </r>
  <r>
    <x v="50"/>
    <x v="50"/>
    <x v="47"/>
    <x v="47"/>
    <n v="31982932"/>
    <n v="0"/>
    <n v="0"/>
    <n v="-15036923"/>
    <n v="0"/>
  </r>
  <r>
    <x v="51"/>
    <x v="51"/>
    <x v="47"/>
    <x v="47"/>
    <n v="341899"/>
    <n v="0"/>
    <n v="0"/>
    <n v="0"/>
    <n v="0"/>
  </r>
  <r>
    <x v="52"/>
    <x v="52"/>
    <x v="47"/>
    <x v="47"/>
    <n v="12583890"/>
    <n v="0"/>
    <n v="0"/>
    <n v="0"/>
    <n v="0"/>
  </r>
  <r>
    <x v="53"/>
    <x v="53"/>
    <x v="47"/>
    <x v="47"/>
    <n v="262562"/>
    <n v="0"/>
    <n v="0"/>
    <n v="0"/>
    <n v="0"/>
  </r>
  <r>
    <x v="54"/>
    <x v="54"/>
    <x v="47"/>
    <x v="47"/>
    <n v="26881004"/>
    <n v="0"/>
    <n v="0"/>
    <n v="0"/>
    <n v="0"/>
  </r>
  <r>
    <x v="55"/>
    <x v="55"/>
    <x v="47"/>
    <x v="47"/>
    <n v="99671"/>
    <n v="0"/>
    <n v="0"/>
    <n v="0"/>
    <n v="0"/>
  </r>
  <r>
    <x v="56"/>
    <x v="56"/>
    <x v="47"/>
    <x v="47"/>
    <n v="246268"/>
    <n v="0"/>
    <n v="0"/>
    <n v="0"/>
    <n v="0"/>
  </r>
  <r>
    <x v="57"/>
    <x v="57"/>
    <x v="47"/>
    <x v="47"/>
    <n v="1740717"/>
    <n v="0"/>
    <n v="0"/>
    <n v="0"/>
    <n v="176672"/>
  </r>
  <r>
    <x v="58"/>
    <x v="58"/>
    <x v="47"/>
    <x v="47"/>
    <n v="471271482"/>
    <n v="0"/>
    <n v="0"/>
    <n v="0"/>
    <n v="115418494"/>
  </r>
  <r>
    <x v="59"/>
    <x v="59"/>
    <x v="47"/>
    <x v="47"/>
    <n v="92574143"/>
    <n v="0"/>
    <n v="0"/>
    <n v="0"/>
    <n v="0"/>
  </r>
  <r>
    <x v="60"/>
    <x v="60"/>
    <x v="47"/>
    <x v="47"/>
    <n v="117461623"/>
    <n v="0"/>
    <n v="0"/>
    <n v="0"/>
    <n v="0"/>
  </r>
  <r>
    <x v="61"/>
    <x v="61"/>
    <x v="47"/>
    <x v="47"/>
    <n v="65629867"/>
    <n v="0"/>
    <n v="0"/>
    <n v="0"/>
    <n v="0"/>
  </r>
  <r>
    <x v="62"/>
    <x v="62"/>
    <x v="47"/>
    <x v="47"/>
    <n v="11176160"/>
    <n v="0"/>
    <n v="0"/>
    <n v="0"/>
    <n v="0"/>
  </r>
  <r>
    <x v="63"/>
    <x v="63"/>
    <x v="47"/>
    <x v="47"/>
    <n v="286841793"/>
    <n v="0"/>
    <n v="0"/>
    <n v="0"/>
    <n v="0"/>
  </r>
  <r>
    <x v="64"/>
    <x v="64"/>
    <x v="47"/>
    <x v="47"/>
    <n v="758113275"/>
    <n v="0"/>
    <n v="0"/>
    <n v="0"/>
    <n v="0"/>
  </r>
  <r>
    <x v="0"/>
    <x v="0"/>
    <x v="48"/>
    <x v="48"/>
    <n v="0"/>
    <n v="0"/>
    <n v="0"/>
    <n v="0"/>
    <n v="0"/>
  </r>
  <r>
    <x v="1"/>
    <x v="1"/>
    <x v="48"/>
    <x v="48"/>
    <n v="0"/>
    <n v="0"/>
    <n v="0"/>
    <n v="0"/>
    <n v="0"/>
  </r>
  <r>
    <x v="2"/>
    <x v="2"/>
    <x v="48"/>
    <x v="48"/>
    <n v="0"/>
    <n v="0"/>
    <n v="0"/>
    <n v="0"/>
    <n v="0"/>
  </r>
  <r>
    <x v="3"/>
    <x v="3"/>
    <x v="48"/>
    <x v="48"/>
    <n v="0"/>
    <n v="0"/>
    <n v="0"/>
    <n v="0"/>
    <n v="0"/>
  </r>
  <r>
    <x v="4"/>
    <x v="4"/>
    <x v="48"/>
    <x v="48"/>
    <n v="0"/>
    <n v="0"/>
    <n v="0"/>
    <n v="0"/>
    <n v="0"/>
  </r>
  <r>
    <x v="5"/>
    <x v="5"/>
    <x v="48"/>
    <x v="48"/>
    <n v="0"/>
    <n v="0"/>
    <n v="0"/>
    <n v="0"/>
    <n v="0"/>
  </r>
  <r>
    <x v="6"/>
    <x v="6"/>
    <x v="48"/>
    <x v="48"/>
    <n v="0"/>
    <n v="0"/>
    <n v="0"/>
    <n v="0"/>
    <n v="0"/>
  </r>
  <r>
    <x v="7"/>
    <x v="7"/>
    <x v="48"/>
    <x v="48"/>
    <n v="0"/>
    <n v="0"/>
    <n v="0"/>
    <n v="0"/>
    <n v="0"/>
  </r>
  <r>
    <x v="8"/>
    <x v="8"/>
    <x v="48"/>
    <x v="48"/>
    <n v="0"/>
    <n v="0"/>
    <n v="0"/>
    <n v="0"/>
    <n v="0"/>
  </r>
  <r>
    <x v="9"/>
    <x v="9"/>
    <x v="48"/>
    <x v="48"/>
    <n v="0"/>
    <n v="0"/>
    <n v="0"/>
    <n v="0"/>
    <n v="0"/>
  </r>
  <r>
    <x v="10"/>
    <x v="10"/>
    <x v="48"/>
    <x v="48"/>
    <n v="0"/>
    <n v="0"/>
    <n v="0"/>
    <n v="0"/>
    <n v="0"/>
  </r>
  <r>
    <x v="11"/>
    <x v="11"/>
    <x v="48"/>
    <x v="48"/>
    <n v="0"/>
    <n v="0"/>
    <n v="0"/>
    <n v="0"/>
    <n v="0"/>
  </r>
  <r>
    <x v="12"/>
    <x v="12"/>
    <x v="48"/>
    <x v="48"/>
    <n v="0"/>
    <n v="0"/>
    <n v="0"/>
    <n v="0"/>
    <n v="0"/>
  </r>
  <r>
    <x v="13"/>
    <x v="13"/>
    <x v="48"/>
    <x v="48"/>
    <n v="0"/>
    <n v="0"/>
    <n v="0"/>
    <n v="0"/>
    <n v="0"/>
  </r>
  <r>
    <x v="14"/>
    <x v="14"/>
    <x v="48"/>
    <x v="48"/>
    <n v="0"/>
    <n v="0"/>
    <n v="0"/>
    <n v="0"/>
    <n v="0"/>
  </r>
  <r>
    <x v="15"/>
    <x v="15"/>
    <x v="48"/>
    <x v="48"/>
    <n v="0"/>
    <n v="0"/>
    <n v="0"/>
    <n v="0"/>
    <n v="0"/>
  </r>
  <r>
    <x v="16"/>
    <x v="16"/>
    <x v="48"/>
    <x v="48"/>
    <n v="0"/>
    <n v="0"/>
    <n v="0"/>
    <n v="0"/>
    <n v="0"/>
  </r>
  <r>
    <x v="17"/>
    <x v="17"/>
    <x v="48"/>
    <x v="48"/>
    <n v="0"/>
    <n v="0"/>
    <n v="0"/>
    <n v="0"/>
    <n v="0"/>
  </r>
  <r>
    <x v="18"/>
    <x v="18"/>
    <x v="48"/>
    <x v="48"/>
    <n v="1393036"/>
    <n v="124686"/>
    <n v="97142"/>
    <n v="31688"/>
    <n v="0"/>
  </r>
  <r>
    <x v="19"/>
    <x v="19"/>
    <x v="48"/>
    <x v="48"/>
    <n v="0"/>
    <n v="0"/>
    <n v="0"/>
    <n v="0"/>
    <n v="0"/>
  </r>
  <r>
    <x v="20"/>
    <x v="20"/>
    <x v="48"/>
    <x v="48"/>
    <n v="1130237"/>
    <n v="94481"/>
    <n v="228433"/>
    <n v="29631"/>
    <n v="0"/>
  </r>
  <r>
    <x v="21"/>
    <x v="21"/>
    <x v="48"/>
    <x v="48"/>
    <n v="0"/>
    <n v="0"/>
    <n v="0"/>
    <n v="0"/>
    <n v="0"/>
  </r>
  <r>
    <x v="22"/>
    <x v="22"/>
    <x v="48"/>
    <x v="48"/>
    <n v="655087"/>
    <n v="5267"/>
    <n v="20258"/>
    <n v="1656"/>
    <n v="0"/>
  </r>
  <r>
    <x v="23"/>
    <x v="23"/>
    <x v="48"/>
    <x v="48"/>
    <n v="6684650"/>
    <n v="350028"/>
    <n v="542755"/>
    <n v="34410"/>
    <n v="0"/>
  </r>
  <r>
    <x v="24"/>
    <x v="24"/>
    <x v="48"/>
    <x v="48"/>
    <n v="13316692"/>
    <n v="903795"/>
    <n v="735992"/>
    <n v="143393"/>
    <n v="898951"/>
  </r>
  <r>
    <x v="25"/>
    <x v="25"/>
    <x v="48"/>
    <x v="48"/>
    <n v="8912283"/>
    <n v="259923"/>
    <n v="468552"/>
    <n v="68407"/>
    <n v="5133258"/>
  </r>
  <r>
    <x v="26"/>
    <x v="26"/>
    <x v="48"/>
    <x v="48"/>
    <n v="0"/>
    <n v="0"/>
    <n v="0"/>
    <n v="0"/>
    <n v="0"/>
  </r>
  <r>
    <x v="27"/>
    <x v="27"/>
    <x v="48"/>
    <x v="48"/>
    <n v="0"/>
    <n v="0"/>
    <n v="0"/>
    <n v="0"/>
    <n v="0"/>
  </r>
  <r>
    <x v="28"/>
    <x v="28"/>
    <x v="48"/>
    <x v="48"/>
    <n v="3486367"/>
    <n v="298194"/>
    <n v="304700"/>
    <n v="52863"/>
    <n v="1130876"/>
  </r>
  <r>
    <x v="29"/>
    <x v="29"/>
    <x v="48"/>
    <x v="48"/>
    <n v="31081527"/>
    <n v="1622266"/>
    <n v="1626453"/>
    <n v="286606"/>
    <n v="5974930"/>
  </r>
  <r>
    <x v="30"/>
    <x v="30"/>
    <x v="48"/>
    <x v="48"/>
    <n v="409057"/>
    <n v="28238"/>
    <n v="50067"/>
    <n v="9792"/>
    <n v="0"/>
  </r>
  <r>
    <x v="31"/>
    <x v="31"/>
    <x v="48"/>
    <x v="48"/>
    <n v="55468079"/>
    <n v="1714285"/>
    <n v="2415603"/>
    <n v="390126"/>
    <n v="18798883"/>
  </r>
  <r>
    <x v="32"/>
    <x v="32"/>
    <x v="48"/>
    <x v="48"/>
    <n v="0"/>
    <n v="0"/>
    <n v="0"/>
    <n v="0"/>
    <n v="0"/>
  </r>
  <r>
    <x v="33"/>
    <x v="33"/>
    <x v="48"/>
    <x v="48"/>
    <n v="931176"/>
    <n v="72998"/>
    <n v="71030"/>
    <n v="9736"/>
    <n v="0"/>
  </r>
  <r>
    <x v="34"/>
    <x v="34"/>
    <x v="48"/>
    <x v="48"/>
    <n v="95538"/>
    <n v="4186"/>
    <n v="11073"/>
    <n v="1332"/>
    <n v="26075"/>
  </r>
  <r>
    <x v="35"/>
    <x v="35"/>
    <x v="48"/>
    <x v="48"/>
    <n v="0"/>
    <n v="0"/>
    <n v="0"/>
    <n v="0"/>
    <n v="0"/>
  </r>
  <r>
    <x v="36"/>
    <x v="36"/>
    <x v="48"/>
    <x v="48"/>
    <n v="1146899"/>
    <n v="26280"/>
    <n v="55624"/>
    <n v="4685"/>
    <n v="622180"/>
  </r>
  <r>
    <x v="37"/>
    <x v="37"/>
    <x v="48"/>
    <x v="48"/>
    <n v="17715"/>
    <n v="1418"/>
    <n v="0"/>
    <n v="201"/>
    <n v="0"/>
  </r>
  <r>
    <x v="38"/>
    <x v="38"/>
    <x v="48"/>
    <x v="48"/>
    <n v="11783869"/>
    <n v="383753"/>
    <n v="754761"/>
    <n v="88847"/>
    <n v="2107967"/>
  </r>
  <r>
    <x v="39"/>
    <x v="39"/>
    <x v="48"/>
    <x v="48"/>
    <n v="20799109"/>
    <n v="99838"/>
    <n v="216156"/>
    <n v="12981"/>
    <n v="0"/>
  </r>
  <r>
    <x v="40"/>
    <x v="40"/>
    <x v="48"/>
    <x v="48"/>
    <n v="0"/>
    <n v="0"/>
    <n v="0"/>
    <n v="0"/>
    <n v="0"/>
  </r>
  <r>
    <x v="41"/>
    <x v="41"/>
    <x v="48"/>
    <x v="48"/>
    <n v="1367232"/>
    <n v="40088"/>
    <n v="102605"/>
    <n v="8266"/>
    <n v="0"/>
  </r>
  <r>
    <x v="42"/>
    <x v="42"/>
    <x v="48"/>
    <x v="48"/>
    <n v="4225478"/>
    <n v="540054"/>
    <n v="535930"/>
    <n v="37039"/>
    <n v="0"/>
  </r>
  <r>
    <x v="43"/>
    <x v="43"/>
    <x v="48"/>
    <x v="48"/>
    <n v="3307461"/>
    <n v="269291"/>
    <n v="398677"/>
    <n v="35508"/>
    <n v="10614"/>
  </r>
  <r>
    <x v="44"/>
    <x v="44"/>
    <x v="48"/>
    <x v="48"/>
    <n v="65534715"/>
    <n v="3849"/>
    <n v="6610"/>
    <n v="710"/>
    <n v="0"/>
  </r>
  <r>
    <x v="45"/>
    <x v="45"/>
    <x v="48"/>
    <x v="48"/>
    <n v="2663435"/>
    <n v="0"/>
    <n v="0"/>
    <n v="0"/>
    <n v="0"/>
  </r>
  <r>
    <x v="46"/>
    <x v="46"/>
    <x v="48"/>
    <x v="48"/>
    <n v="3434818"/>
    <n v="0"/>
    <n v="0"/>
    <n v="0"/>
    <n v="0"/>
  </r>
  <r>
    <x v="47"/>
    <x v="47"/>
    <x v="48"/>
    <x v="48"/>
    <n v="0"/>
    <n v="0"/>
    <n v="0"/>
    <n v="0"/>
    <n v="0"/>
  </r>
  <r>
    <x v="48"/>
    <x v="48"/>
    <x v="48"/>
    <x v="48"/>
    <n v="0"/>
    <n v="-6842918"/>
    <n v="-8642421"/>
    <n v="0"/>
    <n v="0"/>
  </r>
  <r>
    <x v="49"/>
    <x v="49"/>
    <x v="48"/>
    <x v="48"/>
    <n v="22961164"/>
    <n v="0"/>
    <n v="0"/>
    <n v="0"/>
    <n v="0"/>
  </r>
  <r>
    <x v="50"/>
    <x v="50"/>
    <x v="48"/>
    <x v="48"/>
    <n v="148059984"/>
    <n v="0"/>
    <n v="0"/>
    <n v="-1247877"/>
    <n v="0"/>
  </r>
  <r>
    <x v="51"/>
    <x v="51"/>
    <x v="48"/>
    <x v="48"/>
    <n v="76910974"/>
    <n v="0"/>
    <n v="0"/>
    <n v="0"/>
    <n v="0"/>
  </r>
  <r>
    <x v="52"/>
    <x v="52"/>
    <x v="48"/>
    <x v="48"/>
    <n v="211980182"/>
    <n v="0"/>
    <n v="0"/>
    <n v="0"/>
    <n v="9871750"/>
  </r>
  <r>
    <x v="53"/>
    <x v="53"/>
    <x v="48"/>
    <x v="48"/>
    <n v="25534483"/>
    <n v="0"/>
    <n v="0"/>
    <n v="0"/>
    <n v="0"/>
  </r>
  <r>
    <x v="54"/>
    <x v="54"/>
    <x v="48"/>
    <x v="48"/>
    <n v="121751930"/>
    <n v="0"/>
    <n v="0"/>
    <n v="0"/>
    <n v="30041740"/>
  </r>
  <r>
    <x v="55"/>
    <x v="55"/>
    <x v="48"/>
    <x v="48"/>
    <n v="1628316"/>
    <n v="0"/>
    <n v="0"/>
    <n v="0"/>
    <n v="0"/>
  </r>
  <r>
    <x v="56"/>
    <x v="56"/>
    <x v="48"/>
    <x v="48"/>
    <n v="10431087"/>
    <n v="0"/>
    <n v="0"/>
    <n v="0"/>
    <n v="0"/>
  </r>
  <r>
    <x v="57"/>
    <x v="57"/>
    <x v="48"/>
    <x v="48"/>
    <n v="28160918"/>
    <n v="0"/>
    <n v="0"/>
    <n v="0"/>
    <n v="2325542"/>
  </r>
  <r>
    <x v="58"/>
    <x v="58"/>
    <x v="48"/>
    <x v="48"/>
    <n v="885263498"/>
    <n v="0"/>
    <n v="0"/>
    <n v="0"/>
    <n v="76942766"/>
  </r>
  <r>
    <x v="59"/>
    <x v="59"/>
    <x v="48"/>
    <x v="48"/>
    <n v="647824586"/>
    <n v="0"/>
    <n v="0"/>
    <n v="0"/>
    <n v="0"/>
  </r>
  <r>
    <x v="60"/>
    <x v="60"/>
    <x v="48"/>
    <x v="48"/>
    <n v="1316903123"/>
    <n v="0"/>
    <n v="0"/>
    <n v="0"/>
    <n v="0"/>
  </r>
  <r>
    <x v="61"/>
    <x v="61"/>
    <x v="48"/>
    <x v="48"/>
    <n v="351052090"/>
    <n v="0"/>
    <n v="0"/>
    <n v="0"/>
    <n v="0"/>
  </r>
  <r>
    <x v="62"/>
    <x v="62"/>
    <x v="48"/>
    <x v="48"/>
    <n v="85282953"/>
    <n v="0"/>
    <n v="0"/>
    <n v="0"/>
    <n v="0"/>
  </r>
  <r>
    <x v="63"/>
    <x v="63"/>
    <x v="48"/>
    <x v="48"/>
    <n v="2401062752"/>
    <n v="0"/>
    <n v="0"/>
    <n v="0"/>
    <n v="0"/>
  </r>
  <r>
    <x v="64"/>
    <x v="64"/>
    <x v="48"/>
    <x v="48"/>
    <n v="3286326250"/>
    <n v="0"/>
    <n v="0"/>
    <n v="0"/>
    <n v="0"/>
  </r>
  <r>
    <x v="0"/>
    <x v="0"/>
    <x v="49"/>
    <x v="49"/>
    <n v="0"/>
    <n v="0"/>
    <n v="0"/>
    <n v="0"/>
    <n v="0"/>
  </r>
  <r>
    <x v="1"/>
    <x v="1"/>
    <x v="49"/>
    <x v="49"/>
    <n v="619506"/>
    <n v="40235"/>
    <n v="42656"/>
    <n v="4966"/>
    <n v="0"/>
  </r>
  <r>
    <x v="2"/>
    <x v="2"/>
    <x v="49"/>
    <x v="49"/>
    <n v="596998"/>
    <n v="4735"/>
    <n v="7287"/>
    <n v="3833"/>
    <n v="0"/>
  </r>
  <r>
    <x v="3"/>
    <x v="3"/>
    <x v="49"/>
    <x v="49"/>
    <n v="7520510"/>
    <n v="162568"/>
    <n v="192969"/>
    <n v="13893"/>
    <n v="7044839"/>
  </r>
  <r>
    <x v="4"/>
    <x v="4"/>
    <x v="49"/>
    <x v="49"/>
    <n v="105084676"/>
    <n v="7563482"/>
    <n v="12822281"/>
    <n v="1619582"/>
    <n v="6728266"/>
  </r>
  <r>
    <x v="5"/>
    <x v="5"/>
    <x v="49"/>
    <x v="49"/>
    <n v="0"/>
    <n v="0"/>
    <n v="0"/>
    <n v="0"/>
    <n v="0"/>
  </r>
  <r>
    <x v="6"/>
    <x v="6"/>
    <x v="49"/>
    <x v="49"/>
    <n v="0"/>
    <n v="0"/>
    <n v="0"/>
    <n v="0"/>
    <n v="0"/>
  </r>
  <r>
    <x v="7"/>
    <x v="7"/>
    <x v="49"/>
    <x v="49"/>
    <n v="2046837"/>
    <n v="207297"/>
    <n v="147832"/>
    <n v="23875"/>
    <n v="757003"/>
  </r>
  <r>
    <x v="8"/>
    <x v="8"/>
    <x v="49"/>
    <x v="49"/>
    <n v="7016546"/>
    <n v="147143"/>
    <n v="375184"/>
    <n v="51379"/>
    <n v="0"/>
  </r>
  <r>
    <x v="9"/>
    <x v="9"/>
    <x v="49"/>
    <x v="49"/>
    <n v="1066145"/>
    <n v="97825"/>
    <n v="104954"/>
    <n v="20242"/>
    <n v="398125"/>
  </r>
  <r>
    <x v="10"/>
    <x v="10"/>
    <x v="49"/>
    <x v="49"/>
    <n v="53290815"/>
    <n v="6585920"/>
    <n v="5751289"/>
    <n v="964744"/>
    <n v="1526175"/>
  </r>
  <r>
    <x v="11"/>
    <x v="11"/>
    <x v="49"/>
    <x v="49"/>
    <n v="0"/>
    <n v="0"/>
    <n v="0"/>
    <n v="0"/>
    <n v="0"/>
  </r>
  <r>
    <x v="12"/>
    <x v="12"/>
    <x v="49"/>
    <x v="49"/>
    <n v="0"/>
    <n v="0"/>
    <n v="0"/>
    <n v="0"/>
    <n v="0"/>
  </r>
  <r>
    <x v="13"/>
    <x v="13"/>
    <x v="49"/>
    <x v="49"/>
    <n v="0"/>
    <n v="0"/>
    <n v="0"/>
    <n v="0"/>
    <n v="0"/>
  </r>
  <r>
    <x v="14"/>
    <x v="14"/>
    <x v="49"/>
    <x v="49"/>
    <n v="133562274"/>
    <n v="3605387"/>
    <n v="5526355"/>
    <n v="378760"/>
    <n v="139893"/>
  </r>
  <r>
    <x v="15"/>
    <x v="15"/>
    <x v="49"/>
    <x v="49"/>
    <n v="86056422"/>
    <n v="2197213"/>
    <n v="3955620"/>
    <n v="676727"/>
    <n v="47936693"/>
  </r>
  <r>
    <x v="16"/>
    <x v="16"/>
    <x v="49"/>
    <x v="49"/>
    <n v="42963246"/>
    <n v="800198"/>
    <n v="2025934"/>
    <n v="701958"/>
    <n v="3402518"/>
  </r>
  <r>
    <x v="17"/>
    <x v="17"/>
    <x v="49"/>
    <x v="49"/>
    <n v="7812133"/>
    <n v="202971"/>
    <n v="290429"/>
    <n v="114008"/>
    <n v="366211"/>
  </r>
  <r>
    <x v="18"/>
    <x v="18"/>
    <x v="49"/>
    <x v="49"/>
    <n v="72410884"/>
    <n v="3160087"/>
    <n v="5428290"/>
    <n v="1112426"/>
    <n v="24303569"/>
  </r>
  <r>
    <x v="19"/>
    <x v="19"/>
    <x v="49"/>
    <x v="49"/>
    <n v="0"/>
    <n v="0"/>
    <n v="0"/>
    <n v="0"/>
    <n v="0"/>
  </r>
  <r>
    <x v="20"/>
    <x v="20"/>
    <x v="49"/>
    <x v="49"/>
    <n v="156133462"/>
    <n v="11565094"/>
    <n v="6672859"/>
    <n v="2188505"/>
    <n v="8075648"/>
  </r>
  <r>
    <x v="21"/>
    <x v="21"/>
    <x v="49"/>
    <x v="49"/>
    <n v="2036182"/>
    <n v="212475"/>
    <n v="242393"/>
    <n v="17992"/>
    <n v="0"/>
  </r>
  <r>
    <x v="22"/>
    <x v="22"/>
    <x v="49"/>
    <x v="49"/>
    <n v="91077"/>
    <n v="19063"/>
    <n v="15216"/>
    <n v="2068"/>
    <n v="0"/>
  </r>
  <r>
    <x v="23"/>
    <x v="23"/>
    <x v="49"/>
    <x v="49"/>
    <n v="3092631"/>
    <n v="242980"/>
    <n v="404912"/>
    <n v="16900"/>
    <n v="542985"/>
  </r>
  <r>
    <x v="24"/>
    <x v="24"/>
    <x v="49"/>
    <x v="49"/>
    <n v="2963225"/>
    <n v="44180"/>
    <n v="40520"/>
    <n v="22554"/>
    <n v="359706"/>
  </r>
  <r>
    <x v="25"/>
    <x v="25"/>
    <x v="49"/>
    <x v="49"/>
    <n v="243474"/>
    <n v="9110"/>
    <n v="21047"/>
    <n v="2226"/>
    <n v="0"/>
  </r>
  <r>
    <x v="26"/>
    <x v="26"/>
    <x v="49"/>
    <x v="49"/>
    <n v="0"/>
    <n v="0"/>
    <n v="0"/>
    <n v="0"/>
    <n v="0"/>
  </r>
  <r>
    <x v="27"/>
    <x v="27"/>
    <x v="49"/>
    <x v="49"/>
    <n v="0"/>
    <n v="0"/>
    <n v="0"/>
    <n v="0"/>
    <n v="0"/>
  </r>
  <r>
    <x v="28"/>
    <x v="28"/>
    <x v="49"/>
    <x v="49"/>
    <n v="9117684"/>
    <n v="273505"/>
    <n v="463715"/>
    <n v="121138"/>
    <n v="953243"/>
  </r>
  <r>
    <x v="29"/>
    <x v="29"/>
    <x v="49"/>
    <x v="49"/>
    <n v="17697254"/>
    <n v="1768728"/>
    <n v="1924728"/>
    <n v="158961"/>
    <n v="2936976"/>
  </r>
  <r>
    <x v="30"/>
    <x v="30"/>
    <x v="49"/>
    <x v="49"/>
    <n v="42366"/>
    <n v="1715"/>
    <n v="6670"/>
    <n v="960"/>
    <n v="0"/>
  </r>
  <r>
    <x v="31"/>
    <x v="31"/>
    <x v="49"/>
    <x v="49"/>
    <n v="9134654"/>
    <n v="410385"/>
    <n v="917623"/>
    <n v="82206"/>
    <n v="2382692"/>
  </r>
  <r>
    <x v="32"/>
    <x v="32"/>
    <x v="49"/>
    <x v="49"/>
    <n v="0"/>
    <n v="0"/>
    <n v="0"/>
    <n v="0"/>
    <n v="0"/>
  </r>
  <r>
    <x v="33"/>
    <x v="33"/>
    <x v="49"/>
    <x v="49"/>
    <n v="1634971"/>
    <n v="82943"/>
    <n v="92105"/>
    <n v="19283"/>
    <n v="330334"/>
  </r>
  <r>
    <x v="34"/>
    <x v="34"/>
    <x v="49"/>
    <x v="49"/>
    <n v="0"/>
    <n v="0"/>
    <n v="0"/>
    <n v="0"/>
    <n v="0"/>
  </r>
  <r>
    <x v="35"/>
    <x v="35"/>
    <x v="49"/>
    <x v="49"/>
    <n v="0"/>
    <n v="0"/>
    <n v="0"/>
    <n v="0"/>
    <n v="0"/>
  </r>
  <r>
    <x v="36"/>
    <x v="36"/>
    <x v="49"/>
    <x v="49"/>
    <n v="1948812"/>
    <n v="48837"/>
    <n v="118285"/>
    <n v="6873"/>
    <n v="1434442"/>
  </r>
  <r>
    <x v="37"/>
    <x v="37"/>
    <x v="49"/>
    <x v="49"/>
    <n v="381699"/>
    <n v="19508"/>
    <n v="0"/>
    <n v="3990"/>
    <n v="0"/>
  </r>
  <r>
    <x v="38"/>
    <x v="38"/>
    <x v="49"/>
    <x v="49"/>
    <n v="8621476"/>
    <n v="230995"/>
    <n v="268099"/>
    <n v="50955"/>
    <n v="5350651"/>
  </r>
  <r>
    <x v="39"/>
    <x v="39"/>
    <x v="49"/>
    <x v="49"/>
    <n v="1521243"/>
    <n v="0"/>
    <n v="0"/>
    <n v="0"/>
    <n v="0"/>
  </r>
  <r>
    <x v="40"/>
    <x v="40"/>
    <x v="49"/>
    <x v="49"/>
    <n v="0"/>
    <n v="0"/>
    <n v="0"/>
    <n v="0"/>
    <n v="0"/>
  </r>
  <r>
    <x v="41"/>
    <x v="41"/>
    <x v="49"/>
    <x v="49"/>
    <n v="0"/>
    <n v="0"/>
    <n v="0"/>
    <n v="0"/>
    <n v="0"/>
  </r>
  <r>
    <x v="42"/>
    <x v="42"/>
    <x v="49"/>
    <x v="49"/>
    <n v="242955"/>
    <n v="16621"/>
    <n v="22749"/>
    <n v="2516"/>
    <n v="0"/>
  </r>
  <r>
    <x v="43"/>
    <x v="43"/>
    <x v="49"/>
    <x v="49"/>
    <n v="1664735"/>
    <n v="89924"/>
    <n v="79498"/>
    <n v="14671"/>
    <n v="453765"/>
  </r>
  <r>
    <x v="44"/>
    <x v="44"/>
    <x v="49"/>
    <x v="49"/>
    <n v="72031617"/>
    <n v="220036"/>
    <n v="309234"/>
    <n v="93283"/>
    <n v="0"/>
  </r>
  <r>
    <x v="45"/>
    <x v="45"/>
    <x v="49"/>
    <x v="49"/>
    <n v="2605395"/>
    <n v="0"/>
    <n v="0"/>
    <n v="0"/>
    <n v="0"/>
  </r>
  <r>
    <x v="46"/>
    <x v="46"/>
    <x v="49"/>
    <x v="49"/>
    <n v="2375560"/>
    <n v="0"/>
    <n v="0"/>
    <n v="0"/>
    <n v="0"/>
  </r>
  <r>
    <x v="47"/>
    <x v="47"/>
    <x v="49"/>
    <x v="49"/>
    <n v="0"/>
    <n v="0"/>
    <n v="0"/>
    <n v="0"/>
    <n v="0"/>
  </r>
  <r>
    <x v="48"/>
    <x v="48"/>
    <x v="49"/>
    <x v="49"/>
    <n v="0"/>
    <n v="-40031160"/>
    <n v="-48270733"/>
    <n v="0"/>
    <n v="0"/>
  </r>
  <r>
    <x v="49"/>
    <x v="49"/>
    <x v="49"/>
    <x v="49"/>
    <n v="5121675"/>
    <n v="0"/>
    <n v="0"/>
    <n v="0"/>
    <n v="0"/>
  </r>
  <r>
    <x v="50"/>
    <x v="50"/>
    <x v="49"/>
    <x v="49"/>
    <n v="1599032"/>
    <n v="0"/>
    <n v="0"/>
    <n v="-8491474"/>
    <n v="0"/>
  </r>
  <r>
    <x v="51"/>
    <x v="51"/>
    <x v="49"/>
    <x v="49"/>
    <n v="4502438"/>
    <n v="0"/>
    <n v="0"/>
    <n v="0"/>
    <n v="0"/>
  </r>
  <r>
    <x v="52"/>
    <x v="52"/>
    <x v="49"/>
    <x v="49"/>
    <n v="14812191"/>
    <n v="0"/>
    <n v="0"/>
    <n v="0"/>
    <n v="0"/>
  </r>
  <r>
    <x v="53"/>
    <x v="53"/>
    <x v="49"/>
    <x v="49"/>
    <n v="7302124"/>
    <n v="0"/>
    <n v="0"/>
    <n v="0"/>
    <n v="0"/>
  </r>
  <r>
    <x v="54"/>
    <x v="54"/>
    <x v="49"/>
    <x v="49"/>
    <n v="20537023"/>
    <n v="0"/>
    <n v="0"/>
    <n v="0"/>
    <n v="0"/>
  </r>
  <r>
    <x v="55"/>
    <x v="55"/>
    <x v="49"/>
    <x v="49"/>
    <n v="2075687"/>
    <n v="0"/>
    <n v="0"/>
    <n v="0"/>
    <n v="0"/>
  </r>
  <r>
    <x v="56"/>
    <x v="56"/>
    <x v="49"/>
    <x v="49"/>
    <n v="3970159"/>
    <n v="0"/>
    <n v="0"/>
    <n v="0"/>
    <n v="0"/>
  </r>
  <r>
    <x v="57"/>
    <x v="57"/>
    <x v="49"/>
    <x v="49"/>
    <n v="2217831"/>
    <n v="0"/>
    <n v="0"/>
    <n v="0"/>
    <n v="257780"/>
  </r>
  <r>
    <x v="58"/>
    <x v="58"/>
    <x v="49"/>
    <x v="49"/>
    <n v="875765624"/>
    <n v="0"/>
    <n v="0"/>
    <n v="0"/>
    <n v="115681514"/>
  </r>
  <r>
    <x v="59"/>
    <x v="59"/>
    <x v="49"/>
    <x v="49"/>
    <n v="127021412"/>
    <n v="0"/>
    <n v="0"/>
    <n v="0"/>
    <n v="0"/>
  </r>
  <r>
    <x v="60"/>
    <x v="60"/>
    <x v="49"/>
    <x v="49"/>
    <n v="151103069"/>
    <n v="0"/>
    <n v="0"/>
    <n v="0"/>
    <n v="0"/>
  </r>
  <r>
    <x v="61"/>
    <x v="61"/>
    <x v="49"/>
    <x v="49"/>
    <n v="99217482"/>
    <n v="0"/>
    <n v="0"/>
    <n v="0"/>
    <n v="0"/>
  </r>
  <r>
    <x v="62"/>
    <x v="62"/>
    <x v="49"/>
    <x v="49"/>
    <n v="39525716"/>
    <n v="0"/>
    <n v="0"/>
    <n v="0"/>
    <n v="0"/>
  </r>
  <r>
    <x v="63"/>
    <x v="63"/>
    <x v="49"/>
    <x v="49"/>
    <n v="416867679"/>
    <n v="0"/>
    <n v="0"/>
    <n v="0"/>
    <n v="0"/>
  </r>
  <r>
    <x v="64"/>
    <x v="64"/>
    <x v="49"/>
    <x v="49"/>
    <n v="1292633303"/>
    <n v="0"/>
    <n v="0"/>
    <n v="0"/>
    <n v="0"/>
  </r>
  <r>
    <x v="0"/>
    <x v="0"/>
    <x v="50"/>
    <x v="50"/>
    <n v="0"/>
    <n v="0"/>
    <n v="0"/>
    <n v="0"/>
    <n v="0"/>
  </r>
  <r>
    <x v="1"/>
    <x v="1"/>
    <x v="50"/>
    <x v="50"/>
    <n v="0"/>
    <n v="0"/>
    <n v="0"/>
    <n v="0"/>
    <n v="0"/>
  </r>
  <r>
    <x v="2"/>
    <x v="2"/>
    <x v="50"/>
    <x v="50"/>
    <n v="0"/>
    <n v="0"/>
    <n v="0"/>
    <n v="0"/>
    <n v="0"/>
  </r>
  <r>
    <x v="3"/>
    <x v="3"/>
    <x v="50"/>
    <x v="50"/>
    <n v="0"/>
    <n v="0"/>
    <n v="0"/>
    <n v="0"/>
    <n v="0"/>
  </r>
  <r>
    <x v="4"/>
    <x v="4"/>
    <x v="50"/>
    <x v="50"/>
    <n v="36428"/>
    <n v="504"/>
    <n v="1108"/>
    <n v="177"/>
    <n v="0"/>
  </r>
  <r>
    <x v="5"/>
    <x v="5"/>
    <x v="50"/>
    <x v="50"/>
    <n v="0"/>
    <n v="0"/>
    <n v="0"/>
    <n v="0"/>
    <n v="0"/>
  </r>
  <r>
    <x v="6"/>
    <x v="6"/>
    <x v="50"/>
    <x v="50"/>
    <n v="0"/>
    <n v="0"/>
    <n v="0"/>
    <n v="0"/>
    <n v="0"/>
  </r>
  <r>
    <x v="7"/>
    <x v="7"/>
    <x v="50"/>
    <x v="50"/>
    <n v="0"/>
    <n v="0"/>
    <n v="0"/>
    <n v="0"/>
    <n v="0"/>
  </r>
  <r>
    <x v="8"/>
    <x v="8"/>
    <x v="50"/>
    <x v="50"/>
    <n v="0"/>
    <n v="0"/>
    <n v="0"/>
    <n v="0"/>
    <n v="0"/>
  </r>
  <r>
    <x v="9"/>
    <x v="9"/>
    <x v="50"/>
    <x v="50"/>
    <n v="0"/>
    <n v="0"/>
    <n v="0"/>
    <n v="0"/>
    <n v="0"/>
  </r>
  <r>
    <x v="10"/>
    <x v="10"/>
    <x v="50"/>
    <x v="50"/>
    <n v="0"/>
    <n v="0"/>
    <n v="0"/>
    <n v="0"/>
    <n v="0"/>
  </r>
  <r>
    <x v="11"/>
    <x v="11"/>
    <x v="50"/>
    <x v="50"/>
    <n v="0"/>
    <n v="0"/>
    <n v="0"/>
    <n v="0"/>
    <n v="0"/>
  </r>
  <r>
    <x v="12"/>
    <x v="12"/>
    <x v="50"/>
    <x v="50"/>
    <n v="0"/>
    <n v="0"/>
    <n v="0"/>
    <n v="0"/>
    <n v="0"/>
  </r>
  <r>
    <x v="13"/>
    <x v="13"/>
    <x v="50"/>
    <x v="50"/>
    <n v="17372"/>
    <n v="786"/>
    <n v="0"/>
    <n v="2497"/>
    <n v="0"/>
  </r>
  <r>
    <x v="14"/>
    <x v="14"/>
    <x v="50"/>
    <x v="50"/>
    <n v="0"/>
    <n v="0"/>
    <n v="0"/>
    <n v="0"/>
    <n v="0"/>
  </r>
  <r>
    <x v="15"/>
    <x v="15"/>
    <x v="50"/>
    <x v="50"/>
    <n v="24106"/>
    <n v="868"/>
    <n v="853"/>
    <n v="310"/>
    <n v="0"/>
  </r>
  <r>
    <x v="16"/>
    <x v="16"/>
    <x v="50"/>
    <x v="50"/>
    <n v="0"/>
    <n v="0"/>
    <n v="0"/>
    <n v="0"/>
    <n v="0"/>
  </r>
  <r>
    <x v="17"/>
    <x v="17"/>
    <x v="50"/>
    <x v="50"/>
    <n v="9794"/>
    <n v="352"/>
    <n v="321"/>
    <n v="164"/>
    <n v="0"/>
  </r>
  <r>
    <x v="18"/>
    <x v="18"/>
    <x v="50"/>
    <x v="50"/>
    <n v="469978"/>
    <n v="13961"/>
    <n v="33399"/>
    <n v="4664"/>
    <n v="0"/>
  </r>
  <r>
    <x v="19"/>
    <x v="19"/>
    <x v="50"/>
    <x v="50"/>
    <n v="0"/>
    <n v="0"/>
    <n v="0"/>
    <n v="0"/>
    <n v="0"/>
  </r>
  <r>
    <x v="20"/>
    <x v="20"/>
    <x v="50"/>
    <x v="50"/>
    <n v="560196"/>
    <n v="39675"/>
    <n v="68594"/>
    <n v="12567"/>
    <n v="0"/>
  </r>
  <r>
    <x v="21"/>
    <x v="21"/>
    <x v="50"/>
    <x v="50"/>
    <n v="0"/>
    <n v="0"/>
    <n v="0"/>
    <n v="0"/>
    <n v="0"/>
  </r>
  <r>
    <x v="22"/>
    <x v="22"/>
    <x v="50"/>
    <x v="50"/>
    <n v="0"/>
    <n v="0"/>
    <n v="0"/>
    <n v="0"/>
    <n v="0"/>
  </r>
  <r>
    <x v="23"/>
    <x v="23"/>
    <x v="50"/>
    <x v="50"/>
    <n v="876772"/>
    <n v="74927"/>
    <n v="89561"/>
    <n v="5629"/>
    <n v="92963"/>
  </r>
  <r>
    <x v="24"/>
    <x v="24"/>
    <x v="50"/>
    <x v="50"/>
    <n v="3130690"/>
    <n v="126053"/>
    <n v="102544"/>
    <n v="32910"/>
    <n v="425270"/>
  </r>
  <r>
    <x v="25"/>
    <x v="25"/>
    <x v="50"/>
    <x v="50"/>
    <n v="559167"/>
    <n v="41208"/>
    <n v="85891"/>
    <n v="6429"/>
    <n v="0"/>
  </r>
  <r>
    <x v="26"/>
    <x v="26"/>
    <x v="50"/>
    <x v="50"/>
    <n v="79812"/>
    <n v="9907"/>
    <n v="2719"/>
    <n v="1554"/>
    <n v="43014"/>
  </r>
  <r>
    <x v="27"/>
    <x v="27"/>
    <x v="50"/>
    <x v="50"/>
    <n v="0"/>
    <n v="0"/>
    <n v="0"/>
    <n v="0"/>
    <n v="0"/>
  </r>
  <r>
    <x v="28"/>
    <x v="28"/>
    <x v="50"/>
    <x v="50"/>
    <n v="1742914"/>
    <n v="122100"/>
    <n v="156089"/>
    <n v="19482"/>
    <n v="155919"/>
  </r>
  <r>
    <x v="29"/>
    <x v="29"/>
    <x v="50"/>
    <x v="50"/>
    <n v="257749541"/>
    <n v="12395122"/>
    <n v="13427149"/>
    <n v="2170237"/>
    <n v="47221288"/>
  </r>
  <r>
    <x v="30"/>
    <x v="30"/>
    <x v="50"/>
    <x v="50"/>
    <n v="10447151"/>
    <n v="863733"/>
    <n v="945565"/>
    <n v="127307"/>
    <n v="0"/>
  </r>
  <r>
    <x v="31"/>
    <x v="31"/>
    <x v="50"/>
    <x v="50"/>
    <n v="2382804"/>
    <n v="64175"/>
    <n v="69783"/>
    <n v="16045"/>
    <n v="582369"/>
  </r>
  <r>
    <x v="32"/>
    <x v="32"/>
    <x v="50"/>
    <x v="50"/>
    <n v="0"/>
    <n v="0"/>
    <n v="0"/>
    <n v="0"/>
    <n v="0"/>
  </r>
  <r>
    <x v="33"/>
    <x v="33"/>
    <x v="50"/>
    <x v="50"/>
    <n v="660"/>
    <n v="48"/>
    <n v="51"/>
    <n v="8"/>
    <n v="0"/>
  </r>
  <r>
    <x v="34"/>
    <x v="34"/>
    <x v="50"/>
    <x v="50"/>
    <n v="643573"/>
    <n v="26614"/>
    <n v="45216"/>
    <n v="8324"/>
    <n v="169166"/>
  </r>
  <r>
    <x v="35"/>
    <x v="35"/>
    <x v="50"/>
    <x v="50"/>
    <n v="0"/>
    <n v="0"/>
    <n v="0"/>
    <n v="0"/>
    <n v="0"/>
  </r>
  <r>
    <x v="36"/>
    <x v="36"/>
    <x v="50"/>
    <x v="50"/>
    <n v="4011713"/>
    <n v="48441"/>
    <n v="134025"/>
    <n v="8495"/>
    <n v="2757218"/>
  </r>
  <r>
    <x v="37"/>
    <x v="37"/>
    <x v="50"/>
    <x v="50"/>
    <n v="3190566"/>
    <n v="235939"/>
    <n v="0"/>
    <n v="34036"/>
    <n v="40089"/>
  </r>
  <r>
    <x v="38"/>
    <x v="38"/>
    <x v="50"/>
    <x v="50"/>
    <n v="2883208"/>
    <n v="164663"/>
    <n v="138636"/>
    <n v="17343"/>
    <n v="335599"/>
  </r>
  <r>
    <x v="39"/>
    <x v="39"/>
    <x v="50"/>
    <x v="50"/>
    <n v="150650315"/>
    <n v="1230863"/>
    <n v="857886"/>
    <n v="50497"/>
    <n v="0"/>
  </r>
  <r>
    <x v="40"/>
    <x v="40"/>
    <x v="50"/>
    <x v="50"/>
    <n v="16207608"/>
    <n v="799038"/>
    <n v="0"/>
    <n v="285231"/>
    <n v="3882409"/>
  </r>
  <r>
    <x v="41"/>
    <x v="41"/>
    <x v="50"/>
    <x v="50"/>
    <n v="0"/>
    <n v="0"/>
    <n v="0"/>
    <n v="0"/>
    <n v="0"/>
  </r>
  <r>
    <x v="42"/>
    <x v="42"/>
    <x v="50"/>
    <x v="50"/>
    <n v="4198818"/>
    <n v="316282"/>
    <n v="216765"/>
    <n v="31804"/>
    <n v="0"/>
  </r>
  <r>
    <x v="43"/>
    <x v="43"/>
    <x v="50"/>
    <x v="50"/>
    <n v="1370862"/>
    <n v="98482"/>
    <n v="92306"/>
    <n v="15937"/>
    <n v="337"/>
  </r>
  <r>
    <x v="44"/>
    <x v="44"/>
    <x v="50"/>
    <x v="50"/>
    <n v="109690959"/>
    <n v="938394"/>
    <n v="1382344"/>
    <n v="255163"/>
    <n v="0"/>
  </r>
  <r>
    <x v="45"/>
    <x v="45"/>
    <x v="50"/>
    <x v="50"/>
    <n v="429229"/>
    <n v="0"/>
    <n v="0"/>
    <n v="0"/>
    <n v="0"/>
  </r>
  <r>
    <x v="46"/>
    <x v="46"/>
    <x v="50"/>
    <x v="50"/>
    <n v="586004"/>
    <n v="0"/>
    <n v="0"/>
    <n v="0"/>
    <n v="0"/>
  </r>
  <r>
    <x v="47"/>
    <x v="47"/>
    <x v="50"/>
    <x v="50"/>
    <n v="0"/>
    <n v="0"/>
    <n v="0"/>
    <n v="0"/>
    <n v="0"/>
  </r>
  <r>
    <x v="48"/>
    <x v="48"/>
    <x v="50"/>
    <x v="50"/>
    <n v="0"/>
    <n v="-17612135"/>
    <n v="-17850805"/>
    <n v="0"/>
    <n v="0"/>
  </r>
  <r>
    <x v="49"/>
    <x v="49"/>
    <x v="50"/>
    <x v="50"/>
    <n v="6020784"/>
    <n v="0"/>
    <n v="0"/>
    <n v="0"/>
    <n v="0"/>
  </r>
  <r>
    <x v="50"/>
    <x v="50"/>
    <x v="50"/>
    <x v="50"/>
    <n v="104631682"/>
    <n v="0"/>
    <n v="0"/>
    <n v="-3106810"/>
    <n v="42071811"/>
  </r>
  <r>
    <x v="51"/>
    <x v="51"/>
    <x v="50"/>
    <x v="50"/>
    <n v="3436299"/>
    <n v="0"/>
    <n v="0"/>
    <n v="0"/>
    <n v="0"/>
  </r>
  <r>
    <x v="52"/>
    <x v="52"/>
    <x v="50"/>
    <x v="50"/>
    <n v="43200474"/>
    <n v="0"/>
    <n v="0"/>
    <n v="0"/>
    <n v="1622319"/>
  </r>
  <r>
    <x v="53"/>
    <x v="53"/>
    <x v="50"/>
    <x v="50"/>
    <n v="3731209"/>
    <n v="0"/>
    <n v="0"/>
    <n v="0"/>
    <n v="0"/>
  </r>
  <r>
    <x v="54"/>
    <x v="54"/>
    <x v="50"/>
    <x v="50"/>
    <n v="72991027"/>
    <n v="0"/>
    <n v="0"/>
    <n v="0"/>
    <n v="15274667"/>
  </r>
  <r>
    <x v="55"/>
    <x v="55"/>
    <x v="50"/>
    <x v="50"/>
    <n v="663908"/>
    <n v="0"/>
    <n v="0"/>
    <n v="0"/>
    <n v="0"/>
  </r>
  <r>
    <x v="56"/>
    <x v="56"/>
    <x v="50"/>
    <x v="50"/>
    <n v="3125205"/>
    <n v="0"/>
    <n v="0"/>
    <n v="0"/>
    <n v="0"/>
  </r>
  <r>
    <x v="57"/>
    <x v="57"/>
    <x v="50"/>
    <x v="50"/>
    <n v="4653024"/>
    <n v="0"/>
    <n v="0"/>
    <n v="0"/>
    <n v="461444"/>
  </r>
  <r>
    <x v="58"/>
    <x v="58"/>
    <x v="50"/>
    <x v="50"/>
    <n v="814403852"/>
    <n v="0"/>
    <n v="0"/>
    <n v="0"/>
    <n v="115135882"/>
  </r>
  <r>
    <x v="59"/>
    <x v="59"/>
    <x v="50"/>
    <x v="50"/>
    <n v="112659098"/>
    <n v="0"/>
    <n v="0"/>
    <n v="0"/>
    <n v="0"/>
  </r>
  <r>
    <x v="60"/>
    <x v="60"/>
    <x v="50"/>
    <x v="50"/>
    <n v="137626748"/>
    <n v="0"/>
    <n v="0"/>
    <n v="0"/>
    <n v="0"/>
  </r>
  <r>
    <x v="61"/>
    <x v="61"/>
    <x v="50"/>
    <x v="50"/>
    <n v="117734997"/>
    <n v="0"/>
    <n v="0"/>
    <n v="0"/>
    <n v="0"/>
  </r>
  <r>
    <x v="62"/>
    <x v="62"/>
    <x v="50"/>
    <x v="50"/>
    <n v="25199552"/>
    <n v="0"/>
    <n v="0"/>
    <n v="0"/>
    <n v="0"/>
  </r>
  <r>
    <x v="63"/>
    <x v="63"/>
    <x v="50"/>
    <x v="50"/>
    <n v="393220395"/>
    <n v="0"/>
    <n v="0"/>
    <n v="0"/>
    <n v="0"/>
  </r>
  <r>
    <x v="64"/>
    <x v="64"/>
    <x v="50"/>
    <x v="50"/>
    <n v="1207624247"/>
    <n v="0"/>
    <n v="0"/>
    <n v="0"/>
    <n v="0"/>
  </r>
  <r>
    <x v="0"/>
    <x v="0"/>
    <x v="51"/>
    <x v="51"/>
    <n v="0"/>
    <n v="0"/>
    <n v="0"/>
    <n v="0"/>
    <n v="0"/>
  </r>
  <r>
    <x v="1"/>
    <x v="1"/>
    <x v="51"/>
    <x v="51"/>
    <n v="0"/>
    <n v="0"/>
    <n v="0"/>
    <n v="0"/>
    <n v="0"/>
  </r>
  <r>
    <x v="2"/>
    <x v="2"/>
    <x v="51"/>
    <x v="51"/>
    <n v="0"/>
    <n v="0"/>
    <n v="0"/>
    <n v="0"/>
    <n v="0"/>
  </r>
  <r>
    <x v="3"/>
    <x v="3"/>
    <x v="51"/>
    <x v="51"/>
    <n v="0"/>
    <n v="0"/>
    <n v="0"/>
    <n v="0"/>
    <n v="0"/>
  </r>
  <r>
    <x v="4"/>
    <x v="4"/>
    <x v="51"/>
    <x v="51"/>
    <n v="0"/>
    <n v="0"/>
    <n v="0"/>
    <n v="0"/>
    <n v="0"/>
  </r>
  <r>
    <x v="5"/>
    <x v="5"/>
    <x v="51"/>
    <x v="51"/>
    <n v="0"/>
    <n v="0"/>
    <n v="0"/>
    <n v="0"/>
    <n v="0"/>
  </r>
  <r>
    <x v="6"/>
    <x v="6"/>
    <x v="51"/>
    <x v="51"/>
    <n v="0"/>
    <n v="0"/>
    <n v="0"/>
    <n v="0"/>
    <n v="0"/>
  </r>
  <r>
    <x v="7"/>
    <x v="7"/>
    <x v="51"/>
    <x v="51"/>
    <n v="0"/>
    <n v="0"/>
    <n v="0"/>
    <n v="0"/>
    <n v="0"/>
  </r>
  <r>
    <x v="8"/>
    <x v="8"/>
    <x v="51"/>
    <x v="51"/>
    <n v="0"/>
    <n v="0"/>
    <n v="0"/>
    <n v="0"/>
    <n v="0"/>
  </r>
  <r>
    <x v="9"/>
    <x v="9"/>
    <x v="51"/>
    <x v="51"/>
    <n v="0"/>
    <n v="0"/>
    <n v="0"/>
    <n v="0"/>
    <n v="0"/>
  </r>
  <r>
    <x v="10"/>
    <x v="10"/>
    <x v="51"/>
    <x v="51"/>
    <n v="0"/>
    <n v="0"/>
    <n v="0"/>
    <n v="0"/>
    <n v="0"/>
  </r>
  <r>
    <x v="11"/>
    <x v="11"/>
    <x v="51"/>
    <x v="51"/>
    <n v="0"/>
    <n v="0"/>
    <n v="0"/>
    <n v="0"/>
    <n v="0"/>
  </r>
  <r>
    <x v="12"/>
    <x v="12"/>
    <x v="51"/>
    <x v="51"/>
    <n v="0"/>
    <n v="0"/>
    <n v="0"/>
    <n v="0"/>
    <n v="0"/>
  </r>
  <r>
    <x v="13"/>
    <x v="13"/>
    <x v="51"/>
    <x v="51"/>
    <n v="0"/>
    <n v="0"/>
    <n v="0"/>
    <n v="0"/>
    <n v="0"/>
  </r>
  <r>
    <x v="14"/>
    <x v="14"/>
    <x v="51"/>
    <x v="51"/>
    <n v="0"/>
    <n v="0"/>
    <n v="0"/>
    <n v="0"/>
    <n v="0"/>
  </r>
  <r>
    <x v="15"/>
    <x v="15"/>
    <x v="51"/>
    <x v="51"/>
    <n v="0"/>
    <n v="0"/>
    <n v="0"/>
    <n v="0"/>
    <n v="0"/>
  </r>
  <r>
    <x v="16"/>
    <x v="16"/>
    <x v="51"/>
    <x v="51"/>
    <n v="0"/>
    <n v="0"/>
    <n v="0"/>
    <n v="0"/>
    <n v="0"/>
  </r>
  <r>
    <x v="17"/>
    <x v="17"/>
    <x v="51"/>
    <x v="51"/>
    <n v="0"/>
    <n v="0"/>
    <n v="0"/>
    <n v="0"/>
    <n v="0"/>
  </r>
  <r>
    <x v="18"/>
    <x v="18"/>
    <x v="51"/>
    <x v="51"/>
    <n v="0"/>
    <n v="0"/>
    <n v="0"/>
    <n v="0"/>
    <n v="0"/>
  </r>
  <r>
    <x v="19"/>
    <x v="19"/>
    <x v="51"/>
    <x v="51"/>
    <n v="0"/>
    <n v="0"/>
    <n v="0"/>
    <n v="0"/>
    <n v="0"/>
  </r>
  <r>
    <x v="20"/>
    <x v="20"/>
    <x v="51"/>
    <x v="51"/>
    <n v="0"/>
    <n v="0"/>
    <n v="0"/>
    <n v="0"/>
    <n v="0"/>
  </r>
  <r>
    <x v="21"/>
    <x v="21"/>
    <x v="51"/>
    <x v="51"/>
    <n v="0"/>
    <n v="0"/>
    <n v="0"/>
    <n v="0"/>
    <n v="0"/>
  </r>
  <r>
    <x v="22"/>
    <x v="22"/>
    <x v="51"/>
    <x v="51"/>
    <n v="0"/>
    <n v="0"/>
    <n v="0"/>
    <n v="0"/>
    <n v="0"/>
  </r>
  <r>
    <x v="23"/>
    <x v="23"/>
    <x v="51"/>
    <x v="51"/>
    <n v="21329"/>
    <n v="2913"/>
    <n v="3581"/>
    <n v="105"/>
    <n v="0"/>
  </r>
  <r>
    <x v="24"/>
    <x v="24"/>
    <x v="51"/>
    <x v="51"/>
    <n v="5088301"/>
    <n v="29352"/>
    <n v="25726"/>
    <n v="35257"/>
    <n v="1517881"/>
  </r>
  <r>
    <x v="25"/>
    <x v="25"/>
    <x v="51"/>
    <x v="51"/>
    <n v="1652900"/>
    <n v="104707"/>
    <n v="169920"/>
    <n v="12913"/>
    <n v="441838"/>
  </r>
  <r>
    <x v="26"/>
    <x v="26"/>
    <x v="51"/>
    <x v="51"/>
    <n v="0"/>
    <n v="0"/>
    <n v="0"/>
    <n v="0"/>
    <n v="0"/>
  </r>
  <r>
    <x v="27"/>
    <x v="27"/>
    <x v="51"/>
    <x v="51"/>
    <n v="0"/>
    <n v="0"/>
    <n v="0"/>
    <n v="0"/>
    <n v="0"/>
  </r>
  <r>
    <x v="28"/>
    <x v="28"/>
    <x v="51"/>
    <x v="51"/>
    <n v="852545"/>
    <n v="48326"/>
    <n v="34617"/>
    <n v="9998"/>
    <n v="727455"/>
  </r>
  <r>
    <x v="29"/>
    <x v="29"/>
    <x v="51"/>
    <x v="51"/>
    <n v="9523739"/>
    <n v="414819"/>
    <n v="456014"/>
    <n v="74590"/>
    <n v="1849372"/>
  </r>
  <r>
    <x v="30"/>
    <x v="30"/>
    <x v="51"/>
    <x v="51"/>
    <n v="0"/>
    <n v="0"/>
    <n v="0"/>
    <n v="0"/>
    <n v="0"/>
  </r>
  <r>
    <x v="31"/>
    <x v="31"/>
    <x v="51"/>
    <x v="51"/>
    <n v="766362"/>
    <n v="20862"/>
    <n v="28621"/>
    <n v="5491"/>
    <n v="188339"/>
  </r>
  <r>
    <x v="32"/>
    <x v="32"/>
    <x v="51"/>
    <x v="51"/>
    <n v="0"/>
    <n v="0"/>
    <n v="0"/>
    <n v="0"/>
    <n v="0"/>
  </r>
  <r>
    <x v="33"/>
    <x v="33"/>
    <x v="51"/>
    <x v="51"/>
    <n v="0"/>
    <n v="0"/>
    <n v="0"/>
    <n v="0"/>
    <n v="0"/>
  </r>
  <r>
    <x v="34"/>
    <x v="34"/>
    <x v="51"/>
    <x v="51"/>
    <n v="0"/>
    <n v="0"/>
    <n v="0"/>
    <n v="0"/>
    <n v="0"/>
  </r>
  <r>
    <x v="35"/>
    <x v="35"/>
    <x v="51"/>
    <x v="51"/>
    <n v="0"/>
    <n v="0"/>
    <n v="0"/>
    <n v="0"/>
    <n v="0"/>
  </r>
  <r>
    <x v="36"/>
    <x v="36"/>
    <x v="51"/>
    <x v="51"/>
    <n v="11129"/>
    <n v="289"/>
    <n v="496"/>
    <n v="38"/>
    <n v="4970"/>
  </r>
  <r>
    <x v="37"/>
    <x v="37"/>
    <x v="51"/>
    <x v="51"/>
    <n v="0"/>
    <n v="0"/>
    <n v="0"/>
    <n v="0"/>
    <n v="0"/>
  </r>
  <r>
    <x v="38"/>
    <x v="38"/>
    <x v="51"/>
    <x v="51"/>
    <n v="16985763"/>
    <n v="706907"/>
    <n v="1414350"/>
    <n v="175292"/>
    <n v="7099749"/>
  </r>
  <r>
    <x v="39"/>
    <x v="39"/>
    <x v="51"/>
    <x v="51"/>
    <n v="2449300"/>
    <n v="0"/>
    <n v="0"/>
    <n v="0"/>
    <n v="0"/>
  </r>
  <r>
    <x v="40"/>
    <x v="40"/>
    <x v="51"/>
    <x v="51"/>
    <n v="0"/>
    <n v="0"/>
    <n v="0"/>
    <n v="0"/>
    <n v="0"/>
  </r>
  <r>
    <x v="41"/>
    <x v="41"/>
    <x v="51"/>
    <x v="51"/>
    <n v="0"/>
    <n v="0"/>
    <n v="0"/>
    <n v="0"/>
    <n v="0"/>
  </r>
  <r>
    <x v="42"/>
    <x v="42"/>
    <x v="51"/>
    <x v="51"/>
    <n v="0"/>
    <n v="0"/>
    <n v="0"/>
    <n v="0"/>
    <n v="0"/>
  </r>
  <r>
    <x v="43"/>
    <x v="43"/>
    <x v="51"/>
    <x v="51"/>
    <n v="1207059"/>
    <n v="69850"/>
    <n v="66680"/>
    <n v="12112"/>
    <n v="56732"/>
  </r>
  <r>
    <x v="44"/>
    <x v="44"/>
    <x v="51"/>
    <x v="51"/>
    <n v="15917648"/>
    <n v="5717"/>
    <n v="9826"/>
    <n v="1229"/>
    <n v="0"/>
  </r>
  <r>
    <x v="45"/>
    <x v="45"/>
    <x v="51"/>
    <x v="51"/>
    <n v="394416"/>
    <n v="0"/>
    <n v="0"/>
    <n v="0"/>
    <n v="0"/>
  </r>
  <r>
    <x v="46"/>
    <x v="46"/>
    <x v="51"/>
    <x v="51"/>
    <n v="29513"/>
    <n v="0"/>
    <n v="0"/>
    <n v="0"/>
    <n v="0"/>
  </r>
  <r>
    <x v="47"/>
    <x v="47"/>
    <x v="51"/>
    <x v="51"/>
    <n v="0"/>
    <n v="0"/>
    <n v="0"/>
    <n v="0"/>
    <n v="0"/>
  </r>
  <r>
    <x v="48"/>
    <x v="48"/>
    <x v="51"/>
    <x v="51"/>
    <n v="0"/>
    <n v="-1403742"/>
    <n v="-2209831"/>
    <n v="0"/>
    <n v="0"/>
  </r>
  <r>
    <x v="49"/>
    <x v="49"/>
    <x v="51"/>
    <x v="51"/>
    <n v="84419"/>
    <n v="0"/>
    <n v="0"/>
    <n v="0"/>
    <n v="0"/>
  </r>
  <r>
    <x v="50"/>
    <x v="50"/>
    <x v="51"/>
    <x v="51"/>
    <n v="8636065"/>
    <n v="0"/>
    <n v="0"/>
    <n v="-327025"/>
    <n v="0"/>
  </r>
  <r>
    <x v="51"/>
    <x v="51"/>
    <x v="51"/>
    <x v="51"/>
    <n v="88266053"/>
    <n v="0"/>
    <n v="0"/>
    <n v="0"/>
    <n v="0"/>
  </r>
  <r>
    <x v="52"/>
    <x v="52"/>
    <x v="51"/>
    <x v="51"/>
    <n v="33197173"/>
    <n v="0"/>
    <n v="0"/>
    <n v="0"/>
    <n v="392026"/>
  </r>
  <r>
    <x v="53"/>
    <x v="53"/>
    <x v="51"/>
    <x v="51"/>
    <n v="3326505"/>
    <n v="0"/>
    <n v="0"/>
    <n v="0"/>
    <n v="0"/>
  </r>
  <r>
    <x v="54"/>
    <x v="54"/>
    <x v="51"/>
    <x v="51"/>
    <n v="26355917"/>
    <n v="0"/>
    <n v="0"/>
    <n v="0"/>
    <n v="8505700"/>
  </r>
  <r>
    <x v="55"/>
    <x v="55"/>
    <x v="51"/>
    <x v="51"/>
    <n v="30746"/>
    <n v="0"/>
    <n v="0"/>
    <n v="0"/>
    <n v="0"/>
  </r>
  <r>
    <x v="56"/>
    <x v="56"/>
    <x v="51"/>
    <x v="51"/>
    <n v="3794437"/>
    <n v="0"/>
    <n v="0"/>
    <n v="0"/>
    <n v="0"/>
  </r>
  <r>
    <x v="57"/>
    <x v="57"/>
    <x v="51"/>
    <x v="51"/>
    <n v="1434453"/>
    <n v="0"/>
    <n v="0"/>
    <n v="0"/>
    <n v="164252"/>
  </r>
  <r>
    <x v="58"/>
    <x v="58"/>
    <x v="51"/>
    <x v="51"/>
    <n v="220025772"/>
    <n v="0"/>
    <n v="0"/>
    <n v="0"/>
    <n v="20948314"/>
  </r>
  <r>
    <x v="59"/>
    <x v="59"/>
    <x v="51"/>
    <x v="51"/>
    <n v="111491741"/>
    <n v="0"/>
    <n v="0"/>
    <n v="0"/>
    <n v="0"/>
  </r>
  <r>
    <x v="60"/>
    <x v="60"/>
    <x v="51"/>
    <x v="51"/>
    <n v="134587008"/>
    <n v="0"/>
    <n v="0"/>
    <n v="0"/>
    <n v="0"/>
  </r>
  <r>
    <x v="61"/>
    <x v="61"/>
    <x v="51"/>
    <x v="51"/>
    <n v="105107866"/>
    <n v="0"/>
    <n v="0"/>
    <n v="0"/>
    <n v="0"/>
  </r>
  <r>
    <x v="62"/>
    <x v="62"/>
    <x v="51"/>
    <x v="51"/>
    <n v="12593641"/>
    <n v="0"/>
    <n v="0"/>
    <n v="0"/>
    <n v="0"/>
  </r>
  <r>
    <x v="63"/>
    <x v="63"/>
    <x v="51"/>
    <x v="51"/>
    <n v="363780256"/>
    <n v="0"/>
    <n v="0"/>
    <n v="0"/>
    <n v="0"/>
  </r>
  <r>
    <x v="64"/>
    <x v="64"/>
    <x v="51"/>
    <x v="51"/>
    <n v="583806028"/>
    <n v="0"/>
    <n v="0"/>
    <n v="0"/>
    <n v="0"/>
  </r>
  <r>
    <x v="0"/>
    <x v="0"/>
    <x v="52"/>
    <x v="52"/>
    <n v="0"/>
    <n v="0"/>
    <n v="0"/>
    <n v="0"/>
    <n v="0"/>
  </r>
  <r>
    <x v="1"/>
    <x v="1"/>
    <x v="52"/>
    <x v="52"/>
    <n v="0"/>
    <n v="0"/>
    <n v="0"/>
    <n v="0"/>
    <n v="0"/>
  </r>
  <r>
    <x v="2"/>
    <x v="2"/>
    <x v="52"/>
    <x v="52"/>
    <n v="0"/>
    <n v="0"/>
    <n v="0"/>
    <n v="0"/>
    <n v="0"/>
  </r>
  <r>
    <x v="3"/>
    <x v="3"/>
    <x v="52"/>
    <x v="52"/>
    <n v="0"/>
    <n v="0"/>
    <n v="0"/>
    <n v="0"/>
    <n v="0"/>
  </r>
  <r>
    <x v="4"/>
    <x v="4"/>
    <x v="52"/>
    <x v="52"/>
    <n v="0"/>
    <n v="0"/>
    <n v="0"/>
    <n v="0"/>
    <n v="0"/>
  </r>
  <r>
    <x v="5"/>
    <x v="5"/>
    <x v="52"/>
    <x v="52"/>
    <n v="0"/>
    <n v="0"/>
    <n v="0"/>
    <n v="0"/>
    <n v="0"/>
  </r>
  <r>
    <x v="6"/>
    <x v="6"/>
    <x v="52"/>
    <x v="52"/>
    <n v="0"/>
    <n v="0"/>
    <n v="0"/>
    <n v="0"/>
    <n v="0"/>
  </r>
  <r>
    <x v="7"/>
    <x v="7"/>
    <x v="52"/>
    <x v="52"/>
    <n v="0"/>
    <n v="0"/>
    <n v="0"/>
    <n v="0"/>
    <n v="0"/>
  </r>
  <r>
    <x v="8"/>
    <x v="8"/>
    <x v="52"/>
    <x v="52"/>
    <n v="0"/>
    <n v="0"/>
    <n v="0"/>
    <n v="0"/>
    <n v="0"/>
  </r>
  <r>
    <x v="9"/>
    <x v="9"/>
    <x v="52"/>
    <x v="52"/>
    <n v="0"/>
    <n v="0"/>
    <n v="0"/>
    <n v="0"/>
    <n v="0"/>
  </r>
  <r>
    <x v="10"/>
    <x v="10"/>
    <x v="52"/>
    <x v="52"/>
    <n v="0"/>
    <n v="0"/>
    <n v="0"/>
    <n v="0"/>
    <n v="0"/>
  </r>
  <r>
    <x v="11"/>
    <x v="11"/>
    <x v="52"/>
    <x v="52"/>
    <n v="0"/>
    <n v="0"/>
    <n v="0"/>
    <n v="0"/>
    <n v="0"/>
  </r>
  <r>
    <x v="12"/>
    <x v="12"/>
    <x v="52"/>
    <x v="52"/>
    <n v="0"/>
    <n v="0"/>
    <n v="0"/>
    <n v="0"/>
    <n v="0"/>
  </r>
  <r>
    <x v="13"/>
    <x v="13"/>
    <x v="52"/>
    <x v="52"/>
    <n v="0"/>
    <n v="0"/>
    <n v="0"/>
    <n v="0"/>
    <n v="0"/>
  </r>
  <r>
    <x v="14"/>
    <x v="14"/>
    <x v="52"/>
    <x v="52"/>
    <n v="0"/>
    <n v="0"/>
    <n v="0"/>
    <n v="0"/>
    <n v="0"/>
  </r>
  <r>
    <x v="15"/>
    <x v="15"/>
    <x v="52"/>
    <x v="52"/>
    <n v="0"/>
    <n v="0"/>
    <n v="0"/>
    <n v="0"/>
    <n v="0"/>
  </r>
  <r>
    <x v="16"/>
    <x v="16"/>
    <x v="52"/>
    <x v="52"/>
    <n v="0"/>
    <n v="0"/>
    <n v="0"/>
    <n v="0"/>
    <n v="0"/>
  </r>
  <r>
    <x v="17"/>
    <x v="17"/>
    <x v="52"/>
    <x v="52"/>
    <n v="0"/>
    <n v="0"/>
    <n v="0"/>
    <n v="0"/>
    <n v="0"/>
  </r>
  <r>
    <x v="18"/>
    <x v="18"/>
    <x v="52"/>
    <x v="52"/>
    <n v="45883"/>
    <n v="1117"/>
    <n v="121"/>
    <n v="283"/>
    <n v="0"/>
  </r>
  <r>
    <x v="19"/>
    <x v="19"/>
    <x v="52"/>
    <x v="52"/>
    <n v="0"/>
    <n v="0"/>
    <n v="0"/>
    <n v="0"/>
    <n v="0"/>
  </r>
  <r>
    <x v="20"/>
    <x v="20"/>
    <x v="52"/>
    <x v="52"/>
    <n v="641370"/>
    <n v="64739"/>
    <n v="128111"/>
    <n v="18026"/>
    <n v="0"/>
  </r>
  <r>
    <x v="21"/>
    <x v="21"/>
    <x v="52"/>
    <x v="52"/>
    <n v="0"/>
    <n v="0"/>
    <n v="0"/>
    <n v="0"/>
    <n v="0"/>
  </r>
  <r>
    <x v="22"/>
    <x v="22"/>
    <x v="52"/>
    <x v="52"/>
    <n v="0"/>
    <n v="0"/>
    <n v="0"/>
    <n v="0"/>
    <n v="0"/>
  </r>
  <r>
    <x v="23"/>
    <x v="23"/>
    <x v="52"/>
    <x v="52"/>
    <n v="3845884"/>
    <n v="184491"/>
    <n v="401933"/>
    <n v="20815"/>
    <n v="221831"/>
  </r>
  <r>
    <x v="24"/>
    <x v="24"/>
    <x v="52"/>
    <x v="52"/>
    <n v="22524152"/>
    <n v="2812554"/>
    <n v="1341458"/>
    <n v="390135"/>
    <n v="1363093"/>
  </r>
  <r>
    <x v="25"/>
    <x v="25"/>
    <x v="52"/>
    <x v="52"/>
    <n v="2257386"/>
    <n v="235463"/>
    <n v="311843"/>
    <n v="18762"/>
    <n v="622320"/>
  </r>
  <r>
    <x v="26"/>
    <x v="26"/>
    <x v="52"/>
    <x v="52"/>
    <n v="0"/>
    <n v="0"/>
    <n v="0"/>
    <n v="0"/>
    <n v="0"/>
  </r>
  <r>
    <x v="27"/>
    <x v="27"/>
    <x v="52"/>
    <x v="52"/>
    <n v="0"/>
    <n v="0"/>
    <n v="0"/>
    <n v="0"/>
    <n v="0"/>
  </r>
  <r>
    <x v="28"/>
    <x v="28"/>
    <x v="52"/>
    <x v="52"/>
    <n v="4124120"/>
    <n v="617152"/>
    <n v="597723"/>
    <n v="68593"/>
    <n v="1667315"/>
  </r>
  <r>
    <x v="29"/>
    <x v="29"/>
    <x v="52"/>
    <x v="52"/>
    <n v="10698530"/>
    <n v="680505"/>
    <n v="693922"/>
    <n v="107635"/>
    <n v="1940596"/>
  </r>
  <r>
    <x v="30"/>
    <x v="30"/>
    <x v="52"/>
    <x v="52"/>
    <n v="24893"/>
    <n v="1578"/>
    <n v="2314"/>
    <n v="638"/>
    <n v="0"/>
  </r>
  <r>
    <x v="31"/>
    <x v="31"/>
    <x v="52"/>
    <x v="52"/>
    <n v="991106"/>
    <n v="21336"/>
    <n v="19646"/>
    <n v="6674"/>
    <n v="241032"/>
  </r>
  <r>
    <x v="32"/>
    <x v="32"/>
    <x v="52"/>
    <x v="52"/>
    <n v="0"/>
    <n v="0"/>
    <n v="0"/>
    <n v="0"/>
    <n v="0"/>
  </r>
  <r>
    <x v="33"/>
    <x v="33"/>
    <x v="52"/>
    <x v="52"/>
    <n v="0"/>
    <n v="0"/>
    <n v="0"/>
    <n v="0"/>
    <n v="0"/>
  </r>
  <r>
    <x v="34"/>
    <x v="34"/>
    <x v="52"/>
    <x v="52"/>
    <n v="0"/>
    <n v="0"/>
    <n v="0"/>
    <n v="0"/>
    <n v="0"/>
  </r>
  <r>
    <x v="35"/>
    <x v="35"/>
    <x v="52"/>
    <x v="52"/>
    <n v="0"/>
    <n v="0"/>
    <n v="0"/>
    <n v="0"/>
    <n v="0"/>
  </r>
  <r>
    <x v="36"/>
    <x v="36"/>
    <x v="52"/>
    <x v="52"/>
    <n v="262224"/>
    <n v="3587"/>
    <n v="12187"/>
    <n v="797"/>
    <n v="116427"/>
  </r>
  <r>
    <x v="37"/>
    <x v="37"/>
    <x v="52"/>
    <x v="52"/>
    <n v="0"/>
    <n v="0"/>
    <n v="0"/>
    <n v="0"/>
    <n v="0"/>
  </r>
  <r>
    <x v="38"/>
    <x v="38"/>
    <x v="52"/>
    <x v="52"/>
    <n v="17012519"/>
    <n v="820249"/>
    <n v="1321495"/>
    <n v="150898"/>
    <n v="5321773"/>
  </r>
  <r>
    <x v="39"/>
    <x v="39"/>
    <x v="52"/>
    <x v="52"/>
    <n v="9542714"/>
    <n v="0"/>
    <n v="0"/>
    <n v="0"/>
    <n v="0"/>
  </r>
  <r>
    <x v="40"/>
    <x v="40"/>
    <x v="52"/>
    <x v="52"/>
    <n v="0"/>
    <n v="0"/>
    <n v="0"/>
    <n v="0"/>
    <n v="0"/>
  </r>
  <r>
    <x v="41"/>
    <x v="41"/>
    <x v="52"/>
    <x v="52"/>
    <n v="0"/>
    <n v="0"/>
    <n v="0"/>
    <n v="0"/>
    <n v="0"/>
  </r>
  <r>
    <x v="42"/>
    <x v="42"/>
    <x v="52"/>
    <x v="52"/>
    <n v="0"/>
    <n v="0"/>
    <n v="0"/>
    <n v="0"/>
    <n v="0"/>
  </r>
  <r>
    <x v="43"/>
    <x v="43"/>
    <x v="52"/>
    <x v="52"/>
    <n v="5200859"/>
    <n v="700025"/>
    <n v="1094583"/>
    <n v="64381"/>
    <n v="0"/>
  </r>
  <r>
    <x v="44"/>
    <x v="44"/>
    <x v="52"/>
    <x v="52"/>
    <n v="21286235"/>
    <n v="16398"/>
    <n v="30375"/>
    <n v="3039"/>
    <n v="0"/>
  </r>
  <r>
    <x v="45"/>
    <x v="45"/>
    <x v="52"/>
    <x v="52"/>
    <n v="830719"/>
    <n v="0"/>
    <n v="0"/>
    <n v="0"/>
    <n v="0"/>
  </r>
  <r>
    <x v="46"/>
    <x v="46"/>
    <x v="52"/>
    <x v="52"/>
    <n v="1350426"/>
    <n v="0"/>
    <n v="0"/>
    <n v="0"/>
    <n v="0"/>
  </r>
  <r>
    <x v="47"/>
    <x v="47"/>
    <x v="52"/>
    <x v="52"/>
    <n v="0"/>
    <n v="0"/>
    <n v="0"/>
    <n v="0"/>
    <n v="0"/>
  </r>
  <r>
    <x v="48"/>
    <x v="48"/>
    <x v="52"/>
    <x v="52"/>
    <n v="0"/>
    <n v="-6159194"/>
    <n v="-5955711"/>
    <n v="0"/>
    <n v="0"/>
  </r>
  <r>
    <x v="49"/>
    <x v="49"/>
    <x v="52"/>
    <x v="52"/>
    <n v="5773836"/>
    <n v="0"/>
    <n v="0"/>
    <n v="0"/>
    <n v="0"/>
  </r>
  <r>
    <x v="50"/>
    <x v="50"/>
    <x v="52"/>
    <x v="52"/>
    <n v="6143918"/>
    <n v="0"/>
    <n v="0"/>
    <n v="-850676"/>
    <n v="0"/>
  </r>
  <r>
    <x v="51"/>
    <x v="51"/>
    <x v="52"/>
    <x v="52"/>
    <n v="23845456"/>
    <n v="0"/>
    <n v="0"/>
    <n v="0"/>
    <n v="0"/>
  </r>
  <r>
    <x v="52"/>
    <x v="52"/>
    <x v="52"/>
    <x v="52"/>
    <n v="213563295"/>
    <n v="0"/>
    <n v="0"/>
    <n v="0"/>
    <n v="0"/>
  </r>
  <r>
    <x v="53"/>
    <x v="53"/>
    <x v="52"/>
    <x v="52"/>
    <n v="22004330"/>
    <n v="0"/>
    <n v="0"/>
    <n v="0"/>
    <n v="0"/>
  </r>
  <r>
    <x v="54"/>
    <x v="54"/>
    <x v="52"/>
    <x v="52"/>
    <n v="110809260"/>
    <n v="0"/>
    <n v="0"/>
    <n v="0"/>
    <n v="23567511"/>
  </r>
  <r>
    <x v="55"/>
    <x v="55"/>
    <x v="52"/>
    <x v="52"/>
    <n v="20876103"/>
    <n v="0"/>
    <n v="0"/>
    <n v="0"/>
    <n v="0"/>
  </r>
  <r>
    <x v="56"/>
    <x v="56"/>
    <x v="52"/>
    <x v="52"/>
    <n v="25117424"/>
    <n v="0"/>
    <n v="0"/>
    <n v="0"/>
    <n v="0"/>
  </r>
  <r>
    <x v="57"/>
    <x v="57"/>
    <x v="52"/>
    <x v="52"/>
    <n v="13356205"/>
    <n v="0"/>
    <n v="0"/>
    <n v="0"/>
    <n v="1522195"/>
  </r>
  <r>
    <x v="58"/>
    <x v="58"/>
    <x v="52"/>
    <x v="52"/>
    <n v="542128847"/>
    <n v="0"/>
    <n v="0"/>
    <n v="0"/>
    <n v="36584093"/>
  </r>
  <r>
    <x v="59"/>
    <x v="59"/>
    <x v="52"/>
    <x v="52"/>
    <n v="376967948"/>
    <n v="0"/>
    <n v="0"/>
    <n v="0"/>
    <n v="0"/>
  </r>
  <r>
    <x v="60"/>
    <x v="60"/>
    <x v="52"/>
    <x v="52"/>
    <n v="568994615"/>
    <n v="0"/>
    <n v="0"/>
    <n v="0"/>
    <n v="0"/>
  </r>
  <r>
    <x v="61"/>
    <x v="61"/>
    <x v="52"/>
    <x v="52"/>
    <n v="135087385"/>
    <n v="0"/>
    <n v="0"/>
    <n v="0"/>
    <n v="0"/>
  </r>
  <r>
    <x v="62"/>
    <x v="62"/>
    <x v="52"/>
    <x v="52"/>
    <n v="103782658"/>
    <n v="0"/>
    <n v="0"/>
    <n v="0"/>
    <n v="0"/>
  </r>
  <r>
    <x v="63"/>
    <x v="63"/>
    <x v="52"/>
    <x v="52"/>
    <n v="1184832606"/>
    <n v="0"/>
    <n v="0"/>
    <n v="0"/>
    <n v="0"/>
  </r>
  <r>
    <x v="64"/>
    <x v="64"/>
    <x v="52"/>
    <x v="52"/>
    <n v="1726961453"/>
    <n v="0"/>
    <n v="0"/>
    <n v="0"/>
    <n v="0"/>
  </r>
  <r>
    <x v="0"/>
    <x v="0"/>
    <x v="53"/>
    <x v="53"/>
    <n v="0"/>
    <n v="0"/>
    <n v="0"/>
    <n v="0"/>
    <n v="0"/>
  </r>
  <r>
    <x v="1"/>
    <x v="1"/>
    <x v="53"/>
    <x v="53"/>
    <n v="0"/>
    <n v="0"/>
    <n v="0"/>
    <n v="0"/>
    <n v="0"/>
  </r>
  <r>
    <x v="2"/>
    <x v="2"/>
    <x v="53"/>
    <x v="53"/>
    <n v="0"/>
    <n v="0"/>
    <n v="0"/>
    <n v="0"/>
    <n v="0"/>
  </r>
  <r>
    <x v="3"/>
    <x v="3"/>
    <x v="53"/>
    <x v="53"/>
    <n v="0"/>
    <n v="0"/>
    <n v="0"/>
    <n v="0"/>
    <n v="0"/>
  </r>
  <r>
    <x v="4"/>
    <x v="4"/>
    <x v="53"/>
    <x v="53"/>
    <n v="0"/>
    <n v="0"/>
    <n v="0"/>
    <n v="0"/>
    <n v="0"/>
  </r>
  <r>
    <x v="5"/>
    <x v="5"/>
    <x v="53"/>
    <x v="53"/>
    <n v="0"/>
    <n v="0"/>
    <n v="0"/>
    <n v="0"/>
    <n v="0"/>
  </r>
  <r>
    <x v="6"/>
    <x v="6"/>
    <x v="53"/>
    <x v="53"/>
    <n v="0"/>
    <n v="0"/>
    <n v="0"/>
    <n v="0"/>
    <n v="0"/>
  </r>
  <r>
    <x v="7"/>
    <x v="7"/>
    <x v="53"/>
    <x v="53"/>
    <n v="1997"/>
    <n v="446"/>
    <n v="337"/>
    <n v="59"/>
    <n v="0"/>
  </r>
  <r>
    <x v="8"/>
    <x v="8"/>
    <x v="53"/>
    <x v="53"/>
    <n v="0"/>
    <n v="0"/>
    <n v="0"/>
    <n v="0"/>
    <n v="0"/>
  </r>
  <r>
    <x v="9"/>
    <x v="9"/>
    <x v="53"/>
    <x v="53"/>
    <n v="0"/>
    <n v="0"/>
    <n v="0"/>
    <n v="0"/>
    <n v="0"/>
  </r>
  <r>
    <x v="10"/>
    <x v="10"/>
    <x v="53"/>
    <x v="53"/>
    <n v="0"/>
    <n v="0"/>
    <n v="0"/>
    <n v="0"/>
    <n v="0"/>
  </r>
  <r>
    <x v="11"/>
    <x v="11"/>
    <x v="53"/>
    <x v="53"/>
    <n v="0"/>
    <n v="0"/>
    <n v="0"/>
    <n v="0"/>
    <n v="0"/>
  </r>
  <r>
    <x v="12"/>
    <x v="12"/>
    <x v="53"/>
    <x v="53"/>
    <n v="0"/>
    <n v="0"/>
    <n v="0"/>
    <n v="0"/>
    <n v="0"/>
  </r>
  <r>
    <x v="13"/>
    <x v="13"/>
    <x v="53"/>
    <x v="53"/>
    <n v="0"/>
    <n v="0"/>
    <n v="0"/>
    <n v="0"/>
    <n v="0"/>
  </r>
  <r>
    <x v="14"/>
    <x v="14"/>
    <x v="53"/>
    <x v="53"/>
    <n v="0"/>
    <n v="0"/>
    <n v="0"/>
    <n v="0"/>
    <n v="0"/>
  </r>
  <r>
    <x v="15"/>
    <x v="15"/>
    <x v="53"/>
    <x v="53"/>
    <n v="0"/>
    <n v="0"/>
    <n v="0"/>
    <n v="0"/>
    <n v="0"/>
  </r>
  <r>
    <x v="16"/>
    <x v="16"/>
    <x v="53"/>
    <x v="53"/>
    <n v="0"/>
    <n v="0"/>
    <n v="0"/>
    <n v="0"/>
    <n v="0"/>
  </r>
  <r>
    <x v="17"/>
    <x v="17"/>
    <x v="53"/>
    <x v="53"/>
    <n v="0"/>
    <n v="0"/>
    <n v="0"/>
    <n v="0"/>
    <n v="0"/>
  </r>
  <r>
    <x v="18"/>
    <x v="18"/>
    <x v="53"/>
    <x v="53"/>
    <n v="0"/>
    <n v="0"/>
    <n v="0"/>
    <n v="0"/>
    <n v="0"/>
  </r>
  <r>
    <x v="19"/>
    <x v="19"/>
    <x v="53"/>
    <x v="53"/>
    <n v="0"/>
    <n v="0"/>
    <n v="0"/>
    <n v="0"/>
    <n v="0"/>
  </r>
  <r>
    <x v="20"/>
    <x v="20"/>
    <x v="53"/>
    <x v="53"/>
    <n v="46724"/>
    <n v="5834"/>
    <n v="9235"/>
    <n v="1314"/>
    <n v="0"/>
  </r>
  <r>
    <x v="21"/>
    <x v="21"/>
    <x v="53"/>
    <x v="53"/>
    <n v="0"/>
    <n v="0"/>
    <n v="0"/>
    <n v="0"/>
    <n v="0"/>
  </r>
  <r>
    <x v="22"/>
    <x v="22"/>
    <x v="53"/>
    <x v="53"/>
    <n v="0"/>
    <n v="0"/>
    <n v="0"/>
    <n v="0"/>
    <n v="0"/>
  </r>
  <r>
    <x v="23"/>
    <x v="23"/>
    <x v="53"/>
    <x v="53"/>
    <n v="17239"/>
    <n v="1520"/>
    <n v="3009"/>
    <n v="107"/>
    <n v="7286"/>
  </r>
  <r>
    <x v="24"/>
    <x v="24"/>
    <x v="53"/>
    <x v="53"/>
    <n v="530065"/>
    <n v="26039"/>
    <n v="25363"/>
    <n v="5915"/>
    <n v="0"/>
  </r>
  <r>
    <x v="25"/>
    <x v="25"/>
    <x v="53"/>
    <x v="53"/>
    <n v="64720"/>
    <n v="2565"/>
    <n v="5961"/>
    <n v="599"/>
    <n v="0"/>
  </r>
  <r>
    <x v="26"/>
    <x v="26"/>
    <x v="53"/>
    <x v="53"/>
    <n v="0"/>
    <n v="0"/>
    <n v="0"/>
    <n v="0"/>
    <n v="0"/>
  </r>
  <r>
    <x v="27"/>
    <x v="27"/>
    <x v="53"/>
    <x v="53"/>
    <n v="15267"/>
    <n v="1620"/>
    <n v="1999"/>
    <n v="609"/>
    <n v="0"/>
  </r>
  <r>
    <x v="28"/>
    <x v="28"/>
    <x v="53"/>
    <x v="53"/>
    <n v="165878"/>
    <n v="18615"/>
    <n v="18501"/>
    <n v="2429"/>
    <n v="34092"/>
  </r>
  <r>
    <x v="29"/>
    <x v="29"/>
    <x v="53"/>
    <x v="53"/>
    <n v="1659698"/>
    <n v="91217"/>
    <n v="97552"/>
    <n v="15603"/>
    <n v="314864"/>
  </r>
  <r>
    <x v="30"/>
    <x v="30"/>
    <x v="53"/>
    <x v="53"/>
    <n v="0"/>
    <n v="0"/>
    <n v="0"/>
    <n v="0"/>
    <n v="0"/>
  </r>
  <r>
    <x v="31"/>
    <x v="31"/>
    <x v="53"/>
    <x v="53"/>
    <n v="209689"/>
    <n v="11426"/>
    <n v="14245"/>
    <n v="1526"/>
    <n v="52695"/>
  </r>
  <r>
    <x v="32"/>
    <x v="32"/>
    <x v="53"/>
    <x v="53"/>
    <n v="74113"/>
    <n v="3336"/>
    <n v="5219"/>
    <n v="1349"/>
    <n v="0"/>
  </r>
  <r>
    <x v="33"/>
    <x v="33"/>
    <x v="53"/>
    <x v="53"/>
    <n v="17105"/>
    <n v="368"/>
    <n v="421"/>
    <n v="180"/>
    <n v="0"/>
  </r>
  <r>
    <x v="34"/>
    <x v="34"/>
    <x v="53"/>
    <x v="53"/>
    <n v="0"/>
    <n v="0"/>
    <n v="0"/>
    <n v="0"/>
    <n v="0"/>
  </r>
  <r>
    <x v="35"/>
    <x v="35"/>
    <x v="53"/>
    <x v="53"/>
    <n v="0"/>
    <n v="0"/>
    <n v="0"/>
    <n v="0"/>
    <n v="0"/>
  </r>
  <r>
    <x v="36"/>
    <x v="36"/>
    <x v="53"/>
    <x v="53"/>
    <n v="412552"/>
    <n v="16498"/>
    <n v="29572"/>
    <n v="1944"/>
    <n v="147817"/>
  </r>
  <r>
    <x v="37"/>
    <x v="37"/>
    <x v="53"/>
    <x v="53"/>
    <n v="122009"/>
    <n v="5041"/>
    <n v="0"/>
    <n v="1152"/>
    <n v="0"/>
  </r>
  <r>
    <x v="38"/>
    <x v="38"/>
    <x v="53"/>
    <x v="53"/>
    <n v="1917524"/>
    <n v="96399"/>
    <n v="134099"/>
    <n v="17588"/>
    <n v="0"/>
  </r>
  <r>
    <x v="39"/>
    <x v="39"/>
    <x v="53"/>
    <x v="53"/>
    <n v="604956"/>
    <n v="0"/>
    <n v="0"/>
    <n v="0"/>
    <n v="0"/>
  </r>
  <r>
    <x v="40"/>
    <x v="40"/>
    <x v="53"/>
    <x v="53"/>
    <n v="0"/>
    <n v="0"/>
    <n v="0"/>
    <n v="0"/>
    <n v="0"/>
  </r>
  <r>
    <x v="41"/>
    <x v="41"/>
    <x v="53"/>
    <x v="53"/>
    <n v="0"/>
    <n v="0"/>
    <n v="0"/>
    <n v="0"/>
    <n v="0"/>
  </r>
  <r>
    <x v="42"/>
    <x v="42"/>
    <x v="53"/>
    <x v="53"/>
    <n v="0"/>
    <n v="0"/>
    <n v="0"/>
    <n v="0"/>
    <n v="0"/>
  </r>
  <r>
    <x v="43"/>
    <x v="43"/>
    <x v="53"/>
    <x v="53"/>
    <n v="573739"/>
    <n v="48357"/>
    <n v="64269"/>
    <n v="7082"/>
    <n v="0"/>
  </r>
  <r>
    <x v="44"/>
    <x v="44"/>
    <x v="53"/>
    <x v="53"/>
    <n v="24293893"/>
    <n v="1014"/>
    <n v="1763"/>
    <n v="185"/>
    <n v="0"/>
  </r>
  <r>
    <x v="45"/>
    <x v="45"/>
    <x v="53"/>
    <x v="53"/>
    <n v="1060553"/>
    <n v="0"/>
    <n v="0"/>
    <n v="0"/>
    <n v="0"/>
  </r>
  <r>
    <x v="46"/>
    <x v="46"/>
    <x v="53"/>
    <x v="53"/>
    <n v="2103181"/>
    <n v="0"/>
    <n v="0"/>
    <n v="0"/>
    <n v="0"/>
  </r>
  <r>
    <x v="47"/>
    <x v="47"/>
    <x v="53"/>
    <x v="53"/>
    <n v="0"/>
    <n v="0"/>
    <n v="0"/>
    <n v="0"/>
    <n v="0"/>
  </r>
  <r>
    <x v="48"/>
    <x v="48"/>
    <x v="53"/>
    <x v="53"/>
    <n v="0"/>
    <n v="-330295"/>
    <n v="-411545"/>
    <n v="0"/>
    <n v="0"/>
  </r>
  <r>
    <x v="49"/>
    <x v="49"/>
    <x v="53"/>
    <x v="53"/>
    <n v="897658"/>
    <n v="0"/>
    <n v="0"/>
    <n v="0"/>
    <n v="0"/>
  </r>
  <r>
    <x v="50"/>
    <x v="50"/>
    <x v="53"/>
    <x v="53"/>
    <n v="1995592"/>
    <n v="0"/>
    <n v="0"/>
    <n v="-57641"/>
    <n v="0"/>
  </r>
  <r>
    <x v="51"/>
    <x v="51"/>
    <x v="53"/>
    <x v="53"/>
    <n v="914818"/>
    <n v="0"/>
    <n v="0"/>
    <n v="0"/>
    <n v="0"/>
  </r>
  <r>
    <x v="52"/>
    <x v="52"/>
    <x v="53"/>
    <x v="53"/>
    <n v="60408560"/>
    <n v="0"/>
    <n v="0"/>
    <n v="0"/>
    <n v="0"/>
  </r>
  <r>
    <x v="53"/>
    <x v="53"/>
    <x v="53"/>
    <x v="53"/>
    <n v="311667"/>
    <n v="0"/>
    <n v="0"/>
    <n v="0"/>
    <n v="0"/>
  </r>
  <r>
    <x v="54"/>
    <x v="54"/>
    <x v="53"/>
    <x v="53"/>
    <n v="54880222"/>
    <n v="0"/>
    <n v="0"/>
    <n v="0"/>
    <n v="0"/>
  </r>
  <r>
    <x v="55"/>
    <x v="55"/>
    <x v="53"/>
    <x v="53"/>
    <n v="3253045"/>
    <n v="0"/>
    <n v="0"/>
    <n v="0"/>
    <n v="0"/>
  </r>
  <r>
    <x v="56"/>
    <x v="56"/>
    <x v="53"/>
    <x v="53"/>
    <n v="1354877"/>
    <n v="0"/>
    <n v="0"/>
    <n v="0"/>
    <n v="0"/>
  </r>
  <r>
    <x v="57"/>
    <x v="57"/>
    <x v="53"/>
    <x v="53"/>
    <n v="1820734"/>
    <n v="0"/>
    <n v="0"/>
    <n v="0"/>
    <n v="204940"/>
  </r>
  <r>
    <x v="58"/>
    <x v="58"/>
    <x v="53"/>
    <x v="53"/>
    <n v="159728075"/>
    <n v="0"/>
    <n v="0"/>
    <n v="0"/>
    <n v="761694"/>
  </r>
  <r>
    <x v="59"/>
    <x v="59"/>
    <x v="53"/>
    <x v="53"/>
    <n v="56449574"/>
    <n v="0"/>
    <n v="0"/>
    <n v="0"/>
    <n v="0"/>
  </r>
  <r>
    <x v="60"/>
    <x v="60"/>
    <x v="53"/>
    <x v="53"/>
    <n v="100405038"/>
    <n v="0"/>
    <n v="0"/>
    <n v="0"/>
    <n v="0"/>
  </r>
  <r>
    <x v="61"/>
    <x v="61"/>
    <x v="53"/>
    <x v="53"/>
    <n v="316387538"/>
    <n v="0"/>
    <n v="0"/>
    <n v="0"/>
    <n v="0"/>
  </r>
  <r>
    <x v="62"/>
    <x v="62"/>
    <x v="53"/>
    <x v="53"/>
    <n v="18624255"/>
    <n v="0"/>
    <n v="0"/>
    <n v="0"/>
    <n v="0"/>
  </r>
  <r>
    <x v="63"/>
    <x v="63"/>
    <x v="53"/>
    <x v="53"/>
    <n v="491866405"/>
    <n v="0"/>
    <n v="0"/>
    <n v="0"/>
    <n v="0"/>
  </r>
  <r>
    <x v="64"/>
    <x v="64"/>
    <x v="53"/>
    <x v="53"/>
    <n v="651594480"/>
    <n v="0"/>
    <n v="0"/>
    <n v="0"/>
    <n v="0"/>
  </r>
  <r>
    <x v="0"/>
    <x v="0"/>
    <x v="54"/>
    <x v="54"/>
    <n v="0"/>
    <n v="0"/>
    <n v="0"/>
    <n v="0"/>
    <n v="0"/>
  </r>
  <r>
    <x v="1"/>
    <x v="1"/>
    <x v="54"/>
    <x v="54"/>
    <n v="0"/>
    <n v="0"/>
    <n v="0"/>
    <n v="0"/>
    <n v="0"/>
  </r>
  <r>
    <x v="2"/>
    <x v="2"/>
    <x v="54"/>
    <x v="54"/>
    <n v="0"/>
    <n v="0"/>
    <n v="0"/>
    <n v="0"/>
    <n v="0"/>
  </r>
  <r>
    <x v="3"/>
    <x v="3"/>
    <x v="54"/>
    <x v="54"/>
    <n v="0"/>
    <n v="0"/>
    <n v="0"/>
    <n v="0"/>
    <n v="0"/>
  </r>
  <r>
    <x v="4"/>
    <x v="4"/>
    <x v="54"/>
    <x v="54"/>
    <n v="0"/>
    <n v="0"/>
    <n v="0"/>
    <n v="0"/>
    <n v="0"/>
  </r>
  <r>
    <x v="5"/>
    <x v="5"/>
    <x v="54"/>
    <x v="54"/>
    <n v="0"/>
    <n v="0"/>
    <n v="0"/>
    <n v="0"/>
    <n v="0"/>
  </r>
  <r>
    <x v="6"/>
    <x v="6"/>
    <x v="54"/>
    <x v="54"/>
    <n v="0"/>
    <n v="0"/>
    <n v="0"/>
    <n v="0"/>
    <n v="0"/>
  </r>
  <r>
    <x v="7"/>
    <x v="7"/>
    <x v="54"/>
    <x v="54"/>
    <n v="402488"/>
    <n v="22446"/>
    <n v="35464"/>
    <n v="8277"/>
    <n v="0"/>
  </r>
  <r>
    <x v="8"/>
    <x v="8"/>
    <x v="54"/>
    <x v="54"/>
    <n v="0"/>
    <n v="0"/>
    <n v="0"/>
    <n v="0"/>
    <n v="0"/>
  </r>
  <r>
    <x v="9"/>
    <x v="9"/>
    <x v="54"/>
    <x v="54"/>
    <n v="0"/>
    <n v="0"/>
    <n v="0"/>
    <n v="0"/>
    <n v="0"/>
  </r>
  <r>
    <x v="10"/>
    <x v="10"/>
    <x v="54"/>
    <x v="54"/>
    <n v="0"/>
    <n v="0"/>
    <n v="0"/>
    <n v="0"/>
    <n v="0"/>
  </r>
  <r>
    <x v="11"/>
    <x v="11"/>
    <x v="54"/>
    <x v="54"/>
    <n v="0"/>
    <n v="0"/>
    <n v="0"/>
    <n v="0"/>
    <n v="0"/>
  </r>
  <r>
    <x v="12"/>
    <x v="12"/>
    <x v="54"/>
    <x v="54"/>
    <n v="0"/>
    <n v="0"/>
    <n v="0"/>
    <n v="0"/>
    <n v="0"/>
  </r>
  <r>
    <x v="13"/>
    <x v="13"/>
    <x v="54"/>
    <x v="54"/>
    <n v="0"/>
    <n v="0"/>
    <n v="0"/>
    <n v="0"/>
    <n v="0"/>
  </r>
  <r>
    <x v="14"/>
    <x v="14"/>
    <x v="54"/>
    <x v="54"/>
    <n v="0"/>
    <n v="0"/>
    <n v="0"/>
    <n v="0"/>
    <n v="0"/>
  </r>
  <r>
    <x v="15"/>
    <x v="15"/>
    <x v="54"/>
    <x v="54"/>
    <n v="0"/>
    <n v="0"/>
    <n v="0"/>
    <n v="0"/>
    <n v="0"/>
  </r>
  <r>
    <x v="16"/>
    <x v="16"/>
    <x v="54"/>
    <x v="54"/>
    <n v="0"/>
    <n v="0"/>
    <n v="0"/>
    <n v="0"/>
    <n v="0"/>
  </r>
  <r>
    <x v="17"/>
    <x v="17"/>
    <x v="54"/>
    <x v="54"/>
    <n v="0"/>
    <n v="0"/>
    <n v="0"/>
    <n v="0"/>
    <n v="0"/>
  </r>
  <r>
    <x v="18"/>
    <x v="18"/>
    <x v="54"/>
    <x v="54"/>
    <n v="127257"/>
    <n v="2191"/>
    <n v="7554"/>
    <n v="1367"/>
    <n v="0"/>
  </r>
  <r>
    <x v="19"/>
    <x v="19"/>
    <x v="54"/>
    <x v="54"/>
    <n v="0"/>
    <n v="0"/>
    <n v="0"/>
    <n v="0"/>
    <n v="0"/>
  </r>
  <r>
    <x v="20"/>
    <x v="20"/>
    <x v="54"/>
    <x v="54"/>
    <n v="1624947"/>
    <n v="135321"/>
    <n v="329900"/>
    <n v="42574"/>
    <n v="0"/>
  </r>
  <r>
    <x v="21"/>
    <x v="21"/>
    <x v="54"/>
    <x v="54"/>
    <n v="0"/>
    <n v="0"/>
    <n v="0"/>
    <n v="0"/>
    <n v="0"/>
  </r>
  <r>
    <x v="22"/>
    <x v="22"/>
    <x v="54"/>
    <x v="54"/>
    <n v="506087"/>
    <n v="45943"/>
    <n v="51944"/>
    <n v="7308"/>
    <n v="82409"/>
  </r>
  <r>
    <x v="23"/>
    <x v="23"/>
    <x v="54"/>
    <x v="54"/>
    <n v="2134412"/>
    <n v="111377"/>
    <n v="208789"/>
    <n v="11273"/>
    <n v="535531"/>
  </r>
  <r>
    <x v="24"/>
    <x v="24"/>
    <x v="54"/>
    <x v="54"/>
    <n v="12935606"/>
    <n v="528070"/>
    <n v="504365"/>
    <n v="182626"/>
    <n v="1947289"/>
  </r>
  <r>
    <x v="25"/>
    <x v="25"/>
    <x v="54"/>
    <x v="54"/>
    <n v="46457768"/>
    <n v="3342877"/>
    <n v="4508750"/>
    <n v="359165"/>
    <n v="21702798"/>
  </r>
  <r>
    <x v="26"/>
    <x v="26"/>
    <x v="54"/>
    <x v="54"/>
    <n v="1054978"/>
    <n v="75950"/>
    <n v="35137"/>
    <n v="20501"/>
    <n v="583603"/>
  </r>
  <r>
    <x v="27"/>
    <x v="27"/>
    <x v="54"/>
    <x v="54"/>
    <n v="2012185"/>
    <n v="187063"/>
    <n v="177230"/>
    <n v="68616"/>
    <n v="0"/>
  </r>
  <r>
    <x v="28"/>
    <x v="28"/>
    <x v="54"/>
    <x v="54"/>
    <n v="4601275"/>
    <n v="424491"/>
    <n v="418210"/>
    <n v="59265"/>
    <n v="1619786"/>
  </r>
  <r>
    <x v="29"/>
    <x v="29"/>
    <x v="54"/>
    <x v="54"/>
    <n v="44409071"/>
    <n v="2163121"/>
    <n v="2088776"/>
    <n v="392851"/>
    <n v="8527644"/>
  </r>
  <r>
    <x v="30"/>
    <x v="30"/>
    <x v="54"/>
    <x v="54"/>
    <n v="1207955"/>
    <n v="75439"/>
    <n v="83177"/>
    <n v="14888"/>
    <n v="0"/>
  </r>
  <r>
    <x v="31"/>
    <x v="31"/>
    <x v="54"/>
    <x v="54"/>
    <n v="881696"/>
    <n v="47757"/>
    <n v="65923"/>
    <n v="6588"/>
    <n v="229365"/>
  </r>
  <r>
    <x v="32"/>
    <x v="32"/>
    <x v="54"/>
    <x v="54"/>
    <n v="0"/>
    <n v="0"/>
    <n v="0"/>
    <n v="0"/>
    <n v="0"/>
  </r>
  <r>
    <x v="33"/>
    <x v="33"/>
    <x v="54"/>
    <x v="54"/>
    <n v="0"/>
    <n v="0"/>
    <n v="0"/>
    <n v="0"/>
    <n v="0"/>
  </r>
  <r>
    <x v="34"/>
    <x v="34"/>
    <x v="54"/>
    <x v="54"/>
    <n v="1953550"/>
    <n v="79713"/>
    <n v="90036"/>
    <n v="23264"/>
    <n v="505196"/>
  </r>
  <r>
    <x v="35"/>
    <x v="35"/>
    <x v="54"/>
    <x v="54"/>
    <n v="35653"/>
    <n v="2022"/>
    <n v="985"/>
    <n v="57"/>
    <n v="21136"/>
  </r>
  <r>
    <x v="36"/>
    <x v="36"/>
    <x v="54"/>
    <x v="54"/>
    <n v="4123073"/>
    <n v="81565"/>
    <n v="198991"/>
    <n v="20387"/>
    <n v="1445180"/>
  </r>
  <r>
    <x v="37"/>
    <x v="37"/>
    <x v="54"/>
    <x v="54"/>
    <n v="11574443"/>
    <n v="938681"/>
    <n v="0"/>
    <n v="183865"/>
    <n v="2256810"/>
  </r>
  <r>
    <x v="38"/>
    <x v="38"/>
    <x v="54"/>
    <x v="54"/>
    <n v="72548698"/>
    <n v="2423434"/>
    <n v="4448958"/>
    <n v="613132"/>
    <n v="33992039"/>
  </r>
  <r>
    <x v="39"/>
    <x v="39"/>
    <x v="54"/>
    <x v="54"/>
    <n v="14589888"/>
    <n v="3311"/>
    <n v="6432"/>
    <n v="410"/>
    <n v="0"/>
  </r>
  <r>
    <x v="40"/>
    <x v="40"/>
    <x v="54"/>
    <x v="54"/>
    <n v="0"/>
    <n v="0"/>
    <n v="0"/>
    <n v="0"/>
    <n v="0"/>
  </r>
  <r>
    <x v="41"/>
    <x v="41"/>
    <x v="54"/>
    <x v="54"/>
    <n v="605010"/>
    <n v="18322"/>
    <n v="39909"/>
    <n v="3324"/>
    <n v="0"/>
  </r>
  <r>
    <x v="42"/>
    <x v="42"/>
    <x v="54"/>
    <x v="54"/>
    <n v="1119138"/>
    <n v="85819"/>
    <n v="212822"/>
    <n v="11127"/>
    <n v="0"/>
  </r>
  <r>
    <x v="43"/>
    <x v="43"/>
    <x v="54"/>
    <x v="54"/>
    <n v="21172129"/>
    <n v="1296613"/>
    <n v="1121457"/>
    <n v="198719"/>
    <n v="4099102"/>
  </r>
  <r>
    <x v="44"/>
    <x v="44"/>
    <x v="54"/>
    <x v="54"/>
    <n v="13351247"/>
    <n v="4859"/>
    <n v="8356"/>
    <n v="899"/>
    <n v="0"/>
  </r>
  <r>
    <x v="45"/>
    <x v="45"/>
    <x v="54"/>
    <x v="54"/>
    <n v="1217750"/>
    <n v="0"/>
    <n v="0"/>
    <n v="0"/>
    <n v="0"/>
  </r>
  <r>
    <x v="46"/>
    <x v="46"/>
    <x v="54"/>
    <x v="54"/>
    <n v="1475534"/>
    <n v="0"/>
    <n v="0"/>
    <n v="0"/>
    <n v="0"/>
  </r>
  <r>
    <x v="47"/>
    <x v="47"/>
    <x v="54"/>
    <x v="54"/>
    <n v="0"/>
    <n v="0"/>
    <n v="0"/>
    <n v="0"/>
    <n v="0"/>
  </r>
  <r>
    <x v="48"/>
    <x v="48"/>
    <x v="54"/>
    <x v="54"/>
    <n v="0"/>
    <n v="-12096385"/>
    <n v="-14643165"/>
    <n v="0"/>
    <n v="0"/>
  </r>
  <r>
    <x v="49"/>
    <x v="49"/>
    <x v="54"/>
    <x v="54"/>
    <n v="48945992"/>
    <n v="0"/>
    <n v="0"/>
    <n v="0"/>
    <n v="0"/>
  </r>
  <r>
    <x v="50"/>
    <x v="50"/>
    <x v="54"/>
    <x v="54"/>
    <n v="20185204"/>
    <n v="0"/>
    <n v="0"/>
    <n v="-2230483"/>
    <n v="0"/>
  </r>
  <r>
    <x v="51"/>
    <x v="51"/>
    <x v="54"/>
    <x v="54"/>
    <n v="59111127"/>
    <n v="0"/>
    <n v="0"/>
    <n v="0"/>
    <n v="0"/>
  </r>
  <r>
    <x v="52"/>
    <x v="52"/>
    <x v="54"/>
    <x v="54"/>
    <n v="56303539"/>
    <n v="0"/>
    <n v="0"/>
    <n v="0"/>
    <n v="2608551"/>
  </r>
  <r>
    <x v="53"/>
    <x v="53"/>
    <x v="54"/>
    <x v="54"/>
    <n v="15056857"/>
    <n v="0"/>
    <n v="0"/>
    <n v="0"/>
    <n v="0"/>
  </r>
  <r>
    <x v="54"/>
    <x v="54"/>
    <x v="54"/>
    <x v="54"/>
    <n v="186257543"/>
    <n v="0"/>
    <n v="0"/>
    <n v="0"/>
    <n v="100702989"/>
  </r>
  <r>
    <x v="55"/>
    <x v="55"/>
    <x v="54"/>
    <x v="54"/>
    <n v="6517866"/>
    <n v="0"/>
    <n v="0"/>
    <n v="0"/>
    <n v="0"/>
  </r>
  <r>
    <x v="56"/>
    <x v="56"/>
    <x v="54"/>
    <x v="54"/>
    <n v="113010662"/>
    <n v="0"/>
    <n v="0"/>
    <n v="0"/>
    <n v="0"/>
  </r>
  <r>
    <x v="57"/>
    <x v="57"/>
    <x v="54"/>
    <x v="54"/>
    <n v="6982677"/>
    <n v="0"/>
    <n v="0"/>
    <n v="0"/>
    <n v="596446"/>
  </r>
  <r>
    <x v="58"/>
    <x v="58"/>
    <x v="54"/>
    <x v="54"/>
    <n v="774493305"/>
    <n v="0"/>
    <n v="0"/>
    <n v="0"/>
    <n v="181455874"/>
  </r>
  <r>
    <x v="59"/>
    <x v="59"/>
    <x v="54"/>
    <x v="54"/>
    <n v="157051770"/>
    <n v="0"/>
    <n v="0"/>
    <n v="0"/>
    <n v="0"/>
  </r>
  <r>
    <x v="60"/>
    <x v="60"/>
    <x v="54"/>
    <x v="54"/>
    <n v="200100257"/>
    <n v="0"/>
    <n v="0"/>
    <n v="0"/>
    <n v="0"/>
  </r>
  <r>
    <x v="61"/>
    <x v="61"/>
    <x v="54"/>
    <x v="54"/>
    <n v="73000455"/>
    <n v="0"/>
    <n v="0"/>
    <n v="0"/>
    <n v="0"/>
  </r>
  <r>
    <x v="62"/>
    <x v="62"/>
    <x v="54"/>
    <x v="54"/>
    <n v="29403529"/>
    <n v="0"/>
    <n v="0"/>
    <n v="0"/>
    <n v="0"/>
  </r>
  <r>
    <x v="63"/>
    <x v="63"/>
    <x v="54"/>
    <x v="54"/>
    <n v="459556011"/>
    <n v="0"/>
    <n v="0"/>
    <n v="0"/>
    <n v="0"/>
  </r>
  <r>
    <x v="64"/>
    <x v="64"/>
    <x v="54"/>
    <x v="54"/>
    <n v="1234049316"/>
    <n v="0"/>
    <n v="0"/>
    <n v="0"/>
    <n v="0"/>
  </r>
  <r>
    <x v="0"/>
    <x v="0"/>
    <x v="55"/>
    <x v="55"/>
    <n v="0"/>
    <n v="0"/>
    <n v="0"/>
    <n v="0"/>
    <n v="0"/>
  </r>
  <r>
    <x v="1"/>
    <x v="1"/>
    <x v="55"/>
    <x v="55"/>
    <n v="0"/>
    <n v="0"/>
    <n v="0"/>
    <n v="0"/>
    <n v="0"/>
  </r>
  <r>
    <x v="2"/>
    <x v="2"/>
    <x v="55"/>
    <x v="55"/>
    <n v="0"/>
    <n v="0"/>
    <n v="0"/>
    <n v="0"/>
    <n v="0"/>
  </r>
  <r>
    <x v="3"/>
    <x v="3"/>
    <x v="55"/>
    <x v="55"/>
    <n v="204294"/>
    <n v="3786"/>
    <n v="5155"/>
    <n v="280"/>
    <n v="171036"/>
  </r>
  <r>
    <x v="4"/>
    <x v="4"/>
    <x v="55"/>
    <x v="55"/>
    <n v="22284008"/>
    <n v="697011"/>
    <n v="793104"/>
    <n v="346591"/>
    <n v="0"/>
  </r>
  <r>
    <x v="5"/>
    <x v="5"/>
    <x v="55"/>
    <x v="55"/>
    <n v="0"/>
    <n v="0"/>
    <n v="0"/>
    <n v="0"/>
    <n v="0"/>
  </r>
  <r>
    <x v="6"/>
    <x v="6"/>
    <x v="55"/>
    <x v="55"/>
    <n v="0"/>
    <n v="0"/>
    <n v="0"/>
    <n v="0"/>
    <n v="0"/>
  </r>
  <r>
    <x v="7"/>
    <x v="7"/>
    <x v="55"/>
    <x v="55"/>
    <n v="170045"/>
    <n v="7980"/>
    <n v="3417"/>
    <n v="1784"/>
    <n v="100436"/>
  </r>
  <r>
    <x v="8"/>
    <x v="8"/>
    <x v="55"/>
    <x v="55"/>
    <n v="1403526"/>
    <n v="29136"/>
    <n v="92273"/>
    <n v="9379"/>
    <n v="0"/>
  </r>
  <r>
    <x v="9"/>
    <x v="9"/>
    <x v="55"/>
    <x v="55"/>
    <n v="20510"/>
    <n v="902"/>
    <n v="533"/>
    <n v="85"/>
    <n v="0"/>
  </r>
  <r>
    <x v="10"/>
    <x v="10"/>
    <x v="55"/>
    <x v="55"/>
    <n v="3605291"/>
    <n v="379284"/>
    <n v="328312"/>
    <n v="64410"/>
    <n v="91714"/>
  </r>
  <r>
    <x v="11"/>
    <x v="11"/>
    <x v="55"/>
    <x v="55"/>
    <n v="0"/>
    <n v="0"/>
    <n v="0"/>
    <n v="0"/>
    <n v="0"/>
  </r>
  <r>
    <x v="12"/>
    <x v="12"/>
    <x v="55"/>
    <x v="55"/>
    <n v="0"/>
    <n v="0"/>
    <n v="0"/>
    <n v="0"/>
    <n v="0"/>
  </r>
  <r>
    <x v="13"/>
    <x v="13"/>
    <x v="55"/>
    <x v="55"/>
    <n v="0"/>
    <n v="0"/>
    <n v="0"/>
    <n v="0"/>
    <n v="0"/>
  </r>
  <r>
    <x v="14"/>
    <x v="14"/>
    <x v="55"/>
    <x v="55"/>
    <n v="6358363"/>
    <n v="12649"/>
    <n v="8917"/>
    <n v="13987"/>
    <n v="0"/>
  </r>
  <r>
    <x v="15"/>
    <x v="15"/>
    <x v="55"/>
    <x v="55"/>
    <n v="9143487"/>
    <n v="334380"/>
    <n v="386700"/>
    <n v="101348"/>
    <n v="1592900"/>
  </r>
  <r>
    <x v="16"/>
    <x v="16"/>
    <x v="55"/>
    <x v="55"/>
    <n v="11029758"/>
    <n v="116499"/>
    <n v="727595"/>
    <n v="173035"/>
    <n v="0"/>
  </r>
  <r>
    <x v="17"/>
    <x v="17"/>
    <x v="55"/>
    <x v="55"/>
    <n v="866886"/>
    <n v="21618"/>
    <n v="59564"/>
    <n v="11756"/>
    <n v="19803"/>
  </r>
  <r>
    <x v="18"/>
    <x v="18"/>
    <x v="55"/>
    <x v="55"/>
    <n v="4685518"/>
    <n v="240918"/>
    <n v="363892"/>
    <n v="85238"/>
    <n v="1271423"/>
  </r>
  <r>
    <x v="19"/>
    <x v="19"/>
    <x v="55"/>
    <x v="55"/>
    <n v="197827"/>
    <n v="6484"/>
    <n v="19231"/>
    <n v="1927"/>
    <n v="37435"/>
  </r>
  <r>
    <x v="20"/>
    <x v="20"/>
    <x v="55"/>
    <x v="55"/>
    <n v="127734"/>
    <n v="16143"/>
    <n v="26092"/>
    <n v="3616"/>
    <n v="0"/>
  </r>
  <r>
    <x v="21"/>
    <x v="21"/>
    <x v="55"/>
    <x v="55"/>
    <n v="0"/>
    <n v="0"/>
    <n v="0"/>
    <n v="0"/>
    <n v="0"/>
  </r>
  <r>
    <x v="22"/>
    <x v="22"/>
    <x v="55"/>
    <x v="55"/>
    <n v="66897"/>
    <n v="9159"/>
    <n v="5706"/>
    <n v="1051"/>
    <n v="0"/>
  </r>
  <r>
    <x v="23"/>
    <x v="23"/>
    <x v="55"/>
    <x v="55"/>
    <n v="2976446"/>
    <n v="160458"/>
    <n v="380164"/>
    <n v="18840"/>
    <n v="963025"/>
  </r>
  <r>
    <x v="24"/>
    <x v="24"/>
    <x v="55"/>
    <x v="55"/>
    <n v="38528711"/>
    <n v="4782138"/>
    <n v="2355909"/>
    <n v="625165"/>
    <n v="2700629"/>
  </r>
  <r>
    <x v="25"/>
    <x v="25"/>
    <x v="55"/>
    <x v="55"/>
    <n v="17121207"/>
    <n v="763925"/>
    <n v="1811085"/>
    <n v="130856"/>
    <n v="3266944"/>
  </r>
  <r>
    <x v="26"/>
    <x v="26"/>
    <x v="55"/>
    <x v="55"/>
    <n v="27342922"/>
    <n v="3001199"/>
    <n v="1897091"/>
    <n v="528713"/>
    <n v="18591495"/>
  </r>
  <r>
    <x v="27"/>
    <x v="27"/>
    <x v="55"/>
    <x v="55"/>
    <n v="0"/>
    <n v="0"/>
    <n v="0"/>
    <n v="0"/>
    <n v="0"/>
  </r>
  <r>
    <x v="28"/>
    <x v="28"/>
    <x v="55"/>
    <x v="55"/>
    <n v="208500734"/>
    <n v="20911137"/>
    <n v="21845373"/>
    <n v="1584496"/>
    <n v="78026068"/>
  </r>
  <r>
    <x v="29"/>
    <x v="29"/>
    <x v="55"/>
    <x v="55"/>
    <n v="36201896"/>
    <n v="2348144"/>
    <n v="864752"/>
    <n v="281668"/>
    <n v="7035985"/>
  </r>
  <r>
    <x v="30"/>
    <x v="30"/>
    <x v="55"/>
    <x v="55"/>
    <n v="1954273"/>
    <n v="109398"/>
    <n v="171365"/>
    <n v="42305"/>
    <n v="1550040"/>
  </r>
  <r>
    <x v="31"/>
    <x v="31"/>
    <x v="55"/>
    <x v="55"/>
    <n v="1208493"/>
    <n v="69031"/>
    <n v="93211"/>
    <n v="11069"/>
    <n v="345988"/>
  </r>
  <r>
    <x v="32"/>
    <x v="32"/>
    <x v="55"/>
    <x v="55"/>
    <n v="76876"/>
    <n v="2767"/>
    <n v="2006"/>
    <n v="1312"/>
    <n v="0"/>
  </r>
  <r>
    <x v="33"/>
    <x v="33"/>
    <x v="55"/>
    <x v="55"/>
    <n v="207706"/>
    <n v="10098"/>
    <n v="11121"/>
    <n v="2537"/>
    <n v="20544"/>
  </r>
  <r>
    <x v="34"/>
    <x v="34"/>
    <x v="55"/>
    <x v="55"/>
    <n v="0"/>
    <n v="0"/>
    <n v="0"/>
    <n v="0"/>
    <n v="0"/>
  </r>
  <r>
    <x v="35"/>
    <x v="35"/>
    <x v="55"/>
    <x v="55"/>
    <n v="100636"/>
    <n v="7737"/>
    <n v="1531"/>
    <n v="141"/>
    <n v="64639"/>
  </r>
  <r>
    <x v="36"/>
    <x v="36"/>
    <x v="55"/>
    <x v="55"/>
    <n v="5831658"/>
    <n v="185165"/>
    <n v="243382"/>
    <n v="19045"/>
    <n v="3805640"/>
  </r>
  <r>
    <x v="37"/>
    <x v="37"/>
    <x v="55"/>
    <x v="55"/>
    <n v="3420274"/>
    <n v="259759"/>
    <n v="955"/>
    <n v="50609"/>
    <n v="751945"/>
  </r>
  <r>
    <x v="38"/>
    <x v="38"/>
    <x v="55"/>
    <x v="55"/>
    <n v="36910017"/>
    <n v="1879234"/>
    <n v="2250254"/>
    <n v="346285"/>
    <n v="13690993"/>
  </r>
  <r>
    <x v="39"/>
    <x v="39"/>
    <x v="55"/>
    <x v="55"/>
    <n v="9797914"/>
    <n v="0"/>
    <n v="0"/>
    <n v="0"/>
    <n v="0"/>
  </r>
  <r>
    <x v="40"/>
    <x v="40"/>
    <x v="55"/>
    <x v="55"/>
    <n v="0"/>
    <n v="0"/>
    <n v="0"/>
    <n v="0"/>
    <n v="0"/>
  </r>
  <r>
    <x v="41"/>
    <x v="41"/>
    <x v="55"/>
    <x v="55"/>
    <n v="0"/>
    <n v="0"/>
    <n v="0"/>
    <n v="0"/>
    <n v="0"/>
  </r>
  <r>
    <x v="42"/>
    <x v="42"/>
    <x v="55"/>
    <x v="55"/>
    <n v="772153"/>
    <n v="87015"/>
    <n v="97841"/>
    <n v="8484"/>
    <n v="0"/>
  </r>
  <r>
    <x v="43"/>
    <x v="43"/>
    <x v="55"/>
    <x v="55"/>
    <n v="75341943"/>
    <n v="3431065"/>
    <n v="4501838"/>
    <n v="523232"/>
    <n v="51494008"/>
  </r>
  <r>
    <x v="44"/>
    <x v="44"/>
    <x v="55"/>
    <x v="55"/>
    <n v="42529908"/>
    <n v="5009"/>
    <n v="7451"/>
    <n v="1636"/>
    <n v="0"/>
  </r>
  <r>
    <x v="45"/>
    <x v="45"/>
    <x v="55"/>
    <x v="55"/>
    <n v="1299285"/>
    <n v="0"/>
    <n v="0"/>
    <n v="0"/>
    <n v="0"/>
  </r>
  <r>
    <x v="46"/>
    <x v="46"/>
    <x v="55"/>
    <x v="55"/>
    <n v="4677687"/>
    <n v="0"/>
    <n v="0"/>
    <n v="0"/>
    <n v="0"/>
  </r>
  <r>
    <x v="47"/>
    <x v="47"/>
    <x v="55"/>
    <x v="55"/>
    <n v="0"/>
    <n v="0"/>
    <n v="0"/>
    <n v="0"/>
    <n v="0"/>
  </r>
  <r>
    <x v="48"/>
    <x v="48"/>
    <x v="55"/>
    <x v="55"/>
    <n v="0"/>
    <n v="-39889228"/>
    <n v="-39355820"/>
    <n v="0"/>
    <n v="0"/>
  </r>
  <r>
    <x v="49"/>
    <x v="49"/>
    <x v="55"/>
    <x v="55"/>
    <n v="25080684"/>
    <n v="0"/>
    <n v="0"/>
    <n v="0"/>
    <n v="0"/>
  </r>
  <r>
    <x v="50"/>
    <x v="50"/>
    <x v="55"/>
    <x v="55"/>
    <n v="4330491"/>
    <n v="0"/>
    <n v="0"/>
    <n v="-4990880"/>
    <n v="0"/>
  </r>
  <r>
    <x v="51"/>
    <x v="51"/>
    <x v="55"/>
    <x v="55"/>
    <n v="7480931"/>
    <n v="0"/>
    <n v="0"/>
    <n v="0"/>
    <n v="0"/>
  </r>
  <r>
    <x v="52"/>
    <x v="52"/>
    <x v="55"/>
    <x v="55"/>
    <n v="16171678"/>
    <n v="0"/>
    <n v="0"/>
    <n v="0"/>
    <n v="0"/>
  </r>
  <r>
    <x v="53"/>
    <x v="53"/>
    <x v="55"/>
    <x v="55"/>
    <n v="2746489"/>
    <n v="0"/>
    <n v="0"/>
    <n v="0"/>
    <n v="0"/>
  </r>
  <r>
    <x v="54"/>
    <x v="54"/>
    <x v="55"/>
    <x v="55"/>
    <n v="37014591"/>
    <n v="0"/>
    <n v="0"/>
    <n v="0"/>
    <n v="0"/>
  </r>
  <r>
    <x v="55"/>
    <x v="55"/>
    <x v="55"/>
    <x v="55"/>
    <n v="9226374"/>
    <n v="0"/>
    <n v="0"/>
    <n v="0"/>
    <n v="0"/>
  </r>
  <r>
    <x v="56"/>
    <x v="56"/>
    <x v="55"/>
    <x v="55"/>
    <n v="12883950"/>
    <n v="0"/>
    <n v="0"/>
    <n v="0"/>
    <n v="0"/>
  </r>
  <r>
    <x v="57"/>
    <x v="57"/>
    <x v="55"/>
    <x v="55"/>
    <n v="3526403"/>
    <n v="0"/>
    <n v="0"/>
    <n v="0"/>
    <n v="392303"/>
  </r>
  <r>
    <x v="58"/>
    <x v="58"/>
    <x v="55"/>
    <x v="55"/>
    <n v="693426474"/>
    <n v="0"/>
    <n v="0"/>
    <n v="0"/>
    <n v="185984993"/>
  </r>
  <r>
    <x v="59"/>
    <x v="59"/>
    <x v="55"/>
    <x v="55"/>
    <n v="1568187883"/>
    <n v="0"/>
    <n v="0"/>
    <n v="0"/>
    <n v="0"/>
  </r>
  <r>
    <x v="60"/>
    <x v="60"/>
    <x v="55"/>
    <x v="55"/>
    <n v="178554120"/>
    <n v="0"/>
    <n v="0"/>
    <n v="0"/>
    <n v="0"/>
  </r>
  <r>
    <x v="61"/>
    <x v="61"/>
    <x v="55"/>
    <x v="55"/>
    <n v="394879485"/>
    <n v="0"/>
    <n v="0"/>
    <n v="0"/>
    <n v="0"/>
  </r>
  <r>
    <x v="62"/>
    <x v="62"/>
    <x v="55"/>
    <x v="55"/>
    <n v="8993207"/>
    <n v="0"/>
    <n v="0"/>
    <n v="0"/>
    <n v="0"/>
  </r>
  <r>
    <x v="63"/>
    <x v="63"/>
    <x v="55"/>
    <x v="55"/>
    <n v="2150614695"/>
    <n v="0"/>
    <n v="0"/>
    <n v="0"/>
    <n v="0"/>
  </r>
  <r>
    <x v="64"/>
    <x v="64"/>
    <x v="55"/>
    <x v="55"/>
    <n v="2844041169"/>
    <n v="0"/>
    <n v="0"/>
    <n v="0"/>
    <n v="0"/>
  </r>
  <r>
    <x v="0"/>
    <x v="0"/>
    <x v="56"/>
    <x v="56"/>
    <n v="0"/>
    <n v="0"/>
    <n v="0"/>
    <n v="0"/>
    <n v="0"/>
  </r>
  <r>
    <x v="1"/>
    <x v="1"/>
    <x v="56"/>
    <x v="56"/>
    <n v="0"/>
    <n v="0"/>
    <n v="0"/>
    <n v="0"/>
    <n v="0"/>
  </r>
  <r>
    <x v="2"/>
    <x v="2"/>
    <x v="56"/>
    <x v="56"/>
    <n v="0"/>
    <n v="0"/>
    <n v="0"/>
    <n v="0"/>
    <n v="0"/>
  </r>
  <r>
    <x v="3"/>
    <x v="3"/>
    <x v="56"/>
    <x v="56"/>
    <n v="0"/>
    <n v="0"/>
    <n v="0"/>
    <n v="0"/>
    <n v="0"/>
  </r>
  <r>
    <x v="4"/>
    <x v="4"/>
    <x v="56"/>
    <x v="56"/>
    <n v="2821187"/>
    <n v="67495"/>
    <n v="126132"/>
    <n v="35239"/>
    <n v="0"/>
  </r>
  <r>
    <x v="5"/>
    <x v="5"/>
    <x v="56"/>
    <x v="56"/>
    <n v="0"/>
    <n v="0"/>
    <n v="0"/>
    <n v="0"/>
    <n v="0"/>
  </r>
  <r>
    <x v="6"/>
    <x v="6"/>
    <x v="56"/>
    <x v="56"/>
    <n v="0"/>
    <n v="0"/>
    <n v="0"/>
    <n v="0"/>
    <n v="0"/>
  </r>
  <r>
    <x v="7"/>
    <x v="7"/>
    <x v="56"/>
    <x v="56"/>
    <n v="1951087"/>
    <n v="127087"/>
    <n v="250748"/>
    <n v="32813"/>
    <n v="449349"/>
  </r>
  <r>
    <x v="8"/>
    <x v="8"/>
    <x v="56"/>
    <x v="56"/>
    <n v="36415"/>
    <n v="190"/>
    <n v="371"/>
    <n v="113"/>
    <n v="17845"/>
  </r>
  <r>
    <x v="9"/>
    <x v="9"/>
    <x v="56"/>
    <x v="56"/>
    <n v="0"/>
    <n v="0"/>
    <n v="0"/>
    <n v="0"/>
    <n v="0"/>
  </r>
  <r>
    <x v="10"/>
    <x v="10"/>
    <x v="56"/>
    <x v="56"/>
    <n v="157531"/>
    <n v="15983"/>
    <n v="15967"/>
    <n v="2880"/>
    <n v="29146"/>
  </r>
  <r>
    <x v="11"/>
    <x v="11"/>
    <x v="56"/>
    <x v="56"/>
    <n v="0"/>
    <n v="0"/>
    <n v="0"/>
    <n v="0"/>
    <n v="0"/>
  </r>
  <r>
    <x v="12"/>
    <x v="12"/>
    <x v="56"/>
    <x v="56"/>
    <n v="0"/>
    <n v="0"/>
    <n v="0"/>
    <n v="0"/>
    <n v="0"/>
  </r>
  <r>
    <x v="13"/>
    <x v="13"/>
    <x v="56"/>
    <x v="56"/>
    <n v="0"/>
    <n v="0"/>
    <n v="0"/>
    <n v="0"/>
    <n v="0"/>
  </r>
  <r>
    <x v="14"/>
    <x v="14"/>
    <x v="56"/>
    <x v="56"/>
    <n v="2439031"/>
    <n v="33338"/>
    <n v="53729"/>
    <n v="7119"/>
    <n v="0"/>
  </r>
  <r>
    <x v="15"/>
    <x v="15"/>
    <x v="56"/>
    <x v="56"/>
    <n v="1905618"/>
    <n v="17161"/>
    <n v="19112"/>
    <n v="14210"/>
    <n v="331429"/>
  </r>
  <r>
    <x v="16"/>
    <x v="16"/>
    <x v="56"/>
    <x v="56"/>
    <n v="3352764"/>
    <n v="62073"/>
    <n v="373181"/>
    <n v="59579"/>
    <n v="0"/>
  </r>
  <r>
    <x v="17"/>
    <x v="17"/>
    <x v="56"/>
    <x v="56"/>
    <n v="80069"/>
    <n v="2137"/>
    <n v="2688"/>
    <n v="1257"/>
    <n v="0"/>
  </r>
  <r>
    <x v="18"/>
    <x v="18"/>
    <x v="56"/>
    <x v="56"/>
    <n v="375009"/>
    <n v="18223"/>
    <n v="28901"/>
    <n v="5178"/>
    <n v="58026"/>
  </r>
  <r>
    <x v="19"/>
    <x v="19"/>
    <x v="56"/>
    <x v="56"/>
    <n v="1246895"/>
    <n v="12891"/>
    <n v="19803"/>
    <n v="9435"/>
    <n v="269043"/>
  </r>
  <r>
    <x v="20"/>
    <x v="20"/>
    <x v="56"/>
    <x v="56"/>
    <n v="3166919"/>
    <n v="263181"/>
    <n v="181204"/>
    <n v="72633"/>
    <n v="328"/>
  </r>
  <r>
    <x v="21"/>
    <x v="21"/>
    <x v="56"/>
    <x v="56"/>
    <n v="0"/>
    <n v="0"/>
    <n v="0"/>
    <n v="0"/>
    <n v="0"/>
  </r>
  <r>
    <x v="22"/>
    <x v="22"/>
    <x v="56"/>
    <x v="56"/>
    <n v="334827"/>
    <n v="14258"/>
    <n v="6051"/>
    <n v="3301"/>
    <n v="0"/>
  </r>
  <r>
    <x v="23"/>
    <x v="23"/>
    <x v="56"/>
    <x v="56"/>
    <n v="3142409"/>
    <n v="208682"/>
    <n v="359274"/>
    <n v="18569"/>
    <n v="731929"/>
  </r>
  <r>
    <x v="24"/>
    <x v="24"/>
    <x v="56"/>
    <x v="56"/>
    <n v="3435178"/>
    <n v="147831"/>
    <n v="133040"/>
    <n v="42622"/>
    <n v="0"/>
  </r>
  <r>
    <x v="25"/>
    <x v="25"/>
    <x v="56"/>
    <x v="56"/>
    <n v="1017932"/>
    <n v="57794"/>
    <n v="95908"/>
    <n v="9587"/>
    <n v="435"/>
  </r>
  <r>
    <x v="26"/>
    <x v="26"/>
    <x v="56"/>
    <x v="56"/>
    <n v="1316135"/>
    <n v="42598"/>
    <n v="16510"/>
    <n v="19998"/>
    <n v="982581"/>
  </r>
  <r>
    <x v="27"/>
    <x v="27"/>
    <x v="56"/>
    <x v="56"/>
    <n v="13371822"/>
    <n v="1180767"/>
    <n v="776102"/>
    <n v="480962"/>
    <n v="0"/>
  </r>
  <r>
    <x v="28"/>
    <x v="28"/>
    <x v="56"/>
    <x v="56"/>
    <n v="40131587"/>
    <n v="3255049"/>
    <n v="4434699"/>
    <n v="566941"/>
    <n v="16404415"/>
  </r>
  <r>
    <x v="29"/>
    <x v="29"/>
    <x v="56"/>
    <x v="56"/>
    <n v="26346881"/>
    <n v="942943"/>
    <n v="1016971"/>
    <n v="225294"/>
    <n v="5200540"/>
  </r>
  <r>
    <x v="30"/>
    <x v="30"/>
    <x v="56"/>
    <x v="56"/>
    <n v="1071017"/>
    <n v="97624"/>
    <n v="130033"/>
    <n v="26478"/>
    <n v="619794"/>
  </r>
  <r>
    <x v="31"/>
    <x v="31"/>
    <x v="56"/>
    <x v="56"/>
    <n v="6288348"/>
    <n v="242953"/>
    <n v="365449"/>
    <n v="58695"/>
    <n v="1625085"/>
  </r>
  <r>
    <x v="32"/>
    <x v="32"/>
    <x v="56"/>
    <x v="56"/>
    <n v="0"/>
    <n v="0"/>
    <n v="0"/>
    <n v="0"/>
    <n v="0"/>
  </r>
  <r>
    <x v="33"/>
    <x v="33"/>
    <x v="56"/>
    <x v="56"/>
    <n v="135140"/>
    <n v="10695"/>
    <n v="11127"/>
    <n v="1836"/>
    <n v="0"/>
  </r>
  <r>
    <x v="34"/>
    <x v="34"/>
    <x v="56"/>
    <x v="56"/>
    <n v="7148686"/>
    <n v="231706"/>
    <n v="586261"/>
    <n v="76049"/>
    <n v="3526179"/>
  </r>
  <r>
    <x v="35"/>
    <x v="35"/>
    <x v="56"/>
    <x v="56"/>
    <n v="8617753"/>
    <n v="297074"/>
    <n v="128526"/>
    <n v="12471"/>
    <n v="5832651"/>
  </r>
  <r>
    <x v="36"/>
    <x v="36"/>
    <x v="56"/>
    <x v="56"/>
    <n v="8499915"/>
    <n v="138174"/>
    <n v="373445"/>
    <n v="24583"/>
    <n v="5922925"/>
  </r>
  <r>
    <x v="37"/>
    <x v="37"/>
    <x v="56"/>
    <x v="56"/>
    <n v="2482406"/>
    <n v="168293"/>
    <n v="32065"/>
    <n v="34455"/>
    <n v="118598"/>
  </r>
  <r>
    <x v="38"/>
    <x v="38"/>
    <x v="56"/>
    <x v="56"/>
    <n v="142729036"/>
    <n v="7434678"/>
    <n v="8743707"/>
    <n v="1031643"/>
    <n v="45751564"/>
  </r>
  <r>
    <x v="39"/>
    <x v="39"/>
    <x v="56"/>
    <x v="56"/>
    <n v="5857794"/>
    <n v="10857"/>
    <n v="22510"/>
    <n v="1427"/>
    <n v="0"/>
  </r>
  <r>
    <x v="40"/>
    <x v="40"/>
    <x v="56"/>
    <x v="56"/>
    <n v="0"/>
    <n v="0"/>
    <n v="0"/>
    <n v="0"/>
    <n v="0"/>
  </r>
  <r>
    <x v="41"/>
    <x v="41"/>
    <x v="56"/>
    <x v="56"/>
    <n v="236262"/>
    <n v="11976"/>
    <n v="24812"/>
    <n v="1623"/>
    <n v="26849"/>
  </r>
  <r>
    <x v="42"/>
    <x v="42"/>
    <x v="56"/>
    <x v="56"/>
    <n v="476769"/>
    <n v="53983"/>
    <n v="64233"/>
    <n v="5481"/>
    <n v="0"/>
  </r>
  <r>
    <x v="43"/>
    <x v="43"/>
    <x v="56"/>
    <x v="56"/>
    <n v="13709020"/>
    <n v="1014796"/>
    <n v="1059867"/>
    <n v="189363"/>
    <n v="3335827"/>
  </r>
  <r>
    <x v="44"/>
    <x v="44"/>
    <x v="56"/>
    <x v="56"/>
    <n v="30150131"/>
    <n v="3820"/>
    <n v="5582"/>
    <n v="1347"/>
    <n v="0"/>
  </r>
  <r>
    <x v="45"/>
    <x v="45"/>
    <x v="56"/>
    <x v="56"/>
    <n v="1721815"/>
    <n v="0"/>
    <n v="0"/>
    <n v="0"/>
    <n v="0"/>
  </r>
  <r>
    <x v="46"/>
    <x v="46"/>
    <x v="56"/>
    <x v="56"/>
    <n v="3232665"/>
    <n v="0"/>
    <n v="0"/>
    <n v="0"/>
    <n v="0"/>
  </r>
  <r>
    <x v="47"/>
    <x v="47"/>
    <x v="56"/>
    <x v="56"/>
    <n v="0"/>
    <n v="0"/>
    <n v="0"/>
    <n v="0"/>
    <n v="0"/>
  </r>
  <r>
    <x v="48"/>
    <x v="48"/>
    <x v="56"/>
    <x v="56"/>
    <n v="0"/>
    <n v="-16186310"/>
    <n v="-19458008"/>
    <n v="0"/>
    <n v="0"/>
  </r>
  <r>
    <x v="49"/>
    <x v="49"/>
    <x v="56"/>
    <x v="56"/>
    <n v="15216137"/>
    <n v="0"/>
    <n v="0"/>
    <n v="0"/>
    <n v="0"/>
  </r>
  <r>
    <x v="50"/>
    <x v="50"/>
    <x v="56"/>
    <x v="56"/>
    <n v="2774658"/>
    <n v="0"/>
    <n v="0"/>
    <n v="-3073181"/>
    <n v="0"/>
  </r>
  <r>
    <x v="51"/>
    <x v="51"/>
    <x v="56"/>
    <x v="56"/>
    <n v="17039405"/>
    <n v="0"/>
    <n v="0"/>
    <n v="0"/>
    <n v="0"/>
  </r>
  <r>
    <x v="52"/>
    <x v="52"/>
    <x v="56"/>
    <x v="56"/>
    <n v="10781015"/>
    <n v="0"/>
    <n v="0"/>
    <n v="0"/>
    <n v="0"/>
  </r>
  <r>
    <x v="53"/>
    <x v="53"/>
    <x v="56"/>
    <x v="56"/>
    <n v="6549195"/>
    <n v="0"/>
    <n v="0"/>
    <n v="0"/>
    <n v="0"/>
  </r>
  <r>
    <x v="54"/>
    <x v="54"/>
    <x v="56"/>
    <x v="56"/>
    <n v="27951924"/>
    <n v="0"/>
    <n v="0"/>
    <n v="0"/>
    <n v="0"/>
  </r>
  <r>
    <x v="55"/>
    <x v="55"/>
    <x v="56"/>
    <x v="56"/>
    <n v="1757599"/>
    <n v="0"/>
    <n v="0"/>
    <n v="0"/>
    <n v="0"/>
  </r>
  <r>
    <x v="56"/>
    <x v="56"/>
    <x v="56"/>
    <x v="56"/>
    <n v="49085675"/>
    <n v="0"/>
    <n v="0"/>
    <n v="0"/>
    <n v="0"/>
  </r>
  <r>
    <x v="57"/>
    <x v="57"/>
    <x v="56"/>
    <x v="56"/>
    <n v="8109457"/>
    <n v="0"/>
    <n v="0"/>
    <n v="0"/>
    <n v="847365"/>
  </r>
  <r>
    <x v="58"/>
    <x v="58"/>
    <x v="56"/>
    <x v="56"/>
    <n v="478251118"/>
    <n v="0"/>
    <n v="0"/>
    <n v="0"/>
    <n v="92081903"/>
  </r>
  <r>
    <x v="59"/>
    <x v="59"/>
    <x v="56"/>
    <x v="56"/>
    <n v="195459789"/>
    <n v="0"/>
    <n v="0"/>
    <n v="0"/>
    <n v="0"/>
  </r>
  <r>
    <x v="60"/>
    <x v="60"/>
    <x v="56"/>
    <x v="56"/>
    <n v="172036260"/>
    <n v="0"/>
    <n v="0"/>
    <n v="0"/>
    <n v="0"/>
  </r>
  <r>
    <x v="61"/>
    <x v="61"/>
    <x v="56"/>
    <x v="56"/>
    <n v="74676300"/>
    <n v="0"/>
    <n v="0"/>
    <n v="0"/>
    <n v="0"/>
  </r>
  <r>
    <x v="62"/>
    <x v="62"/>
    <x v="56"/>
    <x v="56"/>
    <n v="61751904"/>
    <n v="0"/>
    <n v="0"/>
    <n v="0"/>
    <n v="0"/>
  </r>
  <r>
    <x v="63"/>
    <x v="63"/>
    <x v="56"/>
    <x v="56"/>
    <n v="503924253"/>
    <n v="0"/>
    <n v="0"/>
    <n v="0"/>
    <n v="0"/>
  </r>
  <r>
    <x v="64"/>
    <x v="64"/>
    <x v="56"/>
    <x v="56"/>
    <n v="982175371"/>
    <n v="0"/>
    <n v="0"/>
    <n v="0"/>
    <n v="0"/>
  </r>
  <r>
    <x v="0"/>
    <x v="0"/>
    <x v="57"/>
    <x v="57"/>
    <n v="518802"/>
    <n v="98848"/>
    <n v="1354"/>
    <n v="9252"/>
    <n v="0"/>
  </r>
  <r>
    <x v="1"/>
    <x v="1"/>
    <x v="57"/>
    <x v="57"/>
    <n v="0"/>
    <n v="0"/>
    <n v="0"/>
    <n v="0"/>
    <n v="0"/>
  </r>
  <r>
    <x v="2"/>
    <x v="2"/>
    <x v="57"/>
    <x v="57"/>
    <n v="694544"/>
    <n v="8445"/>
    <n v="34715"/>
    <n v="3443"/>
    <n v="0"/>
  </r>
  <r>
    <x v="3"/>
    <x v="3"/>
    <x v="57"/>
    <x v="57"/>
    <n v="609364"/>
    <n v="3820"/>
    <n v="11951"/>
    <n v="778"/>
    <n v="509559"/>
  </r>
  <r>
    <x v="4"/>
    <x v="4"/>
    <x v="57"/>
    <x v="57"/>
    <n v="1095279"/>
    <n v="116504"/>
    <n v="188299"/>
    <n v="15005"/>
    <n v="0"/>
  </r>
  <r>
    <x v="5"/>
    <x v="5"/>
    <x v="57"/>
    <x v="57"/>
    <n v="10572"/>
    <n v="89"/>
    <n v="314"/>
    <n v="223"/>
    <n v="0"/>
  </r>
  <r>
    <x v="6"/>
    <x v="6"/>
    <x v="57"/>
    <x v="57"/>
    <n v="143396"/>
    <n v="5747"/>
    <n v="0"/>
    <n v="935"/>
    <n v="0"/>
  </r>
  <r>
    <x v="7"/>
    <x v="7"/>
    <x v="57"/>
    <x v="57"/>
    <n v="476099"/>
    <n v="39338"/>
    <n v="65753"/>
    <n v="4041"/>
    <n v="208706"/>
  </r>
  <r>
    <x v="8"/>
    <x v="8"/>
    <x v="57"/>
    <x v="57"/>
    <n v="147330"/>
    <n v="3393"/>
    <n v="2145"/>
    <n v="598"/>
    <n v="0"/>
  </r>
  <r>
    <x v="9"/>
    <x v="9"/>
    <x v="57"/>
    <x v="57"/>
    <n v="336145"/>
    <n v="18593"/>
    <n v="21126"/>
    <n v="5588"/>
    <n v="0"/>
  </r>
  <r>
    <x v="10"/>
    <x v="10"/>
    <x v="57"/>
    <x v="57"/>
    <n v="238845"/>
    <n v="22720"/>
    <n v="28212"/>
    <n v="4307"/>
    <n v="0"/>
  </r>
  <r>
    <x v="11"/>
    <x v="11"/>
    <x v="57"/>
    <x v="57"/>
    <n v="87013"/>
    <n v="1285"/>
    <n v="0"/>
    <n v="552"/>
    <n v="70388"/>
  </r>
  <r>
    <x v="12"/>
    <x v="12"/>
    <x v="57"/>
    <x v="57"/>
    <n v="108666"/>
    <n v="7810"/>
    <n v="0"/>
    <n v="4263"/>
    <n v="46514"/>
  </r>
  <r>
    <x v="13"/>
    <x v="13"/>
    <x v="57"/>
    <x v="57"/>
    <n v="708078"/>
    <n v="33564"/>
    <n v="13456"/>
    <n v="24338"/>
    <n v="0"/>
  </r>
  <r>
    <x v="14"/>
    <x v="14"/>
    <x v="57"/>
    <x v="57"/>
    <n v="547622"/>
    <n v="109"/>
    <n v="204"/>
    <n v="1259"/>
    <n v="0"/>
  </r>
  <r>
    <x v="15"/>
    <x v="15"/>
    <x v="57"/>
    <x v="57"/>
    <n v="1720964"/>
    <n v="49252"/>
    <n v="66803"/>
    <n v="13123"/>
    <n v="60561"/>
  </r>
  <r>
    <x v="16"/>
    <x v="16"/>
    <x v="57"/>
    <x v="57"/>
    <n v="322694"/>
    <n v="8306"/>
    <n v="13703"/>
    <n v="4474"/>
    <n v="0"/>
  </r>
  <r>
    <x v="17"/>
    <x v="17"/>
    <x v="57"/>
    <x v="57"/>
    <n v="113328"/>
    <n v="1514"/>
    <n v="2254"/>
    <n v="1470"/>
    <n v="0"/>
  </r>
  <r>
    <x v="18"/>
    <x v="18"/>
    <x v="57"/>
    <x v="57"/>
    <n v="900153"/>
    <n v="24724"/>
    <n v="40930"/>
    <n v="9129"/>
    <n v="50926"/>
  </r>
  <r>
    <x v="19"/>
    <x v="19"/>
    <x v="57"/>
    <x v="57"/>
    <n v="87650"/>
    <n v="5342"/>
    <n v="7939"/>
    <n v="853"/>
    <n v="0"/>
  </r>
  <r>
    <x v="20"/>
    <x v="20"/>
    <x v="57"/>
    <x v="57"/>
    <n v="2522613"/>
    <n v="44444"/>
    <n v="80574"/>
    <n v="15301"/>
    <n v="1590"/>
  </r>
  <r>
    <x v="21"/>
    <x v="21"/>
    <x v="57"/>
    <x v="57"/>
    <n v="471772"/>
    <n v="17698"/>
    <n v="30339"/>
    <n v="3907"/>
    <n v="0"/>
  </r>
  <r>
    <x v="22"/>
    <x v="22"/>
    <x v="57"/>
    <x v="57"/>
    <n v="249716"/>
    <n v="6649"/>
    <n v="3166"/>
    <n v="1413"/>
    <n v="0"/>
  </r>
  <r>
    <x v="23"/>
    <x v="23"/>
    <x v="57"/>
    <x v="57"/>
    <n v="1634062"/>
    <n v="85659"/>
    <n v="184361"/>
    <n v="16167"/>
    <n v="731138"/>
  </r>
  <r>
    <x v="24"/>
    <x v="24"/>
    <x v="57"/>
    <x v="57"/>
    <n v="1945549"/>
    <n v="95672"/>
    <n v="88485"/>
    <n v="28100"/>
    <n v="123566"/>
  </r>
  <r>
    <x v="25"/>
    <x v="25"/>
    <x v="57"/>
    <x v="57"/>
    <n v="143832"/>
    <n v="2073"/>
    <n v="14547"/>
    <n v="1074"/>
    <n v="0"/>
  </r>
  <r>
    <x v="26"/>
    <x v="26"/>
    <x v="57"/>
    <x v="57"/>
    <n v="447311"/>
    <n v="21806"/>
    <n v="12621"/>
    <n v="6225"/>
    <n v="146716"/>
  </r>
  <r>
    <x v="27"/>
    <x v="27"/>
    <x v="57"/>
    <x v="57"/>
    <n v="245866"/>
    <n v="9353"/>
    <n v="7595"/>
    <n v="9602"/>
    <n v="1842"/>
  </r>
  <r>
    <x v="28"/>
    <x v="28"/>
    <x v="57"/>
    <x v="57"/>
    <n v="1394365"/>
    <n v="84781"/>
    <n v="91820"/>
    <n v="11943"/>
    <n v="58795"/>
  </r>
  <r>
    <x v="29"/>
    <x v="29"/>
    <x v="57"/>
    <x v="57"/>
    <n v="1285403"/>
    <n v="58166"/>
    <n v="83770"/>
    <n v="9819"/>
    <n v="189358"/>
  </r>
  <r>
    <x v="30"/>
    <x v="30"/>
    <x v="57"/>
    <x v="57"/>
    <n v="1642521"/>
    <n v="72008"/>
    <n v="144107"/>
    <n v="36236"/>
    <n v="705715"/>
  </r>
  <r>
    <x v="31"/>
    <x v="31"/>
    <x v="57"/>
    <x v="57"/>
    <n v="1876949"/>
    <n v="40221"/>
    <n v="53545"/>
    <n v="13123"/>
    <n v="458338"/>
  </r>
  <r>
    <x v="32"/>
    <x v="32"/>
    <x v="57"/>
    <x v="57"/>
    <n v="463304"/>
    <n v="27368"/>
    <n v="9840"/>
    <n v="6614"/>
    <n v="0"/>
  </r>
  <r>
    <x v="33"/>
    <x v="33"/>
    <x v="57"/>
    <x v="57"/>
    <n v="2243968"/>
    <n v="133202"/>
    <n v="132851"/>
    <n v="22826"/>
    <n v="0"/>
  </r>
  <r>
    <x v="34"/>
    <x v="34"/>
    <x v="57"/>
    <x v="57"/>
    <n v="2433701"/>
    <n v="56604"/>
    <n v="39658"/>
    <n v="17291"/>
    <n v="202701"/>
  </r>
  <r>
    <x v="35"/>
    <x v="35"/>
    <x v="57"/>
    <x v="57"/>
    <n v="522683"/>
    <n v="30799"/>
    <n v="14253"/>
    <n v="668"/>
    <n v="358906"/>
  </r>
  <r>
    <x v="36"/>
    <x v="36"/>
    <x v="57"/>
    <x v="57"/>
    <n v="4177888"/>
    <n v="102799"/>
    <n v="171508"/>
    <n v="15629"/>
    <n v="2101005"/>
  </r>
  <r>
    <x v="37"/>
    <x v="37"/>
    <x v="57"/>
    <x v="57"/>
    <n v="783205"/>
    <n v="52443"/>
    <n v="22452"/>
    <n v="8928"/>
    <n v="0"/>
  </r>
  <r>
    <x v="38"/>
    <x v="38"/>
    <x v="57"/>
    <x v="57"/>
    <n v="8622414"/>
    <n v="449339"/>
    <n v="532142"/>
    <n v="67082"/>
    <n v="3925403"/>
  </r>
  <r>
    <x v="39"/>
    <x v="39"/>
    <x v="57"/>
    <x v="57"/>
    <n v="15237789"/>
    <n v="0"/>
    <n v="0"/>
    <n v="0"/>
    <n v="0"/>
  </r>
  <r>
    <x v="40"/>
    <x v="40"/>
    <x v="57"/>
    <x v="57"/>
    <n v="0"/>
    <n v="0"/>
    <n v="0"/>
    <n v="0"/>
    <n v="0"/>
  </r>
  <r>
    <x v="41"/>
    <x v="41"/>
    <x v="57"/>
    <x v="57"/>
    <n v="394655"/>
    <n v="22596"/>
    <n v="35227"/>
    <n v="2556"/>
    <n v="28697"/>
  </r>
  <r>
    <x v="42"/>
    <x v="42"/>
    <x v="57"/>
    <x v="57"/>
    <n v="456103"/>
    <n v="28325"/>
    <n v="38052"/>
    <n v="4328"/>
    <n v="23583"/>
  </r>
  <r>
    <x v="43"/>
    <x v="43"/>
    <x v="57"/>
    <x v="57"/>
    <n v="5731952"/>
    <n v="320750"/>
    <n v="754645"/>
    <n v="19814"/>
    <n v="1243906"/>
  </r>
  <r>
    <x v="44"/>
    <x v="44"/>
    <x v="57"/>
    <x v="57"/>
    <n v="2538385"/>
    <n v="18008"/>
    <n v="21160"/>
    <n v="7388"/>
    <n v="0"/>
  </r>
  <r>
    <x v="45"/>
    <x v="45"/>
    <x v="57"/>
    <x v="57"/>
    <n v="17504"/>
    <n v="0"/>
    <n v="0"/>
    <n v="0"/>
    <n v="0"/>
  </r>
  <r>
    <x v="46"/>
    <x v="46"/>
    <x v="57"/>
    <x v="57"/>
    <n v="80444"/>
    <n v="0"/>
    <n v="0"/>
    <n v="0"/>
    <n v="0"/>
  </r>
  <r>
    <x v="47"/>
    <x v="47"/>
    <x v="57"/>
    <x v="57"/>
    <n v="0"/>
    <n v="0"/>
    <n v="0"/>
    <n v="0"/>
    <n v="0"/>
  </r>
  <r>
    <x v="48"/>
    <x v="48"/>
    <x v="57"/>
    <x v="57"/>
    <n v="0"/>
    <n v="-2230166"/>
    <n v="-3065876"/>
    <n v="0"/>
    <n v="0"/>
  </r>
  <r>
    <x v="49"/>
    <x v="49"/>
    <x v="57"/>
    <x v="57"/>
    <n v="4545930"/>
    <n v="0"/>
    <n v="0"/>
    <n v="0"/>
    <n v="0"/>
  </r>
  <r>
    <x v="50"/>
    <x v="50"/>
    <x v="57"/>
    <x v="57"/>
    <n v="8719446"/>
    <n v="0"/>
    <n v="0"/>
    <n v="-429665"/>
    <n v="0"/>
  </r>
  <r>
    <x v="51"/>
    <x v="51"/>
    <x v="57"/>
    <x v="57"/>
    <n v="5973373"/>
    <n v="0"/>
    <n v="0"/>
    <n v="0"/>
    <n v="0"/>
  </r>
  <r>
    <x v="52"/>
    <x v="52"/>
    <x v="57"/>
    <x v="57"/>
    <n v="16613146"/>
    <n v="0"/>
    <n v="0"/>
    <n v="0"/>
    <n v="0"/>
  </r>
  <r>
    <x v="53"/>
    <x v="53"/>
    <x v="57"/>
    <x v="57"/>
    <n v="469346"/>
    <n v="0"/>
    <n v="0"/>
    <n v="0"/>
    <n v="0"/>
  </r>
  <r>
    <x v="54"/>
    <x v="54"/>
    <x v="57"/>
    <x v="57"/>
    <n v="2586399"/>
    <n v="0"/>
    <n v="0"/>
    <n v="0"/>
    <n v="0"/>
  </r>
  <r>
    <x v="55"/>
    <x v="55"/>
    <x v="57"/>
    <x v="57"/>
    <n v="2811000"/>
    <n v="0"/>
    <n v="0"/>
    <n v="0"/>
    <n v="0"/>
  </r>
  <r>
    <x v="56"/>
    <x v="56"/>
    <x v="57"/>
    <x v="57"/>
    <n v="4409126"/>
    <n v="0"/>
    <n v="0"/>
    <n v="0"/>
    <n v="0"/>
  </r>
  <r>
    <x v="57"/>
    <x v="57"/>
    <x v="57"/>
    <x v="57"/>
    <n v="22840286"/>
    <n v="0"/>
    <n v="0"/>
    <n v="0"/>
    <n v="2339293"/>
  </r>
  <r>
    <x v="58"/>
    <x v="58"/>
    <x v="57"/>
    <x v="57"/>
    <n v="135398550"/>
    <n v="0"/>
    <n v="0"/>
    <n v="0"/>
    <n v="13587206"/>
  </r>
  <r>
    <x v="59"/>
    <x v="59"/>
    <x v="57"/>
    <x v="57"/>
    <n v="34338703"/>
    <n v="0"/>
    <n v="0"/>
    <n v="0"/>
    <n v="0"/>
  </r>
  <r>
    <x v="60"/>
    <x v="60"/>
    <x v="57"/>
    <x v="57"/>
    <n v="66417821"/>
    <n v="0"/>
    <n v="0"/>
    <n v="0"/>
    <n v="0"/>
  </r>
  <r>
    <x v="61"/>
    <x v="61"/>
    <x v="57"/>
    <x v="57"/>
    <n v="30542477"/>
    <n v="0"/>
    <n v="0"/>
    <n v="0"/>
    <n v="0"/>
  </r>
  <r>
    <x v="62"/>
    <x v="62"/>
    <x v="57"/>
    <x v="57"/>
    <n v="5695233"/>
    <n v="0"/>
    <n v="0"/>
    <n v="0"/>
    <n v="0"/>
  </r>
  <r>
    <x v="63"/>
    <x v="63"/>
    <x v="57"/>
    <x v="57"/>
    <n v="136994234"/>
    <n v="0"/>
    <n v="0"/>
    <n v="0"/>
    <n v="0"/>
  </r>
  <r>
    <x v="64"/>
    <x v="64"/>
    <x v="57"/>
    <x v="57"/>
    <n v="272392784"/>
    <n v="0"/>
    <n v="0"/>
    <n v="0"/>
    <n v="0"/>
  </r>
  <r>
    <x v="0"/>
    <x v="0"/>
    <x v="58"/>
    <x v="58"/>
    <n v="338690232"/>
    <n v="14563805"/>
    <n v="886197"/>
    <n v="2072302"/>
    <n v="5"/>
  </r>
  <r>
    <x v="1"/>
    <x v="1"/>
    <x v="58"/>
    <x v="58"/>
    <n v="28240925"/>
    <n v="899868"/>
    <n v="50279"/>
    <n v="242304"/>
    <n v="14356949"/>
  </r>
  <r>
    <x v="2"/>
    <x v="2"/>
    <x v="58"/>
    <x v="58"/>
    <n v="64065258"/>
    <n v="1557589"/>
    <n v="65308"/>
    <n v="434929"/>
    <n v="0"/>
  </r>
  <r>
    <x v="3"/>
    <x v="3"/>
    <x v="58"/>
    <x v="58"/>
    <n v="47414802"/>
    <n v="900726"/>
    <n v="896943"/>
    <n v="71392"/>
    <n v="43009086"/>
  </r>
  <r>
    <x v="4"/>
    <x v="4"/>
    <x v="58"/>
    <x v="58"/>
    <n v="213728157"/>
    <n v="13030034"/>
    <n v="21070415"/>
    <n v="3015241"/>
    <n v="10881121"/>
  </r>
  <r>
    <x v="5"/>
    <x v="5"/>
    <x v="58"/>
    <x v="58"/>
    <n v="73390631"/>
    <n v="3338178"/>
    <n v="314"/>
    <n v="2251997"/>
    <n v="2"/>
  </r>
  <r>
    <x v="6"/>
    <x v="6"/>
    <x v="58"/>
    <x v="58"/>
    <n v="116086775"/>
    <n v="7235675"/>
    <n v="0"/>
    <n v="810466"/>
    <n v="149467"/>
  </r>
  <r>
    <x v="7"/>
    <x v="7"/>
    <x v="58"/>
    <x v="58"/>
    <n v="244746136"/>
    <n v="10666860"/>
    <n v="7185601"/>
    <n v="2563985"/>
    <n v="52009113"/>
  </r>
  <r>
    <x v="8"/>
    <x v="8"/>
    <x v="58"/>
    <x v="58"/>
    <n v="369310583"/>
    <n v="31695915"/>
    <n v="833001"/>
    <n v="1769007"/>
    <n v="3552383"/>
  </r>
  <r>
    <x v="9"/>
    <x v="9"/>
    <x v="58"/>
    <x v="58"/>
    <n v="51835961"/>
    <n v="3288517"/>
    <n v="468794"/>
    <n v="750033"/>
    <n v="2428191"/>
  </r>
  <r>
    <x v="10"/>
    <x v="10"/>
    <x v="58"/>
    <x v="58"/>
    <n v="164683524"/>
    <n v="17408060"/>
    <n v="15892822"/>
    <n v="3100329"/>
    <n v="3720474"/>
  </r>
  <r>
    <x v="11"/>
    <x v="11"/>
    <x v="58"/>
    <x v="58"/>
    <n v="1247431814"/>
    <n v="846247"/>
    <n v="0"/>
    <n v="757317"/>
    <n v="1009496457"/>
  </r>
  <r>
    <x v="12"/>
    <x v="12"/>
    <x v="58"/>
    <x v="58"/>
    <n v="27351914"/>
    <n v="1209674"/>
    <n v="0"/>
    <n v="642205"/>
    <n v="19069227"/>
  </r>
  <r>
    <x v="13"/>
    <x v="13"/>
    <x v="58"/>
    <x v="58"/>
    <n v="217205594"/>
    <n v="11337489"/>
    <n v="1920783"/>
    <n v="25720486"/>
    <n v="11087069"/>
  </r>
  <r>
    <x v="14"/>
    <x v="14"/>
    <x v="58"/>
    <x v="58"/>
    <n v="235012876"/>
    <n v="4006109"/>
    <n v="5647844"/>
    <n v="605805"/>
    <n v="338415"/>
  </r>
  <r>
    <x v="15"/>
    <x v="15"/>
    <x v="58"/>
    <x v="58"/>
    <n v="289879255"/>
    <n v="6474576"/>
    <n v="8683667"/>
    <n v="2512757"/>
    <n v="163987561"/>
  </r>
  <r>
    <x v="16"/>
    <x v="16"/>
    <x v="58"/>
    <x v="58"/>
    <n v="170354192"/>
    <n v="5340822"/>
    <n v="7620879"/>
    <n v="2598944"/>
    <n v="33462502"/>
  </r>
  <r>
    <x v="17"/>
    <x v="17"/>
    <x v="58"/>
    <x v="58"/>
    <n v="109529077"/>
    <n v="2358442"/>
    <n v="3706530"/>
    <n v="1449010"/>
    <n v="12856977"/>
  </r>
  <r>
    <x v="18"/>
    <x v="18"/>
    <x v="58"/>
    <x v="58"/>
    <n v="155691073"/>
    <n v="6412130"/>
    <n v="9392297"/>
    <n v="2336502"/>
    <n v="51878186"/>
  </r>
  <r>
    <x v="19"/>
    <x v="19"/>
    <x v="58"/>
    <x v="58"/>
    <n v="103074004"/>
    <n v="5167160"/>
    <n v="8359159"/>
    <n v="1009648"/>
    <n v="24196152"/>
  </r>
  <r>
    <x v="20"/>
    <x v="20"/>
    <x v="58"/>
    <x v="58"/>
    <n v="210140196"/>
    <n v="15138608"/>
    <n v="9604341"/>
    <n v="2962509"/>
    <n v="12412901"/>
  </r>
  <r>
    <x v="21"/>
    <x v="21"/>
    <x v="58"/>
    <x v="58"/>
    <n v="8742385"/>
    <n v="496817"/>
    <n v="272732"/>
    <n v="163871"/>
    <n v="142716"/>
  </r>
  <r>
    <x v="22"/>
    <x v="22"/>
    <x v="58"/>
    <x v="58"/>
    <n v="206426485"/>
    <n v="18750321"/>
    <n v="13176499"/>
    <n v="1853945"/>
    <n v="77965426"/>
  </r>
  <r>
    <x v="23"/>
    <x v="23"/>
    <x v="58"/>
    <x v="58"/>
    <n v="54363268"/>
    <n v="2506368"/>
    <n v="4896169"/>
    <n v="326239"/>
    <n v="17794729"/>
  </r>
  <r>
    <x v="24"/>
    <x v="24"/>
    <x v="58"/>
    <x v="58"/>
    <n v="272163819"/>
    <n v="22556196"/>
    <n v="16415348"/>
    <n v="4184386"/>
    <n v="98602675"/>
  </r>
  <r>
    <x v="25"/>
    <x v="25"/>
    <x v="58"/>
    <x v="58"/>
    <n v="80117278"/>
    <n v="4904255"/>
    <n v="7675730"/>
    <n v="625868"/>
    <n v="31204855"/>
  </r>
  <r>
    <x v="26"/>
    <x v="26"/>
    <x v="58"/>
    <x v="58"/>
    <n v="1081365618"/>
    <n v="86621663"/>
    <n v="43758119"/>
    <n v="14192833"/>
    <n v="621351663"/>
  </r>
  <r>
    <x v="27"/>
    <x v="27"/>
    <x v="58"/>
    <x v="58"/>
    <n v="248413664"/>
    <n v="24805561"/>
    <n v="22920409"/>
    <n v="8620750"/>
    <n v="101455218"/>
  </r>
  <r>
    <x v="28"/>
    <x v="28"/>
    <x v="58"/>
    <x v="58"/>
    <n v="638653429"/>
    <n v="58999011"/>
    <n v="64264770"/>
    <n v="6232784"/>
    <n v="246709753"/>
  </r>
  <r>
    <x v="29"/>
    <x v="29"/>
    <x v="58"/>
    <x v="58"/>
    <n v="971810709"/>
    <n v="50584696"/>
    <n v="49562401"/>
    <n v="8632707"/>
    <n v="196802388"/>
  </r>
  <r>
    <x v="30"/>
    <x v="30"/>
    <x v="58"/>
    <x v="58"/>
    <n v="178321300"/>
    <n v="15607332"/>
    <n v="20363398"/>
    <n v="4063217"/>
    <n v="51747790"/>
  </r>
  <r>
    <x v="31"/>
    <x v="31"/>
    <x v="58"/>
    <x v="58"/>
    <n v="397609431"/>
    <n v="13615724"/>
    <n v="18573737"/>
    <n v="3035819"/>
    <n v="143019796"/>
  </r>
  <r>
    <x v="32"/>
    <x v="32"/>
    <x v="58"/>
    <x v="58"/>
    <n v="256291298"/>
    <n v="14532184"/>
    <n v="11881901"/>
    <n v="3917061"/>
    <n v="2272390"/>
  </r>
  <r>
    <x v="33"/>
    <x v="33"/>
    <x v="58"/>
    <x v="58"/>
    <n v="260562786"/>
    <n v="17534692"/>
    <n v="15404147"/>
    <n v="3105396"/>
    <n v="65151362"/>
  </r>
  <r>
    <x v="34"/>
    <x v="34"/>
    <x v="58"/>
    <x v="58"/>
    <n v="980594231"/>
    <n v="39459907"/>
    <n v="39049992"/>
    <n v="9066733"/>
    <n v="606077811"/>
  </r>
  <r>
    <x v="35"/>
    <x v="35"/>
    <x v="58"/>
    <x v="58"/>
    <n v="636537144"/>
    <n v="32192776"/>
    <n v="17041851"/>
    <n v="1010950"/>
    <n v="494344849"/>
  </r>
  <r>
    <x v="36"/>
    <x v="36"/>
    <x v="58"/>
    <x v="58"/>
    <n v="350269264"/>
    <n v="6802658"/>
    <n v="15123785"/>
    <n v="887686"/>
    <n v="259710376"/>
  </r>
  <r>
    <x v="37"/>
    <x v="37"/>
    <x v="58"/>
    <x v="58"/>
    <n v="486357302"/>
    <n v="34692817"/>
    <n v="10863875"/>
    <n v="4028702"/>
    <n v="260999515"/>
  </r>
  <r>
    <x v="38"/>
    <x v="38"/>
    <x v="58"/>
    <x v="58"/>
    <n v="2406026849"/>
    <n v="140799625"/>
    <n v="165471303"/>
    <n v="16434268"/>
    <n v="1436884056"/>
  </r>
  <r>
    <x v="39"/>
    <x v="39"/>
    <x v="58"/>
    <x v="58"/>
    <n v="769920637"/>
    <n v="27292776"/>
    <n v="47378563"/>
    <n v="3972979"/>
    <n v="276325631"/>
  </r>
  <r>
    <x v="40"/>
    <x v="40"/>
    <x v="58"/>
    <x v="58"/>
    <n v="30823058"/>
    <n v="1011009"/>
    <n v="84753"/>
    <n v="357011"/>
    <n v="11534209"/>
  </r>
  <r>
    <x v="41"/>
    <x v="41"/>
    <x v="58"/>
    <x v="58"/>
    <n v="36630792"/>
    <n v="2605333"/>
    <n v="1742458"/>
    <n v="188239"/>
    <n v="27729787"/>
  </r>
  <r>
    <x v="42"/>
    <x v="42"/>
    <x v="58"/>
    <x v="58"/>
    <n v="121378485"/>
    <n v="14504417"/>
    <n v="17084044"/>
    <n v="1024592"/>
    <n v="19392921"/>
  </r>
  <r>
    <x v="43"/>
    <x v="43"/>
    <x v="58"/>
    <x v="58"/>
    <n v="681715632"/>
    <n v="39979398"/>
    <n v="71790162"/>
    <n v="2867190"/>
    <n v="240558486"/>
  </r>
  <r>
    <x v="44"/>
    <x v="44"/>
    <x v="58"/>
    <x v="58"/>
    <n v="1281587219"/>
    <n v="4377053"/>
    <n v="6790037"/>
    <n v="975211"/>
    <n v="142248466"/>
  </r>
  <r>
    <x v="45"/>
    <x v="45"/>
    <x v="58"/>
    <x v="58"/>
    <n v="26932651"/>
    <n v="0"/>
    <n v="0"/>
    <n v="0"/>
    <n v="0"/>
  </r>
  <r>
    <x v="46"/>
    <x v="46"/>
    <x v="58"/>
    <x v="58"/>
    <n v="29992568"/>
    <n v="0"/>
    <n v="0"/>
    <n v="0"/>
    <n v="0"/>
  </r>
  <r>
    <x v="47"/>
    <x v="47"/>
    <x v="58"/>
    <x v="58"/>
    <n v="0"/>
    <n v="0"/>
    <n v="0"/>
    <n v="0"/>
    <n v="0"/>
  </r>
  <r>
    <x v="48"/>
    <x v="48"/>
    <x v="58"/>
    <x v="58"/>
    <n v="0"/>
    <n v="-838109073"/>
    <n v="-783871357"/>
    <n v="0"/>
    <n v="0"/>
  </r>
  <r>
    <x v="49"/>
    <x v="49"/>
    <x v="58"/>
    <x v="58"/>
    <n v="171964375"/>
    <n v="0"/>
    <n v="0"/>
    <n v="0"/>
    <n v="0"/>
  </r>
  <r>
    <x v="50"/>
    <x v="50"/>
    <x v="58"/>
    <x v="58"/>
    <n v="436537256"/>
    <n v="0"/>
    <n v="0"/>
    <n v="-157445605"/>
    <n v="42071811"/>
  </r>
  <r>
    <x v="51"/>
    <x v="51"/>
    <x v="58"/>
    <x v="58"/>
    <n v="315509401"/>
    <n v="0"/>
    <n v="0"/>
    <n v="0"/>
    <n v="0"/>
  </r>
  <r>
    <x v="52"/>
    <x v="52"/>
    <x v="58"/>
    <x v="58"/>
    <n v="1040098738"/>
    <n v="0"/>
    <n v="0"/>
    <n v="0"/>
    <n v="14494646"/>
  </r>
  <r>
    <x v="53"/>
    <x v="53"/>
    <x v="58"/>
    <x v="58"/>
    <n v="99509530"/>
    <n v="0"/>
    <n v="0"/>
    <n v="0"/>
    <n v="0"/>
  </r>
  <r>
    <x v="54"/>
    <x v="54"/>
    <x v="58"/>
    <x v="58"/>
    <n v="1050683321"/>
    <n v="0"/>
    <n v="0"/>
    <n v="0"/>
    <n v="189195153"/>
  </r>
  <r>
    <x v="55"/>
    <x v="55"/>
    <x v="58"/>
    <x v="58"/>
    <n v="67192814"/>
    <n v="0"/>
    <n v="0"/>
    <n v="0"/>
    <n v="0"/>
  </r>
  <r>
    <x v="56"/>
    <x v="56"/>
    <x v="58"/>
    <x v="58"/>
    <n v="256649985"/>
    <n v="0"/>
    <n v="0"/>
    <n v="0"/>
    <n v="0"/>
  </r>
  <r>
    <x v="57"/>
    <x v="57"/>
    <x v="58"/>
    <x v="58"/>
    <n v="154602701"/>
    <n v="0"/>
    <n v="0"/>
    <n v="0"/>
    <n v="15257759"/>
  </r>
  <r>
    <x v="58"/>
    <x v="58"/>
    <x v="58"/>
    <x v="58"/>
    <n v="20564218402"/>
    <n v="0"/>
    <n v="0"/>
    <n v="0"/>
    <n v="7159938475"/>
  </r>
  <r>
    <x v="59"/>
    <x v="59"/>
    <x v="58"/>
    <x v="58"/>
    <n v="5402721965"/>
    <n v="0"/>
    <n v="0"/>
    <n v="0"/>
    <n v="0"/>
  </r>
  <r>
    <x v="60"/>
    <x v="60"/>
    <x v="58"/>
    <x v="58"/>
    <n v="6023813837"/>
    <n v="0"/>
    <n v="0"/>
    <n v="0"/>
    <n v="0"/>
  </r>
  <r>
    <x v="61"/>
    <x v="61"/>
    <x v="58"/>
    <x v="58"/>
    <n v="3040598000"/>
    <n v="0"/>
    <n v="0"/>
    <n v="0"/>
    <n v="0"/>
  </r>
  <r>
    <x v="62"/>
    <x v="62"/>
    <x v="58"/>
    <x v="58"/>
    <n v="1269949000"/>
    <n v="0"/>
    <n v="0"/>
    <n v="0"/>
    <n v="0"/>
  </r>
  <r>
    <x v="63"/>
    <x v="63"/>
    <x v="58"/>
    <x v="58"/>
    <n v="15737082802"/>
    <n v="0"/>
    <n v="0"/>
    <n v="0"/>
    <n v="0"/>
  </r>
  <r>
    <x v="64"/>
    <x v="64"/>
    <x v="58"/>
    <x v="58"/>
    <n v="36301301204"/>
    <n v="0"/>
    <n v="0"/>
    <n v="0"/>
    <n v="0"/>
  </r>
  <r>
    <x v="0"/>
    <x v="0"/>
    <x v="59"/>
    <x v="59"/>
    <n v="200503"/>
    <n v="38592"/>
    <n v="330"/>
    <n v="3602"/>
    <n v="0"/>
  </r>
  <r>
    <x v="1"/>
    <x v="1"/>
    <x v="59"/>
    <x v="59"/>
    <n v="566358"/>
    <n v="20228"/>
    <n v="2200"/>
    <n v="5000"/>
    <n v="116384"/>
  </r>
  <r>
    <x v="2"/>
    <x v="2"/>
    <x v="59"/>
    <x v="59"/>
    <n v="522579"/>
    <n v="11805"/>
    <n v="1268"/>
    <n v="3355"/>
    <n v="0"/>
  </r>
  <r>
    <x v="3"/>
    <x v="3"/>
    <x v="59"/>
    <x v="59"/>
    <n v="1221069"/>
    <n v="57646"/>
    <n v="51877"/>
    <n v="2364"/>
    <n v="992311"/>
  </r>
  <r>
    <x v="4"/>
    <x v="4"/>
    <x v="59"/>
    <x v="59"/>
    <n v="586918761"/>
    <n v="76456761"/>
    <n v="118377622"/>
    <n v="10387835"/>
    <n v="42902095"/>
  </r>
  <r>
    <x v="5"/>
    <x v="5"/>
    <x v="59"/>
    <x v="59"/>
    <n v="7039"/>
    <n v="163"/>
    <n v="1535"/>
    <n v="171"/>
    <n v="0"/>
  </r>
  <r>
    <x v="6"/>
    <x v="6"/>
    <x v="59"/>
    <x v="59"/>
    <n v="0"/>
    <n v="0"/>
    <n v="0"/>
    <n v="0"/>
    <n v="0"/>
  </r>
  <r>
    <x v="7"/>
    <x v="7"/>
    <x v="59"/>
    <x v="59"/>
    <n v="3944695"/>
    <n v="517052"/>
    <n v="559488"/>
    <n v="59728"/>
    <n v="1459477"/>
  </r>
  <r>
    <x v="8"/>
    <x v="8"/>
    <x v="59"/>
    <x v="59"/>
    <n v="75750243"/>
    <n v="3375965"/>
    <n v="3572968"/>
    <n v="561168"/>
    <n v="171114"/>
  </r>
  <r>
    <x v="9"/>
    <x v="9"/>
    <x v="59"/>
    <x v="59"/>
    <n v="10481989"/>
    <n v="932016"/>
    <n v="1228522"/>
    <n v="62021"/>
    <n v="503581"/>
  </r>
  <r>
    <x v="10"/>
    <x v="10"/>
    <x v="59"/>
    <x v="59"/>
    <n v="107290773"/>
    <n v="13183457"/>
    <n v="15148947"/>
    <n v="2176019"/>
    <n v="5919092"/>
  </r>
  <r>
    <x v="11"/>
    <x v="11"/>
    <x v="59"/>
    <x v="59"/>
    <n v="0"/>
    <n v="0"/>
    <n v="0"/>
    <n v="0"/>
    <n v="0"/>
  </r>
  <r>
    <x v="12"/>
    <x v="12"/>
    <x v="59"/>
    <x v="59"/>
    <n v="0"/>
    <n v="0"/>
    <n v="0"/>
    <n v="0"/>
    <n v="0"/>
  </r>
  <r>
    <x v="13"/>
    <x v="13"/>
    <x v="59"/>
    <x v="59"/>
    <n v="0"/>
    <n v="0"/>
    <n v="0"/>
    <n v="0"/>
    <n v="0"/>
  </r>
  <r>
    <x v="14"/>
    <x v="14"/>
    <x v="59"/>
    <x v="59"/>
    <n v="324813930"/>
    <n v="8928250"/>
    <n v="15396846"/>
    <n v="1032048"/>
    <n v="170979"/>
  </r>
  <r>
    <x v="15"/>
    <x v="15"/>
    <x v="59"/>
    <x v="59"/>
    <n v="293033886"/>
    <n v="17096749"/>
    <n v="22197841"/>
    <n v="3238487"/>
    <n v="85660697"/>
  </r>
  <r>
    <x v="16"/>
    <x v="16"/>
    <x v="59"/>
    <x v="59"/>
    <n v="333340695"/>
    <n v="19764131"/>
    <n v="35413523"/>
    <n v="6612908"/>
    <n v="1880023"/>
  </r>
  <r>
    <x v="17"/>
    <x v="17"/>
    <x v="59"/>
    <x v="59"/>
    <n v="30347812"/>
    <n v="1164839"/>
    <n v="1261150"/>
    <n v="399179"/>
    <n v="1339243"/>
  </r>
  <r>
    <x v="18"/>
    <x v="18"/>
    <x v="59"/>
    <x v="59"/>
    <n v="169586150"/>
    <n v="10179494"/>
    <n v="13674055"/>
    <n v="2760388"/>
    <n v="34030606"/>
  </r>
  <r>
    <x v="19"/>
    <x v="19"/>
    <x v="59"/>
    <x v="59"/>
    <n v="4801466"/>
    <n v="466253"/>
    <n v="443357"/>
    <n v="48926"/>
    <n v="2178321"/>
  </r>
  <r>
    <x v="20"/>
    <x v="20"/>
    <x v="59"/>
    <x v="59"/>
    <n v="290107001"/>
    <n v="18906008"/>
    <n v="26905483"/>
    <n v="4141755"/>
    <n v="11366446"/>
  </r>
  <r>
    <x v="21"/>
    <x v="21"/>
    <x v="59"/>
    <x v="59"/>
    <n v="68050398"/>
    <n v="3781048"/>
    <n v="4955670"/>
    <n v="580825"/>
    <n v="17804969"/>
  </r>
  <r>
    <x v="22"/>
    <x v="22"/>
    <x v="59"/>
    <x v="59"/>
    <n v="2128333"/>
    <n v="111415"/>
    <n v="121612"/>
    <n v="29952"/>
    <n v="478484"/>
  </r>
  <r>
    <x v="23"/>
    <x v="23"/>
    <x v="59"/>
    <x v="59"/>
    <n v="241844358"/>
    <n v="15687758"/>
    <n v="25415302"/>
    <n v="1189452"/>
    <n v="72925873"/>
  </r>
  <r>
    <x v="24"/>
    <x v="24"/>
    <x v="59"/>
    <x v="59"/>
    <n v="20243584"/>
    <n v="1251712"/>
    <n v="866094"/>
    <n v="149472"/>
    <n v="7990823"/>
  </r>
  <r>
    <x v="25"/>
    <x v="25"/>
    <x v="59"/>
    <x v="59"/>
    <n v="48180928"/>
    <n v="2551020"/>
    <n v="4535061"/>
    <n v="418897"/>
    <n v="26825963"/>
  </r>
  <r>
    <x v="26"/>
    <x v="26"/>
    <x v="59"/>
    <x v="59"/>
    <n v="0"/>
    <n v="0"/>
    <n v="0"/>
    <n v="0"/>
    <n v="0"/>
  </r>
  <r>
    <x v="27"/>
    <x v="27"/>
    <x v="59"/>
    <x v="59"/>
    <n v="3053896"/>
    <n v="354024"/>
    <n v="347000"/>
    <n v="109464"/>
    <n v="1451241"/>
  </r>
  <r>
    <x v="28"/>
    <x v="28"/>
    <x v="59"/>
    <x v="59"/>
    <n v="318333132"/>
    <n v="40366892"/>
    <n v="53572575"/>
    <n v="3214065"/>
    <n v="126623092"/>
  </r>
  <r>
    <x v="29"/>
    <x v="29"/>
    <x v="59"/>
    <x v="59"/>
    <n v="319772016"/>
    <n v="24323206"/>
    <n v="29978189"/>
    <n v="2986099"/>
    <n v="60637900"/>
  </r>
  <r>
    <x v="30"/>
    <x v="30"/>
    <x v="59"/>
    <x v="59"/>
    <n v="24108931"/>
    <n v="2313324"/>
    <n v="5710029"/>
    <n v="362878"/>
    <n v="8176299"/>
  </r>
  <r>
    <x v="31"/>
    <x v="31"/>
    <x v="59"/>
    <x v="59"/>
    <n v="18815656"/>
    <n v="699299"/>
    <n v="1043034"/>
    <n v="140364"/>
    <n v="7217818"/>
  </r>
  <r>
    <x v="32"/>
    <x v="32"/>
    <x v="59"/>
    <x v="59"/>
    <n v="209652"/>
    <n v="14223"/>
    <n v="8235"/>
    <n v="3272"/>
    <n v="0"/>
  </r>
  <r>
    <x v="33"/>
    <x v="33"/>
    <x v="59"/>
    <x v="59"/>
    <n v="35421934"/>
    <n v="2156383"/>
    <n v="2267685"/>
    <n v="527163"/>
    <n v="2067327"/>
  </r>
  <r>
    <x v="34"/>
    <x v="34"/>
    <x v="59"/>
    <x v="59"/>
    <n v="0"/>
    <n v="0"/>
    <n v="0"/>
    <n v="0"/>
    <n v="0"/>
  </r>
  <r>
    <x v="35"/>
    <x v="35"/>
    <x v="59"/>
    <x v="59"/>
    <n v="0"/>
    <n v="0"/>
    <n v="0"/>
    <n v="0"/>
    <n v="0"/>
  </r>
  <r>
    <x v="36"/>
    <x v="36"/>
    <x v="59"/>
    <x v="59"/>
    <n v="47639899"/>
    <n v="1428337"/>
    <n v="3017605"/>
    <n v="243898"/>
    <n v="31005565"/>
  </r>
  <r>
    <x v="37"/>
    <x v="37"/>
    <x v="59"/>
    <x v="59"/>
    <n v="1984416"/>
    <n v="150344"/>
    <n v="5712"/>
    <n v="8595"/>
    <n v="1010820"/>
  </r>
  <r>
    <x v="38"/>
    <x v="38"/>
    <x v="59"/>
    <x v="59"/>
    <n v="227908868"/>
    <n v="13902587"/>
    <n v="15814300"/>
    <n v="1573937"/>
    <n v="134673494"/>
  </r>
  <r>
    <x v="39"/>
    <x v="39"/>
    <x v="59"/>
    <x v="59"/>
    <n v="373672841"/>
    <n v="30063993"/>
    <n v="36190899"/>
    <n v="2280721"/>
    <n v="34112718"/>
  </r>
  <r>
    <x v="40"/>
    <x v="40"/>
    <x v="59"/>
    <x v="59"/>
    <n v="228772"/>
    <n v="1532"/>
    <n v="588"/>
    <n v="586"/>
    <n v="37921"/>
  </r>
  <r>
    <x v="41"/>
    <x v="41"/>
    <x v="59"/>
    <x v="59"/>
    <n v="74330917"/>
    <n v="5764838"/>
    <n v="7253052"/>
    <n v="475965"/>
    <n v="34389806"/>
  </r>
  <r>
    <x v="42"/>
    <x v="42"/>
    <x v="59"/>
    <x v="59"/>
    <n v="22176032"/>
    <n v="2316011"/>
    <n v="2701854"/>
    <n v="235231"/>
    <n v="796487"/>
  </r>
  <r>
    <x v="43"/>
    <x v="43"/>
    <x v="59"/>
    <x v="59"/>
    <n v="212845353"/>
    <n v="11150777"/>
    <n v="18501948"/>
    <n v="677831"/>
    <n v="28458599"/>
  </r>
  <r>
    <x v="44"/>
    <x v="44"/>
    <x v="59"/>
    <x v="59"/>
    <n v="355558350"/>
    <n v="803431"/>
    <n v="1169213"/>
    <n v="358167"/>
    <n v="0"/>
  </r>
  <r>
    <x v="45"/>
    <x v="45"/>
    <x v="59"/>
    <x v="59"/>
    <n v="36276529"/>
    <n v="0"/>
    <n v="0"/>
    <n v="0"/>
    <n v="0"/>
  </r>
  <r>
    <x v="46"/>
    <x v="46"/>
    <x v="59"/>
    <x v="59"/>
    <n v="7177730"/>
    <n v="0"/>
    <n v="0"/>
    <n v="3674"/>
    <n v="0"/>
  </r>
  <r>
    <x v="47"/>
    <x v="47"/>
    <x v="59"/>
    <x v="59"/>
    <n v="0"/>
    <n v="0"/>
    <n v="0"/>
    <n v="0"/>
    <n v="0"/>
  </r>
  <r>
    <x v="48"/>
    <x v="48"/>
    <x v="59"/>
    <x v="59"/>
    <n v="11026474"/>
    <n v="-330291563"/>
    <n v="-467712669"/>
    <n v="0"/>
    <n v="0"/>
  </r>
  <r>
    <x v="49"/>
    <x v="49"/>
    <x v="59"/>
    <x v="59"/>
    <n v="1015795492"/>
    <n v="0"/>
    <n v="0"/>
    <n v="0"/>
    <n v="65700431"/>
  </r>
  <r>
    <x v="50"/>
    <x v="50"/>
    <x v="59"/>
    <x v="59"/>
    <n v="321944518"/>
    <n v="0"/>
    <n v="0"/>
    <n v="-47065462"/>
    <n v="75072113"/>
  </r>
  <r>
    <x v="51"/>
    <x v="51"/>
    <x v="59"/>
    <x v="59"/>
    <n v="243250169"/>
    <n v="0"/>
    <n v="0"/>
    <n v="0"/>
    <n v="55188867"/>
  </r>
  <r>
    <x v="52"/>
    <x v="52"/>
    <x v="59"/>
    <x v="59"/>
    <n v="726376747"/>
    <n v="0"/>
    <n v="0"/>
    <n v="0"/>
    <n v="67215167"/>
  </r>
  <r>
    <x v="53"/>
    <x v="53"/>
    <x v="59"/>
    <x v="59"/>
    <n v="536033494"/>
    <n v="0"/>
    <n v="0"/>
    <n v="0"/>
    <n v="101724443"/>
  </r>
  <r>
    <x v="54"/>
    <x v="54"/>
    <x v="59"/>
    <x v="59"/>
    <n v="129617731"/>
    <n v="0"/>
    <n v="0"/>
    <n v="0"/>
    <n v="44032441"/>
  </r>
  <r>
    <x v="55"/>
    <x v="55"/>
    <x v="59"/>
    <x v="59"/>
    <n v="399292025"/>
    <n v="0"/>
    <n v="0"/>
    <n v="0"/>
    <n v="86220627"/>
  </r>
  <r>
    <x v="56"/>
    <x v="56"/>
    <x v="59"/>
    <x v="59"/>
    <n v="685137076"/>
    <n v="0"/>
    <n v="0"/>
    <n v="0"/>
    <n v="16876564"/>
  </r>
  <r>
    <x v="57"/>
    <x v="57"/>
    <x v="59"/>
    <x v="59"/>
    <n v="25140695"/>
    <n v="0"/>
    <n v="0"/>
    <n v="0"/>
    <n v="3570513"/>
  </r>
  <r>
    <x v="58"/>
    <x v="58"/>
    <x v="59"/>
    <x v="59"/>
    <n v="8786511895"/>
    <n v="0"/>
    <n v="0"/>
    <n v="0"/>
    <n v="1300976734"/>
  </r>
  <r>
    <x v="0"/>
    <x v="0"/>
    <x v="60"/>
    <x v="60"/>
    <n v="26733"/>
    <n v="2474"/>
    <n v="188"/>
    <n v="213"/>
    <n v="0"/>
  </r>
  <r>
    <x v="1"/>
    <x v="1"/>
    <x v="60"/>
    <x v="60"/>
    <n v="522790"/>
    <n v="7033"/>
    <n v="2860"/>
    <n v="3272"/>
    <n v="0"/>
  </r>
  <r>
    <x v="2"/>
    <x v="2"/>
    <x v="60"/>
    <x v="60"/>
    <n v="380"/>
    <n v="2"/>
    <n v="0"/>
    <n v="0"/>
    <n v="0"/>
  </r>
  <r>
    <x v="3"/>
    <x v="3"/>
    <x v="60"/>
    <x v="60"/>
    <n v="109055"/>
    <n v="1720"/>
    <n v="5423"/>
    <n v="148"/>
    <n v="72832"/>
  </r>
  <r>
    <x v="4"/>
    <x v="4"/>
    <x v="60"/>
    <x v="60"/>
    <n v="244132"/>
    <n v="9417"/>
    <n v="27009"/>
    <n v="5571"/>
    <n v="0"/>
  </r>
  <r>
    <x v="5"/>
    <x v="5"/>
    <x v="60"/>
    <x v="60"/>
    <n v="0"/>
    <n v="0"/>
    <n v="0"/>
    <n v="0"/>
    <n v="0"/>
  </r>
  <r>
    <x v="6"/>
    <x v="6"/>
    <x v="60"/>
    <x v="60"/>
    <n v="15785"/>
    <n v="506"/>
    <n v="0"/>
    <n v="90"/>
    <n v="0"/>
  </r>
  <r>
    <x v="7"/>
    <x v="7"/>
    <x v="60"/>
    <x v="60"/>
    <n v="2199489"/>
    <n v="425439"/>
    <n v="398700"/>
    <n v="42145"/>
    <n v="305825"/>
  </r>
  <r>
    <x v="8"/>
    <x v="8"/>
    <x v="60"/>
    <x v="60"/>
    <n v="537858"/>
    <n v="30929"/>
    <n v="9029"/>
    <n v="5223"/>
    <n v="0"/>
  </r>
  <r>
    <x v="9"/>
    <x v="9"/>
    <x v="60"/>
    <x v="60"/>
    <n v="0"/>
    <n v="0"/>
    <n v="0"/>
    <n v="0"/>
    <n v="0"/>
  </r>
  <r>
    <x v="10"/>
    <x v="10"/>
    <x v="60"/>
    <x v="60"/>
    <n v="141201"/>
    <n v="13758"/>
    <n v="9269"/>
    <n v="2362"/>
    <n v="0"/>
  </r>
  <r>
    <x v="11"/>
    <x v="11"/>
    <x v="60"/>
    <x v="60"/>
    <n v="0"/>
    <n v="0"/>
    <n v="0"/>
    <n v="0"/>
    <n v="0"/>
  </r>
  <r>
    <x v="12"/>
    <x v="12"/>
    <x v="60"/>
    <x v="60"/>
    <n v="0"/>
    <n v="0"/>
    <n v="0"/>
    <n v="0"/>
    <n v="0"/>
  </r>
  <r>
    <x v="13"/>
    <x v="13"/>
    <x v="60"/>
    <x v="60"/>
    <n v="0"/>
    <n v="0"/>
    <n v="0"/>
    <n v="0"/>
    <n v="0"/>
  </r>
  <r>
    <x v="14"/>
    <x v="14"/>
    <x v="60"/>
    <x v="60"/>
    <n v="3870084"/>
    <n v="112620"/>
    <n v="108139"/>
    <n v="13716"/>
    <n v="0"/>
  </r>
  <r>
    <x v="15"/>
    <x v="15"/>
    <x v="60"/>
    <x v="60"/>
    <n v="25333331"/>
    <n v="152518"/>
    <n v="540393"/>
    <n v="96369"/>
    <n v="5489363"/>
  </r>
  <r>
    <x v="16"/>
    <x v="16"/>
    <x v="60"/>
    <x v="60"/>
    <n v="0"/>
    <n v="0"/>
    <n v="0"/>
    <n v="0"/>
    <n v="0"/>
  </r>
  <r>
    <x v="17"/>
    <x v="17"/>
    <x v="60"/>
    <x v="60"/>
    <n v="0"/>
    <n v="0"/>
    <n v="0"/>
    <n v="0"/>
    <n v="0"/>
  </r>
  <r>
    <x v="18"/>
    <x v="18"/>
    <x v="60"/>
    <x v="60"/>
    <n v="11174935"/>
    <n v="175864"/>
    <n v="276924"/>
    <n v="108539"/>
    <n v="2550041"/>
  </r>
  <r>
    <x v="19"/>
    <x v="19"/>
    <x v="60"/>
    <x v="60"/>
    <n v="44740"/>
    <n v="965"/>
    <n v="20"/>
    <n v="325"/>
    <n v="0"/>
  </r>
  <r>
    <x v="20"/>
    <x v="20"/>
    <x v="60"/>
    <x v="60"/>
    <n v="27385"/>
    <n v="2225"/>
    <n v="3225"/>
    <n v="606"/>
    <n v="0"/>
  </r>
  <r>
    <x v="21"/>
    <x v="21"/>
    <x v="60"/>
    <x v="60"/>
    <n v="0"/>
    <n v="0"/>
    <n v="0"/>
    <n v="0"/>
    <n v="0"/>
  </r>
  <r>
    <x v="22"/>
    <x v="22"/>
    <x v="60"/>
    <x v="60"/>
    <n v="74188"/>
    <n v="1101"/>
    <n v="682"/>
    <n v="725"/>
    <n v="0"/>
  </r>
  <r>
    <x v="23"/>
    <x v="23"/>
    <x v="60"/>
    <x v="60"/>
    <n v="4842898"/>
    <n v="238716"/>
    <n v="261660"/>
    <n v="30553"/>
    <n v="32022"/>
  </r>
  <r>
    <x v="24"/>
    <x v="24"/>
    <x v="60"/>
    <x v="60"/>
    <n v="20176774"/>
    <n v="783653"/>
    <n v="711891"/>
    <n v="184397"/>
    <n v="1645466"/>
  </r>
  <r>
    <x v="25"/>
    <x v="25"/>
    <x v="60"/>
    <x v="60"/>
    <n v="8940983"/>
    <n v="289330"/>
    <n v="448114"/>
    <n v="65344"/>
    <n v="2347096"/>
  </r>
  <r>
    <x v="26"/>
    <x v="26"/>
    <x v="60"/>
    <x v="60"/>
    <n v="274519"/>
    <n v="6423"/>
    <n v="14024"/>
    <n v="4722"/>
    <n v="141053"/>
  </r>
  <r>
    <x v="27"/>
    <x v="27"/>
    <x v="60"/>
    <x v="60"/>
    <n v="0"/>
    <n v="0"/>
    <n v="0"/>
    <n v="0"/>
    <n v="0"/>
  </r>
  <r>
    <x v="28"/>
    <x v="28"/>
    <x v="60"/>
    <x v="60"/>
    <n v="11533559"/>
    <n v="772029"/>
    <n v="965553"/>
    <n v="109512"/>
    <n v="1402095"/>
  </r>
  <r>
    <x v="29"/>
    <x v="29"/>
    <x v="60"/>
    <x v="60"/>
    <n v="54303707"/>
    <n v="2265953"/>
    <n v="1834033"/>
    <n v="480443"/>
    <n v="8407814"/>
  </r>
  <r>
    <x v="30"/>
    <x v="30"/>
    <x v="60"/>
    <x v="60"/>
    <n v="0"/>
    <n v="0"/>
    <n v="0"/>
    <n v="0"/>
    <n v="0"/>
  </r>
  <r>
    <x v="31"/>
    <x v="31"/>
    <x v="60"/>
    <x v="60"/>
    <n v="2104148"/>
    <n v="77652"/>
    <n v="151555"/>
    <n v="18393"/>
    <n v="636052"/>
  </r>
  <r>
    <x v="32"/>
    <x v="32"/>
    <x v="60"/>
    <x v="60"/>
    <n v="1040322"/>
    <n v="37919"/>
    <n v="26313"/>
    <n v="13429"/>
    <n v="0"/>
  </r>
  <r>
    <x v="33"/>
    <x v="33"/>
    <x v="60"/>
    <x v="60"/>
    <n v="315539"/>
    <n v="7128"/>
    <n v="5180"/>
    <n v="3690"/>
    <n v="0"/>
  </r>
  <r>
    <x v="34"/>
    <x v="34"/>
    <x v="60"/>
    <x v="60"/>
    <n v="31724"/>
    <n v="0"/>
    <n v="0"/>
    <n v="0"/>
    <n v="0"/>
  </r>
  <r>
    <x v="35"/>
    <x v="35"/>
    <x v="60"/>
    <x v="60"/>
    <n v="0"/>
    <n v="0"/>
    <n v="0"/>
    <n v="0"/>
    <n v="0"/>
  </r>
  <r>
    <x v="36"/>
    <x v="36"/>
    <x v="60"/>
    <x v="60"/>
    <n v="12626373"/>
    <n v="619747"/>
    <n v="1126070"/>
    <n v="82645"/>
    <n v="2060397"/>
  </r>
  <r>
    <x v="37"/>
    <x v="37"/>
    <x v="60"/>
    <x v="60"/>
    <n v="8000504"/>
    <n v="174337"/>
    <n v="65963"/>
    <n v="70658"/>
    <n v="0"/>
  </r>
  <r>
    <x v="38"/>
    <x v="38"/>
    <x v="60"/>
    <x v="60"/>
    <n v="13219792"/>
    <n v="586796"/>
    <n v="606834"/>
    <n v="99814"/>
    <n v="2941893"/>
  </r>
  <r>
    <x v="39"/>
    <x v="39"/>
    <x v="60"/>
    <x v="60"/>
    <n v="4966017"/>
    <n v="34696"/>
    <n v="39411"/>
    <n v="3882"/>
    <n v="0"/>
  </r>
  <r>
    <x v="40"/>
    <x v="40"/>
    <x v="60"/>
    <x v="60"/>
    <n v="101324"/>
    <n v="5661"/>
    <n v="68"/>
    <n v="2534"/>
    <n v="32997"/>
  </r>
  <r>
    <x v="41"/>
    <x v="41"/>
    <x v="60"/>
    <x v="60"/>
    <n v="0"/>
    <n v="0"/>
    <n v="0"/>
    <n v="0"/>
    <n v="0"/>
  </r>
  <r>
    <x v="42"/>
    <x v="42"/>
    <x v="60"/>
    <x v="60"/>
    <n v="56810"/>
    <n v="0"/>
    <n v="0"/>
    <n v="592"/>
    <n v="0"/>
  </r>
  <r>
    <x v="43"/>
    <x v="43"/>
    <x v="60"/>
    <x v="60"/>
    <n v="21933718"/>
    <n v="1849491"/>
    <n v="1905072"/>
    <n v="189507"/>
    <n v="8243347"/>
  </r>
  <r>
    <x v="44"/>
    <x v="44"/>
    <x v="60"/>
    <x v="60"/>
    <n v="51460693"/>
    <n v="0"/>
    <n v="0"/>
    <n v="0"/>
    <n v="0"/>
  </r>
  <r>
    <x v="45"/>
    <x v="45"/>
    <x v="60"/>
    <x v="60"/>
    <n v="8054354"/>
    <n v="0"/>
    <n v="0"/>
    <n v="0"/>
    <n v="0"/>
  </r>
  <r>
    <x v="46"/>
    <x v="46"/>
    <x v="60"/>
    <x v="60"/>
    <n v="3682908"/>
    <n v="0"/>
    <n v="0"/>
    <n v="0"/>
    <n v="0"/>
  </r>
  <r>
    <x v="47"/>
    <x v="47"/>
    <x v="60"/>
    <x v="60"/>
    <n v="0"/>
    <n v="0"/>
    <n v="0"/>
    <n v="0"/>
    <n v="0"/>
  </r>
  <r>
    <x v="48"/>
    <x v="48"/>
    <x v="60"/>
    <x v="60"/>
    <n v="0"/>
    <n v="-8686102"/>
    <n v="-9543602"/>
    <n v="0"/>
    <n v="0"/>
  </r>
  <r>
    <x v="49"/>
    <x v="49"/>
    <x v="60"/>
    <x v="60"/>
    <n v="68138115"/>
    <n v="0"/>
    <n v="0"/>
    <n v="0"/>
    <n v="0"/>
  </r>
  <r>
    <x v="50"/>
    <x v="50"/>
    <x v="60"/>
    <x v="60"/>
    <n v="19732042"/>
    <n v="0"/>
    <n v="0"/>
    <n v="-1639419"/>
    <n v="0"/>
  </r>
  <r>
    <x v="51"/>
    <x v="51"/>
    <x v="60"/>
    <x v="60"/>
    <n v="53306370"/>
    <n v="0"/>
    <n v="0"/>
    <n v="0"/>
    <n v="0"/>
  </r>
  <r>
    <x v="52"/>
    <x v="52"/>
    <x v="60"/>
    <x v="60"/>
    <n v="636055"/>
    <n v="0"/>
    <n v="0"/>
    <n v="0"/>
    <n v="0"/>
  </r>
  <r>
    <x v="53"/>
    <x v="53"/>
    <x v="60"/>
    <x v="60"/>
    <n v="42134280"/>
    <n v="0"/>
    <n v="0"/>
    <n v="0"/>
    <n v="0"/>
  </r>
  <r>
    <x v="54"/>
    <x v="54"/>
    <x v="60"/>
    <x v="60"/>
    <n v="145749337"/>
    <n v="0"/>
    <n v="0"/>
    <n v="0"/>
    <n v="0"/>
  </r>
  <r>
    <x v="55"/>
    <x v="55"/>
    <x v="60"/>
    <x v="60"/>
    <n v="2300579496"/>
    <n v="0"/>
    <n v="0"/>
    <n v="0"/>
    <n v="0"/>
  </r>
  <r>
    <x v="56"/>
    <x v="56"/>
    <x v="60"/>
    <x v="60"/>
    <n v="13803365"/>
    <n v="0"/>
    <n v="0"/>
    <n v="0"/>
    <n v="0"/>
  </r>
  <r>
    <x v="57"/>
    <x v="57"/>
    <x v="60"/>
    <x v="60"/>
    <n v="35329250"/>
    <n v="0"/>
    <n v="0"/>
    <n v="0"/>
    <n v="3082884"/>
  </r>
  <r>
    <x v="58"/>
    <x v="58"/>
    <x v="60"/>
    <x v="60"/>
    <n v="2951397062"/>
    <n v="0"/>
    <n v="0"/>
    <n v="0"/>
    <n v="39391177"/>
  </r>
  <r>
    <x v="0"/>
    <x v="0"/>
    <x v="61"/>
    <x v="61"/>
    <n v="0"/>
    <n v="0"/>
    <n v="0"/>
    <n v="0"/>
    <n v="0"/>
  </r>
  <r>
    <x v="1"/>
    <x v="1"/>
    <x v="61"/>
    <x v="61"/>
    <n v="0"/>
    <n v="0"/>
    <n v="0"/>
    <n v="0"/>
    <n v="0"/>
  </r>
  <r>
    <x v="2"/>
    <x v="2"/>
    <x v="61"/>
    <x v="61"/>
    <n v="0"/>
    <n v="0"/>
    <n v="0"/>
    <n v="0"/>
    <n v="0"/>
  </r>
  <r>
    <x v="3"/>
    <x v="3"/>
    <x v="61"/>
    <x v="61"/>
    <n v="0"/>
    <n v="0"/>
    <n v="0"/>
    <n v="0"/>
    <n v="0"/>
  </r>
  <r>
    <x v="4"/>
    <x v="4"/>
    <x v="61"/>
    <x v="61"/>
    <n v="0"/>
    <n v="0"/>
    <n v="0"/>
    <n v="0"/>
    <n v="0"/>
  </r>
  <r>
    <x v="5"/>
    <x v="5"/>
    <x v="61"/>
    <x v="61"/>
    <n v="0"/>
    <n v="0"/>
    <n v="0"/>
    <n v="0"/>
    <n v="0"/>
  </r>
  <r>
    <x v="6"/>
    <x v="6"/>
    <x v="61"/>
    <x v="61"/>
    <n v="0"/>
    <n v="0"/>
    <n v="0"/>
    <n v="0"/>
    <n v="0"/>
  </r>
  <r>
    <x v="7"/>
    <x v="7"/>
    <x v="61"/>
    <x v="61"/>
    <n v="0"/>
    <n v="0"/>
    <n v="0"/>
    <n v="0"/>
    <n v="0"/>
  </r>
  <r>
    <x v="8"/>
    <x v="8"/>
    <x v="61"/>
    <x v="61"/>
    <n v="3049362"/>
    <n v="76472"/>
    <n v="0"/>
    <n v="6163"/>
    <n v="2010376"/>
  </r>
  <r>
    <x v="9"/>
    <x v="9"/>
    <x v="61"/>
    <x v="61"/>
    <n v="0"/>
    <n v="0"/>
    <n v="0"/>
    <n v="0"/>
    <n v="0"/>
  </r>
  <r>
    <x v="10"/>
    <x v="10"/>
    <x v="61"/>
    <x v="61"/>
    <n v="3154870"/>
    <n v="151422"/>
    <n v="126971"/>
    <n v="57356"/>
    <n v="1763672"/>
  </r>
  <r>
    <x v="11"/>
    <x v="11"/>
    <x v="61"/>
    <x v="61"/>
    <n v="0"/>
    <n v="0"/>
    <n v="0"/>
    <n v="0"/>
    <n v="0"/>
  </r>
  <r>
    <x v="12"/>
    <x v="12"/>
    <x v="61"/>
    <x v="61"/>
    <n v="0"/>
    <n v="0"/>
    <n v="0"/>
    <n v="0"/>
    <n v="0"/>
  </r>
  <r>
    <x v="13"/>
    <x v="13"/>
    <x v="61"/>
    <x v="61"/>
    <n v="0"/>
    <n v="0"/>
    <n v="0"/>
    <n v="0"/>
    <n v="0"/>
  </r>
  <r>
    <x v="14"/>
    <x v="14"/>
    <x v="61"/>
    <x v="61"/>
    <n v="0"/>
    <n v="0"/>
    <n v="0"/>
    <n v="0"/>
    <n v="0"/>
  </r>
  <r>
    <x v="15"/>
    <x v="15"/>
    <x v="61"/>
    <x v="61"/>
    <n v="0"/>
    <n v="0"/>
    <n v="0"/>
    <n v="0"/>
    <n v="0"/>
  </r>
  <r>
    <x v="16"/>
    <x v="16"/>
    <x v="61"/>
    <x v="61"/>
    <n v="0"/>
    <n v="0"/>
    <n v="0"/>
    <n v="0"/>
    <n v="0"/>
  </r>
  <r>
    <x v="17"/>
    <x v="17"/>
    <x v="61"/>
    <x v="61"/>
    <n v="0"/>
    <n v="0"/>
    <n v="0"/>
    <n v="0"/>
    <n v="0"/>
  </r>
  <r>
    <x v="18"/>
    <x v="18"/>
    <x v="61"/>
    <x v="61"/>
    <n v="0"/>
    <n v="0"/>
    <n v="0"/>
    <n v="0"/>
    <n v="0"/>
  </r>
  <r>
    <x v="19"/>
    <x v="19"/>
    <x v="61"/>
    <x v="61"/>
    <n v="0"/>
    <n v="0"/>
    <n v="0"/>
    <n v="0"/>
    <n v="0"/>
  </r>
  <r>
    <x v="20"/>
    <x v="20"/>
    <x v="61"/>
    <x v="61"/>
    <n v="0"/>
    <n v="0"/>
    <n v="0"/>
    <n v="0"/>
    <n v="0"/>
  </r>
  <r>
    <x v="21"/>
    <x v="21"/>
    <x v="61"/>
    <x v="61"/>
    <n v="0"/>
    <n v="0"/>
    <n v="0"/>
    <n v="0"/>
    <n v="0"/>
  </r>
  <r>
    <x v="22"/>
    <x v="22"/>
    <x v="61"/>
    <x v="61"/>
    <n v="0"/>
    <n v="0"/>
    <n v="0"/>
    <n v="0"/>
    <n v="0"/>
  </r>
  <r>
    <x v="23"/>
    <x v="23"/>
    <x v="61"/>
    <x v="61"/>
    <n v="8762791"/>
    <n v="585150"/>
    <n v="589107"/>
    <n v="42312"/>
    <n v="825518"/>
  </r>
  <r>
    <x v="24"/>
    <x v="24"/>
    <x v="61"/>
    <x v="61"/>
    <n v="0"/>
    <n v="0"/>
    <n v="0"/>
    <n v="0"/>
    <n v="0"/>
  </r>
  <r>
    <x v="25"/>
    <x v="25"/>
    <x v="61"/>
    <x v="61"/>
    <n v="0"/>
    <n v="0"/>
    <n v="0"/>
    <n v="0"/>
    <n v="0"/>
  </r>
  <r>
    <x v="26"/>
    <x v="26"/>
    <x v="61"/>
    <x v="61"/>
    <n v="0"/>
    <n v="0"/>
    <n v="0"/>
    <n v="0"/>
    <n v="0"/>
  </r>
  <r>
    <x v="27"/>
    <x v="27"/>
    <x v="61"/>
    <x v="61"/>
    <n v="0"/>
    <n v="0"/>
    <n v="0"/>
    <n v="0"/>
    <n v="0"/>
  </r>
  <r>
    <x v="28"/>
    <x v="28"/>
    <x v="61"/>
    <x v="61"/>
    <n v="0"/>
    <n v="0"/>
    <n v="0"/>
    <n v="0"/>
    <n v="0"/>
  </r>
  <r>
    <x v="29"/>
    <x v="29"/>
    <x v="61"/>
    <x v="61"/>
    <n v="0"/>
    <n v="0"/>
    <n v="0"/>
    <n v="0"/>
    <n v="0"/>
  </r>
  <r>
    <x v="30"/>
    <x v="30"/>
    <x v="61"/>
    <x v="61"/>
    <n v="4351757"/>
    <n v="458050"/>
    <n v="663169"/>
    <n v="141520"/>
    <n v="2524226"/>
  </r>
  <r>
    <x v="31"/>
    <x v="31"/>
    <x v="61"/>
    <x v="61"/>
    <n v="4859105"/>
    <n v="300522"/>
    <n v="245338"/>
    <n v="38177"/>
    <n v="1354204"/>
  </r>
  <r>
    <x v="32"/>
    <x v="32"/>
    <x v="61"/>
    <x v="61"/>
    <n v="0"/>
    <n v="0"/>
    <n v="0"/>
    <n v="0"/>
    <n v="0"/>
  </r>
  <r>
    <x v="33"/>
    <x v="33"/>
    <x v="61"/>
    <x v="61"/>
    <n v="24505542"/>
    <n v="1755568"/>
    <n v="1580231"/>
    <n v="286531"/>
    <n v="8057880"/>
  </r>
  <r>
    <x v="34"/>
    <x v="34"/>
    <x v="61"/>
    <x v="61"/>
    <n v="0"/>
    <n v="0"/>
    <n v="0"/>
    <n v="0"/>
    <n v="0"/>
  </r>
  <r>
    <x v="35"/>
    <x v="35"/>
    <x v="61"/>
    <x v="61"/>
    <n v="0"/>
    <n v="0"/>
    <n v="0"/>
    <n v="0"/>
    <n v="0"/>
  </r>
  <r>
    <x v="36"/>
    <x v="36"/>
    <x v="61"/>
    <x v="61"/>
    <n v="87316283"/>
    <n v="1420471"/>
    <n v="4450831"/>
    <n v="280488"/>
    <n v="71553242"/>
  </r>
  <r>
    <x v="37"/>
    <x v="37"/>
    <x v="61"/>
    <x v="61"/>
    <n v="414032286"/>
    <n v="30888637"/>
    <n v="27137032"/>
    <n v="4926544"/>
    <n v="315139379"/>
  </r>
  <r>
    <x v="38"/>
    <x v="38"/>
    <x v="61"/>
    <x v="61"/>
    <n v="655006360"/>
    <n v="25712634"/>
    <n v="21616380"/>
    <n v="5145031"/>
    <n v="368831969"/>
  </r>
  <r>
    <x v="39"/>
    <x v="39"/>
    <x v="61"/>
    <x v="61"/>
    <n v="755219295"/>
    <n v="49384665"/>
    <n v="67689586"/>
    <n v="5255375"/>
    <n v="139287540"/>
  </r>
  <r>
    <x v="40"/>
    <x v="40"/>
    <x v="61"/>
    <x v="61"/>
    <n v="114957101"/>
    <n v="5144863"/>
    <n v="800281"/>
    <n v="593437"/>
    <n v="55858143"/>
  </r>
  <r>
    <x v="41"/>
    <x v="41"/>
    <x v="61"/>
    <x v="61"/>
    <n v="0"/>
    <n v="0"/>
    <n v="0"/>
    <n v="0"/>
    <n v="0"/>
  </r>
  <r>
    <x v="42"/>
    <x v="42"/>
    <x v="61"/>
    <x v="61"/>
    <n v="17271136"/>
    <n v="1272716"/>
    <n v="1377897"/>
    <n v="190788"/>
    <n v="2933570"/>
  </r>
  <r>
    <x v="43"/>
    <x v="43"/>
    <x v="61"/>
    <x v="61"/>
    <n v="168232534"/>
    <n v="10012418"/>
    <n v="12480542"/>
    <n v="1476985"/>
    <n v="101682463"/>
  </r>
  <r>
    <x v="44"/>
    <x v="44"/>
    <x v="61"/>
    <x v="61"/>
    <n v="0"/>
    <n v="0"/>
    <n v="0"/>
    <n v="0"/>
    <n v="0"/>
  </r>
  <r>
    <x v="45"/>
    <x v="45"/>
    <x v="61"/>
    <x v="61"/>
    <n v="0"/>
    <n v="0"/>
    <n v="0"/>
    <n v="0"/>
    <n v="0"/>
  </r>
  <r>
    <x v="46"/>
    <x v="46"/>
    <x v="61"/>
    <x v="61"/>
    <n v="571863768"/>
    <n v="0"/>
    <n v="0"/>
    <n v="0"/>
    <n v="0"/>
  </r>
  <r>
    <x v="47"/>
    <x v="47"/>
    <x v="61"/>
    <x v="61"/>
    <n v="758113275"/>
    <n v="0"/>
    <n v="0"/>
    <n v="0"/>
    <n v="0"/>
  </r>
  <r>
    <x v="48"/>
    <x v="48"/>
    <x v="61"/>
    <x v="61"/>
    <n v="0"/>
    <n v="-127163588"/>
    <n v="-138757365"/>
    <n v="0"/>
    <n v="0"/>
  </r>
  <r>
    <x v="49"/>
    <x v="49"/>
    <x v="61"/>
    <x v="61"/>
    <n v="0"/>
    <n v="0"/>
    <n v="0"/>
    <n v="0"/>
    <n v="0"/>
  </r>
  <r>
    <x v="50"/>
    <x v="50"/>
    <x v="61"/>
    <x v="61"/>
    <n v="0"/>
    <n v="0"/>
    <n v="0"/>
    <n v="-18440707"/>
    <n v="0"/>
  </r>
  <r>
    <x v="51"/>
    <x v="51"/>
    <x v="61"/>
    <x v="61"/>
    <n v="0"/>
    <n v="0"/>
    <n v="0"/>
    <n v="0"/>
    <n v="0"/>
  </r>
  <r>
    <x v="52"/>
    <x v="52"/>
    <x v="61"/>
    <x v="61"/>
    <n v="0"/>
    <n v="0"/>
    <n v="0"/>
    <n v="0"/>
    <n v="0"/>
  </r>
  <r>
    <x v="53"/>
    <x v="53"/>
    <x v="61"/>
    <x v="61"/>
    <n v="0"/>
    <n v="0"/>
    <n v="0"/>
    <n v="0"/>
    <n v="0"/>
  </r>
  <r>
    <x v="54"/>
    <x v="54"/>
    <x v="61"/>
    <x v="61"/>
    <n v="96174705"/>
    <n v="0"/>
    <n v="0"/>
    <n v="0"/>
    <n v="84945926"/>
  </r>
  <r>
    <x v="55"/>
    <x v="55"/>
    <x v="61"/>
    <x v="61"/>
    <n v="116357846"/>
    <n v="0"/>
    <n v="0"/>
    <n v="0"/>
    <n v="0"/>
  </r>
  <r>
    <x v="56"/>
    <x v="56"/>
    <x v="61"/>
    <x v="61"/>
    <n v="0"/>
    <n v="0"/>
    <n v="0"/>
    <n v="0"/>
    <n v="0"/>
  </r>
  <r>
    <x v="57"/>
    <x v="57"/>
    <x v="61"/>
    <x v="61"/>
    <n v="0"/>
    <n v="0"/>
    <n v="0"/>
    <n v="0"/>
    <n v="0"/>
  </r>
  <r>
    <x v="58"/>
    <x v="58"/>
    <x v="61"/>
    <x v="61"/>
    <n v="3803228016"/>
    <n v="0"/>
    <n v="0"/>
    <n v="0"/>
    <n v="1156768108"/>
  </r>
  <r>
    <x v="0"/>
    <x v="0"/>
    <x v="62"/>
    <x v="62"/>
    <n v="-24818427"/>
    <n v="-3849441"/>
    <n v="-209812"/>
    <n v="-199956"/>
    <n v="0"/>
  </r>
  <r>
    <x v="1"/>
    <x v="1"/>
    <x v="62"/>
    <x v="62"/>
    <n v="27353408"/>
    <n v="1163675"/>
    <n v="500580"/>
    <n v="210596"/>
    <n v="557575"/>
  </r>
  <r>
    <x v="2"/>
    <x v="2"/>
    <x v="62"/>
    <x v="62"/>
    <n v="12230209"/>
    <n v="553424"/>
    <n v="107822"/>
    <n v="82671"/>
    <n v="0"/>
  </r>
  <r>
    <x v="3"/>
    <x v="3"/>
    <x v="62"/>
    <x v="62"/>
    <n v="-288257"/>
    <n v="-6708"/>
    <n v="-4456"/>
    <n v="-701"/>
    <n v="0"/>
  </r>
  <r>
    <x v="4"/>
    <x v="4"/>
    <x v="62"/>
    <x v="62"/>
    <n v="0"/>
    <n v="0"/>
    <n v="0"/>
    <n v="0"/>
    <n v="0"/>
  </r>
  <r>
    <x v="5"/>
    <x v="5"/>
    <x v="62"/>
    <x v="62"/>
    <n v="0"/>
    <n v="0"/>
    <n v="0"/>
    <n v="0"/>
    <n v="0"/>
  </r>
  <r>
    <x v="6"/>
    <x v="6"/>
    <x v="62"/>
    <x v="62"/>
    <n v="67637322"/>
    <n v="2895950"/>
    <n v="0"/>
    <n v="338924"/>
    <n v="0"/>
  </r>
  <r>
    <x v="7"/>
    <x v="7"/>
    <x v="62"/>
    <x v="62"/>
    <n v="203793"/>
    <n v="-13403"/>
    <n v="36674"/>
    <n v="5720"/>
    <n v="0"/>
  </r>
  <r>
    <x v="8"/>
    <x v="8"/>
    <x v="62"/>
    <x v="62"/>
    <n v="0"/>
    <n v="0"/>
    <n v="0"/>
    <n v="0"/>
    <n v="0"/>
  </r>
  <r>
    <x v="9"/>
    <x v="9"/>
    <x v="62"/>
    <x v="62"/>
    <n v="-38847602"/>
    <n v="-704976"/>
    <n v="0"/>
    <n v="-448046"/>
    <n v="0"/>
  </r>
  <r>
    <x v="10"/>
    <x v="10"/>
    <x v="62"/>
    <x v="62"/>
    <n v="0"/>
    <n v="0"/>
    <n v="0"/>
    <n v="0"/>
    <n v="0"/>
  </r>
  <r>
    <x v="11"/>
    <x v="11"/>
    <x v="62"/>
    <x v="62"/>
    <n v="119611124"/>
    <n v="23140"/>
    <n v="0"/>
    <n v="52086"/>
    <n v="4847781"/>
  </r>
  <r>
    <x v="12"/>
    <x v="12"/>
    <x v="62"/>
    <x v="62"/>
    <n v="-10590201"/>
    <n v="-136595"/>
    <n v="0"/>
    <n v="-180595"/>
    <n v="0"/>
  </r>
  <r>
    <x v="13"/>
    <x v="13"/>
    <x v="62"/>
    <x v="62"/>
    <n v="-66262088"/>
    <n v="-4088861"/>
    <n v="0"/>
    <n v="-7028773"/>
    <n v="0"/>
  </r>
  <r>
    <x v="14"/>
    <x v="14"/>
    <x v="62"/>
    <x v="62"/>
    <n v="0"/>
    <n v="0"/>
    <n v="0"/>
    <n v="0"/>
    <n v="0"/>
  </r>
  <r>
    <x v="15"/>
    <x v="15"/>
    <x v="62"/>
    <x v="62"/>
    <n v="57844489"/>
    <n v="1009035"/>
    <n v="2486686"/>
    <n v="501796"/>
    <n v="16703183"/>
  </r>
  <r>
    <x v="16"/>
    <x v="16"/>
    <x v="62"/>
    <x v="62"/>
    <n v="-79365247"/>
    <n v="-4078321"/>
    <n v="-3917493"/>
    <n v="-1394476"/>
    <n v="0"/>
  </r>
  <r>
    <x v="17"/>
    <x v="17"/>
    <x v="62"/>
    <x v="62"/>
    <n v="-23289063"/>
    <n v="-228577"/>
    <n v="-179031"/>
    <n v="-247801"/>
    <n v="0"/>
  </r>
  <r>
    <x v="18"/>
    <x v="18"/>
    <x v="62"/>
    <x v="62"/>
    <n v="-44431677"/>
    <n v="342892"/>
    <n v="563883"/>
    <n v="-593469"/>
    <n v="952921"/>
  </r>
  <r>
    <x v="19"/>
    <x v="19"/>
    <x v="62"/>
    <x v="62"/>
    <n v="-54850635"/>
    <n v="-829574"/>
    <n v="-1497251"/>
    <n v="-429962"/>
    <n v="0"/>
  </r>
  <r>
    <x v="20"/>
    <x v="20"/>
    <x v="62"/>
    <x v="62"/>
    <n v="113113549"/>
    <n v="2359398"/>
    <n v="1996967"/>
    <n v="987575"/>
    <n v="0"/>
  </r>
  <r>
    <x v="21"/>
    <x v="21"/>
    <x v="62"/>
    <x v="62"/>
    <n v="-5612033"/>
    <n v="-267186"/>
    <n v="30126"/>
    <n v="-141449"/>
    <n v="0"/>
  </r>
  <r>
    <x v="22"/>
    <x v="22"/>
    <x v="62"/>
    <x v="62"/>
    <n v="9184715"/>
    <n v="446839"/>
    <n v="512739"/>
    <n v="108700"/>
    <n v="614489"/>
  </r>
  <r>
    <x v="23"/>
    <x v="23"/>
    <x v="62"/>
    <x v="62"/>
    <n v="4852347"/>
    <n v="1007145"/>
    <n v="1143360"/>
    <n v="-47888"/>
    <n v="4662979"/>
  </r>
  <r>
    <x v="24"/>
    <x v="24"/>
    <x v="62"/>
    <x v="62"/>
    <n v="-24589740"/>
    <n v="-950689"/>
    <n v="-211803"/>
    <n v="-118907"/>
    <n v="947897"/>
  </r>
  <r>
    <x v="25"/>
    <x v="25"/>
    <x v="62"/>
    <x v="62"/>
    <n v="12135680"/>
    <n v="596085"/>
    <n v="1060275"/>
    <n v="103873"/>
    <n v="2769446"/>
  </r>
  <r>
    <x v="26"/>
    <x v="26"/>
    <x v="62"/>
    <x v="62"/>
    <n v="-125251916"/>
    <n v="-7028002"/>
    <n v="-4608418"/>
    <n v="-867119"/>
    <n v="0"/>
  </r>
  <r>
    <x v="27"/>
    <x v="27"/>
    <x v="62"/>
    <x v="62"/>
    <n v="-44150296"/>
    <n v="-1725830"/>
    <n v="-2192300"/>
    <n v="-1417399"/>
    <n v="0"/>
  </r>
  <r>
    <x v="28"/>
    <x v="28"/>
    <x v="62"/>
    <x v="62"/>
    <n v="-56175188"/>
    <n v="-3562493"/>
    <n v="-1910913"/>
    <n v="-410833"/>
    <n v="0"/>
  </r>
  <r>
    <x v="29"/>
    <x v="29"/>
    <x v="62"/>
    <x v="62"/>
    <n v="66954903"/>
    <n v="1779670"/>
    <n v="1905579"/>
    <n v="615045"/>
    <n v="8349885"/>
  </r>
  <r>
    <x v="30"/>
    <x v="30"/>
    <x v="62"/>
    <x v="62"/>
    <n v="-111442144"/>
    <n v="-5546125"/>
    <n v="-6383899"/>
    <n v="-2681790"/>
    <n v="0"/>
  </r>
  <r>
    <x v="31"/>
    <x v="31"/>
    <x v="62"/>
    <x v="62"/>
    <n v="119902509"/>
    <n v="3800911"/>
    <n v="4949466"/>
    <n v="686700"/>
    <n v="14233352"/>
  </r>
  <r>
    <x v="32"/>
    <x v="32"/>
    <x v="62"/>
    <x v="62"/>
    <n v="-28198862"/>
    <n v="-1428997"/>
    <n v="-543332"/>
    <n v="-418304"/>
    <n v="0"/>
  </r>
  <r>
    <x v="33"/>
    <x v="33"/>
    <x v="62"/>
    <x v="62"/>
    <n v="14593912"/>
    <n v="983442"/>
    <n v="851740"/>
    <n v="124113"/>
    <n v="2284907"/>
  </r>
  <r>
    <x v="34"/>
    <x v="34"/>
    <x v="62"/>
    <x v="62"/>
    <n v="-124444497"/>
    <n v="-5384238"/>
    <n v="-8561549"/>
    <n v="-1417659"/>
    <n v="0"/>
  </r>
  <r>
    <x v="35"/>
    <x v="35"/>
    <x v="62"/>
    <x v="62"/>
    <n v="26090084"/>
    <n v="861448"/>
    <n v="576239"/>
    <n v="39094"/>
    <n v="15386588"/>
  </r>
  <r>
    <x v="36"/>
    <x v="36"/>
    <x v="62"/>
    <x v="62"/>
    <n v="133976575"/>
    <n v="2649100"/>
    <n v="5748667"/>
    <n v="576550"/>
    <n v="13828551"/>
  </r>
  <r>
    <x v="37"/>
    <x v="37"/>
    <x v="62"/>
    <x v="62"/>
    <n v="-78029883"/>
    <n v="-3533942"/>
    <n v="-871784"/>
    <n v="-328353"/>
    <n v="523277"/>
  </r>
  <r>
    <x v="38"/>
    <x v="38"/>
    <x v="62"/>
    <x v="62"/>
    <n v="554015860"/>
    <n v="17844340"/>
    <n v="22678797"/>
    <n v="5740747"/>
    <n v="104926960"/>
  </r>
  <r>
    <x v="39"/>
    <x v="39"/>
    <x v="62"/>
    <x v="62"/>
    <n v="45949449"/>
    <n v="6204802"/>
    <n v="6516478"/>
    <n v="372289"/>
    <n v="6165051"/>
  </r>
  <r>
    <x v="40"/>
    <x v="40"/>
    <x v="62"/>
    <x v="62"/>
    <n v="11923291"/>
    <n v="-389037"/>
    <n v="105193"/>
    <n v="-202911"/>
    <n v="2365096"/>
  </r>
  <r>
    <x v="41"/>
    <x v="41"/>
    <x v="62"/>
    <x v="62"/>
    <n v="4230148"/>
    <n v="-1692506"/>
    <n v="204970"/>
    <n v="-87990"/>
    <n v="2744246"/>
  </r>
  <r>
    <x v="42"/>
    <x v="42"/>
    <x v="62"/>
    <x v="62"/>
    <n v="82632447"/>
    <n v="3181431"/>
    <n v="1803352"/>
    <n v="792823"/>
    <n v="0"/>
  </r>
  <r>
    <x v="43"/>
    <x v="43"/>
    <x v="62"/>
    <x v="62"/>
    <n v="244746842"/>
    <n v="491334"/>
    <n v="4184941"/>
    <n v="-223552"/>
    <n v="13054481"/>
  </r>
  <r>
    <x v="44"/>
    <x v="44"/>
    <x v="62"/>
    <x v="62"/>
    <n v="0"/>
    <n v="0"/>
    <n v="0"/>
    <n v="0"/>
    <n v="0"/>
  </r>
  <r>
    <x v="45"/>
    <x v="45"/>
    <x v="62"/>
    <x v="62"/>
    <n v="0"/>
    <n v="0"/>
    <n v="0"/>
    <n v="0"/>
    <n v="0"/>
  </r>
  <r>
    <x v="46"/>
    <x v="46"/>
    <x v="62"/>
    <x v="62"/>
    <n v="0"/>
    <n v="0"/>
    <n v="0"/>
    <n v="0"/>
    <n v="0"/>
  </r>
  <r>
    <x v="47"/>
    <x v="47"/>
    <x v="62"/>
    <x v="62"/>
    <n v="0"/>
    <n v="0"/>
    <n v="0"/>
    <n v="0"/>
    <n v="0"/>
  </r>
  <r>
    <x v="48"/>
    <x v="48"/>
    <x v="62"/>
    <x v="62"/>
    <n v="0"/>
    <n v="-2748560"/>
    <n v="-26872493"/>
    <n v="0"/>
    <n v="0"/>
  </r>
  <r>
    <x v="49"/>
    <x v="49"/>
    <x v="62"/>
    <x v="62"/>
    <n v="0"/>
    <n v="0"/>
    <n v="0"/>
    <n v="0"/>
    <n v="0"/>
  </r>
  <r>
    <x v="50"/>
    <x v="50"/>
    <x v="62"/>
    <x v="62"/>
    <n v="0"/>
    <n v="0"/>
    <n v="0"/>
    <n v="7548631"/>
    <n v="0"/>
  </r>
  <r>
    <x v="51"/>
    <x v="51"/>
    <x v="62"/>
    <x v="62"/>
    <n v="0"/>
    <n v="0"/>
    <n v="0"/>
    <n v="0"/>
    <n v="0"/>
  </r>
  <r>
    <x v="52"/>
    <x v="52"/>
    <x v="62"/>
    <x v="62"/>
    <n v="0"/>
    <n v="0"/>
    <n v="0"/>
    <n v="0"/>
    <n v="0"/>
  </r>
  <r>
    <x v="53"/>
    <x v="53"/>
    <x v="62"/>
    <x v="62"/>
    <n v="0"/>
    <n v="0"/>
    <n v="0"/>
    <n v="0"/>
    <n v="0"/>
  </r>
  <r>
    <x v="54"/>
    <x v="54"/>
    <x v="62"/>
    <x v="62"/>
    <n v="0"/>
    <n v="0"/>
    <n v="0"/>
    <n v="0"/>
    <n v="0"/>
  </r>
  <r>
    <x v="55"/>
    <x v="55"/>
    <x v="62"/>
    <x v="62"/>
    <n v="0"/>
    <n v="0"/>
    <n v="0"/>
    <n v="0"/>
    <n v="0"/>
  </r>
  <r>
    <x v="56"/>
    <x v="56"/>
    <x v="62"/>
    <x v="62"/>
    <n v="0"/>
    <n v="0"/>
    <n v="0"/>
    <n v="0"/>
    <n v="0"/>
  </r>
  <r>
    <x v="57"/>
    <x v="57"/>
    <x v="62"/>
    <x v="62"/>
    <n v="71440100"/>
    <n v="0"/>
    <n v="0"/>
    <n v="0"/>
    <n v="0"/>
  </r>
  <r>
    <x v="58"/>
    <x v="58"/>
    <x v="62"/>
    <x v="62"/>
    <n v="859985000"/>
    <n v="0"/>
    <n v="0"/>
    <n v="0"/>
    <n v="215918665"/>
  </r>
  <r>
    <x v="0"/>
    <x v="0"/>
    <x v="63"/>
    <x v="63"/>
    <n v="15619"/>
    <n v="704"/>
    <n v="0"/>
    <n v="0"/>
    <n v="0"/>
  </r>
  <r>
    <x v="1"/>
    <x v="1"/>
    <x v="63"/>
    <x v="63"/>
    <n v="3543545"/>
    <n v="160737"/>
    <n v="0"/>
    <n v="19431"/>
    <n v="0"/>
  </r>
  <r>
    <x v="2"/>
    <x v="2"/>
    <x v="63"/>
    <x v="63"/>
    <n v="0"/>
    <n v="0"/>
    <n v="0"/>
    <n v="0"/>
    <n v="0"/>
  </r>
  <r>
    <x v="3"/>
    <x v="3"/>
    <x v="63"/>
    <x v="63"/>
    <n v="2149301"/>
    <n v="169237"/>
    <n v="0"/>
    <n v="3492"/>
    <n v="0"/>
  </r>
  <r>
    <x v="4"/>
    <x v="4"/>
    <x v="63"/>
    <x v="63"/>
    <n v="165985221"/>
    <n v="24876791"/>
    <n v="0"/>
    <n v="2011665"/>
    <n v="0"/>
  </r>
  <r>
    <x v="5"/>
    <x v="5"/>
    <x v="63"/>
    <x v="63"/>
    <n v="96"/>
    <n v="4"/>
    <n v="0"/>
    <n v="1"/>
    <n v="0"/>
  </r>
  <r>
    <x v="6"/>
    <x v="6"/>
    <x v="63"/>
    <x v="63"/>
    <n v="52033737"/>
    <n v="3033223"/>
    <n v="0"/>
    <n v="266915"/>
    <n v="0"/>
  </r>
  <r>
    <x v="7"/>
    <x v="7"/>
    <x v="63"/>
    <x v="63"/>
    <n v="27642715"/>
    <n v="3397362"/>
    <n v="0"/>
    <n v="387017"/>
    <n v="0"/>
  </r>
  <r>
    <x v="8"/>
    <x v="8"/>
    <x v="63"/>
    <x v="63"/>
    <n v="15461511"/>
    <n v="1806379"/>
    <n v="0"/>
    <n v="53363"/>
    <n v="0"/>
  </r>
  <r>
    <x v="9"/>
    <x v="9"/>
    <x v="63"/>
    <x v="63"/>
    <n v="9694480"/>
    <n v="506290"/>
    <n v="0"/>
    <n v="115097"/>
    <n v="0"/>
  </r>
  <r>
    <x v="10"/>
    <x v="10"/>
    <x v="63"/>
    <x v="63"/>
    <n v="4047601"/>
    <n v="551331"/>
    <n v="0"/>
    <n v="86008"/>
    <n v="0"/>
  </r>
  <r>
    <x v="11"/>
    <x v="11"/>
    <x v="63"/>
    <x v="63"/>
    <n v="15399283"/>
    <n v="7842"/>
    <n v="0"/>
    <n v="9685"/>
    <n v="0"/>
  </r>
  <r>
    <x v="12"/>
    <x v="12"/>
    <x v="63"/>
    <x v="63"/>
    <n v="4337404"/>
    <n v="224082"/>
    <n v="0"/>
    <n v="82172"/>
    <n v="0"/>
  </r>
  <r>
    <x v="13"/>
    <x v="13"/>
    <x v="63"/>
    <x v="63"/>
    <n v="20257280"/>
    <n v="1908479"/>
    <n v="0"/>
    <n v="1724332"/>
    <n v="0"/>
  </r>
  <r>
    <x v="14"/>
    <x v="14"/>
    <x v="63"/>
    <x v="63"/>
    <n v="1414190"/>
    <n v="38016"/>
    <n v="0"/>
    <n v="3685"/>
    <n v="0"/>
  </r>
  <r>
    <x v="15"/>
    <x v="15"/>
    <x v="63"/>
    <x v="63"/>
    <n v="456662650"/>
    <n v="14964113"/>
    <n v="0"/>
    <n v="2504973"/>
    <n v="0"/>
  </r>
  <r>
    <x v="16"/>
    <x v="16"/>
    <x v="63"/>
    <x v="63"/>
    <n v="224554307"/>
    <n v="15069977"/>
    <n v="0"/>
    <n v="3678039"/>
    <n v="0"/>
  </r>
  <r>
    <x v="17"/>
    <x v="17"/>
    <x v="63"/>
    <x v="63"/>
    <n v="60233732"/>
    <n v="2001984"/>
    <n v="0"/>
    <n v="808267"/>
    <n v="0"/>
  </r>
  <r>
    <x v="18"/>
    <x v="18"/>
    <x v="63"/>
    <x v="63"/>
    <n v="153275469"/>
    <n v="7900843"/>
    <n v="0"/>
    <n v="2104004"/>
    <n v="0"/>
  </r>
  <r>
    <x v="19"/>
    <x v="19"/>
    <x v="63"/>
    <x v="63"/>
    <n v="61682867"/>
    <n v="3885870"/>
    <n v="0"/>
    <n v="444190"/>
    <n v="0"/>
  </r>
  <r>
    <x v="20"/>
    <x v="20"/>
    <x v="63"/>
    <x v="63"/>
    <n v="55307074"/>
    <n v="5162665"/>
    <n v="0"/>
    <n v="1157015"/>
    <n v="0"/>
  </r>
  <r>
    <x v="21"/>
    <x v="21"/>
    <x v="63"/>
    <x v="63"/>
    <n v="6931620"/>
    <n v="741748"/>
    <n v="0"/>
    <n v="89240"/>
    <n v="0"/>
  </r>
  <r>
    <x v="22"/>
    <x v="22"/>
    <x v="63"/>
    <x v="63"/>
    <n v="92962136"/>
    <n v="8242713"/>
    <n v="0"/>
    <n v="557533"/>
    <n v="0"/>
  </r>
  <r>
    <x v="23"/>
    <x v="23"/>
    <x v="63"/>
    <x v="63"/>
    <n v="127350338"/>
    <n v="6110793"/>
    <n v="0"/>
    <n v="757867"/>
    <n v="0"/>
  </r>
  <r>
    <x v="24"/>
    <x v="24"/>
    <x v="63"/>
    <x v="63"/>
    <n v="75003347"/>
    <n v="6371543"/>
    <n v="0"/>
    <n v="1039872"/>
    <n v="0"/>
  </r>
  <r>
    <x v="25"/>
    <x v="25"/>
    <x v="63"/>
    <x v="63"/>
    <n v="1814911"/>
    <n v="121436"/>
    <n v="0"/>
    <n v="18471"/>
    <n v="0"/>
  </r>
  <r>
    <x v="26"/>
    <x v="26"/>
    <x v="63"/>
    <x v="63"/>
    <n v="720480163"/>
    <n v="80845869"/>
    <n v="0"/>
    <n v="7272710"/>
    <n v="0"/>
  </r>
  <r>
    <x v="27"/>
    <x v="27"/>
    <x v="63"/>
    <x v="63"/>
    <n v="20334810"/>
    <n v="1972952"/>
    <n v="0"/>
    <n v="710952"/>
    <n v="0"/>
  </r>
  <r>
    <x v="28"/>
    <x v="28"/>
    <x v="63"/>
    <x v="63"/>
    <n v="174834009"/>
    <n v="18537259"/>
    <n v="0"/>
    <n v="1967283"/>
    <n v="0"/>
  </r>
  <r>
    <x v="29"/>
    <x v="29"/>
    <x v="63"/>
    <x v="63"/>
    <n v="279068236"/>
    <n v="9650014"/>
    <n v="0"/>
    <n v="2131379"/>
    <n v="0"/>
  </r>
  <r>
    <x v="30"/>
    <x v="30"/>
    <x v="63"/>
    <x v="63"/>
    <n v="410804902"/>
    <n v="34974519"/>
    <n v="0"/>
    <n v="8289973"/>
    <n v="0"/>
  </r>
  <r>
    <x v="31"/>
    <x v="31"/>
    <x v="63"/>
    <x v="63"/>
    <n v="183756053"/>
    <n v="11233623"/>
    <n v="0"/>
    <n v="1083117"/>
    <n v="0"/>
  </r>
  <r>
    <x v="32"/>
    <x v="32"/>
    <x v="63"/>
    <x v="63"/>
    <n v="7783723"/>
    <n v="452660"/>
    <n v="0"/>
    <n v="124543"/>
    <n v="0"/>
  </r>
  <r>
    <x v="33"/>
    <x v="33"/>
    <x v="63"/>
    <x v="63"/>
    <n v="76756158"/>
    <n v="5400529"/>
    <n v="0"/>
    <n v="1016292"/>
    <n v="0"/>
  </r>
  <r>
    <x v="34"/>
    <x v="34"/>
    <x v="63"/>
    <x v="63"/>
    <n v="90213821"/>
    <n v="5279442"/>
    <n v="0"/>
    <n v="1071193"/>
    <n v="0"/>
  </r>
  <r>
    <x v="35"/>
    <x v="35"/>
    <x v="63"/>
    <x v="63"/>
    <n v="218017435"/>
    <n v="6708010"/>
    <n v="0"/>
    <n v="334214"/>
    <n v="173725482"/>
  </r>
  <r>
    <x v="36"/>
    <x v="36"/>
    <x v="63"/>
    <x v="63"/>
    <n v="309791435"/>
    <n v="7971842"/>
    <n v="0"/>
    <n v="961786"/>
    <n v="0"/>
  </r>
  <r>
    <x v="37"/>
    <x v="37"/>
    <x v="63"/>
    <x v="63"/>
    <n v="472823393"/>
    <n v="40251882"/>
    <n v="0"/>
    <n v="4247602"/>
    <n v="0"/>
  </r>
  <r>
    <x v="38"/>
    <x v="38"/>
    <x v="63"/>
    <x v="63"/>
    <n v="2175521572"/>
    <n v="104727427"/>
    <n v="0"/>
    <n v="18311246"/>
    <n v="0"/>
  </r>
  <r>
    <x v="39"/>
    <x v="39"/>
    <x v="63"/>
    <x v="63"/>
    <n v="1027702174"/>
    <n v="47491960"/>
    <n v="0"/>
    <n v="8164543"/>
    <n v="0"/>
  </r>
  <r>
    <x v="40"/>
    <x v="40"/>
    <x v="63"/>
    <x v="63"/>
    <n v="34122492"/>
    <n v="1371356"/>
    <n v="0"/>
    <n v="414091"/>
    <n v="0"/>
  </r>
  <r>
    <x v="41"/>
    <x v="41"/>
    <x v="63"/>
    <x v="63"/>
    <n v="55757274"/>
    <n v="3287627"/>
    <n v="0"/>
    <n v="353382"/>
    <n v="0"/>
  </r>
  <r>
    <x v="42"/>
    <x v="42"/>
    <x v="63"/>
    <x v="63"/>
    <n v="100669375"/>
    <n v="7522745"/>
    <n v="0"/>
    <n v="870096"/>
    <n v="0"/>
  </r>
  <r>
    <x v="43"/>
    <x v="43"/>
    <x v="63"/>
    <x v="63"/>
    <n v="564184975"/>
    <n v="32749421"/>
    <n v="0"/>
    <n v="2565251"/>
    <n v="0"/>
  </r>
  <r>
    <x v="44"/>
    <x v="44"/>
    <x v="63"/>
    <x v="63"/>
    <n v="8557486"/>
    <n v="42868"/>
    <n v="0"/>
    <n v="7914"/>
    <n v="0"/>
  </r>
  <r>
    <x v="45"/>
    <x v="45"/>
    <x v="63"/>
    <x v="63"/>
    <n v="0"/>
    <n v="0"/>
    <n v="0"/>
    <n v="0"/>
    <n v="0"/>
  </r>
  <r>
    <x v="46"/>
    <x v="46"/>
    <x v="63"/>
    <x v="63"/>
    <n v="0"/>
    <n v="0"/>
    <n v="0"/>
    <n v="0"/>
    <n v="0"/>
  </r>
  <r>
    <x v="47"/>
    <x v="47"/>
    <x v="63"/>
    <x v="63"/>
    <n v="0"/>
    <n v="0"/>
    <n v="0"/>
    <n v="0"/>
    <n v="0"/>
  </r>
  <r>
    <x v="48"/>
    <x v="48"/>
    <x v="63"/>
    <x v="63"/>
    <n v="0"/>
    <n v="-527726167"/>
    <n v="0"/>
    <n v="0"/>
    <n v="0"/>
  </r>
  <r>
    <x v="49"/>
    <x v="49"/>
    <x v="63"/>
    <x v="63"/>
    <n v="0"/>
    <n v="0"/>
    <n v="0"/>
    <n v="0"/>
    <n v="0"/>
  </r>
  <r>
    <x v="50"/>
    <x v="50"/>
    <x v="63"/>
    <x v="63"/>
    <n v="0"/>
    <n v="0"/>
    <n v="0"/>
    <n v="-77819901"/>
    <n v="0"/>
  </r>
  <r>
    <x v="51"/>
    <x v="51"/>
    <x v="63"/>
    <x v="63"/>
    <n v="0"/>
    <n v="0"/>
    <n v="0"/>
    <n v="0"/>
    <n v="0"/>
  </r>
  <r>
    <x v="52"/>
    <x v="52"/>
    <x v="63"/>
    <x v="63"/>
    <n v="0"/>
    <n v="0"/>
    <n v="0"/>
    <n v="0"/>
    <n v="0"/>
  </r>
  <r>
    <x v="53"/>
    <x v="53"/>
    <x v="63"/>
    <x v="63"/>
    <n v="0"/>
    <n v="0"/>
    <n v="0"/>
    <n v="0"/>
    <n v="0"/>
  </r>
  <r>
    <x v="54"/>
    <x v="54"/>
    <x v="63"/>
    <x v="63"/>
    <n v="0"/>
    <n v="0"/>
    <n v="0"/>
    <n v="0"/>
    <n v="0"/>
  </r>
  <r>
    <x v="55"/>
    <x v="55"/>
    <x v="63"/>
    <x v="63"/>
    <n v="0"/>
    <n v="0"/>
    <n v="0"/>
    <n v="0"/>
    <n v="0"/>
  </r>
  <r>
    <x v="56"/>
    <x v="56"/>
    <x v="63"/>
    <x v="63"/>
    <n v="0"/>
    <n v="0"/>
    <n v="0"/>
    <n v="0"/>
    <n v="0"/>
  </r>
  <r>
    <x v="57"/>
    <x v="57"/>
    <x v="63"/>
    <x v="63"/>
    <n v="0"/>
    <n v="0"/>
    <n v="0"/>
    <n v="0"/>
    <n v="0"/>
  </r>
  <r>
    <x v="58"/>
    <x v="58"/>
    <x v="63"/>
    <x v="63"/>
    <n v="8568939920"/>
    <n v="0"/>
    <n v="0"/>
    <n v="0"/>
    <n v="173725482"/>
  </r>
  <r>
    <x v="0"/>
    <x v="0"/>
    <x v="64"/>
    <x v="64"/>
    <n v="0"/>
    <n v="0"/>
    <n v="0"/>
    <n v="0"/>
    <n v="0"/>
  </r>
  <r>
    <x v="1"/>
    <x v="1"/>
    <x v="64"/>
    <x v="64"/>
    <n v="0"/>
    <n v="0"/>
    <n v="0"/>
    <n v="0"/>
    <n v="0"/>
  </r>
  <r>
    <x v="2"/>
    <x v="2"/>
    <x v="64"/>
    <x v="64"/>
    <n v="0"/>
    <n v="0"/>
    <n v="0"/>
    <n v="0"/>
    <n v="0"/>
  </r>
  <r>
    <x v="3"/>
    <x v="3"/>
    <x v="64"/>
    <x v="64"/>
    <n v="0"/>
    <n v="0"/>
    <n v="0"/>
    <n v="0"/>
    <n v="0"/>
  </r>
  <r>
    <x v="4"/>
    <x v="4"/>
    <x v="64"/>
    <x v="64"/>
    <n v="2304919"/>
    <n v="121464"/>
    <n v="352385"/>
    <n v="16293"/>
    <n v="0"/>
  </r>
  <r>
    <x v="5"/>
    <x v="5"/>
    <x v="64"/>
    <x v="64"/>
    <n v="0"/>
    <n v="0"/>
    <n v="0"/>
    <n v="0"/>
    <n v="0"/>
  </r>
  <r>
    <x v="6"/>
    <x v="6"/>
    <x v="64"/>
    <x v="64"/>
    <n v="0"/>
    <n v="0"/>
    <n v="0"/>
    <n v="0"/>
    <n v="0"/>
  </r>
  <r>
    <x v="7"/>
    <x v="7"/>
    <x v="64"/>
    <x v="64"/>
    <n v="0"/>
    <n v="0"/>
    <n v="0"/>
    <n v="0"/>
    <n v="0"/>
  </r>
  <r>
    <x v="8"/>
    <x v="8"/>
    <x v="64"/>
    <x v="64"/>
    <n v="0"/>
    <n v="0"/>
    <n v="0"/>
    <n v="0"/>
    <n v="0"/>
  </r>
  <r>
    <x v="9"/>
    <x v="9"/>
    <x v="64"/>
    <x v="64"/>
    <n v="0"/>
    <n v="0"/>
    <n v="0"/>
    <n v="0"/>
    <n v="0"/>
  </r>
  <r>
    <x v="10"/>
    <x v="10"/>
    <x v="64"/>
    <x v="64"/>
    <n v="0"/>
    <n v="0"/>
    <n v="0"/>
    <n v="0"/>
    <n v="0"/>
  </r>
  <r>
    <x v="11"/>
    <x v="11"/>
    <x v="64"/>
    <x v="64"/>
    <n v="0"/>
    <n v="0"/>
    <n v="0"/>
    <n v="0"/>
    <n v="0"/>
  </r>
  <r>
    <x v="12"/>
    <x v="12"/>
    <x v="64"/>
    <x v="64"/>
    <n v="0"/>
    <n v="0"/>
    <n v="0"/>
    <n v="0"/>
    <n v="0"/>
  </r>
  <r>
    <x v="13"/>
    <x v="13"/>
    <x v="64"/>
    <x v="64"/>
    <n v="0"/>
    <n v="0"/>
    <n v="0"/>
    <n v="0"/>
    <n v="0"/>
  </r>
  <r>
    <x v="14"/>
    <x v="14"/>
    <x v="64"/>
    <x v="64"/>
    <n v="0"/>
    <n v="0"/>
    <n v="0"/>
    <n v="0"/>
    <n v="0"/>
  </r>
  <r>
    <x v="15"/>
    <x v="15"/>
    <x v="64"/>
    <x v="64"/>
    <n v="2736921"/>
    <n v="119189"/>
    <n v="136364"/>
    <n v="25365"/>
    <n v="0"/>
  </r>
  <r>
    <x v="16"/>
    <x v="16"/>
    <x v="64"/>
    <x v="64"/>
    <n v="804"/>
    <n v="47"/>
    <n v="61"/>
    <n v="14"/>
    <n v="0"/>
  </r>
  <r>
    <x v="17"/>
    <x v="17"/>
    <x v="64"/>
    <x v="64"/>
    <n v="0"/>
    <n v="0"/>
    <n v="0"/>
    <n v="0"/>
    <n v="0"/>
  </r>
  <r>
    <x v="18"/>
    <x v="18"/>
    <x v="64"/>
    <x v="64"/>
    <n v="4260765"/>
    <n v="99420"/>
    <n v="202141"/>
    <n v="35642"/>
    <n v="0"/>
  </r>
  <r>
    <x v="19"/>
    <x v="19"/>
    <x v="64"/>
    <x v="64"/>
    <n v="0"/>
    <n v="0"/>
    <n v="0"/>
    <n v="0"/>
    <n v="0"/>
  </r>
  <r>
    <x v="20"/>
    <x v="20"/>
    <x v="64"/>
    <x v="64"/>
    <n v="2898841"/>
    <n v="231883"/>
    <n v="266903"/>
    <n v="41210"/>
    <n v="0"/>
  </r>
  <r>
    <x v="21"/>
    <x v="21"/>
    <x v="64"/>
    <x v="64"/>
    <n v="776644"/>
    <n v="61599"/>
    <n v="51983"/>
    <n v="8400"/>
    <n v="0"/>
  </r>
  <r>
    <x v="22"/>
    <x v="22"/>
    <x v="64"/>
    <x v="64"/>
    <n v="21234"/>
    <n v="1535"/>
    <n v="1813"/>
    <n v="325"/>
    <n v="0"/>
  </r>
  <r>
    <x v="23"/>
    <x v="23"/>
    <x v="64"/>
    <x v="64"/>
    <n v="8648857"/>
    <n v="786533"/>
    <n v="1026555"/>
    <n v="40180"/>
    <n v="0"/>
  </r>
  <r>
    <x v="24"/>
    <x v="24"/>
    <x v="64"/>
    <x v="64"/>
    <n v="5624"/>
    <n v="403"/>
    <n v="343"/>
    <n v="65"/>
    <n v="0"/>
  </r>
  <r>
    <x v="25"/>
    <x v="25"/>
    <x v="64"/>
    <x v="64"/>
    <n v="16230929"/>
    <n v="933040"/>
    <n v="1488467"/>
    <n v="122763"/>
    <n v="0"/>
  </r>
  <r>
    <x v="26"/>
    <x v="26"/>
    <x v="64"/>
    <x v="64"/>
    <n v="0"/>
    <n v="0"/>
    <n v="0"/>
    <n v="0"/>
    <n v="0"/>
  </r>
  <r>
    <x v="27"/>
    <x v="27"/>
    <x v="64"/>
    <x v="64"/>
    <n v="0"/>
    <n v="0"/>
    <n v="0"/>
    <n v="0"/>
    <n v="0"/>
  </r>
  <r>
    <x v="28"/>
    <x v="28"/>
    <x v="64"/>
    <x v="64"/>
    <n v="3936462"/>
    <n v="197443"/>
    <n v="241493"/>
    <n v="67211"/>
    <n v="0"/>
  </r>
  <r>
    <x v="29"/>
    <x v="29"/>
    <x v="64"/>
    <x v="64"/>
    <n v="38030322"/>
    <n v="2552185"/>
    <n v="3623998"/>
    <n v="362241"/>
    <n v="0"/>
  </r>
  <r>
    <x v="30"/>
    <x v="30"/>
    <x v="64"/>
    <x v="64"/>
    <n v="0"/>
    <n v="0"/>
    <n v="0"/>
    <n v="0"/>
    <n v="0"/>
  </r>
  <r>
    <x v="31"/>
    <x v="31"/>
    <x v="64"/>
    <x v="64"/>
    <n v="38472"/>
    <n v="718"/>
    <n v="563"/>
    <n v="243"/>
    <n v="0"/>
  </r>
  <r>
    <x v="32"/>
    <x v="32"/>
    <x v="64"/>
    <x v="64"/>
    <n v="0"/>
    <n v="0"/>
    <n v="0"/>
    <n v="0"/>
    <n v="0"/>
  </r>
  <r>
    <x v="33"/>
    <x v="33"/>
    <x v="64"/>
    <x v="64"/>
    <n v="58528"/>
    <n v="4471"/>
    <n v="3778"/>
    <n v="801"/>
    <n v="0"/>
  </r>
  <r>
    <x v="34"/>
    <x v="34"/>
    <x v="64"/>
    <x v="64"/>
    <n v="0"/>
    <n v="0"/>
    <n v="0"/>
    <n v="0"/>
    <n v="0"/>
  </r>
  <r>
    <x v="35"/>
    <x v="35"/>
    <x v="64"/>
    <x v="64"/>
    <n v="0"/>
    <n v="0"/>
    <n v="0"/>
    <n v="0"/>
    <n v="0"/>
  </r>
  <r>
    <x v="36"/>
    <x v="36"/>
    <x v="64"/>
    <x v="64"/>
    <n v="51557"/>
    <n v="334"/>
    <n v="1380"/>
    <n v="91"/>
    <n v="0"/>
  </r>
  <r>
    <x v="37"/>
    <x v="37"/>
    <x v="64"/>
    <x v="64"/>
    <n v="0"/>
    <n v="0"/>
    <n v="0"/>
    <n v="0"/>
    <n v="0"/>
  </r>
  <r>
    <x v="38"/>
    <x v="38"/>
    <x v="64"/>
    <x v="64"/>
    <n v="1002657"/>
    <n v="48154"/>
    <n v="68646"/>
    <n v="9075"/>
    <n v="0"/>
  </r>
  <r>
    <x v="39"/>
    <x v="39"/>
    <x v="64"/>
    <x v="64"/>
    <n v="0"/>
    <n v="0"/>
    <n v="0"/>
    <n v="0"/>
    <n v="0"/>
  </r>
  <r>
    <x v="40"/>
    <x v="40"/>
    <x v="64"/>
    <x v="64"/>
    <n v="0"/>
    <n v="0"/>
    <n v="0"/>
    <n v="0"/>
    <n v="0"/>
  </r>
  <r>
    <x v="41"/>
    <x v="41"/>
    <x v="64"/>
    <x v="64"/>
    <n v="1715154"/>
    <n v="79953"/>
    <n v="125763"/>
    <n v="11558"/>
    <n v="0"/>
  </r>
  <r>
    <x v="42"/>
    <x v="42"/>
    <x v="64"/>
    <x v="64"/>
    <n v="75464"/>
    <n v="2024"/>
    <n v="9054"/>
    <n v="547"/>
    <n v="0"/>
  </r>
  <r>
    <x v="43"/>
    <x v="43"/>
    <x v="64"/>
    <x v="64"/>
    <n v="5374352"/>
    <n v="377252"/>
    <n v="597900"/>
    <n v="35997"/>
    <n v="0"/>
  </r>
  <r>
    <x v="44"/>
    <x v="44"/>
    <x v="64"/>
    <x v="64"/>
    <n v="1061"/>
    <n v="0"/>
    <n v="0"/>
    <n v="0"/>
    <n v="0"/>
  </r>
  <r>
    <x v="45"/>
    <x v="45"/>
    <x v="64"/>
    <x v="64"/>
    <n v="0"/>
    <n v="0"/>
    <n v="0"/>
    <n v="0"/>
    <n v="0"/>
  </r>
  <r>
    <x v="46"/>
    <x v="46"/>
    <x v="64"/>
    <x v="64"/>
    <n v="0"/>
    <n v="0"/>
    <n v="0"/>
    <n v="0"/>
    <n v="0"/>
  </r>
  <r>
    <x v="47"/>
    <x v="47"/>
    <x v="64"/>
    <x v="64"/>
    <n v="0"/>
    <n v="0"/>
    <n v="0"/>
    <n v="0"/>
    <n v="0"/>
  </r>
  <r>
    <x v="48"/>
    <x v="48"/>
    <x v="64"/>
    <x v="64"/>
    <n v="0"/>
    <n v="-5617647"/>
    <n v="-8199590"/>
    <n v="0"/>
    <n v="0"/>
  </r>
  <r>
    <x v="49"/>
    <x v="49"/>
    <x v="64"/>
    <x v="64"/>
    <n v="102435752"/>
    <n v="0"/>
    <n v="0"/>
    <n v="0"/>
    <n v="0"/>
  </r>
  <r>
    <x v="50"/>
    <x v="50"/>
    <x v="64"/>
    <x v="64"/>
    <n v="250913871"/>
    <n v="0"/>
    <n v="0"/>
    <n v="-778021"/>
    <n v="0"/>
  </r>
  <r>
    <x v="51"/>
    <x v="51"/>
    <x v="64"/>
    <x v="64"/>
    <n v="26928955"/>
    <n v="0"/>
    <n v="0"/>
    <n v="0"/>
    <n v="0"/>
  </r>
  <r>
    <x v="52"/>
    <x v="52"/>
    <x v="64"/>
    <x v="64"/>
    <n v="41559726"/>
    <n v="0"/>
    <n v="0"/>
    <n v="0"/>
    <n v="0"/>
  </r>
  <r>
    <x v="53"/>
    <x v="53"/>
    <x v="64"/>
    <x v="64"/>
    <n v="75641619"/>
    <n v="0"/>
    <n v="0"/>
    <n v="0"/>
    <n v="0"/>
  </r>
  <r>
    <x v="54"/>
    <x v="54"/>
    <x v="64"/>
    <x v="64"/>
    <n v="129997742"/>
    <n v="0"/>
    <n v="0"/>
    <n v="0"/>
    <n v="0"/>
  </r>
  <r>
    <x v="55"/>
    <x v="55"/>
    <x v="64"/>
    <x v="64"/>
    <n v="46839615"/>
    <n v="0"/>
    <n v="0"/>
    <n v="0"/>
    <n v="0"/>
  </r>
  <r>
    <x v="56"/>
    <x v="56"/>
    <x v="64"/>
    <x v="64"/>
    <n v="43461509"/>
    <n v="0"/>
    <n v="0"/>
    <n v="0"/>
    <n v="0"/>
  </r>
  <r>
    <x v="57"/>
    <x v="57"/>
    <x v="64"/>
    <x v="64"/>
    <n v="7791194"/>
    <n v="0"/>
    <n v="0"/>
    <n v="0"/>
    <n v="0"/>
  </r>
  <r>
    <x v="58"/>
    <x v="58"/>
    <x v="64"/>
    <x v="64"/>
    <n v="813739550"/>
    <n v="0"/>
    <n v="0"/>
    <n v="0"/>
    <n v="0"/>
  </r>
  <r>
    <x v="0"/>
    <x v="0"/>
    <x v="65"/>
    <x v="65"/>
    <n v="-24575572"/>
    <n v="-3807671"/>
    <n v="-209294"/>
    <n v="-196141"/>
    <n v="0"/>
  </r>
  <r>
    <x v="1"/>
    <x v="1"/>
    <x v="65"/>
    <x v="65"/>
    <n v="31986101"/>
    <n v="1351673"/>
    <n v="505640"/>
    <n v="238299"/>
    <n v="673959"/>
  </r>
  <r>
    <x v="2"/>
    <x v="2"/>
    <x v="65"/>
    <x v="65"/>
    <n v="12753168"/>
    <n v="565231"/>
    <n v="109090"/>
    <n v="86026"/>
    <n v="0"/>
  </r>
  <r>
    <x v="3"/>
    <x v="3"/>
    <x v="65"/>
    <x v="65"/>
    <n v="3191168"/>
    <n v="221895"/>
    <n v="52844"/>
    <n v="5303"/>
    <n v="1065143"/>
  </r>
  <r>
    <x v="4"/>
    <x v="4"/>
    <x v="65"/>
    <x v="65"/>
    <n v="755453033"/>
    <n v="101464433"/>
    <n v="118757016"/>
    <n v="12421364"/>
    <n v="42902095"/>
  </r>
  <r>
    <x v="5"/>
    <x v="5"/>
    <x v="65"/>
    <x v="65"/>
    <n v="7135"/>
    <n v="167"/>
    <n v="1535"/>
    <n v="172"/>
    <n v="0"/>
  </r>
  <r>
    <x v="6"/>
    <x v="6"/>
    <x v="65"/>
    <x v="65"/>
    <n v="119686844"/>
    <n v="5929679"/>
    <n v="0"/>
    <n v="605929"/>
    <n v="0"/>
  </r>
  <r>
    <x v="7"/>
    <x v="7"/>
    <x v="65"/>
    <x v="65"/>
    <n v="33990692"/>
    <n v="4326450"/>
    <n v="994862"/>
    <n v="494610"/>
    <n v="1765302"/>
  </r>
  <r>
    <x v="8"/>
    <x v="8"/>
    <x v="65"/>
    <x v="65"/>
    <n v="94798974"/>
    <n v="5289745"/>
    <n v="3581997"/>
    <n v="625917"/>
    <n v="2181490"/>
  </r>
  <r>
    <x v="9"/>
    <x v="9"/>
    <x v="65"/>
    <x v="65"/>
    <n v="-18671133"/>
    <n v="733330"/>
    <n v="1228522"/>
    <n v="-270928"/>
    <n v="503581"/>
  </r>
  <r>
    <x v="10"/>
    <x v="10"/>
    <x v="65"/>
    <x v="65"/>
    <n v="114634445"/>
    <n v="13899968"/>
    <n v="15285187"/>
    <n v="2321745"/>
    <n v="7682764"/>
  </r>
  <r>
    <x v="11"/>
    <x v="11"/>
    <x v="65"/>
    <x v="65"/>
    <n v="135010407"/>
    <n v="30982"/>
    <n v="0"/>
    <n v="61771"/>
    <n v="4847781"/>
  </r>
  <r>
    <x v="12"/>
    <x v="12"/>
    <x v="65"/>
    <x v="65"/>
    <n v="-6252797"/>
    <n v="87487"/>
    <n v="0"/>
    <n v="-98423"/>
    <n v="0"/>
  </r>
  <r>
    <x v="13"/>
    <x v="13"/>
    <x v="65"/>
    <x v="65"/>
    <n v="-46004808"/>
    <n v="-2180382"/>
    <n v="0"/>
    <n v="-5304441"/>
    <n v="0"/>
  </r>
  <r>
    <x v="14"/>
    <x v="14"/>
    <x v="65"/>
    <x v="65"/>
    <n v="330098204"/>
    <n v="9078886"/>
    <n v="15504985"/>
    <n v="1049449"/>
    <n v="170979"/>
  </r>
  <r>
    <x v="15"/>
    <x v="15"/>
    <x v="65"/>
    <x v="65"/>
    <n v="835611277"/>
    <n v="33341604"/>
    <n v="25361284"/>
    <n v="6366990"/>
    <n v="107853243"/>
  </r>
  <r>
    <x v="16"/>
    <x v="16"/>
    <x v="65"/>
    <x v="65"/>
    <n v="478530559"/>
    <n v="30755834"/>
    <n v="31496091"/>
    <n v="8896485"/>
    <n v="1880023"/>
  </r>
  <r>
    <x v="17"/>
    <x v="17"/>
    <x v="65"/>
    <x v="65"/>
    <n v="67292481"/>
    <n v="2938246"/>
    <n v="1082119"/>
    <n v="959645"/>
    <n v="1339243"/>
  </r>
  <r>
    <x v="18"/>
    <x v="18"/>
    <x v="65"/>
    <x v="65"/>
    <n v="293865642"/>
    <n v="18698513"/>
    <n v="14717003"/>
    <n v="4415104"/>
    <n v="37533568"/>
  </r>
  <r>
    <x v="19"/>
    <x v="19"/>
    <x v="65"/>
    <x v="65"/>
    <n v="11678438"/>
    <n v="3523514"/>
    <n v="-1053874"/>
    <n v="63479"/>
    <n v="2178321"/>
  </r>
  <r>
    <x v="20"/>
    <x v="20"/>
    <x v="65"/>
    <x v="65"/>
    <n v="461453850"/>
    <n v="26662179"/>
    <n v="29172578"/>
    <n v="6328161"/>
    <n v="11366446"/>
  </r>
  <r>
    <x v="21"/>
    <x v="21"/>
    <x v="65"/>
    <x v="65"/>
    <n v="70146629"/>
    <n v="4317209"/>
    <n v="5037779"/>
    <n v="537016"/>
    <n v="17804969"/>
  </r>
  <r>
    <x v="22"/>
    <x v="22"/>
    <x v="65"/>
    <x v="65"/>
    <n v="104370606"/>
    <n v="8803603"/>
    <n v="636846"/>
    <n v="697235"/>
    <n v="1092973"/>
  </r>
  <r>
    <x v="23"/>
    <x v="23"/>
    <x v="65"/>
    <x v="65"/>
    <n v="396301589"/>
    <n v="24416095"/>
    <n v="28435984"/>
    <n v="2012476"/>
    <n v="78446392"/>
  </r>
  <r>
    <x v="24"/>
    <x v="24"/>
    <x v="65"/>
    <x v="65"/>
    <n v="90839589"/>
    <n v="7456622"/>
    <n v="1366525"/>
    <n v="1254899"/>
    <n v="10584186"/>
  </r>
  <r>
    <x v="25"/>
    <x v="25"/>
    <x v="65"/>
    <x v="65"/>
    <n v="87303431"/>
    <n v="4490911"/>
    <n v="7531917"/>
    <n v="729348"/>
    <n v="31942505"/>
  </r>
  <r>
    <x v="26"/>
    <x v="26"/>
    <x v="65"/>
    <x v="65"/>
    <n v="595502766"/>
    <n v="73824290"/>
    <n v="-4594394"/>
    <n v="6410313"/>
    <n v="141053"/>
  </r>
  <r>
    <x v="27"/>
    <x v="27"/>
    <x v="65"/>
    <x v="65"/>
    <n v="-20761590"/>
    <n v="601146"/>
    <n v="-1845300"/>
    <n v="-596983"/>
    <n v="1451241"/>
  </r>
  <r>
    <x v="28"/>
    <x v="28"/>
    <x v="65"/>
    <x v="65"/>
    <n v="452461974"/>
    <n v="56311130"/>
    <n v="52868708"/>
    <n v="4947238"/>
    <n v="128025187"/>
  </r>
  <r>
    <x v="29"/>
    <x v="29"/>
    <x v="65"/>
    <x v="65"/>
    <n v="758129184"/>
    <n v="40571028"/>
    <n v="37341799"/>
    <n v="6575207"/>
    <n v="77395599"/>
  </r>
  <r>
    <x v="30"/>
    <x v="30"/>
    <x v="65"/>
    <x v="65"/>
    <n v="327823446"/>
    <n v="32199768"/>
    <n v="-10701"/>
    <n v="6112581"/>
    <n v="10700525"/>
  </r>
  <r>
    <x v="31"/>
    <x v="31"/>
    <x v="65"/>
    <x v="65"/>
    <n v="329475943"/>
    <n v="16112725"/>
    <n v="6389956"/>
    <n v="1966994"/>
    <n v="23441426"/>
  </r>
  <r>
    <x v="32"/>
    <x v="32"/>
    <x v="65"/>
    <x v="65"/>
    <n v="-19165165"/>
    <n v="-924195"/>
    <n v="-508784"/>
    <n v="-277060"/>
    <n v="0"/>
  </r>
  <r>
    <x v="33"/>
    <x v="33"/>
    <x v="65"/>
    <x v="65"/>
    <n v="151651613"/>
    <n v="10307521"/>
    <n v="4708614"/>
    <n v="1958590"/>
    <n v="12410114"/>
  </r>
  <r>
    <x v="34"/>
    <x v="34"/>
    <x v="65"/>
    <x v="65"/>
    <n v="-34198952"/>
    <n v="-104796"/>
    <n v="-8561549"/>
    <n v="-346466"/>
    <n v="0"/>
  </r>
  <r>
    <x v="35"/>
    <x v="35"/>
    <x v="65"/>
    <x v="65"/>
    <n v="244107519"/>
    <n v="7569458"/>
    <n v="576239"/>
    <n v="373308"/>
    <n v="189112070"/>
  </r>
  <r>
    <x v="36"/>
    <x v="36"/>
    <x v="65"/>
    <x v="65"/>
    <n v="591402122"/>
    <n v="14089831"/>
    <n v="14344553"/>
    <n v="2145458"/>
    <n v="118447755"/>
  </r>
  <r>
    <x v="37"/>
    <x v="37"/>
    <x v="65"/>
    <x v="65"/>
    <n v="818810716"/>
    <n v="67931258"/>
    <n v="26336923"/>
    <n v="8925046"/>
    <n v="316673476"/>
  </r>
  <r>
    <x v="38"/>
    <x v="38"/>
    <x v="65"/>
    <x v="65"/>
    <n v="3626675109"/>
    <n v="162821938"/>
    <n v="60784957"/>
    <n v="30879850"/>
    <n v="611374316"/>
  </r>
  <r>
    <x v="39"/>
    <x v="39"/>
    <x v="65"/>
    <x v="65"/>
    <n v="2207509776"/>
    <n v="133180116"/>
    <n v="110436374"/>
    <n v="16076810"/>
    <n v="179565309"/>
  </r>
  <r>
    <x v="40"/>
    <x v="40"/>
    <x v="65"/>
    <x v="65"/>
    <n v="161332980"/>
    <n v="6134375"/>
    <n v="906130"/>
    <n v="807737"/>
    <n v="58294157"/>
  </r>
  <r>
    <x v="41"/>
    <x v="41"/>
    <x v="65"/>
    <x v="65"/>
    <n v="136033493"/>
    <n v="7439912"/>
    <n v="7583785"/>
    <n v="752915"/>
    <n v="37134052"/>
  </r>
  <r>
    <x v="42"/>
    <x v="42"/>
    <x v="65"/>
    <x v="65"/>
    <n v="222881264"/>
    <n v="14294927"/>
    <n v="5892157"/>
    <n v="2090077"/>
    <n v="3730057"/>
  </r>
  <r>
    <x v="43"/>
    <x v="43"/>
    <x v="65"/>
    <x v="65"/>
    <n v="1217317774"/>
    <n v="56630693"/>
    <n v="37670403"/>
    <n v="4722019"/>
    <n v="151438890"/>
  </r>
  <r>
    <x v="44"/>
    <x v="44"/>
    <x v="65"/>
    <x v="65"/>
    <n v="415577590"/>
    <n v="846299"/>
    <n v="1169213"/>
    <n v="366081"/>
    <n v="0"/>
  </r>
  <r>
    <x v="45"/>
    <x v="45"/>
    <x v="65"/>
    <x v="65"/>
    <n v="44330883"/>
    <n v="0"/>
    <n v="0"/>
    <n v="0"/>
    <n v="0"/>
  </r>
  <r>
    <x v="46"/>
    <x v="46"/>
    <x v="65"/>
    <x v="65"/>
    <n v="582724406"/>
    <n v="0"/>
    <n v="0"/>
    <n v="3674"/>
    <n v="0"/>
  </r>
  <r>
    <x v="47"/>
    <x v="47"/>
    <x v="65"/>
    <x v="65"/>
    <n v="758113275"/>
    <n v="0"/>
    <n v="0"/>
    <n v="0"/>
    <n v="0"/>
  </r>
  <r>
    <x v="48"/>
    <x v="48"/>
    <x v="65"/>
    <x v="65"/>
    <n v="11026474"/>
    <n v="-1002233627"/>
    <n v="-651085719"/>
    <n v="0"/>
    <n v="0"/>
  </r>
  <r>
    <x v="49"/>
    <x v="49"/>
    <x v="65"/>
    <x v="65"/>
    <n v="1186369359"/>
    <n v="0"/>
    <n v="0"/>
    <n v="0"/>
    <n v="65700431"/>
  </r>
  <r>
    <x v="50"/>
    <x v="50"/>
    <x v="65"/>
    <x v="65"/>
    <n v="592590431"/>
    <n v="0"/>
    <n v="0"/>
    <n v="-138194879"/>
    <n v="75072113"/>
  </r>
  <r>
    <x v="51"/>
    <x v="51"/>
    <x v="65"/>
    <x v="65"/>
    <n v="323485494"/>
    <n v="0"/>
    <n v="0"/>
    <n v="0"/>
    <n v="55188867"/>
  </r>
  <r>
    <x v="52"/>
    <x v="52"/>
    <x v="65"/>
    <x v="65"/>
    <n v="768572528"/>
    <n v="0"/>
    <n v="0"/>
    <n v="0"/>
    <n v="67215167"/>
  </r>
  <r>
    <x v="53"/>
    <x v="53"/>
    <x v="65"/>
    <x v="65"/>
    <n v="653809393"/>
    <n v="0"/>
    <n v="0"/>
    <n v="0"/>
    <n v="101724443"/>
  </r>
  <r>
    <x v="54"/>
    <x v="54"/>
    <x v="65"/>
    <x v="65"/>
    <n v="501539515"/>
    <n v="0"/>
    <n v="0"/>
    <n v="0"/>
    <n v="128978367"/>
  </r>
  <r>
    <x v="55"/>
    <x v="55"/>
    <x v="65"/>
    <x v="65"/>
    <n v="2863068982"/>
    <n v="0"/>
    <n v="0"/>
    <n v="0"/>
    <n v="86220627"/>
  </r>
  <r>
    <x v="56"/>
    <x v="56"/>
    <x v="65"/>
    <x v="65"/>
    <n v="742401950"/>
    <n v="0"/>
    <n v="0"/>
    <n v="0"/>
    <n v="16876564"/>
  </r>
  <r>
    <x v="57"/>
    <x v="57"/>
    <x v="65"/>
    <x v="65"/>
    <n v="139701239"/>
    <n v="0"/>
    <n v="0"/>
    <n v="0"/>
    <n v="6653397"/>
  </r>
  <r>
    <x v="58"/>
    <x v="58"/>
    <x v="65"/>
    <x v="65"/>
    <n v="25783801443"/>
    <n v="0"/>
    <n v="0"/>
    <n v="0"/>
    <n v="2886780166"/>
  </r>
  <r>
    <x v="0"/>
    <x v="0"/>
    <x v="66"/>
    <x v="66"/>
    <n v="314114660"/>
    <n v="10756134"/>
    <n v="676903"/>
    <n v="1876161"/>
    <n v="5"/>
  </r>
  <r>
    <x v="1"/>
    <x v="1"/>
    <x v="66"/>
    <x v="66"/>
    <n v="60227026"/>
    <n v="2251541"/>
    <n v="555919"/>
    <n v="480603"/>
    <n v="15030908"/>
  </r>
  <r>
    <x v="2"/>
    <x v="2"/>
    <x v="66"/>
    <x v="66"/>
    <n v="76818426"/>
    <n v="2122820"/>
    <n v="174398"/>
    <n v="520955"/>
    <n v="0"/>
  </r>
  <r>
    <x v="3"/>
    <x v="3"/>
    <x v="66"/>
    <x v="66"/>
    <n v="50605970"/>
    <n v="1122621"/>
    <n v="949787"/>
    <n v="76695"/>
    <n v="44074229"/>
  </r>
  <r>
    <x v="4"/>
    <x v="4"/>
    <x v="66"/>
    <x v="66"/>
    <n v="969181190"/>
    <n v="114494467"/>
    <n v="139827431"/>
    <n v="15436605"/>
    <n v="53783216"/>
  </r>
  <r>
    <x v="5"/>
    <x v="5"/>
    <x v="66"/>
    <x v="66"/>
    <n v="73397766"/>
    <n v="3338345"/>
    <n v="1849"/>
    <n v="2252169"/>
    <n v="2"/>
  </r>
  <r>
    <x v="6"/>
    <x v="6"/>
    <x v="66"/>
    <x v="66"/>
    <n v="235773619"/>
    <n v="13165354"/>
    <n v="0"/>
    <n v="1416395"/>
    <n v="149467"/>
  </r>
  <r>
    <x v="7"/>
    <x v="7"/>
    <x v="66"/>
    <x v="66"/>
    <n v="278736828"/>
    <n v="14993310"/>
    <n v="8180463"/>
    <n v="3058595"/>
    <n v="53774415"/>
  </r>
  <r>
    <x v="8"/>
    <x v="8"/>
    <x v="66"/>
    <x v="66"/>
    <n v="464109557"/>
    <n v="36985660"/>
    <n v="4414998"/>
    <n v="2394924"/>
    <n v="5733873"/>
  </r>
  <r>
    <x v="9"/>
    <x v="9"/>
    <x v="66"/>
    <x v="66"/>
    <n v="33164828"/>
    <n v="4021847"/>
    <n v="1697316"/>
    <n v="479105"/>
    <n v="2931772"/>
  </r>
  <r>
    <x v="10"/>
    <x v="10"/>
    <x v="66"/>
    <x v="66"/>
    <n v="279317969"/>
    <n v="31308028"/>
    <n v="31178009"/>
    <n v="5422074"/>
    <n v="11403238"/>
  </r>
  <r>
    <x v="11"/>
    <x v="11"/>
    <x v="66"/>
    <x v="66"/>
    <n v="1382442221"/>
    <n v="877229"/>
    <n v="0"/>
    <n v="819088"/>
    <n v="1014344238"/>
  </r>
  <r>
    <x v="12"/>
    <x v="12"/>
    <x v="66"/>
    <x v="66"/>
    <n v="21099117"/>
    <n v="1297161"/>
    <n v="0"/>
    <n v="543782"/>
    <n v="19069227"/>
  </r>
  <r>
    <x v="13"/>
    <x v="13"/>
    <x v="66"/>
    <x v="66"/>
    <n v="171200786"/>
    <n v="9157107"/>
    <n v="1920783"/>
    <n v="20416045"/>
    <n v="11087069"/>
  </r>
  <r>
    <x v="14"/>
    <x v="14"/>
    <x v="66"/>
    <x v="66"/>
    <n v="565111080"/>
    <n v="13084995"/>
    <n v="21152829"/>
    <n v="1655254"/>
    <n v="509394"/>
  </r>
  <r>
    <x v="15"/>
    <x v="15"/>
    <x v="66"/>
    <x v="66"/>
    <n v="1125490532"/>
    <n v="39816180"/>
    <n v="34044951"/>
    <n v="8879747"/>
    <n v="271840804"/>
  </r>
  <r>
    <x v="16"/>
    <x v="16"/>
    <x v="66"/>
    <x v="66"/>
    <n v="648884751"/>
    <n v="36096656"/>
    <n v="39116970"/>
    <n v="11495429"/>
    <n v="35342525"/>
  </r>
  <r>
    <x v="17"/>
    <x v="17"/>
    <x v="66"/>
    <x v="66"/>
    <n v="176821558"/>
    <n v="5296688"/>
    <n v="4788649"/>
    <n v="2408655"/>
    <n v="14196220"/>
  </r>
  <r>
    <x v="18"/>
    <x v="18"/>
    <x v="66"/>
    <x v="66"/>
    <n v="449556715"/>
    <n v="25110643"/>
    <n v="24109300"/>
    <n v="6751606"/>
    <n v="89411754"/>
  </r>
  <r>
    <x v="19"/>
    <x v="19"/>
    <x v="66"/>
    <x v="66"/>
    <n v="114752442"/>
    <n v="8690674"/>
    <n v="7305285"/>
    <n v="1073127"/>
    <n v="26374473"/>
  </r>
  <r>
    <x v="20"/>
    <x v="20"/>
    <x v="66"/>
    <x v="66"/>
    <n v="671594046"/>
    <n v="41800787"/>
    <n v="38776919"/>
    <n v="9290670"/>
    <n v="23779347"/>
  </r>
  <r>
    <x v="21"/>
    <x v="21"/>
    <x v="66"/>
    <x v="66"/>
    <n v="78889014"/>
    <n v="4814026"/>
    <n v="5310511"/>
    <n v="700887"/>
    <n v="17947685"/>
  </r>
  <r>
    <x v="22"/>
    <x v="22"/>
    <x v="66"/>
    <x v="66"/>
    <n v="310797091"/>
    <n v="27553924"/>
    <n v="13813345"/>
    <n v="2551180"/>
    <n v="79058399"/>
  </r>
  <r>
    <x v="23"/>
    <x v="23"/>
    <x v="66"/>
    <x v="66"/>
    <n v="450664857"/>
    <n v="26922463"/>
    <n v="33332153"/>
    <n v="2338715"/>
    <n v="96241121"/>
  </r>
  <r>
    <x v="24"/>
    <x v="24"/>
    <x v="66"/>
    <x v="66"/>
    <n v="363003408"/>
    <n v="30012818"/>
    <n v="17781873"/>
    <n v="5439285"/>
    <n v="109186861"/>
  </r>
  <r>
    <x v="25"/>
    <x v="25"/>
    <x v="66"/>
    <x v="66"/>
    <n v="167420709"/>
    <n v="9395166"/>
    <n v="15207647"/>
    <n v="1355216"/>
    <n v="63147360"/>
  </r>
  <r>
    <x v="26"/>
    <x v="26"/>
    <x v="66"/>
    <x v="66"/>
    <n v="1676868384"/>
    <n v="160445953"/>
    <n v="39163725"/>
    <n v="20603146"/>
    <n v="621492716"/>
  </r>
  <r>
    <x v="27"/>
    <x v="27"/>
    <x v="66"/>
    <x v="66"/>
    <n v="227652074"/>
    <n v="25406707"/>
    <n v="21075109"/>
    <n v="8023767"/>
    <n v="102906459"/>
  </r>
  <r>
    <x v="28"/>
    <x v="28"/>
    <x v="66"/>
    <x v="66"/>
    <n v="1091115403"/>
    <n v="115310141"/>
    <n v="117133478"/>
    <n v="11180022"/>
    <n v="374734940"/>
  </r>
  <r>
    <x v="29"/>
    <x v="29"/>
    <x v="66"/>
    <x v="66"/>
    <n v="1729939893"/>
    <n v="91155724"/>
    <n v="86904200"/>
    <n v="15207914"/>
    <n v="274197987"/>
  </r>
  <r>
    <x v="30"/>
    <x v="30"/>
    <x v="66"/>
    <x v="66"/>
    <n v="506144746"/>
    <n v="47807100"/>
    <n v="20352697"/>
    <n v="10175798"/>
    <n v="62448315"/>
  </r>
  <r>
    <x v="31"/>
    <x v="31"/>
    <x v="66"/>
    <x v="66"/>
    <n v="727085374"/>
    <n v="29728449"/>
    <n v="24963693"/>
    <n v="5002813"/>
    <n v="166461222"/>
  </r>
  <r>
    <x v="32"/>
    <x v="32"/>
    <x v="66"/>
    <x v="66"/>
    <n v="237126133"/>
    <n v="13607989"/>
    <n v="11373117"/>
    <n v="3640001"/>
    <n v="2272390"/>
  </r>
  <r>
    <x v="33"/>
    <x v="33"/>
    <x v="66"/>
    <x v="66"/>
    <n v="412214399"/>
    <n v="27842213"/>
    <n v="20112761"/>
    <n v="5063986"/>
    <n v="77561476"/>
  </r>
  <r>
    <x v="34"/>
    <x v="34"/>
    <x v="66"/>
    <x v="66"/>
    <n v="946395279"/>
    <n v="39355111"/>
    <n v="30488443"/>
    <n v="8720267"/>
    <n v="606077811"/>
  </r>
  <r>
    <x v="35"/>
    <x v="35"/>
    <x v="66"/>
    <x v="66"/>
    <n v="880644663"/>
    <n v="39762234"/>
    <n v="17618090"/>
    <n v="1384258"/>
    <n v="683456919"/>
  </r>
  <r>
    <x v="36"/>
    <x v="36"/>
    <x v="66"/>
    <x v="66"/>
    <n v="941671386"/>
    <n v="20892489"/>
    <n v="29468338"/>
    <n v="3033144"/>
    <n v="378158131"/>
  </r>
  <r>
    <x v="37"/>
    <x v="37"/>
    <x v="66"/>
    <x v="66"/>
    <n v="1305168018"/>
    <n v="102624075"/>
    <n v="37200798"/>
    <n v="12953748"/>
    <n v="577672991"/>
  </r>
  <r>
    <x v="38"/>
    <x v="38"/>
    <x v="66"/>
    <x v="66"/>
    <n v="6032701958"/>
    <n v="303621563"/>
    <n v="226256260"/>
    <n v="47314118"/>
    <n v="2048258372"/>
  </r>
  <r>
    <x v="39"/>
    <x v="39"/>
    <x v="66"/>
    <x v="66"/>
    <n v="2977430413"/>
    <n v="160472892"/>
    <n v="157814937"/>
    <n v="20049789"/>
    <n v="455890940"/>
  </r>
  <r>
    <x v="40"/>
    <x v="40"/>
    <x v="66"/>
    <x v="66"/>
    <n v="192156038"/>
    <n v="7145384"/>
    <n v="990883"/>
    <n v="1164748"/>
    <n v="69828366"/>
  </r>
  <r>
    <x v="41"/>
    <x v="41"/>
    <x v="66"/>
    <x v="66"/>
    <n v="172664285"/>
    <n v="10045245"/>
    <n v="9326243"/>
    <n v="941154"/>
    <n v="64863839"/>
  </r>
  <r>
    <x v="42"/>
    <x v="42"/>
    <x v="66"/>
    <x v="66"/>
    <n v="344259749"/>
    <n v="28799344"/>
    <n v="22976201"/>
    <n v="3114669"/>
    <n v="23122978"/>
  </r>
  <r>
    <x v="43"/>
    <x v="43"/>
    <x v="66"/>
    <x v="66"/>
    <n v="1899033406"/>
    <n v="96610091"/>
    <n v="109460565"/>
    <n v="7589209"/>
    <n v="391997376"/>
  </r>
  <r>
    <x v="44"/>
    <x v="44"/>
    <x v="66"/>
    <x v="66"/>
    <n v="1697164809"/>
    <n v="5223352"/>
    <n v="7959250"/>
    <n v="1341292"/>
    <n v="142248466"/>
  </r>
  <r>
    <x v="45"/>
    <x v="45"/>
    <x v="66"/>
    <x v="66"/>
    <n v="71263534"/>
    <n v="0"/>
    <n v="0"/>
    <n v="0"/>
    <n v="0"/>
  </r>
  <r>
    <x v="46"/>
    <x v="46"/>
    <x v="66"/>
    <x v="66"/>
    <n v="612716974"/>
    <n v="0"/>
    <n v="0"/>
    <n v="3674"/>
    <n v="0"/>
  </r>
  <r>
    <x v="47"/>
    <x v="47"/>
    <x v="66"/>
    <x v="66"/>
    <n v="758113275"/>
    <n v="0"/>
    <n v="0"/>
    <n v="0"/>
    <n v="0"/>
  </r>
  <r>
    <x v="48"/>
    <x v="48"/>
    <x v="66"/>
    <x v="66"/>
    <n v="11026474"/>
    <n v="-1840342700"/>
    <n v="-1434957076"/>
    <n v="0"/>
    <n v="0"/>
  </r>
  <r>
    <x v="49"/>
    <x v="49"/>
    <x v="66"/>
    <x v="66"/>
    <n v="1358333734"/>
    <n v="0"/>
    <n v="0"/>
    <n v="0"/>
    <n v="65700431"/>
  </r>
  <r>
    <x v="50"/>
    <x v="50"/>
    <x v="66"/>
    <x v="66"/>
    <n v="1029127687"/>
    <n v="0"/>
    <n v="0"/>
    <n v="-295640484"/>
    <n v="117143924"/>
  </r>
  <r>
    <x v="51"/>
    <x v="51"/>
    <x v="66"/>
    <x v="66"/>
    <n v="638994895"/>
    <n v="0"/>
    <n v="0"/>
    <n v="0"/>
    <n v="55188867"/>
  </r>
  <r>
    <x v="52"/>
    <x v="52"/>
    <x v="66"/>
    <x v="66"/>
    <n v="1808671266"/>
    <n v="0"/>
    <n v="0"/>
    <n v="0"/>
    <n v="81709813"/>
  </r>
  <r>
    <x v="53"/>
    <x v="53"/>
    <x v="66"/>
    <x v="66"/>
    <n v="753318923"/>
    <n v="0"/>
    <n v="0"/>
    <n v="0"/>
    <n v="101724443"/>
  </r>
  <r>
    <x v="54"/>
    <x v="54"/>
    <x v="66"/>
    <x v="66"/>
    <n v="1552222836"/>
    <n v="0"/>
    <n v="0"/>
    <n v="0"/>
    <n v="318173520"/>
  </r>
  <r>
    <x v="55"/>
    <x v="55"/>
    <x v="66"/>
    <x v="66"/>
    <n v="2930261796"/>
    <n v="0"/>
    <n v="0"/>
    <n v="0"/>
    <n v="86220627"/>
  </r>
  <r>
    <x v="56"/>
    <x v="56"/>
    <x v="66"/>
    <x v="66"/>
    <n v="999051935"/>
    <n v="0"/>
    <n v="0"/>
    <n v="0"/>
    <n v="16876564"/>
  </r>
  <r>
    <x v="57"/>
    <x v="57"/>
    <x v="66"/>
    <x v="66"/>
    <n v="294303940"/>
    <n v="0"/>
    <n v="0"/>
    <n v="0"/>
    <n v="21911156"/>
  </r>
  <r>
    <x v="58"/>
    <x v="58"/>
    <x v="66"/>
    <x v="66"/>
    <n v="46348019845"/>
    <n v="0"/>
    <n v="0"/>
    <n v="0"/>
    <n v="10046718641"/>
  </r>
  <r>
    <x v="0"/>
    <x v="0"/>
    <x v="67"/>
    <x v="67"/>
    <n v="-5"/>
    <n v="0"/>
    <n v="0"/>
    <n v="0"/>
    <n v="-5"/>
  </r>
  <r>
    <x v="1"/>
    <x v="1"/>
    <x v="67"/>
    <x v="67"/>
    <n v="-13906462"/>
    <n v="0"/>
    <n v="0"/>
    <n v="0"/>
    <n v="-13906462"/>
  </r>
  <r>
    <x v="2"/>
    <x v="2"/>
    <x v="67"/>
    <x v="67"/>
    <n v="0"/>
    <n v="0"/>
    <n v="0"/>
    <n v="0"/>
    <n v="0"/>
  </r>
  <r>
    <x v="3"/>
    <x v="3"/>
    <x v="67"/>
    <x v="67"/>
    <n v="-43130296"/>
    <n v="0"/>
    <n v="0"/>
    <n v="0"/>
    <n v="-43130296"/>
  </r>
  <r>
    <x v="4"/>
    <x v="4"/>
    <x v="67"/>
    <x v="67"/>
    <n v="-48485134"/>
    <n v="0"/>
    <n v="0"/>
    <n v="0"/>
    <n v="-48485134"/>
  </r>
  <r>
    <x v="5"/>
    <x v="5"/>
    <x v="67"/>
    <x v="67"/>
    <n v="-2"/>
    <n v="0"/>
    <n v="0"/>
    <n v="0"/>
    <n v="-2"/>
  </r>
  <r>
    <x v="6"/>
    <x v="6"/>
    <x v="67"/>
    <x v="67"/>
    <n v="-140664"/>
    <n v="0"/>
    <n v="0"/>
    <n v="0"/>
    <n v="-140664"/>
  </r>
  <r>
    <x v="7"/>
    <x v="7"/>
    <x v="67"/>
    <x v="67"/>
    <n v="-51624855"/>
    <n v="0"/>
    <n v="0"/>
    <n v="0"/>
    <n v="-51624855"/>
  </r>
  <r>
    <x v="8"/>
    <x v="8"/>
    <x v="67"/>
    <x v="67"/>
    <n v="-5602028"/>
    <n v="0"/>
    <n v="0"/>
    <n v="0"/>
    <n v="-5602028"/>
  </r>
  <r>
    <x v="9"/>
    <x v="9"/>
    <x v="67"/>
    <x v="67"/>
    <n v="-2716606"/>
    <n v="0"/>
    <n v="0"/>
    <n v="0"/>
    <n v="-2716606"/>
  </r>
  <r>
    <x v="10"/>
    <x v="10"/>
    <x v="67"/>
    <x v="67"/>
    <n v="-11276066"/>
    <n v="0"/>
    <n v="0"/>
    <n v="0"/>
    <n v="-11276066"/>
  </r>
  <r>
    <x v="11"/>
    <x v="11"/>
    <x v="67"/>
    <x v="67"/>
    <n v="-935241246"/>
    <n v="0"/>
    <n v="0"/>
    <n v="0"/>
    <n v="-935241246"/>
  </r>
  <r>
    <x v="12"/>
    <x v="12"/>
    <x v="67"/>
    <x v="67"/>
    <n v="-18036490"/>
    <n v="0"/>
    <n v="0"/>
    <n v="0"/>
    <n v="-18036490"/>
  </r>
  <r>
    <x v="13"/>
    <x v="13"/>
    <x v="67"/>
    <x v="67"/>
    <n v="-10363439"/>
    <n v="0"/>
    <n v="0"/>
    <n v="0"/>
    <n v="-10363439"/>
  </r>
  <r>
    <x v="14"/>
    <x v="14"/>
    <x v="67"/>
    <x v="67"/>
    <n v="-482092"/>
    <n v="0"/>
    <n v="0"/>
    <n v="0"/>
    <n v="-482092"/>
  </r>
  <r>
    <x v="15"/>
    <x v="15"/>
    <x v="67"/>
    <x v="67"/>
    <n v="-254790929"/>
    <n v="0"/>
    <n v="0"/>
    <n v="0"/>
    <n v="-254790929"/>
  </r>
  <r>
    <x v="16"/>
    <x v="16"/>
    <x v="67"/>
    <x v="67"/>
    <n v="-32743287"/>
    <n v="0"/>
    <n v="0"/>
    <n v="0"/>
    <n v="-32743287"/>
  </r>
  <r>
    <x v="17"/>
    <x v="17"/>
    <x v="67"/>
    <x v="67"/>
    <n v="-12872471"/>
    <n v="0"/>
    <n v="0"/>
    <n v="0"/>
    <n v="-12872471"/>
  </r>
  <r>
    <x v="18"/>
    <x v="18"/>
    <x v="67"/>
    <x v="67"/>
    <n v="-80824919"/>
    <n v="0"/>
    <n v="0"/>
    <n v="0"/>
    <n v="-80824919"/>
  </r>
  <r>
    <x v="19"/>
    <x v="19"/>
    <x v="67"/>
    <x v="67"/>
    <n v="-25943065"/>
    <n v="0"/>
    <n v="0"/>
    <n v="0"/>
    <n v="-25943065"/>
  </r>
  <r>
    <x v="20"/>
    <x v="20"/>
    <x v="67"/>
    <x v="67"/>
    <n v="-12962302"/>
    <n v="0"/>
    <n v="0"/>
    <n v="0"/>
    <n v="-12962302"/>
  </r>
  <r>
    <x v="21"/>
    <x v="21"/>
    <x v="67"/>
    <x v="67"/>
    <n v="-9290534"/>
    <n v="0"/>
    <n v="0"/>
    <n v="0"/>
    <n v="-9290534"/>
  </r>
  <r>
    <x v="22"/>
    <x v="22"/>
    <x v="67"/>
    <x v="67"/>
    <n v="-75153585"/>
    <n v="0"/>
    <n v="0"/>
    <n v="0"/>
    <n v="-75153585"/>
  </r>
  <r>
    <x v="23"/>
    <x v="23"/>
    <x v="67"/>
    <x v="67"/>
    <n v="-79834315"/>
    <n v="0"/>
    <n v="0"/>
    <n v="0"/>
    <n v="-79834315"/>
  </r>
  <r>
    <x v="24"/>
    <x v="24"/>
    <x v="67"/>
    <x v="67"/>
    <n v="-102164013"/>
    <n v="0"/>
    <n v="0"/>
    <n v="0"/>
    <n v="-102164013"/>
  </r>
  <r>
    <x v="25"/>
    <x v="25"/>
    <x v="67"/>
    <x v="67"/>
    <n v="-8490858"/>
    <n v="0"/>
    <n v="0"/>
    <n v="0"/>
    <n v="-8490858"/>
  </r>
  <r>
    <x v="26"/>
    <x v="26"/>
    <x v="67"/>
    <x v="67"/>
    <n v="-593269412"/>
    <n v="0"/>
    <n v="0"/>
    <n v="0"/>
    <n v="-593269412"/>
  </r>
  <r>
    <x v="27"/>
    <x v="27"/>
    <x v="67"/>
    <x v="67"/>
    <n v="-102136987"/>
    <n v="0"/>
    <n v="0"/>
    <n v="0"/>
    <n v="-102136987"/>
  </r>
  <r>
    <x v="28"/>
    <x v="28"/>
    <x v="67"/>
    <x v="67"/>
    <n v="-348900139"/>
    <n v="0"/>
    <n v="0"/>
    <n v="0"/>
    <n v="-348900139"/>
  </r>
  <r>
    <x v="29"/>
    <x v="29"/>
    <x v="67"/>
    <x v="67"/>
    <n v="-188138394"/>
    <n v="0"/>
    <n v="0"/>
    <n v="0"/>
    <n v="-188138394"/>
  </r>
  <r>
    <x v="30"/>
    <x v="30"/>
    <x v="67"/>
    <x v="67"/>
    <n v="-58387485"/>
    <n v="0"/>
    <n v="0"/>
    <n v="0"/>
    <n v="-58387485"/>
  </r>
  <r>
    <x v="31"/>
    <x v="31"/>
    <x v="67"/>
    <x v="67"/>
    <n v="-158537682"/>
    <n v="0"/>
    <n v="0"/>
    <n v="0"/>
    <n v="-158537682"/>
  </r>
  <r>
    <x v="32"/>
    <x v="32"/>
    <x v="67"/>
    <x v="67"/>
    <n v="-2075810"/>
    <n v="0"/>
    <n v="0"/>
    <n v="0"/>
    <n v="-2075810"/>
  </r>
  <r>
    <x v="33"/>
    <x v="33"/>
    <x v="67"/>
    <x v="67"/>
    <n v="-72575949"/>
    <n v="0"/>
    <n v="0"/>
    <n v="0"/>
    <n v="-72575949"/>
  </r>
  <r>
    <x v="34"/>
    <x v="34"/>
    <x v="67"/>
    <x v="67"/>
    <n v="-577226627"/>
    <n v="0"/>
    <n v="0"/>
    <n v="0"/>
    <n v="-577226627"/>
  </r>
  <r>
    <x v="35"/>
    <x v="35"/>
    <x v="67"/>
    <x v="67"/>
    <n v="-656503565"/>
    <n v="0"/>
    <n v="0"/>
    <n v="0"/>
    <n v="-656503565"/>
  </r>
  <r>
    <x v="36"/>
    <x v="36"/>
    <x v="67"/>
    <x v="67"/>
    <n v="-359829221"/>
    <n v="0"/>
    <n v="0"/>
    <n v="0"/>
    <n v="-359829221"/>
  </r>
  <r>
    <x v="37"/>
    <x v="37"/>
    <x v="67"/>
    <x v="67"/>
    <n v="-549904371"/>
    <n v="0"/>
    <n v="0"/>
    <n v="0"/>
    <n v="-549904371"/>
  </r>
  <r>
    <x v="38"/>
    <x v="38"/>
    <x v="67"/>
    <x v="67"/>
    <n v="-1993006357"/>
    <n v="0"/>
    <n v="0"/>
    <n v="0"/>
    <n v="-1993006357"/>
  </r>
  <r>
    <x v="39"/>
    <x v="39"/>
    <x v="67"/>
    <x v="67"/>
    <n v="-382559680"/>
    <n v="0"/>
    <n v="0"/>
    <n v="0"/>
    <n v="-382559680"/>
  </r>
  <r>
    <x v="40"/>
    <x v="40"/>
    <x v="67"/>
    <x v="67"/>
    <n v="-67945117"/>
    <n v="0"/>
    <n v="0"/>
    <n v="0"/>
    <n v="-67945117"/>
  </r>
  <r>
    <x v="41"/>
    <x v="41"/>
    <x v="67"/>
    <x v="67"/>
    <n v="-60167939"/>
    <n v="0"/>
    <n v="0"/>
    <n v="0"/>
    <n v="-60167939"/>
  </r>
  <r>
    <x v="42"/>
    <x v="42"/>
    <x v="67"/>
    <x v="67"/>
    <n v="-21342735"/>
    <n v="0"/>
    <n v="0"/>
    <n v="0"/>
    <n v="-21342735"/>
  </r>
  <r>
    <x v="43"/>
    <x v="43"/>
    <x v="67"/>
    <x v="67"/>
    <n v="-364884998"/>
    <n v="0"/>
    <n v="0"/>
    <n v="0"/>
    <n v="-364884998"/>
  </r>
  <r>
    <x v="44"/>
    <x v="44"/>
    <x v="67"/>
    <x v="67"/>
    <n v="-132116469"/>
    <n v="0"/>
    <n v="0"/>
    <n v="0"/>
    <n v="-132116469"/>
  </r>
  <r>
    <x v="45"/>
    <x v="45"/>
    <x v="67"/>
    <x v="67"/>
    <n v="0"/>
    <n v="0"/>
    <n v="0"/>
    <n v="0"/>
    <n v="0"/>
  </r>
  <r>
    <x v="46"/>
    <x v="46"/>
    <x v="67"/>
    <x v="67"/>
    <n v="0"/>
    <n v="0"/>
    <n v="0"/>
    <n v="0"/>
    <n v="0"/>
  </r>
  <r>
    <x v="47"/>
    <x v="47"/>
    <x v="67"/>
    <x v="67"/>
    <n v="0"/>
    <n v="0"/>
    <n v="0"/>
    <n v="0"/>
    <n v="0"/>
  </r>
  <r>
    <x v="48"/>
    <x v="48"/>
    <x v="67"/>
    <x v="67"/>
    <n v="0"/>
    <n v="0"/>
    <n v="0"/>
    <n v="0"/>
    <n v="0"/>
  </r>
  <r>
    <x v="49"/>
    <x v="49"/>
    <x v="67"/>
    <x v="67"/>
    <n v="0"/>
    <n v="0"/>
    <n v="0"/>
    <n v="0"/>
    <n v="0"/>
  </r>
  <r>
    <x v="50"/>
    <x v="50"/>
    <x v="67"/>
    <x v="67"/>
    <n v="0"/>
    <n v="0"/>
    <n v="0"/>
    <n v="0"/>
    <n v="0"/>
  </r>
  <r>
    <x v="51"/>
    <x v="51"/>
    <x v="67"/>
    <x v="67"/>
    <n v="0"/>
    <n v="0"/>
    <n v="0"/>
    <n v="0"/>
    <n v="0"/>
  </r>
  <r>
    <x v="52"/>
    <x v="52"/>
    <x v="67"/>
    <x v="67"/>
    <n v="0"/>
    <n v="0"/>
    <n v="0"/>
    <n v="0"/>
    <n v="0"/>
  </r>
  <r>
    <x v="53"/>
    <x v="53"/>
    <x v="67"/>
    <x v="67"/>
    <n v="0"/>
    <n v="0"/>
    <n v="0"/>
    <n v="0"/>
    <n v="0"/>
  </r>
  <r>
    <x v="54"/>
    <x v="54"/>
    <x v="67"/>
    <x v="67"/>
    <n v="0"/>
    <n v="0"/>
    <n v="0"/>
    <n v="0"/>
    <n v="0"/>
  </r>
  <r>
    <x v="55"/>
    <x v="55"/>
    <x v="67"/>
    <x v="67"/>
    <n v="0"/>
    <n v="0"/>
    <n v="0"/>
    <n v="0"/>
    <n v="0"/>
  </r>
  <r>
    <x v="56"/>
    <x v="56"/>
    <x v="67"/>
    <x v="67"/>
    <n v="0"/>
    <n v="0"/>
    <n v="0"/>
    <n v="0"/>
    <n v="0"/>
  </r>
  <r>
    <x v="57"/>
    <x v="57"/>
    <x v="67"/>
    <x v="67"/>
    <n v="0"/>
    <n v="0"/>
    <n v="0"/>
    <n v="0"/>
    <n v="0"/>
  </r>
  <r>
    <x v="58"/>
    <x v="58"/>
    <x v="67"/>
    <x v="67"/>
    <n v="-8525584600"/>
    <n v="0"/>
    <n v="0"/>
    <n v="0"/>
    <n v="-8525584600"/>
  </r>
  <r>
    <x v="0"/>
    <x v="0"/>
    <x v="68"/>
    <x v="68"/>
    <n v="0"/>
    <n v="0"/>
    <n v="0"/>
    <n v="0"/>
    <n v="0"/>
  </r>
  <r>
    <x v="1"/>
    <x v="1"/>
    <x v="68"/>
    <x v="68"/>
    <n v="-1124378"/>
    <n v="0"/>
    <n v="0"/>
    <n v="0"/>
    <n v="-1124378"/>
  </r>
  <r>
    <x v="2"/>
    <x v="2"/>
    <x v="68"/>
    <x v="68"/>
    <n v="0"/>
    <n v="0"/>
    <n v="0"/>
    <n v="0"/>
    <n v="0"/>
  </r>
  <r>
    <x v="3"/>
    <x v="3"/>
    <x v="68"/>
    <x v="68"/>
    <n v="-928667"/>
    <n v="0"/>
    <n v="0"/>
    <n v="0"/>
    <n v="-928667"/>
  </r>
  <r>
    <x v="4"/>
    <x v="4"/>
    <x v="68"/>
    <x v="68"/>
    <n v="-3764461"/>
    <n v="0"/>
    <n v="0"/>
    <n v="0"/>
    <n v="-3764461"/>
  </r>
  <r>
    <x v="5"/>
    <x v="5"/>
    <x v="68"/>
    <x v="68"/>
    <n v="0"/>
    <n v="0"/>
    <n v="0"/>
    <n v="0"/>
    <n v="0"/>
  </r>
  <r>
    <x v="6"/>
    <x v="6"/>
    <x v="68"/>
    <x v="68"/>
    <n v="0"/>
    <n v="0"/>
    <n v="0"/>
    <n v="0"/>
    <n v="0"/>
  </r>
  <r>
    <x v="7"/>
    <x v="7"/>
    <x v="68"/>
    <x v="68"/>
    <n v="-1700242"/>
    <n v="0"/>
    <n v="0"/>
    <n v="0"/>
    <n v="-1700242"/>
  </r>
  <r>
    <x v="8"/>
    <x v="8"/>
    <x v="68"/>
    <x v="68"/>
    <n v="-3501"/>
    <n v="0"/>
    <n v="0"/>
    <n v="0"/>
    <n v="-3501"/>
  </r>
  <r>
    <x v="9"/>
    <x v="9"/>
    <x v="68"/>
    <x v="68"/>
    <n v="-12523"/>
    <n v="0"/>
    <n v="0"/>
    <n v="0"/>
    <n v="-12523"/>
  </r>
  <r>
    <x v="10"/>
    <x v="10"/>
    <x v="68"/>
    <x v="68"/>
    <n v="-108065"/>
    <n v="0"/>
    <n v="0"/>
    <n v="0"/>
    <n v="-108065"/>
  </r>
  <r>
    <x v="11"/>
    <x v="11"/>
    <x v="68"/>
    <x v="68"/>
    <n v="0"/>
    <n v="0"/>
    <n v="0"/>
    <n v="0"/>
    <n v="0"/>
  </r>
  <r>
    <x v="12"/>
    <x v="12"/>
    <x v="68"/>
    <x v="68"/>
    <n v="0"/>
    <n v="0"/>
    <n v="0"/>
    <n v="0"/>
    <n v="0"/>
  </r>
  <r>
    <x v="13"/>
    <x v="13"/>
    <x v="68"/>
    <x v="68"/>
    <n v="-19442"/>
    <n v="0"/>
    <n v="0"/>
    <n v="0"/>
    <n v="-19442"/>
  </r>
  <r>
    <x v="14"/>
    <x v="14"/>
    <x v="68"/>
    <x v="68"/>
    <n v="-18484"/>
    <n v="0"/>
    <n v="0"/>
    <n v="0"/>
    <n v="-18484"/>
  </r>
  <r>
    <x v="15"/>
    <x v="15"/>
    <x v="68"/>
    <x v="68"/>
    <n v="-6056811"/>
    <n v="0"/>
    <n v="0"/>
    <n v="0"/>
    <n v="-6056811"/>
  </r>
  <r>
    <x v="16"/>
    <x v="16"/>
    <x v="68"/>
    <x v="68"/>
    <n v="-1390266"/>
    <n v="0"/>
    <n v="0"/>
    <n v="0"/>
    <n v="-1390266"/>
  </r>
  <r>
    <x v="17"/>
    <x v="17"/>
    <x v="68"/>
    <x v="68"/>
    <n v="-254227"/>
    <n v="0"/>
    <n v="0"/>
    <n v="0"/>
    <n v="-254227"/>
  </r>
  <r>
    <x v="18"/>
    <x v="18"/>
    <x v="68"/>
    <x v="68"/>
    <n v="-2564895"/>
    <n v="0"/>
    <n v="0"/>
    <n v="0"/>
    <n v="-2564895"/>
  </r>
  <r>
    <x v="19"/>
    <x v="19"/>
    <x v="68"/>
    <x v="68"/>
    <n v="-408342"/>
    <n v="0"/>
    <n v="0"/>
    <n v="0"/>
    <n v="-408342"/>
  </r>
  <r>
    <x v="20"/>
    <x v="20"/>
    <x v="68"/>
    <x v="68"/>
    <n v="-1196297"/>
    <n v="0"/>
    <n v="0"/>
    <n v="0"/>
    <n v="-1196297"/>
  </r>
  <r>
    <x v="21"/>
    <x v="21"/>
    <x v="68"/>
    <x v="68"/>
    <n v="-1188020"/>
    <n v="0"/>
    <n v="0"/>
    <n v="0"/>
    <n v="-1188020"/>
  </r>
  <r>
    <x v="22"/>
    <x v="22"/>
    <x v="68"/>
    <x v="68"/>
    <n v="-730071"/>
    <n v="0"/>
    <n v="0"/>
    <n v="0"/>
    <n v="-730071"/>
  </r>
  <r>
    <x v="23"/>
    <x v="23"/>
    <x v="68"/>
    <x v="68"/>
    <n v="-3163301"/>
    <n v="0"/>
    <n v="0"/>
    <n v="0"/>
    <n v="-3163301"/>
  </r>
  <r>
    <x v="24"/>
    <x v="24"/>
    <x v="68"/>
    <x v="68"/>
    <n v="-663596"/>
    <n v="0"/>
    <n v="0"/>
    <n v="0"/>
    <n v="-663596"/>
  </r>
  <r>
    <x v="25"/>
    <x v="25"/>
    <x v="68"/>
    <x v="68"/>
    <n v="-125726"/>
    <n v="0"/>
    <n v="0"/>
    <n v="0"/>
    <n v="-125726"/>
  </r>
  <r>
    <x v="26"/>
    <x v="26"/>
    <x v="68"/>
    <x v="68"/>
    <n v="-2665585"/>
    <n v="0"/>
    <n v="0"/>
    <n v="0"/>
    <n v="-2665585"/>
  </r>
  <r>
    <x v="27"/>
    <x v="27"/>
    <x v="68"/>
    <x v="68"/>
    <n v="-436584"/>
    <n v="0"/>
    <n v="0"/>
    <n v="0"/>
    <n v="-436584"/>
  </r>
  <r>
    <x v="28"/>
    <x v="28"/>
    <x v="68"/>
    <x v="68"/>
    <n v="-4554188"/>
    <n v="0"/>
    <n v="0"/>
    <n v="0"/>
    <n v="-4554188"/>
  </r>
  <r>
    <x v="29"/>
    <x v="29"/>
    <x v="68"/>
    <x v="68"/>
    <n v="-2236282"/>
    <n v="0"/>
    <n v="0"/>
    <n v="0"/>
    <n v="-2236282"/>
  </r>
  <r>
    <x v="30"/>
    <x v="30"/>
    <x v="68"/>
    <x v="68"/>
    <n v="-1122417"/>
    <n v="0"/>
    <n v="0"/>
    <n v="0"/>
    <n v="-1122417"/>
  </r>
  <r>
    <x v="31"/>
    <x v="31"/>
    <x v="68"/>
    <x v="68"/>
    <n v="-3382920"/>
    <n v="0"/>
    <n v="0"/>
    <n v="0"/>
    <n v="-3382920"/>
  </r>
  <r>
    <x v="32"/>
    <x v="32"/>
    <x v="68"/>
    <x v="68"/>
    <n v="-41829"/>
    <n v="0"/>
    <n v="0"/>
    <n v="0"/>
    <n v="-41829"/>
  </r>
  <r>
    <x v="33"/>
    <x v="33"/>
    <x v="68"/>
    <x v="68"/>
    <n v="-1816603"/>
    <n v="0"/>
    <n v="0"/>
    <n v="0"/>
    <n v="-1816603"/>
  </r>
  <r>
    <x v="34"/>
    <x v="34"/>
    <x v="68"/>
    <x v="68"/>
    <n v="-4899726"/>
    <n v="0"/>
    <n v="0"/>
    <n v="0"/>
    <n v="-4899726"/>
  </r>
  <r>
    <x v="35"/>
    <x v="35"/>
    <x v="68"/>
    <x v="68"/>
    <n v="-669420"/>
    <n v="0"/>
    <n v="0"/>
    <n v="0"/>
    <n v="-669420"/>
  </r>
  <r>
    <x v="36"/>
    <x v="36"/>
    <x v="68"/>
    <x v="68"/>
    <n v="-6704091"/>
    <n v="0"/>
    <n v="0"/>
    <n v="0"/>
    <n v="-6704091"/>
  </r>
  <r>
    <x v="37"/>
    <x v="37"/>
    <x v="68"/>
    <x v="68"/>
    <n v="-4788506"/>
    <n v="0"/>
    <n v="0"/>
    <n v="0"/>
    <n v="-4788506"/>
  </r>
  <r>
    <x v="38"/>
    <x v="38"/>
    <x v="68"/>
    <x v="68"/>
    <n v="-15307320"/>
    <n v="0"/>
    <n v="0"/>
    <n v="0"/>
    <n v="-15307320"/>
  </r>
  <r>
    <x v="39"/>
    <x v="39"/>
    <x v="68"/>
    <x v="68"/>
    <n v="-22378296"/>
    <n v="0"/>
    <n v="0"/>
    <n v="0"/>
    <n v="-22378296"/>
  </r>
  <r>
    <x v="40"/>
    <x v="40"/>
    <x v="68"/>
    <x v="68"/>
    <n v="-562370"/>
    <n v="0"/>
    <n v="0"/>
    <n v="0"/>
    <n v="-562370"/>
  </r>
  <r>
    <x v="41"/>
    <x v="41"/>
    <x v="68"/>
    <x v="68"/>
    <n v="-1882149"/>
    <n v="0"/>
    <n v="0"/>
    <n v="0"/>
    <n v="-1882149"/>
  </r>
  <r>
    <x v="42"/>
    <x v="42"/>
    <x v="68"/>
    <x v="68"/>
    <n v="-343084"/>
    <n v="0"/>
    <n v="0"/>
    <n v="0"/>
    <n v="-343084"/>
  </r>
  <r>
    <x v="43"/>
    <x v="43"/>
    <x v="68"/>
    <x v="68"/>
    <n v="-2854316"/>
    <n v="0"/>
    <n v="0"/>
    <n v="0"/>
    <n v="-2854316"/>
  </r>
  <r>
    <x v="44"/>
    <x v="44"/>
    <x v="68"/>
    <x v="68"/>
    <n v="0"/>
    <n v="0"/>
    <n v="0"/>
    <n v="0"/>
    <n v="0"/>
  </r>
  <r>
    <x v="45"/>
    <x v="45"/>
    <x v="68"/>
    <x v="68"/>
    <n v="0"/>
    <n v="0"/>
    <n v="0"/>
    <n v="0"/>
    <n v="0"/>
  </r>
  <r>
    <x v="46"/>
    <x v="46"/>
    <x v="68"/>
    <x v="68"/>
    <n v="0"/>
    <n v="0"/>
    <n v="0"/>
    <n v="0"/>
    <n v="0"/>
  </r>
  <r>
    <x v="47"/>
    <x v="47"/>
    <x v="68"/>
    <x v="68"/>
    <n v="0"/>
    <n v="0"/>
    <n v="0"/>
    <n v="0"/>
    <n v="0"/>
  </r>
  <r>
    <x v="48"/>
    <x v="48"/>
    <x v="68"/>
    <x v="68"/>
    <n v="0"/>
    <n v="0"/>
    <n v="0"/>
    <n v="0"/>
    <n v="0"/>
  </r>
  <r>
    <x v="49"/>
    <x v="49"/>
    <x v="68"/>
    <x v="68"/>
    <n v="0"/>
    <n v="0"/>
    <n v="0"/>
    <n v="0"/>
    <n v="0"/>
  </r>
  <r>
    <x v="50"/>
    <x v="50"/>
    <x v="68"/>
    <x v="68"/>
    <n v="0"/>
    <n v="0"/>
    <n v="0"/>
    <n v="0"/>
    <n v="0"/>
  </r>
  <r>
    <x v="51"/>
    <x v="51"/>
    <x v="68"/>
    <x v="68"/>
    <n v="0"/>
    <n v="0"/>
    <n v="0"/>
    <n v="0"/>
    <n v="0"/>
  </r>
  <r>
    <x v="52"/>
    <x v="52"/>
    <x v="68"/>
    <x v="68"/>
    <n v="0"/>
    <n v="0"/>
    <n v="0"/>
    <n v="0"/>
    <n v="0"/>
  </r>
  <r>
    <x v="53"/>
    <x v="53"/>
    <x v="68"/>
    <x v="68"/>
    <n v="0"/>
    <n v="0"/>
    <n v="0"/>
    <n v="0"/>
    <n v="0"/>
  </r>
  <r>
    <x v="54"/>
    <x v="54"/>
    <x v="68"/>
    <x v="68"/>
    <n v="0"/>
    <n v="0"/>
    <n v="0"/>
    <n v="0"/>
    <n v="0"/>
  </r>
  <r>
    <x v="55"/>
    <x v="55"/>
    <x v="68"/>
    <x v="68"/>
    <n v="0"/>
    <n v="0"/>
    <n v="0"/>
    <n v="0"/>
    <n v="0"/>
  </r>
  <r>
    <x v="56"/>
    <x v="56"/>
    <x v="68"/>
    <x v="68"/>
    <n v="0"/>
    <n v="0"/>
    <n v="0"/>
    <n v="0"/>
    <n v="0"/>
  </r>
  <r>
    <x v="57"/>
    <x v="57"/>
    <x v="68"/>
    <x v="68"/>
    <n v="0"/>
    <n v="0"/>
    <n v="0"/>
    <n v="0"/>
    <n v="0"/>
  </r>
  <r>
    <x v="58"/>
    <x v="58"/>
    <x v="68"/>
    <x v="68"/>
    <n v="-102067001"/>
    <n v="0"/>
    <n v="0"/>
    <n v="0"/>
    <n v="-102067001"/>
  </r>
  <r>
    <x v="0"/>
    <x v="0"/>
    <x v="69"/>
    <x v="69"/>
    <n v="0"/>
    <n v="0"/>
    <n v="0"/>
    <n v="0"/>
    <n v="0"/>
  </r>
  <r>
    <x v="1"/>
    <x v="1"/>
    <x v="69"/>
    <x v="69"/>
    <n v="-68"/>
    <n v="0"/>
    <n v="0"/>
    <n v="0"/>
    <n v="-68"/>
  </r>
  <r>
    <x v="2"/>
    <x v="2"/>
    <x v="69"/>
    <x v="69"/>
    <n v="0"/>
    <n v="0"/>
    <n v="0"/>
    <n v="0"/>
    <n v="0"/>
  </r>
  <r>
    <x v="3"/>
    <x v="3"/>
    <x v="69"/>
    <x v="69"/>
    <n v="-15266"/>
    <n v="0"/>
    <n v="0"/>
    <n v="0"/>
    <n v="-15266"/>
  </r>
  <r>
    <x v="4"/>
    <x v="4"/>
    <x v="69"/>
    <x v="69"/>
    <n v="-96691"/>
    <n v="0"/>
    <n v="0"/>
    <n v="0"/>
    <n v="-96691"/>
  </r>
  <r>
    <x v="5"/>
    <x v="5"/>
    <x v="69"/>
    <x v="69"/>
    <n v="0"/>
    <n v="0"/>
    <n v="0"/>
    <n v="0"/>
    <n v="0"/>
  </r>
  <r>
    <x v="6"/>
    <x v="6"/>
    <x v="69"/>
    <x v="69"/>
    <n v="-8803"/>
    <n v="0"/>
    <n v="0"/>
    <n v="0"/>
    <n v="-8803"/>
  </r>
  <r>
    <x v="7"/>
    <x v="7"/>
    <x v="69"/>
    <x v="69"/>
    <n v="-444317"/>
    <n v="0"/>
    <n v="0"/>
    <n v="0"/>
    <n v="-444317"/>
  </r>
  <r>
    <x v="8"/>
    <x v="8"/>
    <x v="69"/>
    <x v="69"/>
    <n v="-128344"/>
    <n v="0"/>
    <n v="0"/>
    <n v="0"/>
    <n v="-128344"/>
  </r>
  <r>
    <x v="9"/>
    <x v="9"/>
    <x v="69"/>
    <x v="69"/>
    <n v="-202643"/>
    <n v="0"/>
    <n v="0"/>
    <n v="0"/>
    <n v="-202643"/>
  </r>
  <r>
    <x v="10"/>
    <x v="10"/>
    <x v="69"/>
    <x v="69"/>
    <n v="-19107"/>
    <n v="0"/>
    <n v="0"/>
    <n v="0"/>
    <n v="-19107"/>
  </r>
  <r>
    <x v="11"/>
    <x v="11"/>
    <x v="69"/>
    <x v="69"/>
    <n v="-79102992"/>
    <n v="0"/>
    <n v="0"/>
    <n v="0"/>
    <n v="-79102992"/>
  </r>
  <r>
    <x v="12"/>
    <x v="12"/>
    <x v="69"/>
    <x v="69"/>
    <n v="-1032737"/>
    <n v="0"/>
    <n v="0"/>
    <n v="0"/>
    <n v="-1032737"/>
  </r>
  <r>
    <x v="13"/>
    <x v="13"/>
    <x v="69"/>
    <x v="69"/>
    <n v="-704188"/>
    <n v="0"/>
    <n v="0"/>
    <n v="0"/>
    <n v="-704188"/>
  </r>
  <r>
    <x v="14"/>
    <x v="14"/>
    <x v="69"/>
    <x v="69"/>
    <n v="-8818"/>
    <n v="0"/>
    <n v="0"/>
    <n v="0"/>
    <n v="-8818"/>
  </r>
  <r>
    <x v="15"/>
    <x v="15"/>
    <x v="69"/>
    <x v="69"/>
    <n v="-10067923"/>
    <n v="0"/>
    <n v="0"/>
    <n v="0"/>
    <n v="-10067923"/>
  </r>
  <r>
    <x v="16"/>
    <x v="16"/>
    <x v="69"/>
    <x v="69"/>
    <n v="-1208972"/>
    <n v="0"/>
    <n v="0"/>
    <n v="0"/>
    <n v="-1208972"/>
  </r>
  <r>
    <x v="17"/>
    <x v="17"/>
    <x v="69"/>
    <x v="69"/>
    <n v="-1069522"/>
    <n v="0"/>
    <n v="0"/>
    <n v="0"/>
    <n v="-1069522"/>
  </r>
  <r>
    <x v="18"/>
    <x v="18"/>
    <x v="69"/>
    <x v="69"/>
    <n v="-5876886"/>
    <n v="0"/>
    <n v="0"/>
    <n v="0"/>
    <n v="-5876886"/>
  </r>
  <r>
    <x v="19"/>
    <x v="19"/>
    <x v="69"/>
    <x v="69"/>
    <n v="-23066"/>
    <n v="0"/>
    <n v="0"/>
    <n v="0"/>
    <n v="-23066"/>
  </r>
  <r>
    <x v="20"/>
    <x v="20"/>
    <x v="69"/>
    <x v="69"/>
    <n v="-6040042"/>
    <n v="0"/>
    <n v="0"/>
    <n v="0"/>
    <n v="-6040042"/>
  </r>
  <r>
    <x v="21"/>
    <x v="21"/>
    <x v="69"/>
    <x v="69"/>
    <n v="-7347184"/>
    <n v="0"/>
    <n v="0"/>
    <n v="0"/>
    <n v="-7347184"/>
  </r>
  <r>
    <x v="22"/>
    <x v="22"/>
    <x v="69"/>
    <x v="69"/>
    <n v="-3174697"/>
    <n v="0"/>
    <n v="0"/>
    <n v="0"/>
    <n v="-3174697"/>
  </r>
  <r>
    <x v="23"/>
    <x v="23"/>
    <x v="69"/>
    <x v="69"/>
    <n v="-3484287"/>
    <n v="0"/>
    <n v="0"/>
    <n v="0"/>
    <n v="-3484287"/>
  </r>
  <r>
    <x v="24"/>
    <x v="24"/>
    <x v="69"/>
    <x v="69"/>
    <n v="-6359252"/>
    <n v="0"/>
    <n v="0"/>
    <n v="0"/>
    <n v="-6359252"/>
  </r>
  <r>
    <x v="25"/>
    <x v="25"/>
    <x v="69"/>
    <x v="69"/>
    <n v="-242828"/>
    <n v="0"/>
    <n v="0"/>
    <n v="0"/>
    <n v="-242828"/>
  </r>
  <r>
    <x v="26"/>
    <x v="26"/>
    <x v="69"/>
    <x v="69"/>
    <n v="-25557719"/>
    <n v="0"/>
    <n v="0"/>
    <n v="0"/>
    <n v="-25557719"/>
  </r>
  <r>
    <x v="27"/>
    <x v="27"/>
    <x v="69"/>
    <x v="69"/>
    <n v="-332888"/>
    <n v="0"/>
    <n v="0"/>
    <n v="0"/>
    <n v="-332888"/>
  </r>
  <r>
    <x v="28"/>
    <x v="28"/>
    <x v="69"/>
    <x v="69"/>
    <n v="-18623034"/>
    <n v="0"/>
    <n v="0"/>
    <n v="0"/>
    <n v="-18623034"/>
  </r>
  <r>
    <x v="29"/>
    <x v="29"/>
    <x v="69"/>
    <x v="69"/>
    <n v="-24633562"/>
    <n v="0"/>
    <n v="0"/>
    <n v="0"/>
    <n v="-24633562"/>
  </r>
  <r>
    <x v="30"/>
    <x v="30"/>
    <x v="69"/>
    <x v="69"/>
    <n v="-2938413"/>
    <n v="0"/>
    <n v="0"/>
    <n v="0"/>
    <n v="-2938413"/>
  </r>
  <r>
    <x v="31"/>
    <x v="31"/>
    <x v="69"/>
    <x v="69"/>
    <n v="-4540620"/>
    <n v="0"/>
    <n v="0"/>
    <n v="0"/>
    <n v="-4540620"/>
  </r>
  <r>
    <x v="32"/>
    <x v="32"/>
    <x v="69"/>
    <x v="69"/>
    <n v="-154751"/>
    <n v="0"/>
    <n v="0"/>
    <n v="0"/>
    <n v="-154751"/>
  </r>
  <r>
    <x v="33"/>
    <x v="33"/>
    <x v="69"/>
    <x v="69"/>
    <n v="-2359786"/>
    <n v="0"/>
    <n v="0"/>
    <n v="0"/>
    <n v="-2359786"/>
  </r>
  <r>
    <x v="34"/>
    <x v="34"/>
    <x v="69"/>
    <x v="69"/>
    <n v="-23951458"/>
    <n v="0"/>
    <n v="0"/>
    <n v="0"/>
    <n v="-23951458"/>
  </r>
  <r>
    <x v="35"/>
    <x v="35"/>
    <x v="69"/>
    <x v="69"/>
    <n v="-26283934"/>
    <n v="0"/>
    <n v="0"/>
    <n v="0"/>
    <n v="-26283934"/>
  </r>
  <r>
    <x v="36"/>
    <x v="36"/>
    <x v="69"/>
    <x v="69"/>
    <n v="-11624819"/>
    <n v="0"/>
    <n v="0"/>
    <n v="0"/>
    <n v="-11624819"/>
  </r>
  <r>
    <x v="37"/>
    <x v="37"/>
    <x v="69"/>
    <x v="69"/>
    <n v="-22980114"/>
    <n v="0"/>
    <n v="0"/>
    <n v="0"/>
    <n v="-22980114"/>
  </r>
  <r>
    <x v="38"/>
    <x v="38"/>
    <x v="69"/>
    <x v="69"/>
    <n v="-37966412"/>
    <n v="0"/>
    <n v="0"/>
    <n v="0"/>
    <n v="-37966412"/>
  </r>
  <r>
    <x v="39"/>
    <x v="39"/>
    <x v="69"/>
    <x v="69"/>
    <n v="-50952964"/>
    <n v="0"/>
    <n v="0"/>
    <n v="0"/>
    <n v="-50952964"/>
  </r>
  <r>
    <x v="40"/>
    <x v="40"/>
    <x v="69"/>
    <x v="69"/>
    <n v="-1320879"/>
    <n v="0"/>
    <n v="0"/>
    <n v="0"/>
    <n v="-1320879"/>
  </r>
  <r>
    <x v="41"/>
    <x v="41"/>
    <x v="69"/>
    <x v="69"/>
    <n v="-2225741"/>
    <n v="0"/>
    <n v="0"/>
    <n v="0"/>
    <n v="-2225741"/>
  </r>
  <r>
    <x v="42"/>
    <x v="42"/>
    <x v="69"/>
    <x v="69"/>
    <n v="-1436560"/>
    <n v="0"/>
    <n v="0"/>
    <n v="0"/>
    <n v="-1436560"/>
  </r>
  <r>
    <x v="43"/>
    <x v="43"/>
    <x v="69"/>
    <x v="69"/>
    <n v="-17835771"/>
    <n v="0"/>
    <n v="0"/>
    <n v="0"/>
    <n v="-17835771"/>
  </r>
  <r>
    <x v="44"/>
    <x v="44"/>
    <x v="69"/>
    <x v="69"/>
    <n v="-10131237"/>
    <n v="0"/>
    <n v="0"/>
    <n v="0"/>
    <n v="-10131237"/>
  </r>
  <r>
    <x v="45"/>
    <x v="45"/>
    <x v="69"/>
    <x v="69"/>
    <n v="0"/>
    <n v="0"/>
    <n v="0"/>
    <n v="0"/>
    <n v="0"/>
  </r>
  <r>
    <x v="46"/>
    <x v="46"/>
    <x v="69"/>
    <x v="69"/>
    <n v="0"/>
    <n v="0"/>
    <n v="0"/>
    <n v="0"/>
    <n v="0"/>
  </r>
  <r>
    <x v="47"/>
    <x v="47"/>
    <x v="69"/>
    <x v="69"/>
    <n v="0"/>
    <n v="0"/>
    <n v="0"/>
    <n v="0"/>
    <n v="0"/>
  </r>
  <r>
    <x v="48"/>
    <x v="48"/>
    <x v="69"/>
    <x v="69"/>
    <n v="0"/>
    <n v="0"/>
    <n v="0"/>
    <n v="0"/>
    <n v="0"/>
  </r>
  <r>
    <x v="49"/>
    <x v="49"/>
    <x v="69"/>
    <x v="69"/>
    <n v="0"/>
    <n v="0"/>
    <n v="0"/>
    <n v="0"/>
    <n v="0"/>
  </r>
  <r>
    <x v="50"/>
    <x v="50"/>
    <x v="69"/>
    <x v="69"/>
    <n v="0"/>
    <n v="0"/>
    <n v="0"/>
    <n v="0"/>
    <n v="0"/>
  </r>
  <r>
    <x v="51"/>
    <x v="51"/>
    <x v="69"/>
    <x v="69"/>
    <n v="0"/>
    <n v="0"/>
    <n v="0"/>
    <n v="0"/>
    <n v="0"/>
  </r>
  <r>
    <x v="52"/>
    <x v="52"/>
    <x v="69"/>
    <x v="69"/>
    <n v="0"/>
    <n v="0"/>
    <n v="0"/>
    <n v="0"/>
    <n v="0"/>
  </r>
  <r>
    <x v="53"/>
    <x v="53"/>
    <x v="69"/>
    <x v="69"/>
    <n v="0"/>
    <n v="0"/>
    <n v="0"/>
    <n v="0"/>
    <n v="0"/>
  </r>
  <r>
    <x v="54"/>
    <x v="54"/>
    <x v="69"/>
    <x v="69"/>
    <n v="0"/>
    <n v="0"/>
    <n v="0"/>
    <n v="0"/>
    <n v="0"/>
  </r>
  <r>
    <x v="55"/>
    <x v="55"/>
    <x v="69"/>
    <x v="69"/>
    <n v="0"/>
    <n v="0"/>
    <n v="0"/>
    <n v="0"/>
    <n v="0"/>
  </r>
  <r>
    <x v="56"/>
    <x v="56"/>
    <x v="69"/>
    <x v="69"/>
    <n v="0"/>
    <n v="0"/>
    <n v="0"/>
    <n v="0"/>
    <n v="0"/>
  </r>
  <r>
    <x v="57"/>
    <x v="57"/>
    <x v="69"/>
    <x v="69"/>
    <n v="0"/>
    <n v="0"/>
    <n v="0"/>
    <n v="0"/>
    <n v="0"/>
  </r>
  <r>
    <x v="58"/>
    <x v="58"/>
    <x v="69"/>
    <x v="69"/>
    <n v="-412509295"/>
    <n v="0"/>
    <n v="0"/>
    <n v="0"/>
    <n v="-412509295"/>
  </r>
  <r>
    <x v="0"/>
    <x v="0"/>
    <x v="70"/>
    <x v="70"/>
    <n v="0"/>
    <n v="0"/>
    <n v="0"/>
    <n v="0"/>
    <n v="0"/>
  </r>
  <r>
    <x v="1"/>
    <x v="1"/>
    <x v="70"/>
    <x v="70"/>
    <n v="0"/>
    <n v="0"/>
    <n v="0"/>
    <n v="0"/>
    <n v="0"/>
  </r>
  <r>
    <x v="2"/>
    <x v="2"/>
    <x v="70"/>
    <x v="70"/>
    <n v="0"/>
    <n v="0"/>
    <n v="0"/>
    <n v="0"/>
    <n v="0"/>
  </r>
  <r>
    <x v="3"/>
    <x v="3"/>
    <x v="70"/>
    <x v="70"/>
    <n v="0"/>
    <n v="0"/>
    <n v="0"/>
    <n v="0"/>
    <n v="0"/>
  </r>
  <r>
    <x v="4"/>
    <x v="4"/>
    <x v="70"/>
    <x v="70"/>
    <n v="-1436930"/>
    <n v="0"/>
    <n v="0"/>
    <n v="0"/>
    <n v="-1436930"/>
  </r>
  <r>
    <x v="5"/>
    <x v="5"/>
    <x v="70"/>
    <x v="70"/>
    <n v="0"/>
    <n v="0"/>
    <n v="0"/>
    <n v="0"/>
    <n v="0"/>
  </r>
  <r>
    <x v="6"/>
    <x v="6"/>
    <x v="70"/>
    <x v="70"/>
    <n v="0"/>
    <n v="0"/>
    <n v="0"/>
    <n v="0"/>
    <n v="0"/>
  </r>
  <r>
    <x v="7"/>
    <x v="7"/>
    <x v="70"/>
    <x v="70"/>
    <n v="-5001"/>
    <n v="0"/>
    <n v="0"/>
    <n v="0"/>
    <n v="-5001"/>
  </r>
  <r>
    <x v="8"/>
    <x v="8"/>
    <x v="70"/>
    <x v="70"/>
    <n v="0"/>
    <n v="0"/>
    <n v="0"/>
    <n v="0"/>
    <n v="0"/>
  </r>
  <r>
    <x v="9"/>
    <x v="9"/>
    <x v="70"/>
    <x v="70"/>
    <n v="0"/>
    <n v="0"/>
    <n v="0"/>
    <n v="0"/>
    <n v="0"/>
  </r>
  <r>
    <x v="10"/>
    <x v="10"/>
    <x v="70"/>
    <x v="70"/>
    <n v="0"/>
    <n v="0"/>
    <n v="0"/>
    <n v="0"/>
    <n v="0"/>
  </r>
  <r>
    <x v="11"/>
    <x v="11"/>
    <x v="70"/>
    <x v="70"/>
    <n v="0"/>
    <n v="0"/>
    <n v="0"/>
    <n v="0"/>
    <n v="0"/>
  </r>
  <r>
    <x v="12"/>
    <x v="12"/>
    <x v="70"/>
    <x v="70"/>
    <n v="0"/>
    <n v="0"/>
    <n v="0"/>
    <n v="0"/>
    <n v="0"/>
  </r>
  <r>
    <x v="13"/>
    <x v="13"/>
    <x v="70"/>
    <x v="70"/>
    <n v="0"/>
    <n v="0"/>
    <n v="0"/>
    <n v="0"/>
    <n v="0"/>
  </r>
  <r>
    <x v="14"/>
    <x v="14"/>
    <x v="70"/>
    <x v="70"/>
    <n v="0"/>
    <n v="0"/>
    <n v="0"/>
    <n v="0"/>
    <n v="0"/>
  </r>
  <r>
    <x v="15"/>
    <x v="15"/>
    <x v="70"/>
    <x v="70"/>
    <n v="-925141"/>
    <n v="0"/>
    <n v="0"/>
    <n v="0"/>
    <n v="-925141"/>
  </r>
  <r>
    <x v="16"/>
    <x v="16"/>
    <x v="70"/>
    <x v="70"/>
    <n v="0"/>
    <n v="0"/>
    <n v="0"/>
    <n v="0"/>
    <n v="0"/>
  </r>
  <r>
    <x v="17"/>
    <x v="17"/>
    <x v="70"/>
    <x v="70"/>
    <n v="0"/>
    <n v="0"/>
    <n v="0"/>
    <n v="0"/>
    <n v="0"/>
  </r>
  <r>
    <x v="18"/>
    <x v="18"/>
    <x v="70"/>
    <x v="70"/>
    <n v="-145054"/>
    <n v="0"/>
    <n v="0"/>
    <n v="0"/>
    <n v="-145054"/>
  </r>
  <r>
    <x v="19"/>
    <x v="19"/>
    <x v="70"/>
    <x v="70"/>
    <n v="0"/>
    <n v="0"/>
    <n v="0"/>
    <n v="0"/>
    <n v="0"/>
  </r>
  <r>
    <x v="20"/>
    <x v="20"/>
    <x v="70"/>
    <x v="70"/>
    <n v="-3580706"/>
    <n v="0"/>
    <n v="0"/>
    <n v="0"/>
    <n v="-3580706"/>
  </r>
  <r>
    <x v="21"/>
    <x v="21"/>
    <x v="70"/>
    <x v="70"/>
    <n v="-121947"/>
    <n v="0"/>
    <n v="0"/>
    <n v="0"/>
    <n v="-121947"/>
  </r>
  <r>
    <x v="22"/>
    <x v="22"/>
    <x v="70"/>
    <x v="70"/>
    <n v="-46"/>
    <n v="0"/>
    <n v="0"/>
    <n v="0"/>
    <n v="-46"/>
  </r>
  <r>
    <x v="23"/>
    <x v="23"/>
    <x v="70"/>
    <x v="70"/>
    <n v="-9759218"/>
    <n v="0"/>
    <n v="0"/>
    <n v="0"/>
    <n v="-9759218"/>
  </r>
  <r>
    <x v="24"/>
    <x v="24"/>
    <x v="70"/>
    <x v="70"/>
    <n v="0"/>
    <n v="0"/>
    <n v="0"/>
    <n v="0"/>
    <n v="0"/>
  </r>
  <r>
    <x v="25"/>
    <x v="25"/>
    <x v="70"/>
    <x v="70"/>
    <n v="-54287948"/>
    <n v="0"/>
    <n v="0"/>
    <n v="0"/>
    <n v="-54287948"/>
  </r>
  <r>
    <x v="26"/>
    <x v="26"/>
    <x v="70"/>
    <x v="70"/>
    <n v="0"/>
    <n v="0"/>
    <n v="0"/>
    <n v="0"/>
    <n v="0"/>
  </r>
  <r>
    <x v="27"/>
    <x v="27"/>
    <x v="70"/>
    <x v="70"/>
    <n v="0"/>
    <n v="0"/>
    <n v="0"/>
    <n v="0"/>
    <n v="0"/>
  </r>
  <r>
    <x v="28"/>
    <x v="28"/>
    <x v="70"/>
    <x v="70"/>
    <n v="-2657579"/>
    <n v="0"/>
    <n v="0"/>
    <n v="0"/>
    <n v="-2657579"/>
  </r>
  <r>
    <x v="29"/>
    <x v="29"/>
    <x v="70"/>
    <x v="70"/>
    <n v="-59189749"/>
    <n v="0"/>
    <n v="0"/>
    <n v="0"/>
    <n v="-59189749"/>
  </r>
  <r>
    <x v="30"/>
    <x v="30"/>
    <x v="70"/>
    <x v="70"/>
    <n v="0"/>
    <n v="0"/>
    <n v="0"/>
    <n v="0"/>
    <n v="0"/>
  </r>
  <r>
    <x v="31"/>
    <x v="31"/>
    <x v="70"/>
    <x v="70"/>
    <n v="0"/>
    <n v="0"/>
    <n v="0"/>
    <n v="0"/>
    <n v="0"/>
  </r>
  <r>
    <x v="32"/>
    <x v="32"/>
    <x v="70"/>
    <x v="70"/>
    <n v="0"/>
    <n v="0"/>
    <n v="0"/>
    <n v="0"/>
    <n v="0"/>
  </r>
  <r>
    <x v="33"/>
    <x v="33"/>
    <x v="70"/>
    <x v="70"/>
    <n v="-809138"/>
    <n v="0"/>
    <n v="0"/>
    <n v="0"/>
    <n v="-809138"/>
  </r>
  <r>
    <x v="34"/>
    <x v="34"/>
    <x v="70"/>
    <x v="70"/>
    <n v="0"/>
    <n v="0"/>
    <n v="0"/>
    <n v="0"/>
    <n v="0"/>
  </r>
  <r>
    <x v="35"/>
    <x v="35"/>
    <x v="70"/>
    <x v="70"/>
    <n v="0"/>
    <n v="0"/>
    <n v="0"/>
    <n v="0"/>
    <n v="0"/>
  </r>
  <r>
    <x v="36"/>
    <x v="36"/>
    <x v="70"/>
    <x v="70"/>
    <n v="0"/>
    <n v="0"/>
    <n v="0"/>
    <n v="0"/>
    <n v="0"/>
  </r>
  <r>
    <x v="37"/>
    <x v="37"/>
    <x v="70"/>
    <x v="70"/>
    <n v="0"/>
    <n v="0"/>
    <n v="0"/>
    <n v="0"/>
    <n v="0"/>
  </r>
  <r>
    <x v="38"/>
    <x v="38"/>
    <x v="70"/>
    <x v="70"/>
    <n v="-1978283"/>
    <n v="0"/>
    <n v="0"/>
    <n v="0"/>
    <n v="-1978283"/>
  </r>
  <r>
    <x v="39"/>
    <x v="39"/>
    <x v="70"/>
    <x v="70"/>
    <n v="0"/>
    <n v="0"/>
    <n v="0"/>
    <n v="0"/>
    <n v="0"/>
  </r>
  <r>
    <x v="40"/>
    <x v="40"/>
    <x v="70"/>
    <x v="70"/>
    <n v="0"/>
    <n v="0"/>
    <n v="0"/>
    <n v="0"/>
    <n v="0"/>
  </r>
  <r>
    <x v="41"/>
    <x v="41"/>
    <x v="70"/>
    <x v="70"/>
    <n v="-588010"/>
    <n v="0"/>
    <n v="0"/>
    <n v="0"/>
    <n v="-588010"/>
  </r>
  <r>
    <x v="42"/>
    <x v="42"/>
    <x v="70"/>
    <x v="70"/>
    <n v="-599"/>
    <n v="0"/>
    <n v="0"/>
    <n v="0"/>
    <n v="-599"/>
  </r>
  <r>
    <x v="43"/>
    <x v="43"/>
    <x v="70"/>
    <x v="70"/>
    <n v="-6422291"/>
    <n v="0"/>
    <n v="0"/>
    <n v="0"/>
    <n v="-6422291"/>
  </r>
  <r>
    <x v="44"/>
    <x v="44"/>
    <x v="70"/>
    <x v="70"/>
    <n v="-760"/>
    <n v="0"/>
    <n v="0"/>
    <n v="0"/>
    <n v="-760"/>
  </r>
  <r>
    <x v="45"/>
    <x v="45"/>
    <x v="70"/>
    <x v="70"/>
    <n v="0"/>
    <n v="0"/>
    <n v="0"/>
    <n v="0"/>
    <n v="0"/>
  </r>
  <r>
    <x v="46"/>
    <x v="46"/>
    <x v="70"/>
    <x v="70"/>
    <n v="0"/>
    <n v="0"/>
    <n v="0"/>
    <n v="0"/>
    <n v="0"/>
  </r>
  <r>
    <x v="47"/>
    <x v="47"/>
    <x v="70"/>
    <x v="70"/>
    <n v="0"/>
    <n v="0"/>
    <n v="0"/>
    <n v="0"/>
    <n v="0"/>
  </r>
  <r>
    <x v="48"/>
    <x v="48"/>
    <x v="70"/>
    <x v="70"/>
    <n v="0"/>
    <n v="0"/>
    <n v="0"/>
    <n v="0"/>
    <n v="0"/>
  </r>
  <r>
    <x v="49"/>
    <x v="49"/>
    <x v="70"/>
    <x v="70"/>
    <n v="-65700431"/>
    <n v="0"/>
    <n v="0"/>
    <n v="0"/>
    <n v="-65700431"/>
  </r>
  <r>
    <x v="50"/>
    <x v="50"/>
    <x v="70"/>
    <x v="70"/>
    <n v="-117143924"/>
    <n v="0"/>
    <n v="0"/>
    <n v="0"/>
    <n v="-117143924"/>
  </r>
  <r>
    <x v="51"/>
    <x v="51"/>
    <x v="70"/>
    <x v="70"/>
    <n v="-55188867"/>
    <n v="0"/>
    <n v="0"/>
    <n v="0"/>
    <n v="-55188867"/>
  </r>
  <r>
    <x v="52"/>
    <x v="52"/>
    <x v="70"/>
    <x v="70"/>
    <n v="-81709813"/>
    <n v="0"/>
    <n v="0"/>
    <n v="0"/>
    <n v="-81709813"/>
  </r>
  <r>
    <x v="53"/>
    <x v="53"/>
    <x v="70"/>
    <x v="70"/>
    <n v="-101724443"/>
    <n v="0"/>
    <n v="0"/>
    <n v="0"/>
    <n v="-101724443"/>
  </r>
  <r>
    <x v="54"/>
    <x v="54"/>
    <x v="70"/>
    <x v="70"/>
    <n v="-318173520"/>
    <n v="0"/>
    <n v="0"/>
    <n v="0"/>
    <n v="-318173520"/>
  </r>
  <r>
    <x v="55"/>
    <x v="55"/>
    <x v="70"/>
    <x v="70"/>
    <n v="-86220627"/>
    <n v="0"/>
    <n v="0"/>
    <n v="0"/>
    <n v="-86220627"/>
  </r>
  <r>
    <x v="56"/>
    <x v="56"/>
    <x v="70"/>
    <x v="70"/>
    <n v="-16876564"/>
    <n v="0"/>
    <n v="0"/>
    <n v="0"/>
    <n v="-16876564"/>
  </r>
  <r>
    <x v="57"/>
    <x v="57"/>
    <x v="70"/>
    <x v="70"/>
    <n v="-21911156"/>
    <n v="0"/>
    <n v="0"/>
    <n v="0"/>
    <n v="-21911156"/>
  </r>
  <r>
    <x v="58"/>
    <x v="58"/>
    <x v="70"/>
    <x v="70"/>
    <n v="-1006557745"/>
    <n v="0"/>
    <n v="0"/>
    <n v="0"/>
    <n v="-1006557745"/>
  </r>
  <r>
    <x v="0"/>
    <x v="0"/>
    <x v="71"/>
    <x v="71"/>
    <n v="-5"/>
    <n v="0"/>
    <n v="0"/>
    <n v="0"/>
    <n v="-5"/>
  </r>
  <r>
    <x v="1"/>
    <x v="1"/>
    <x v="71"/>
    <x v="71"/>
    <n v="-15030908"/>
    <n v="0"/>
    <n v="0"/>
    <n v="0"/>
    <n v="-15030908"/>
  </r>
  <r>
    <x v="2"/>
    <x v="2"/>
    <x v="71"/>
    <x v="71"/>
    <n v="0"/>
    <n v="0"/>
    <n v="0"/>
    <n v="0"/>
    <n v="0"/>
  </r>
  <r>
    <x v="3"/>
    <x v="3"/>
    <x v="71"/>
    <x v="71"/>
    <n v="-44074229"/>
    <n v="0"/>
    <n v="0"/>
    <n v="0"/>
    <n v="-44074229"/>
  </r>
  <r>
    <x v="4"/>
    <x v="4"/>
    <x v="71"/>
    <x v="71"/>
    <n v="-53783216"/>
    <n v="0"/>
    <n v="0"/>
    <n v="0"/>
    <n v="-53783216"/>
  </r>
  <r>
    <x v="5"/>
    <x v="5"/>
    <x v="71"/>
    <x v="71"/>
    <n v="-2"/>
    <n v="0"/>
    <n v="0"/>
    <n v="0"/>
    <n v="-2"/>
  </r>
  <r>
    <x v="6"/>
    <x v="6"/>
    <x v="71"/>
    <x v="71"/>
    <n v="-149467"/>
    <n v="0"/>
    <n v="0"/>
    <n v="0"/>
    <n v="-149467"/>
  </r>
  <r>
    <x v="7"/>
    <x v="7"/>
    <x v="71"/>
    <x v="71"/>
    <n v="-53774415"/>
    <n v="0"/>
    <n v="0"/>
    <n v="0"/>
    <n v="-53774415"/>
  </r>
  <r>
    <x v="8"/>
    <x v="8"/>
    <x v="71"/>
    <x v="71"/>
    <n v="-5733873"/>
    <n v="0"/>
    <n v="0"/>
    <n v="0"/>
    <n v="-5733873"/>
  </r>
  <r>
    <x v="9"/>
    <x v="9"/>
    <x v="71"/>
    <x v="71"/>
    <n v="-2931772"/>
    <n v="0"/>
    <n v="0"/>
    <n v="0"/>
    <n v="-2931772"/>
  </r>
  <r>
    <x v="10"/>
    <x v="10"/>
    <x v="71"/>
    <x v="71"/>
    <n v="-11403238"/>
    <n v="0"/>
    <n v="0"/>
    <n v="0"/>
    <n v="-11403238"/>
  </r>
  <r>
    <x v="11"/>
    <x v="11"/>
    <x v="71"/>
    <x v="71"/>
    <n v="-1014344238"/>
    <n v="0"/>
    <n v="0"/>
    <n v="0"/>
    <n v="-1014344238"/>
  </r>
  <r>
    <x v="12"/>
    <x v="12"/>
    <x v="71"/>
    <x v="71"/>
    <n v="-19069227"/>
    <n v="0"/>
    <n v="0"/>
    <n v="0"/>
    <n v="-19069227"/>
  </r>
  <r>
    <x v="13"/>
    <x v="13"/>
    <x v="71"/>
    <x v="71"/>
    <n v="-11087069"/>
    <n v="0"/>
    <n v="0"/>
    <n v="0"/>
    <n v="-11087069"/>
  </r>
  <r>
    <x v="14"/>
    <x v="14"/>
    <x v="71"/>
    <x v="71"/>
    <n v="-509394"/>
    <n v="0"/>
    <n v="0"/>
    <n v="0"/>
    <n v="-509394"/>
  </r>
  <r>
    <x v="15"/>
    <x v="15"/>
    <x v="71"/>
    <x v="71"/>
    <n v="-271840804"/>
    <n v="0"/>
    <n v="0"/>
    <n v="0"/>
    <n v="-271840804"/>
  </r>
  <r>
    <x v="16"/>
    <x v="16"/>
    <x v="71"/>
    <x v="71"/>
    <n v="-35342525"/>
    <n v="0"/>
    <n v="0"/>
    <n v="0"/>
    <n v="-35342525"/>
  </r>
  <r>
    <x v="17"/>
    <x v="17"/>
    <x v="71"/>
    <x v="71"/>
    <n v="-14196220"/>
    <n v="0"/>
    <n v="0"/>
    <n v="0"/>
    <n v="-14196220"/>
  </r>
  <r>
    <x v="18"/>
    <x v="18"/>
    <x v="71"/>
    <x v="71"/>
    <n v="-89411754"/>
    <n v="0"/>
    <n v="0"/>
    <n v="0"/>
    <n v="-89411754"/>
  </r>
  <r>
    <x v="19"/>
    <x v="19"/>
    <x v="71"/>
    <x v="71"/>
    <n v="-26374473"/>
    <n v="0"/>
    <n v="0"/>
    <n v="0"/>
    <n v="-26374473"/>
  </r>
  <r>
    <x v="20"/>
    <x v="20"/>
    <x v="71"/>
    <x v="71"/>
    <n v="-23779347"/>
    <n v="0"/>
    <n v="0"/>
    <n v="0"/>
    <n v="-23779347"/>
  </r>
  <r>
    <x v="21"/>
    <x v="21"/>
    <x v="71"/>
    <x v="71"/>
    <n v="-17947685"/>
    <n v="0"/>
    <n v="0"/>
    <n v="0"/>
    <n v="-17947685"/>
  </r>
  <r>
    <x v="22"/>
    <x v="22"/>
    <x v="71"/>
    <x v="71"/>
    <n v="-79058399"/>
    <n v="0"/>
    <n v="0"/>
    <n v="0"/>
    <n v="-79058399"/>
  </r>
  <r>
    <x v="23"/>
    <x v="23"/>
    <x v="71"/>
    <x v="71"/>
    <n v="-96241121"/>
    <n v="0"/>
    <n v="0"/>
    <n v="0"/>
    <n v="-96241121"/>
  </r>
  <r>
    <x v="24"/>
    <x v="24"/>
    <x v="71"/>
    <x v="71"/>
    <n v="-109186861"/>
    <n v="0"/>
    <n v="0"/>
    <n v="0"/>
    <n v="-109186861"/>
  </r>
  <r>
    <x v="25"/>
    <x v="25"/>
    <x v="71"/>
    <x v="71"/>
    <n v="-63147360"/>
    <n v="0"/>
    <n v="0"/>
    <n v="0"/>
    <n v="-63147360"/>
  </r>
  <r>
    <x v="26"/>
    <x v="26"/>
    <x v="71"/>
    <x v="71"/>
    <n v="-621492716"/>
    <n v="0"/>
    <n v="0"/>
    <n v="0"/>
    <n v="-621492716"/>
  </r>
  <r>
    <x v="27"/>
    <x v="27"/>
    <x v="71"/>
    <x v="71"/>
    <n v="-102906459"/>
    <n v="0"/>
    <n v="0"/>
    <n v="0"/>
    <n v="-102906459"/>
  </r>
  <r>
    <x v="28"/>
    <x v="28"/>
    <x v="71"/>
    <x v="71"/>
    <n v="-374734940"/>
    <n v="0"/>
    <n v="0"/>
    <n v="0"/>
    <n v="-374734940"/>
  </r>
  <r>
    <x v="29"/>
    <x v="29"/>
    <x v="71"/>
    <x v="71"/>
    <n v="-274197987"/>
    <n v="0"/>
    <n v="0"/>
    <n v="0"/>
    <n v="-274197987"/>
  </r>
  <r>
    <x v="30"/>
    <x v="30"/>
    <x v="71"/>
    <x v="71"/>
    <n v="-62448315"/>
    <n v="0"/>
    <n v="0"/>
    <n v="0"/>
    <n v="-62448315"/>
  </r>
  <r>
    <x v="31"/>
    <x v="31"/>
    <x v="71"/>
    <x v="71"/>
    <n v="-166461222"/>
    <n v="0"/>
    <n v="0"/>
    <n v="0"/>
    <n v="-166461222"/>
  </r>
  <r>
    <x v="32"/>
    <x v="32"/>
    <x v="71"/>
    <x v="71"/>
    <n v="-2272390"/>
    <n v="0"/>
    <n v="0"/>
    <n v="0"/>
    <n v="-2272390"/>
  </r>
  <r>
    <x v="33"/>
    <x v="33"/>
    <x v="71"/>
    <x v="71"/>
    <n v="-77561476"/>
    <n v="0"/>
    <n v="0"/>
    <n v="0"/>
    <n v="-77561476"/>
  </r>
  <r>
    <x v="34"/>
    <x v="34"/>
    <x v="71"/>
    <x v="71"/>
    <n v="-606077811"/>
    <n v="0"/>
    <n v="0"/>
    <n v="0"/>
    <n v="-606077811"/>
  </r>
  <r>
    <x v="35"/>
    <x v="35"/>
    <x v="71"/>
    <x v="71"/>
    <n v="-683456919"/>
    <n v="0"/>
    <n v="0"/>
    <n v="0"/>
    <n v="-683456919"/>
  </r>
  <r>
    <x v="36"/>
    <x v="36"/>
    <x v="71"/>
    <x v="71"/>
    <n v="-378158131"/>
    <n v="0"/>
    <n v="0"/>
    <n v="0"/>
    <n v="-378158131"/>
  </r>
  <r>
    <x v="37"/>
    <x v="37"/>
    <x v="71"/>
    <x v="71"/>
    <n v="-577672991"/>
    <n v="0"/>
    <n v="0"/>
    <n v="0"/>
    <n v="-577672991"/>
  </r>
  <r>
    <x v="38"/>
    <x v="38"/>
    <x v="71"/>
    <x v="71"/>
    <n v="-2048258372"/>
    <n v="0"/>
    <n v="0"/>
    <n v="0"/>
    <n v="-2048258372"/>
  </r>
  <r>
    <x v="39"/>
    <x v="39"/>
    <x v="71"/>
    <x v="71"/>
    <n v="-455890940"/>
    <n v="0"/>
    <n v="0"/>
    <n v="0"/>
    <n v="-455890940"/>
  </r>
  <r>
    <x v="40"/>
    <x v="40"/>
    <x v="71"/>
    <x v="71"/>
    <n v="-69828366"/>
    <n v="0"/>
    <n v="0"/>
    <n v="0"/>
    <n v="-69828366"/>
  </r>
  <r>
    <x v="41"/>
    <x v="41"/>
    <x v="71"/>
    <x v="71"/>
    <n v="-64863839"/>
    <n v="0"/>
    <n v="0"/>
    <n v="0"/>
    <n v="-64863839"/>
  </r>
  <r>
    <x v="42"/>
    <x v="42"/>
    <x v="71"/>
    <x v="71"/>
    <n v="-23122978"/>
    <n v="0"/>
    <n v="0"/>
    <n v="0"/>
    <n v="-23122978"/>
  </r>
  <r>
    <x v="43"/>
    <x v="43"/>
    <x v="71"/>
    <x v="71"/>
    <n v="-391997376"/>
    <n v="0"/>
    <n v="0"/>
    <n v="0"/>
    <n v="-391997376"/>
  </r>
  <r>
    <x v="44"/>
    <x v="44"/>
    <x v="71"/>
    <x v="71"/>
    <n v="-142248466"/>
    <n v="0"/>
    <n v="0"/>
    <n v="0"/>
    <n v="-142248466"/>
  </r>
  <r>
    <x v="45"/>
    <x v="45"/>
    <x v="71"/>
    <x v="71"/>
    <n v="0"/>
    <n v="0"/>
    <n v="0"/>
    <n v="0"/>
    <n v="0"/>
  </r>
  <r>
    <x v="46"/>
    <x v="46"/>
    <x v="71"/>
    <x v="71"/>
    <n v="0"/>
    <n v="0"/>
    <n v="0"/>
    <n v="0"/>
    <n v="0"/>
  </r>
  <r>
    <x v="47"/>
    <x v="47"/>
    <x v="71"/>
    <x v="71"/>
    <n v="0"/>
    <n v="0"/>
    <n v="0"/>
    <n v="0"/>
    <n v="0"/>
  </r>
  <r>
    <x v="48"/>
    <x v="48"/>
    <x v="71"/>
    <x v="71"/>
    <n v="0"/>
    <n v="0"/>
    <n v="0"/>
    <n v="0"/>
    <n v="0"/>
  </r>
  <r>
    <x v="49"/>
    <x v="49"/>
    <x v="71"/>
    <x v="71"/>
    <n v="-65700431"/>
    <n v="0"/>
    <n v="0"/>
    <n v="0"/>
    <n v="-65700431"/>
  </r>
  <r>
    <x v="50"/>
    <x v="50"/>
    <x v="71"/>
    <x v="71"/>
    <n v="-117143924"/>
    <n v="0"/>
    <n v="0"/>
    <n v="0"/>
    <n v="-117143924"/>
  </r>
  <r>
    <x v="51"/>
    <x v="51"/>
    <x v="71"/>
    <x v="71"/>
    <n v="-55188867"/>
    <n v="0"/>
    <n v="0"/>
    <n v="0"/>
    <n v="-55188867"/>
  </r>
  <r>
    <x v="52"/>
    <x v="52"/>
    <x v="71"/>
    <x v="71"/>
    <n v="-81709813"/>
    <n v="0"/>
    <n v="0"/>
    <n v="0"/>
    <n v="-81709813"/>
  </r>
  <r>
    <x v="53"/>
    <x v="53"/>
    <x v="71"/>
    <x v="71"/>
    <n v="-101724443"/>
    <n v="0"/>
    <n v="0"/>
    <n v="0"/>
    <n v="-101724443"/>
  </r>
  <r>
    <x v="54"/>
    <x v="54"/>
    <x v="71"/>
    <x v="71"/>
    <n v="-318173520"/>
    <n v="0"/>
    <n v="0"/>
    <n v="0"/>
    <n v="-318173520"/>
  </r>
  <r>
    <x v="55"/>
    <x v="55"/>
    <x v="71"/>
    <x v="71"/>
    <n v="-86220627"/>
    <n v="0"/>
    <n v="0"/>
    <n v="0"/>
    <n v="-86220627"/>
  </r>
  <r>
    <x v="56"/>
    <x v="56"/>
    <x v="71"/>
    <x v="71"/>
    <n v="-16876564"/>
    <n v="0"/>
    <n v="0"/>
    <n v="0"/>
    <n v="-16876564"/>
  </r>
  <r>
    <x v="57"/>
    <x v="57"/>
    <x v="71"/>
    <x v="71"/>
    <n v="-21911156"/>
    <n v="0"/>
    <n v="0"/>
    <n v="0"/>
    <n v="-21911156"/>
  </r>
  <r>
    <x v="58"/>
    <x v="58"/>
    <x v="71"/>
    <x v="71"/>
    <n v="-10046718641"/>
    <n v="0"/>
    <n v="0"/>
    <n v="0"/>
    <n v="-10046718641"/>
  </r>
  <r>
    <x v="0"/>
    <x v="0"/>
    <x v="72"/>
    <x v="72"/>
    <n v="-10756134"/>
    <n v="-10756134"/>
    <n v="0"/>
    <n v="0"/>
    <n v="0"/>
  </r>
  <r>
    <x v="1"/>
    <x v="1"/>
    <x v="72"/>
    <x v="72"/>
    <n v="-2251541"/>
    <n v="-2251541"/>
    <n v="0"/>
    <n v="0"/>
    <n v="0"/>
  </r>
  <r>
    <x v="2"/>
    <x v="2"/>
    <x v="72"/>
    <x v="72"/>
    <n v="-2122820"/>
    <n v="-2122820"/>
    <n v="0"/>
    <n v="0"/>
    <n v="0"/>
  </r>
  <r>
    <x v="3"/>
    <x v="3"/>
    <x v="72"/>
    <x v="72"/>
    <n v="-1122621"/>
    <n v="-1122621"/>
    <n v="0"/>
    <n v="0"/>
    <n v="0"/>
  </r>
  <r>
    <x v="4"/>
    <x v="4"/>
    <x v="72"/>
    <x v="72"/>
    <n v="-114494467"/>
    <n v="-114494467"/>
    <n v="0"/>
    <n v="0"/>
    <n v="0"/>
  </r>
  <r>
    <x v="5"/>
    <x v="5"/>
    <x v="72"/>
    <x v="72"/>
    <n v="-3338345"/>
    <n v="-3338345"/>
    <n v="0"/>
    <n v="0"/>
    <n v="0"/>
  </r>
  <r>
    <x v="6"/>
    <x v="6"/>
    <x v="72"/>
    <x v="72"/>
    <n v="-13165354"/>
    <n v="-13165354"/>
    <n v="0"/>
    <n v="0"/>
    <n v="0"/>
  </r>
  <r>
    <x v="7"/>
    <x v="7"/>
    <x v="72"/>
    <x v="72"/>
    <n v="-14993310"/>
    <n v="-14993310"/>
    <n v="0"/>
    <n v="0"/>
    <n v="0"/>
  </r>
  <r>
    <x v="8"/>
    <x v="8"/>
    <x v="72"/>
    <x v="72"/>
    <n v="-36985660"/>
    <n v="-36985660"/>
    <n v="0"/>
    <n v="0"/>
    <n v="0"/>
  </r>
  <r>
    <x v="9"/>
    <x v="9"/>
    <x v="72"/>
    <x v="72"/>
    <n v="-4021847"/>
    <n v="-4021847"/>
    <n v="0"/>
    <n v="0"/>
    <n v="0"/>
  </r>
  <r>
    <x v="10"/>
    <x v="10"/>
    <x v="72"/>
    <x v="72"/>
    <n v="-31308028"/>
    <n v="-31308028"/>
    <n v="0"/>
    <n v="0"/>
    <n v="0"/>
  </r>
  <r>
    <x v="11"/>
    <x v="11"/>
    <x v="72"/>
    <x v="72"/>
    <n v="-877229"/>
    <n v="-877229"/>
    <n v="0"/>
    <n v="0"/>
    <n v="0"/>
  </r>
  <r>
    <x v="12"/>
    <x v="12"/>
    <x v="72"/>
    <x v="72"/>
    <n v="-1297161"/>
    <n v="-1297161"/>
    <n v="0"/>
    <n v="0"/>
    <n v="0"/>
  </r>
  <r>
    <x v="13"/>
    <x v="13"/>
    <x v="72"/>
    <x v="72"/>
    <n v="-9157107"/>
    <n v="-9157107"/>
    <n v="0"/>
    <n v="0"/>
    <n v="0"/>
  </r>
  <r>
    <x v="14"/>
    <x v="14"/>
    <x v="72"/>
    <x v="72"/>
    <n v="-13084995"/>
    <n v="-13084995"/>
    <n v="0"/>
    <n v="0"/>
    <n v="0"/>
  </r>
  <r>
    <x v="15"/>
    <x v="15"/>
    <x v="72"/>
    <x v="72"/>
    <n v="-39816180"/>
    <n v="-39816180"/>
    <n v="0"/>
    <n v="0"/>
    <n v="0"/>
  </r>
  <r>
    <x v="16"/>
    <x v="16"/>
    <x v="72"/>
    <x v="72"/>
    <n v="-36096656"/>
    <n v="-36096656"/>
    <n v="0"/>
    <n v="0"/>
    <n v="0"/>
  </r>
  <r>
    <x v="17"/>
    <x v="17"/>
    <x v="72"/>
    <x v="72"/>
    <n v="-5296688"/>
    <n v="-5296688"/>
    <n v="0"/>
    <n v="0"/>
    <n v="0"/>
  </r>
  <r>
    <x v="18"/>
    <x v="18"/>
    <x v="72"/>
    <x v="72"/>
    <n v="-25110643"/>
    <n v="-25110643"/>
    <n v="0"/>
    <n v="0"/>
    <n v="0"/>
  </r>
  <r>
    <x v="19"/>
    <x v="19"/>
    <x v="72"/>
    <x v="72"/>
    <n v="-8690674"/>
    <n v="-8690674"/>
    <n v="0"/>
    <n v="0"/>
    <n v="0"/>
  </r>
  <r>
    <x v="20"/>
    <x v="20"/>
    <x v="72"/>
    <x v="72"/>
    <n v="-41800787"/>
    <n v="-41800787"/>
    <n v="0"/>
    <n v="0"/>
    <n v="0"/>
  </r>
  <r>
    <x v="21"/>
    <x v="21"/>
    <x v="72"/>
    <x v="72"/>
    <n v="-4814026"/>
    <n v="-4814026"/>
    <n v="0"/>
    <n v="0"/>
    <n v="0"/>
  </r>
  <r>
    <x v="22"/>
    <x v="22"/>
    <x v="72"/>
    <x v="72"/>
    <n v="-27553924"/>
    <n v="-27553924"/>
    <n v="0"/>
    <n v="0"/>
    <n v="0"/>
  </r>
  <r>
    <x v="23"/>
    <x v="23"/>
    <x v="72"/>
    <x v="72"/>
    <n v="-26922463"/>
    <n v="-26922463"/>
    <n v="0"/>
    <n v="0"/>
    <n v="0"/>
  </r>
  <r>
    <x v="24"/>
    <x v="24"/>
    <x v="72"/>
    <x v="72"/>
    <n v="-30012818"/>
    <n v="-30012818"/>
    <n v="0"/>
    <n v="0"/>
    <n v="0"/>
  </r>
  <r>
    <x v="25"/>
    <x v="25"/>
    <x v="72"/>
    <x v="72"/>
    <n v="-9395166"/>
    <n v="-9395166"/>
    <n v="0"/>
    <n v="0"/>
    <n v="0"/>
  </r>
  <r>
    <x v="26"/>
    <x v="26"/>
    <x v="72"/>
    <x v="72"/>
    <n v="-160445953"/>
    <n v="-160445953"/>
    <n v="0"/>
    <n v="0"/>
    <n v="0"/>
  </r>
  <r>
    <x v="27"/>
    <x v="27"/>
    <x v="72"/>
    <x v="72"/>
    <n v="-25406707"/>
    <n v="-25406707"/>
    <n v="0"/>
    <n v="0"/>
    <n v="0"/>
  </r>
  <r>
    <x v="28"/>
    <x v="28"/>
    <x v="72"/>
    <x v="72"/>
    <n v="-115310141"/>
    <n v="-115310141"/>
    <n v="0"/>
    <n v="0"/>
    <n v="0"/>
  </r>
  <r>
    <x v="29"/>
    <x v="29"/>
    <x v="72"/>
    <x v="72"/>
    <n v="-91155724"/>
    <n v="-91155724"/>
    <n v="0"/>
    <n v="0"/>
    <n v="0"/>
  </r>
  <r>
    <x v="30"/>
    <x v="30"/>
    <x v="72"/>
    <x v="72"/>
    <n v="-47807100"/>
    <n v="-47807100"/>
    <n v="0"/>
    <n v="0"/>
    <n v="0"/>
  </r>
  <r>
    <x v="31"/>
    <x v="31"/>
    <x v="72"/>
    <x v="72"/>
    <n v="-29728449"/>
    <n v="-29728449"/>
    <n v="0"/>
    <n v="0"/>
    <n v="0"/>
  </r>
  <r>
    <x v="32"/>
    <x v="32"/>
    <x v="72"/>
    <x v="72"/>
    <n v="-13607989"/>
    <n v="-13607989"/>
    <n v="0"/>
    <n v="0"/>
    <n v="0"/>
  </r>
  <r>
    <x v="33"/>
    <x v="33"/>
    <x v="72"/>
    <x v="72"/>
    <n v="-27842213"/>
    <n v="-27842213"/>
    <n v="0"/>
    <n v="0"/>
    <n v="0"/>
  </r>
  <r>
    <x v="34"/>
    <x v="34"/>
    <x v="72"/>
    <x v="72"/>
    <n v="-39355111"/>
    <n v="-39355111"/>
    <n v="0"/>
    <n v="0"/>
    <n v="0"/>
  </r>
  <r>
    <x v="35"/>
    <x v="35"/>
    <x v="72"/>
    <x v="72"/>
    <n v="-39762234"/>
    <n v="-39762234"/>
    <n v="0"/>
    <n v="0"/>
    <n v="0"/>
  </r>
  <r>
    <x v="36"/>
    <x v="36"/>
    <x v="72"/>
    <x v="72"/>
    <n v="-20892489"/>
    <n v="-20892489"/>
    <n v="0"/>
    <n v="0"/>
    <n v="0"/>
  </r>
  <r>
    <x v="37"/>
    <x v="37"/>
    <x v="72"/>
    <x v="72"/>
    <n v="-102624075"/>
    <n v="-102624075"/>
    <n v="0"/>
    <n v="0"/>
    <n v="0"/>
  </r>
  <r>
    <x v="38"/>
    <x v="38"/>
    <x v="72"/>
    <x v="72"/>
    <n v="-303621563"/>
    <n v="-303621563"/>
    <n v="0"/>
    <n v="0"/>
    <n v="0"/>
  </r>
  <r>
    <x v="39"/>
    <x v="39"/>
    <x v="72"/>
    <x v="72"/>
    <n v="-160472892"/>
    <n v="-160472892"/>
    <n v="0"/>
    <n v="0"/>
    <n v="0"/>
  </r>
  <r>
    <x v="40"/>
    <x v="40"/>
    <x v="72"/>
    <x v="72"/>
    <n v="-7145384"/>
    <n v="-7145384"/>
    <n v="0"/>
    <n v="0"/>
    <n v="0"/>
  </r>
  <r>
    <x v="41"/>
    <x v="41"/>
    <x v="72"/>
    <x v="72"/>
    <n v="-10045245"/>
    <n v="-10045245"/>
    <n v="0"/>
    <n v="0"/>
    <n v="0"/>
  </r>
  <r>
    <x v="42"/>
    <x v="42"/>
    <x v="72"/>
    <x v="72"/>
    <n v="-28799344"/>
    <n v="-28799344"/>
    <n v="0"/>
    <n v="0"/>
    <n v="0"/>
  </r>
  <r>
    <x v="43"/>
    <x v="43"/>
    <x v="72"/>
    <x v="72"/>
    <n v="-96610091"/>
    <n v="-96610091"/>
    <n v="0"/>
    <n v="0"/>
    <n v="0"/>
  </r>
  <r>
    <x v="44"/>
    <x v="44"/>
    <x v="72"/>
    <x v="72"/>
    <n v="-5223352"/>
    <n v="-5223352"/>
    <n v="0"/>
    <n v="0"/>
    <n v="0"/>
  </r>
  <r>
    <x v="45"/>
    <x v="45"/>
    <x v="72"/>
    <x v="72"/>
    <n v="0"/>
    <n v="0"/>
    <n v="0"/>
    <n v="0"/>
    <n v="0"/>
  </r>
  <r>
    <x v="46"/>
    <x v="46"/>
    <x v="72"/>
    <x v="72"/>
    <n v="0"/>
    <n v="0"/>
    <n v="0"/>
    <n v="0"/>
    <n v="0"/>
  </r>
  <r>
    <x v="47"/>
    <x v="47"/>
    <x v="72"/>
    <x v="72"/>
    <n v="0"/>
    <n v="0"/>
    <n v="0"/>
    <n v="0"/>
    <n v="0"/>
  </r>
  <r>
    <x v="48"/>
    <x v="48"/>
    <x v="72"/>
    <x v="72"/>
    <n v="1840342700"/>
    <n v="1840342700"/>
    <n v="0"/>
    <n v="0"/>
    <n v="0"/>
  </r>
  <r>
    <x v="49"/>
    <x v="49"/>
    <x v="72"/>
    <x v="72"/>
    <n v="0"/>
    <n v="0"/>
    <n v="0"/>
    <n v="0"/>
    <n v="0"/>
  </r>
  <r>
    <x v="50"/>
    <x v="50"/>
    <x v="72"/>
    <x v="72"/>
    <n v="0"/>
    <n v="0"/>
    <n v="0"/>
    <n v="0"/>
    <n v="0"/>
  </r>
  <r>
    <x v="51"/>
    <x v="51"/>
    <x v="72"/>
    <x v="72"/>
    <n v="0"/>
    <n v="0"/>
    <n v="0"/>
    <n v="0"/>
    <n v="0"/>
  </r>
  <r>
    <x v="52"/>
    <x v="52"/>
    <x v="72"/>
    <x v="72"/>
    <n v="0"/>
    <n v="0"/>
    <n v="0"/>
    <n v="0"/>
    <n v="0"/>
  </r>
  <r>
    <x v="53"/>
    <x v="53"/>
    <x v="72"/>
    <x v="72"/>
    <n v="0"/>
    <n v="0"/>
    <n v="0"/>
    <n v="0"/>
    <n v="0"/>
  </r>
  <r>
    <x v="54"/>
    <x v="54"/>
    <x v="72"/>
    <x v="72"/>
    <n v="0"/>
    <n v="0"/>
    <n v="0"/>
    <n v="0"/>
    <n v="0"/>
  </r>
  <r>
    <x v="55"/>
    <x v="55"/>
    <x v="72"/>
    <x v="72"/>
    <n v="0"/>
    <n v="0"/>
    <n v="0"/>
    <n v="0"/>
    <n v="0"/>
  </r>
  <r>
    <x v="56"/>
    <x v="56"/>
    <x v="72"/>
    <x v="72"/>
    <n v="0"/>
    <n v="0"/>
    <n v="0"/>
    <n v="0"/>
    <n v="0"/>
  </r>
  <r>
    <x v="57"/>
    <x v="57"/>
    <x v="72"/>
    <x v="72"/>
    <n v="0"/>
    <n v="0"/>
    <n v="0"/>
    <n v="0"/>
    <n v="0"/>
  </r>
  <r>
    <x v="58"/>
    <x v="58"/>
    <x v="72"/>
    <x v="72"/>
    <n v="0"/>
    <n v="0"/>
    <n v="0"/>
    <n v="0"/>
    <n v="0"/>
  </r>
  <r>
    <x v="0"/>
    <x v="0"/>
    <x v="73"/>
    <x v="73"/>
    <n v="-676903"/>
    <n v="0"/>
    <n v="-676903"/>
    <n v="0"/>
    <n v="0"/>
  </r>
  <r>
    <x v="1"/>
    <x v="1"/>
    <x v="73"/>
    <x v="73"/>
    <n v="-555919"/>
    <n v="0"/>
    <n v="-555919"/>
    <n v="0"/>
    <n v="0"/>
  </r>
  <r>
    <x v="2"/>
    <x v="2"/>
    <x v="73"/>
    <x v="73"/>
    <n v="-174398"/>
    <n v="0"/>
    <n v="-174398"/>
    <n v="0"/>
    <n v="0"/>
  </r>
  <r>
    <x v="3"/>
    <x v="3"/>
    <x v="73"/>
    <x v="73"/>
    <n v="-949787"/>
    <n v="0"/>
    <n v="-949787"/>
    <n v="0"/>
    <n v="0"/>
  </r>
  <r>
    <x v="4"/>
    <x v="4"/>
    <x v="73"/>
    <x v="73"/>
    <n v="-139827431"/>
    <n v="0"/>
    <n v="-139827431"/>
    <n v="0"/>
    <n v="0"/>
  </r>
  <r>
    <x v="5"/>
    <x v="5"/>
    <x v="73"/>
    <x v="73"/>
    <n v="-1849"/>
    <n v="0"/>
    <n v="-1849"/>
    <n v="0"/>
    <n v="0"/>
  </r>
  <r>
    <x v="6"/>
    <x v="6"/>
    <x v="73"/>
    <x v="73"/>
    <n v="0"/>
    <n v="0"/>
    <n v="0"/>
    <n v="0"/>
    <n v="0"/>
  </r>
  <r>
    <x v="7"/>
    <x v="7"/>
    <x v="73"/>
    <x v="73"/>
    <n v="-8180463"/>
    <n v="0"/>
    <n v="-8180463"/>
    <n v="0"/>
    <n v="0"/>
  </r>
  <r>
    <x v="8"/>
    <x v="8"/>
    <x v="73"/>
    <x v="73"/>
    <n v="-4414998"/>
    <n v="0"/>
    <n v="-4414998"/>
    <n v="0"/>
    <n v="0"/>
  </r>
  <r>
    <x v="9"/>
    <x v="9"/>
    <x v="73"/>
    <x v="73"/>
    <n v="-1697316"/>
    <n v="0"/>
    <n v="-1697316"/>
    <n v="0"/>
    <n v="0"/>
  </r>
  <r>
    <x v="10"/>
    <x v="10"/>
    <x v="73"/>
    <x v="73"/>
    <n v="-31178009"/>
    <n v="0"/>
    <n v="-31178009"/>
    <n v="0"/>
    <n v="0"/>
  </r>
  <r>
    <x v="11"/>
    <x v="11"/>
    <x v="73"/>
    <x v="73"/>
    <n v="0"/>
    <n v="0"/>
    <n v="0"/>
    <n v="0"/>
    <n v="0"/>
  </r>
  <r>
    <x v="12"/>
    <x v="12"/>
    <x v="73"/>
    <x v="73"/>
    <n v="0"/>
    <n v="0"/>
    <n v="0"/>
    <n v="0"/>
    <n v="0"/>
  </r>
  <r>
    <x v="13"/>
    <x v="13"/>
    <x v="73"/>
    <x v="73"/>
    <n v="-1920783"/>
    <n v="0"/>
    <n v="-1920783"/>
    <n v="0"/>
    <n v="0"/>
  </r>
  <r>
    <x v="14"/>
    <x v="14"/>
    <x v="73"/>
    <x v="73"/>
    <n v="-21152829"/>
    <n v="0"/>
    <n v="-21152829"/>
    <n v="0"/>
    <n v="0"/>
  </r>
  <r>
    <x v="15"/>
    <x v="15"/>
    <x v="73"/>
    <x v="73"/>
    <n v="-34044951"/>
    <n v="0"/>
    <n v="-34044951"/>
    <n v="0"/>
    <n v="0"/>
  </r>
  <r>
    <x v="16"/>
    <x v="16"/>
    <x v="73"/>
    <x v="73"/>
    <n v="-39116970"/>
    <n v="0"/>
    <n v="-39116970"/>
    <n v="0"/>
    <n v="0"/>
  </r>
  <r>
    <x v="17"/>
    <x v="17"/>
    <x v="73"/>
    <x v="73"/>
    <n v="-4788649"/>
    <n v="0"/>
    <n v="-4788649"/>
    <n v="0"/>
    <n v="0"/>
  </r>
  <r>
    <x v="18"/>
    <x v="18"/>
    <x v="73"/>
    <x v="73"/>
    <n v="-24109300"/>
    <n v="0"/>
    <n v="-24109300"/>
    <n v="0"/>
    <n v="0"/>
  </r>
  <r>
    <x v="19"/>
    <x v="19"/>
    <x v="73"/>
    <x v="73"/>
    <n v="-7305285"/>
    <n v="0"/>
    <n v="-7305285"/>
    <n v="0"/>
    <n v="0"/>
  </r>
  <r>
    <x v="20"/>
    <x v="20"/>
    <x v="73"/>
    <x v="73"/>
    <n v="-38776919"/>
    <n v="0"/>
    <n v="-38776919"/>
    <n v="0"/>
    <n v="0"/>
  </r>
  <r>
    <x v="21"/>
    <x v="21"/>
    <x v="73"/>
    <x v="73"/>
    <n v="-5310511"/>
    <n v="0"/>
    <n v="-5310511"/>
    <n v="0"/>
    <n v="0"/>
  </r>
  <r>
    <x v="22"/>
    <x v="22"/>
    <x v="73"/>
    <x v="73"/>
    <n v="-13813345"/>
    <n v="0"/>
    <n v="-13813345"/>
    <n v="0"/>
    <n v="0"/>
  </r>
  <r>
    <x v="23"/>
    <x v="23"/>
    <x v="73"/>
    <x v="73"/>
    <n v="-33332153"/>
    <n v="0"/>
    <n v="-33332153"/>
    <n v="0"/>
    <n v="0"/>
  </r>
  <r>
    <x v="24"/>
    <x v="24"/>
    <x v="73"/>
    <x v="73"/>
    <n v="-17781873"/>
    <n v="0"/>
    <n v="-17781873"/>
    <n v="0"/>
    <n v="0"/>
  </r>
  <r>
    <x v="25"/>
    <x v="25"/>
    <x v="73"/>
    <x v="73"/>
    <n v="-15207647"/>
    <n v="0"/>
    <n v="-15207647"/>
    <n v="0"/>
    <n v="0"/>
  </r>
  <r>
    <x v="26"/>
    <x v="26"/>
    <x v="73"/>
    <x v="73"/>
    <n v="-39163725"/>
    <n v="0"/>
    <n v="-39163725"/>
    <n v="0"/>
    <n v="0"/>
  </r>
  <r>
    <x v="27"/>
    <x v="27"/>
    <x v="73"/>
    <x v="73"/>
    <n v="-21075109"/>
    <n v="0"/>
    <n v="-21075109"/>
    <n v="0"/>
    <n v="0"/>
  </r>
  <r>
    <x v="28"/>
    <x v="28"/>
    <x v="73"/>
    <x v="73"/>
    <n v="-117133478"/>
    <n v="0"/>
    <n v="-117133478"/>
    <n v="0"/>
    <n v="0"/>
  </r>
  <r>
    <x v="29"/>
    <x v="29"/>
    <x v="73"/>
    <x v="73"/>
    <n v="-86904200"/>
    <n v="0"/>
    <n v="-86904200"/>
    <n v="0"/>
    <n v="0"/>
  </r>
  <r>
    <x v="30"/>
    <x v="30"/>
    <x v="73"/>
    <x v="73"/>
    <n v="-20352697"/>
    <n v="0"/>
    <n v="-20352697"/>
    <n v="0"/>
    <n v="0"/>
  </r>
  <r>
    <x v="31"/>
    <x v="31"/>
    <x v="73"/>
    <x v="73"/>
    <n v="-24963693"/>
    <n v="0"/>
    <n v="-24963693"/>
    <n v="0"/>
    <n v="0"/>
  </r>
  <r>
    <x v="32"/>
    <x v="32"/>
    <x v="73"/>
    <x v="73"/>
    <n v="-11373117"/>
    <n v="0"/>
    <n v="-11373117"/>
    <n v="0"/>
    <n v="0"/>
  </r>
  <r>
    <x v="33"/>
    <x v="33"/>
    <x v="73"/>
    <x v="73"/>
    <n v="-20112761"/>
    <n v="0"/>
    <n v="-20112761"/>
    <n v="0"/>
    <n v="0"/>
  </r>
  <r>
    <x v="34"/>
    <x v="34"/>
    <x v="73"/>
    <x v="73"/>
    <n v="-30488443"/>
    <n v="0"/>
    <n v="-30488443"/>
    <n v="0"/>
    <n v="0"/>
  </r>
  <r>
    <x v="35"/>
    <x v="35"/>
    <x v="73"/>
    <x v="73"/>
    <n v="-17618090"/>
    <n v="0"/>
    <n v="-17618090"/>
    <n v="0"/>
    <n v="0"/>
  </r>
  <r>
    <x v="36"/>
    <x v="36"/>
    <x v="73"/>
    <x v="73"/>
    <n v="-29468338"/>
    <n v="0"/>
    <n v="-29468338"/>
    <n v="0"/>
    <n v="0"/>
  </r>
  <r>
    <x v="37"/>
    <x v="37"/>
    <x v="73"/>
    <x v="73"/>
    <n v="-37200798"/>
    <n v="0"/>
    <n v="-37200798"/>
    <n v="0"/>
    <n v="0"/>
  </r>
  <r>
    <x v="38"/>
    <x v="38"/>
    <x v="73"/>
    <x v="73"/>
    <n v="-226256260"/>
    <n v="0"/>
    <n v="-226256260"/>
    <n v="0"/>
    <n v="0"/>
  </r>
  <r>
    <x v="39"/>
    <x v="39"/>
    <x v="73"/>
    <x v="73"/>
    <n v="-157814937"/>
    <n v="0"/>
    <n v="-157814937"/>
    <n v="0"/>
    <n v="0"/>
  </r>
  <r>
    <x v="40"/>
    <x v="40"/>
    <x v="73"/>
    <x v="73"/>
    <n v="-990883"/>
    <n v="0"/>
    <n v="-990883"/>
    <n v="0"/>
    <n v="0"/>
  </r>
  <r>
    <x v="41"/>
    <x v="41"/>
    <x v="73"/>
    <x v="73"/>
    <n v="-9326243"/>
    <n v="0"/>
    <n v="-9326243"/>
    <n v="0"/>
    <n v="0"/>
  </r>
  <r>
    <x v="42"/>
    <x v="42"/>
    <x v="73"/>
    <x v="73"/>
    <n v="-22976201"/>
    <n v="0"/>
    <n v="-22976201"/>
    <n v="0"/>
    <n v="0"/>
  </r>
  <r>
    <x v="43"/>
    <x v="43"/>
    <x v="73"/>
    <x v="73"/>
    <n v="-109460565"/>
    <n v="0"/>
    <n v="-109460565"/>
    <n v="0"/>
    <n v="0"/>
  </r>
  <r>
    <x v="44"/>
    <x v="44"/>
    <x v="73"/>
    <x v="73"/>
    <n v="-7959250"/>
    <n v="0"/>
    <n v="-7959250"/>
    <n v="0"/>
    <n v="0"/>
  </r>
  <r>
    <x v="45"/>
    <x v="45"/>
    <x v="73"/>
    <x v="73"/>
    <n v="0"/>
    <n v="0"/>
    <n v="0"/>
    <n v="0"/>
    <n v="0"/>
  </r>
  <r>
    <x v="46"/>
    <x v="46"/>
    <x v="73"/>
    <x v="73"/>
    <n v="0"/>
    <n v="0"/>
    <n v="0"/>
    <n v="0"/>
    <n v="0"/>
  </r>
  <r>
    <x v="47"/>
    <x v="47"/>
    <x v="73"/>
    <x v="73"/>
    <n v="0"/>
    <n v="0"/>
    <n v="0"/>
    <n v="0"/>
    <n v="0"/>
  </r>
  <r>
    <x v="48"/>
    <x v="48"/>
    <x v="73"/>
    <x v="73"/>
    <n v="1434957076"/>
    <n v="0"/>
    <n v="1434957076"/>
    <n v="0"/>
    <n v="0"/>
  </r>
  <r>
    <x v="49"/>
    <x v="49"/>
    <x v="73"/>
    <x v="73"/>
    <n v="0"/>
    <n v="0"/>
    <n v="0"/>
    <n v="0"/>
    <n v="0"/>
  </r>
  <r>
    <x v="50"/>
    <x v="50"/>
    <x v="73"/>
    <x v="73"/>
    <n v="0"/>
    <n v="0"/>
    <n v="0"/>
    <n v="0"/>
    <n v="0"/>
  </r>
  <r>
    <x v="51"/>
    <x v="51"/>
    <x v="73"/>
    <x v="73"/>
    <n v="0"/>
    <n v="0"/>
    <n v="0"/>
    <n v="0"/>
    <n v="0"/>
  </r>
  <r>
    <x v="52"/>
    <x v="52"/>
    <x v="73"/>
    <x v="73"/>
    <n v="0"/>
    <n v="0"/>
    <n v="0"/>
    <n v="0"/>
    <n v="0"/>
  </r>
  <r>
    <x v="53"/>
    <x v="53"/>
    <x v="73"/>
    <x v="73"/>
    <n v="0"/>
    <n v="0"/>
    <n v="0"/>
    <n v="0"/>
    <n v="0"/>
  </r>
  <r>
    <x v="54"/>
    <x v="54"/>
    <x v="73"/>
    <x v="73"/>
    <n v="0"/>
    <n v="0"/>
    <n v="0"/>
    <n v="0"/>
    <n v="0"/>
  </r>
  <r>
    <x v="55"/>
    <x v="55"/>
    <x v="73"/>
    <x v="73"/>
    <n v="0"/>
    <n v="0"/>
    <n v="0"/>
    <n v="0"/>
    <n v="0"/>
  </r>
  <r>
    <x v="56"/>
    <x v="56"/>
    <x v="73"/>
    <x v="73"/>
    <n v="0"/>
    <n v="0"/>
    <n v="0"/>
    <n v="0"/>
    <n v="0"/>
  </r>
  <r>
    <x v="57"/>
    <x v="57"/>
    <x v="73"/>
    <x v="73"/>
    <n v="0"/>
    <n v="0"/>
    <n v="0"/>
    <n v="0"/>
    <n v="0"/>
  </r>
  <r>
    <x v="58"/>
    <x v="58"/>
    <x v="73"/>
    <x v="73"/>
    <n v="0"/>
    <n v="0"/>
    <n v="0"/>
    <n v="0"/>
    <n v="0"/>
  </r>
  <r>
    <x v="0"/>
    <x v="0"/>
    <x v="74"/>
    <x v="74"/>
    <n v="-1876161"/>
    <n v="0"/>
    <n v="0"/>
    <n v="-1876161"/>
    <n v="0"/>
  </r>
  <r>
    <x v="1"/>
    <x v="1"/>
    <x v="74"/>
    <x v="74"/>
    <n v="-480603"/>
    <n v="0"/>
    <n v="0"/>
    <n v="-480603"/>
    <n v="0"/>
  </r>
  <r>
    <x v="2"/>
    <x v="2"/>
    <x v="74"/>
    <x v="74"/>
    <n v="-520955"/>
    <n v="0"/>
    <n v="0"/>
    <n v="-520955"/>
    <n v="0"/>
  </r>
  <r>
    <x v="3"/>
    <x v="3"/>
    <x v="74"/>
    <x v="74"/>
    <n v="-76695"/>
    <n v="0"/>
    <n v="0"/>
    <n v="-76695"/>
    <n v="0"/>
  </r>
  <r>
    <x v="4"/>
    <x v="4"/>
    <x v="74"/>
    <x v="74"/>
    <n v="-15436605"/>
    <n v="0"/>
    <n v="0"/>
    <n v="-15436605"/>
    <n v="0"/>
  </r>
  <r>
    <x v="5"/>
    <x v="5"/>
    <x v="74"/>
    <x v="74"/>
    <n v="-2252169"/>
    <n v="0"/>
    <n v="0"/>
    <n v="-2252169"/>
    <n v="0"/>
  </r>
  <r>
    <x v="6"/>
    <x v="6"/>
    <x v="74"/>
    <x v="74"/>
    <n v="-1416395"/>
    <n v="0"/>
    <n v="0"/>
    <n v="-1416395"/>
    <n v="0"/>
  </r>
  <r>
    <x v="7"/>
    <x v="7"/>
    <x v="74"/>
    <x v="74"/>
    <n v="-3058595"/>
    <n v="0"/>
    <n v="0"/>
    <n v="-3058595"/>
    <n v="0"/>
  </r>
  <r>
    <x v="8"/>
    <x v="8"/>
    <x v="74"/>
    <x v="74"/>
    <n v="-2394924"/>
    <n v="0"/>
    <n v="0"/>
    <n v="-2394924"/>
    <n v="0"/>
  </r>
  <r>
    <x v="9"/>
    <x v="9"/>
    <x v="74"/>
    <x v="74"/>
    <n v="-479105"/>
    <n v="0"/>
    <n v="0"/>
    <n v="-479105"/>
    <n v="0"/>
  </r>
  <r>
    <x v="10"/>
    <x v="10"/>
    <x v="74"/>
    <x v="74"/>
    <n v="-5422074"/>
    <n v="0"/>
    <n v="0"/>
    <n v="-5422074"/>
    <n v="0"/>
  </r>
  <r>
    <x v="11"/>
    <x v="11"/>
    <x v="74"/>
    <x v="74"/>
    <n v="-819088"/>
    <n v="0"/>
    <n v="0"/>
    <n v="-819088"/>
    <n v="0"/>
  </r>
  <r>
    <x v="12"/>
    <x v="12"/>
    <x v="74"/>
    <x v="74"/>
    <n v="-543782"/>
    <n v="0"/>
    <n v="0"/>
    <n v="-543782"/>
    <n v="0"/>
  </r>
  <r>
    <x v="13"/>
    <x v="13"/>
    <x v="74"/>
    <x v="74"/>
    <n v="-20416045"/>
    <n v="0"/>
    <n v="0"/>
    <n v="-20416045"/>
    <n v="0"/>
  </r>
  <r>
    <x v="14"/>
    <x v="14"/>
    <x v="74"/>
    <x v="74"/>
    <n v="-1655254"/>
    <n v="0"/>
    <n v="0"/>
    <n v="-1655254"/>
    <n v="0"/>
  </r>
  <r>
    <x v="15"/>
    <x v="15"/>
    <x v="74"/>
    <x v="74"/>
    <n v="-8879747"/>
    <n v="0"/>
    <n v="0"/>
    <n v="-8879747"/>
    <n v="0"/>
  </r>
  <r>
    <x v="16"/>
    <x v="16"/>
    <x v="74"/>
    <x v="74"/>
    <n v="-11495429"/>
    <n v="0"/>
    <n v="0"/>
    <n v="-11495429"/>
    <n v="0"/>
  </r>
  <r>
    <x v="17"/>
    <x v="17"/>
    <x v="74"/>
    <x v="74"/>
    <n v="-2408655"/>
    <n v="0"/>
    <n v="0"/>
    <n v="-2408655"/>
    <n v="0"/>
  </r>
  <r>
    <x v="18"/>
    <x v="18"/>
    <x v="74"/>
    <x v="74"/>
    <n v="-6751606"/>
    <n v="0"/>
    <n v="0"/>
    <n v="-6751606"/>
    <n v="0"/>
  </r>
  <r>
    <x v="19"/>
    <x v="19"/>
    <x v="74"/>
    <x v="74"/>
    <n v="-1073127"/>
    <n v="0"/>
    <n v="0"/>
    <n v="-1073127"/>
    <n v="0"/>
  </r>
  <r>
    <x v="20"/>
    <x v="20"/>
    <x v="74"/>
    <x v="74"/>
    <n v="-9290670"/>
    <n v="0"/>
    <n v="0"/>
    <n v="-9290670"/>
    <n v="0"/>
  </r>
  <r>
    <x v="21"/>
    <x v="21"/>
    <x v="74"/>
    <x v="74"/>
    <n v="-700887"/>
    <n v="0"/>
    <n v="0"/>
    <n v="-700887"/>
    <n v="0"/>
  </r>
  <r>
    <x v="22"/>
    <x v="22"/>
    <x v="74"/>
    <x v="74"/>
    <n v="-2551180"/>
    <n v="0"/>
    <n v="0"/>
    <n v="-2551180"/>
    <n v="0"/>
  </r>
  <r>
    <x v="23"/>
    <x v="23"/>
    <x v="74"/>
    <x v="74"/>
    <n v="-2338715"/>
    <n v="0"/>
    <n v="0"/>
    <n v="-2338715"/>
    <n v="0"/>
  </r>
  <r>
    <x v="24"/>
    <x v="24"/>
    <x v="74"/>
    <x v="74"/>
    <n v="-5439285"/>
    <n v="0"/>
    <n v="0"/>
    <n v="-5439285"/>
    <n v="0"/>
  </r>
  <r>
    <x v="25"/>
    <x v="25"/>
    <x v="74"/>
    <x v="74"/>
    <n v="-1355216"/>
    <n v="0"/>
    <n v="0"/>
    <n v="-1355216"/>
    <n v="0"/>
  </r>
  <r>
    <x v="26"/>
    <x v="26"/>
    <x v="74"/>
    <x v="74"/>
    <n v="-20603146"/>
    <n v="0"/>
    <n v="0"/>
    <n v="-20603146"/>
    <n v="0"/>
  </r>
  <r>
    <x v="27"/>
    <x v="27"/>
    <x v="74"/>
    <x v="74"/>
    <n v="-8023767"/>
    <n v="0"/>
    <n v="0"/>
    <n v="-8023767"/>
    <n v="0"/>
  </r>
  <r>
    <x v="28"/>
    <x v="28"/>
    <x v="74"/>
    <x v="74"/>
    <n v="-11180022"/>
    <n v="0"/>
    <n v="0"/>
    <n v="-11180022"/>
    <n v="0"/>
  </r>
  <r>
    <x v="29"/>
    <x v="29"/>
    <x v="74"/>
    <x v="74"/>
    <n v="-15207914"/>
    <n v="0"/>
    <n v="0"/>
    <n v="-15207914"/>
    <n v="0"/>
  </r>
  <r>
    <x v="30"/>
    <x v="30"/>
    <x v="74"/>
    <x v="74"/>
    <n v="-10175798"/>
    <n v="0"/>
    <n v="0"/>
    <n v="-10175798"/>
    <n v="0"/>
  </r>
  <r>
    <x v="31"/>
    <x v="31"/>
    <x v="74"/>
    <x v="74"/>
    <n v="-5002813"/>
    <n v="0"/>
    <n v="0"/>
    <n v="-5002813"/>
    <n v="0"/>
  </r>
  <r>
    <x v="32"/>
    <x v="32"/>
    <x v="74"/>
    <x v="74"/>
    <n v="-3640001"/>
    <n v="0"/>
    <n v="0"/>
    <n v="-3640001"/>
    <n v="0"/>
  </r>
  <r>
    <x v="33"/>
    <x v="33"/>
    <x v="74"/>
    <x v="74"/>
    <n v="-5063986"/>
    <n v="0"/>
    <n v="0"/>
    <n v="-5063986"/>
    <n v="0"/>
  </r>
  <r>
    <x v="34"/>
    <x v="34"/>
    <x v="74"/>
    <x v="74"/>
    <n v="-8720267"/>
    <n v="0"/>
    <n v="0"/>
    <n v="-8720267"/>
    <n v="0"/>
  </r>
  <r>
    <x v="35"/>
    <x v="35"/>
    <x v="74"/>
    <x v="74"/>
    <n v="-1384258"/>
    <n v="0"/>
    <n v="0"/>
    <n v="-1384258"/>
    <n v="0"/>
  </r>
  <r>
    <x v="36"/>
    <x v="36"/>
    <x v="74"/>
    <x v="74"/>
    <n v="-3033144"/>
    <n v="0"/>
    <n v="0"/>
    <n v="-3033144"/>
    <n v="0"/>
  </r>
  <r>
    <x v="37"/>
    <x v="37"/>
    <x v="74"/>
    <x v="74"/>
    <n v="-12953748"/>
    <n v="0"/>
    <n v="0"/>
    <n v="-12953748"/>
    <n v="0"/>
  </r>
  <r>
    <x v="38"/>
    <x v="38"/>
    <x v="74"/>
    <x v="74"/>
    <n v="-47314118"/>
    <n v="0"/>
    <n v="0"/>
    <n v="-47314118"/>
    <n v="0"/>
  </r>
  <r>
    <x v="39"/>
    <x v="39"/>
    <x v="74"/>
    <x v="74"/>
    <n v="-20049789"/>
    <n v="0"/>
    <n v="0"/>
    <n v="-20049789"/>
    <n v="0"/>
  </r>
  <r>
    <x v="40"/>
    <x v="40"/>
    <x v="74"/>
    <x v="74"/>
    <n v="-1164748"/>
    <n v="0"/>
    <n v="0"/>
    <n v="-1164748"/>
    <n v="0"/>
  </r>
  <r>
    <x v="41"/>
    <x v="41"/>
    <x v="74"/>
    <x v="74"/>
    <n v="-941154"/>
    <n v="0"/>
    <n v="0"/>
    <n v="-941154"/>
    <n v="0"/>
  </r>
  <r>
    <x v="42"/>
    <x v="42"/>
    <x v="74"/>
    <x v="74"/>
    <n v="-3114669"/>
    <n v="0"/>
    <n v="0"/>
    <n v="-3114669"/>
    <n v="0"/>
  </r>
  <r>
    <x v="43"/>
    <x v="43"/>
    <x v="74"/>
    <x v="74"/>
    <n v="-7589209"/>
    <n v="0"/>
    <n v="0"/>
    <n v="-7589209"/>
    <n v="0"/>
  </r>
  <r>
    <x v="44"/>
    <x v="44"/>
    <x v="74"/>
    <x v="74"/>
    <n v="-1341292"/>
    <n v="0"/>
    <n v="0"/>
    <n v="-1341292"/>
    <n v="0"/>
  </r>
  <r>
    <x v="45"/>
    <x v="45"/>
    <x v="74"/>
    <x v="74"/>
    <n v="0"/>
    <n v="0"/>
    <n v="0"/>
    <n v="0"/>
    <n v="0"/>
  </r>
  <r>
    <x v="46"/>
    <x v="46"/>
    <x v="74"/>
    <x v="74"/>
    <n v="-3674"/>
    <n v="0"/>
    <n v="0"/>
    <n v="-3674"/>
    <n v="0"/>
  </r>
  <r>
    <x v="47"/>
    <x v="47"/>
    <x v="74"/>
    <x v="74"/>
    <n v="0"/>
    <n v="0"/>
    <n v="0"/>
    <n v="0"/>
    <n v="0"/>
  </r>
  <r>
    <x v="48"/>
    <x v="48"/>
    <x v="74"/>
    <x v="74"/>
    <n v="0"/>
    <n v="0"/>
    <n v="0"/>
    <n v="0"/>
    <n v="0"/>
  </r>
  <r>
    <x v="49"/>
    <x v="49"/>
    <x v="74"/>
    <x v="74"/>
    <n v="0"/>
    <n v="0"/>
    <n v="0"/>
    <n v="0"/>
    <n v="0"/>
  </r>
  <r>
    <x v="50"/>
    <x v="50"/>
    <x v="74"/>
    <x v="74"/>
    <n v="295640484"/>
    <n v="0"/>
    <n v="0"/>
    <n v="295640484"/>
    <n v="0"/>
  </r>
  <r>
    <x v="51"/>
    <x v="51"/>
    <x v="74"/>
    <x v="74"/>
    <n v="0"/>
    <n v="0"/>
    <n v="0"/>
    <n v="0"/>
    <n v="0"/>
  </r>
  <r>
    <x v="52"/>
    <x v="52"/>
    <x v="74"/>
    <x v="74"/>
    <n v="0"/>
    <n v="0"/>
    <n v="0"/>
    <n v="0"/>
    <n v="0"/>
  </r>
  <r>
    <x v="53"/>
    <x v="53"/>
    <x v="74"/>
    <x v="74"/>
    <n v="0"/>
    <n v="0"/>
    <n v="0"/>
    <n v="0"/>
    <n v="0"/>
  </r>
  <r>
    <x v="54"/>
    <x v="54"/>
    <x v="74"/>
    <x v="74"/>
    <n v="0"/>
    <n v="0"/>
    <n v="0"/>
    <n v="0"/>
    <n v="0"/>
  </r>
  <r>
    <x v="55"/>
    <x v="55"/>
    <x v="74"/>
    <x v="74"/>
    <n v="0"/>
    <n v="0"/>
    <n v="0"/>
    <n v="0"/>
    <n v="0"/>
  </r>
  <r>
    <x v="56"/>
    <x v="56"/>
    <x v="74"/>
    <x v="74"/>
    <n v="0"/>
    <n v="0"/>
    <n v="0"/>
    <n v="0"/>
    <n v="0"/>
  </r>
  <r>
    <x v="57"/>
    <x v="57"/>
    <x v="74"/>
    <x v="74"/>
    <n v="0"/>
    <n v="0"/>
    <n v="0"/>
    <n v="0"/>
    <n v="0"/>
  </r>
  <r>
    <x v="58"/>
    <x v="58"/>
    <x v="74"/>
    <x v="74"/>
    <n v="0"/>
    <n v="0"/>
    <n v="0"/>
    <n v="0"/>
    <n v="0"/>
  </r>
  <r>
    <x v="0"/>
    <x v="0"/>
    <x v="75"/>
    <x v="75"/>
    <n v="-13309198"/>
    <n v="-10756134"/>
    <n v="-676903"/>
    <n v="-1876161"/>
    <n v="0"/>
  </r>
  <r>
    <x v="1"/>
    <x v="1"/>
    <x v="75"/>
    <x v="75"/>
    <n v="-3288063"/>
    <n v="-2251541"/>
    <n v="-555919"/>
    <n v="-480603"/>
    <n v="0"/>
  </r>
  <r>
    <x v="2"/>
    <x v="2"/>
    <x v="75"/>
    <x v="75"/>
    <n v="-2818173"/>
    <n v="-2122820"/>
    <n v="-174398"/>
    <n v="-520955"/>
    <n v="0"/>
  </r>
  <r>
    <x v="3"/>
    <x v="3"/>
    <x v="75"/>
    <x v="75"/>
    <n v="-2149103"/>
    <n v="-1122621"/>
    <n v="-949787"/>
    <n v="-76695"/>
    <n v="0"/>
  </r>
  <r>
    <x v="4"/>
    <x v="4"/>
    <x v="75"/>
    <x v="75"/>
    <n v="-269758503"/>
    <n v="-114494467"/>
    <n v="-139827431"/>
    <n v="-15436605"/>
    <n v="0"/>
  </r>
  <r>
    <x v="5"/>
    <x v="5"/>
    <x v="75"/>
    <x v="75"/>
    <n v="-5592363"/>
    <n v="-3338345"/>
    <n v="-1849"/>
    <n v="-2252169"/>
    <n v="0"/>
  </r>
  <r>
    <x v="6"/>
    <x v="6"/>
    <x v="75"/>
    <x v="75"/>
    <n v="-14581749"/>
    <n v="-13165354"/>
    <n v="0"/>
    <n v="-1416395"/>
    <n v="0"/>
  </r>
  <r>
    <x v="7"/>
    <x v="7"/>
    <x v="75"/>
    <x v="75"/>
    <n v="-26232368"/>
    <n v="-14993310"/>
    <n v="-8180463"/>
    <n v="-3058595"/>
    <n v="0"/>
  </r>
  <r>
    <x v="8"/>
    <x v="8"/>
    <x v="75"/>
    <x v="75"/>
    <n v="-43795582"/>
    <n v="-36985660"/>
    <n v="-4414998"/>
    <n v="-2394924"/>
    <n v="0"/>
  </r>
  <r>
    <x v="9"/>
    <x v="9"/>
    <x v="75"/>
    <x v="75"/>
    <n v="-6198268"/>
    <n v="-4021847"/>
    <n v="-1697316"/>
    <n v="-479105"/>
    <n v="0"/>
  </r>
  <r>
    <x v="10"/>
    <x v="10"/>
    <x v="75"/>
    <x v="75"/>
    <n v="-67908111"/>
    <n v="-31308028"/>
    <n v="-31178009"/>
    <n v="-5422074"/>
    <n v="0"/>
  </r>
  <r>
    <x v="11"/>
    <x v="11"/>
    <x v="75"/>
    <x v="75"/>
    <n v="-1696317"/>
    <n v="-877229"/>
    <n v="0"/>
    <n v="-819088"/>
    <n v="0"/>
  </r>
  <r>
    <x v="12"/>
    <x v="12"/>
    <x v="75"/>
    <x v="75"/>
    <n v="-1840943"/>
    <n v="-1297161"/>
    <n v="0"/>
    <n v="-543782"/>
    <n v="0"/>
  </r>
  <r>
    <x v="13"/>
    <x v="13"/>
    <x v="75"/>
    <x v="75"/>
    <n v="-31493935"/>
    <n v="-9157107"/>
    <n v="-1920783"/>
    <n v="-20416045"/>
    <n v="0"/>
  </r>
  <r>
    <x v="14"/>
    <x v="14"/>
    <x v="75"/>
    <x v="75"/>
    <n v="-35893078"/>
    <n v="-13084995"/>
    <n v="-21152829"/>
    <n v="-1655254"/>
    <n v="0"/>
  </r>
  <r>
    <x v="15"/>
    <x v="15"/>
    <x v="75"/>
    <x v="75"/>
    <n v="-82740878"/>
    <n v="-39816180"/>
    <n v="-34044951"/>
    <n v="-8879747"/>
    <n v="0"/>
  </r>
  <r>
    <x v="16"/>
    <x v="16"/>
    <x v="75"/>
    <x v="75"/>
    <n v="-86709055"/>
    <n v="-36096656"/>
    <n v="-39116970"/>
    <n v="-11495429"/>
    <n v="0"/>
  </r>
  <r>
    <x v="17"/>
    <x v="17"/>
    <x v="75"/>
    <x v="75"/>
    <n v="-12493992"/>
    <n v="-5296688"/>
    <n v="-4788649"/>
    <n v="-2408655"/>
    <n v="0"/>
  </r>
  <r>
    <x v="18"/>
    <x v="18"/>
    <x v="75"/>
    <x v="75"/>
    <n v="-55971549"/>
    <n v="-25110643"/>
    <n v="-24109300"/>
    <n v="-6751606"/>
    <n v="0"/>
  </r>
  <r>
    <x v="19"/>
    <x v="19"/>
    <x v="75"/>
    <x v="75"/>
    <n v="-17069086"/>
    <n v="-8690674"/>
    <n v="-7305285"/>
    <n v="-1073127"/>
    <n v="0"/>
  </r>
  <r>
    <x v="20"/>
    <x v="20"/>
    <x v="75"/>
    <x v="75"/>
    <n v="-89868376"/>
    <n v="-41800787"/>
    <n v="-38776919"/>
    <n v="-9290670"/>
    <n v="0"/>
  </r>
  <r>
    <x v="21"/>
    <x v="21"/>
    <x v="75"/>
    <x v="75"/>
    <n v="-10825424"/>
    <n v="-4814026"/>
    <n v="-5310511"/>
    <n v="-700887"/>
    <n v="0"/>
  </r>
  <r>
    <x v="22"/>
    <x v="22"/>
    <x v="75"/>
    <x v="75"/>
    <n v="-43918449"/>
    <n v="-27553924"/>
    <n v="-13813345"/>
    <n v="-2551180"/>
    <n v="0"/>
  </r>
  <r>
    <x v="23"/>
    <x v="23"/>
    <x v="75"/>
    <x v="75"/>
    <n v="-62593331"/>
    <n v="-26922463"/>
    <n v="-33332153"/>
    <n v="-2338715"/>
    <n v="0"/>
  </r>
  <r>
    <x v="24"/>
    <x v="24"/>
    <x v="75"/>
    <x v="75"/>
    <n v="-53233976"/>
    <n v="-30012818"/>
    <n v="-17781873"/>
    <n v="-5439285"/>
    <n v="0"/>
  </r>
  <r>
    <x v="25"/>
    <x v="25"/>
    <x v="75"/>
    <x v="75"/>
    <n v="-25958029"/>
    <n v="-9395166"/>
    <n v="-15207647"/>
    <n v="-1355216"/>
    <n v="0"/>
  </r>
  <r>
    <x v="26"/>
    <x v="26"/>
    <x v="75"/>
    <x v="75"/>
    <n v="-220212824"/>
    <n v="-160445953"/>
    <n v="-39163725"/>
    <n v="-20603146"/>
    <n v="0"/>
  </r>
  <r>
    <x v="27"/>
    <x v="27"/>
    <x v="75"/>
    <x v="75"/>
    <n v="-54505583"/>
    <n v="-25406707"/>
    <n v="-21075109"/>
    <n v="-8023767"/>
    <n v="0"/>
  </r>
  <r>
    <x v="28"/>
    <x v="28"/>
    <x v="75"/>
    <x v="75"/>
    <n v="-243623641"/>
    <n v="-115310141"/>
    <n v="-117133478"/>
    <n v="-11180022"/>
    <n v="0"/>
  </r>
  <r>
    <x v="29"/>
    <x v="29"/>
    <x v="75"/>
    <x v="75"/>
    <n v="-193267838"/>
    <n v="-91155724"/>
    <n v="-86904200"/>
    <n v="-15207914"/>
    <n v="0"/>
  </r>
  <r>
    <x v="30"/>
    <x v="30"/>
    <x v="75"/>
    <x v="75"/>
    <n v="-78335595"/>
    <n v="-47807100"/>
    <n v="-20352697"/>
    <n v="-10175798"/>
    <n v="0"/>
  </r>
  <r>
    <x v="31"/>
    <x v="31"/>
    <x v="75"/>
    <x v="75"/>
    <n v="-59694955"/>
    <n v="-29728449"/>
    <n v="-24963693"/>
    <n v="-5002813"/>
    <n v="0"/>
  </r>
  <r>
    <x v="32"/>
    <x v="32"/>
    <x v="75"/>
    <x v="75"/>
    <n v="-28621107"/>
    <n v="-13607989"/>
    <n v="-11373117"/>
    <n v="-3640001"/>
    <n v="0"/>
  </r>
  <r>
    <x v="33"/>
    <x v="33"/>
    <x v="75"/>
    <x v="75"/>
    <n v="-53018960"/>
    <n v="-27842213"/>
    <n v="-20112761"/>
    <n v="-5063986"/>
    <n v="0"/>
  </r>
  <r>
    <x v="34"/>
    <x v="34"/>
    <x v="75"/>
    <x v="75"/>
    <n v="-78563821"/>
    <n v="-39355111"/>
    <n v="-30488443"/>
    <n v="-8720267"/>
    <n v="0"/>
  </r>
  <r>
    <x v="35"/>
    <x v="35"/>
    <x v="75"/>
    <x v="75"/>
    <n v="-58764582"/>
    <n v="-39762234"/>
    <n v="-17618090"/>
    <n v="-1384258"/>
    <n v="0"/>
  </r>
  <r>
    <x v="36"/>
    <x v="36"/>
    <x v="75"/>
    <x v="75"/>
    <n v="-53393971"/>
    <n v="-20892489"/>
    <n v="-29468338"/>
    <n v="-3033144"/>
    <n v="0"/>
  </r>
  <r>
    <x v="37"/>
    <x v="37"/>
    <x v="75"/>
    <x v="75"/>
    <n v="-152778621"/>
    <n v="-102624075"/>
    <n v="-37200798"/>
    <n v="-12953748"/>
    <n v="0"/>
  </r>
  <r>
    <x v="38"/>
    <x v="38"/>
    <x v="75"/>
    <x v="75"/>
    <n v="-577191941"/>
    <n v="-303621563"/>
    <n v="-226256260"/>
    <n v="-47314118"/>
    <n v="0"/>
  </r>
  <r>
    <x v="39"/>
    <x v="39"/>
    <x v="75"/>
    <x v="75"/>
    <n v="-338337618"/>
    <n v="-160472892"/>
    <n v="-157814937"/>
    <n v="-20049789"/>
    <n v="0"/>
  </r>
  <r>
    <x v="40"/>
    <x v="40"/>
    <x v="75"/>
    <x v="75"/>
    <n v="-9301015"/>
    <n v="-7145384"/>
    <n v="-990883"/>
    <n v="-1164748"/>
    <n v="0"/>
  </r>
  <r>
    <x v="41"/>
    <x v="41"/>
    <x v="75"/>
    <x v="75"/>
    <n v="-20312642"/>
    <n v="-10045245"/>
    <n v="-9326243"/>
    <n v="-941154"/>
    <n v="0"/>
  </r>
  <r>
    <x v="42"/>
    <x v="42"/>
    <x v="75"/>
    <x v="75"/>
    <n v="-54890214"/>
    <n v="-28799344"/>
    <n v="-22976201"/>
    <n v="-3114669"/>
    <n v="0"/>
  </r>
  <r>
    <x v="43"/>
    <x v="43"/>
    <x v="75"/>
    <x v="75"/>
    <n v="-213659865"/>
    <n v="-96610091"/>
    <n v="-109460565"/>
    <n v="-7589209"/>
    <n v="0"/>
  </r>
  <r>
    <x v="44"/>
    <x v="44"/>
    <x v="75"/>
    <x v="75"/>
    <n v="-14523894"/>
    <n v="-5223352"/>
    <n v="-7959250"/>
    <n v="-1341292"/>
    <n v="0"/>
  </r>
  <r>
    <x v="45"/>
    <x v="45"/>
    <x v="75"/>
    <x v="75"/>
    <n v="0"/>
    <n v="0"/>
    <n v="0"/>
    <n v="0"/>
    <n v="0"/>
  </r>
  <r>
    <x v="46"/>
    <x v="46"/>
    <x v="75"/>
    <x v="75"/>
    <n v="-3674"/>
    <n v="0"/>
    <n v="0"/>
    <n v="-3674"/>
    <n v="0"/>
  </r>
  <r>
    <x v="47"/>
    <x v="47"/>
    <x v="75"/>
    <x v="75"/>
    <n v="0"/>
    <n v="0"/>
    <n v="0"/>
    <n v="0"/>
    <n v="0"/>
  </r>
  <r>
    <x v="48"/>
    <x v="48"/>
    <x v="75"/>
    <x v="75"/>
    <n v="3275299776"/>
    <n v="1840342700"/>
    <n v="1434957076"/>
    <n v="0"/>
    <n v="0"/>
  </r>
  <r>
    <x v="49"/>
    <x v="49"/>
    <x v="75"/>
    <x v="75"/>
    <n v="0"/>
    <n v="0"/>
    <n v="0"/>
    <n v="0"/>
    <n v="0"/>
  </r>
  <r>
    <x v="50"/>
    <x v="50"/>
    <x v="75"/>
    <x v="75"/>
    <n v="295640484"/>
    <n v="0"/>
    <n v="0"/>
    <n v="295640484"/>
    <n v="0"/>
  </r>
  <r>
    <x v="51"/>
    <x v="51"/>
    <x v="75"/>
    <x v="75"/>
    <n v="0"/>
    <n v="0"/>
    <n v="0"/>
    <n v="0"/>
    <n v="0"/>
  </r>
  <r>
    <x v="52"/>
    <x v="52"/>
    <x v="75"/>
    <x v="75"/>
    <n v="0"/>
    <n v="0"/>
    <n v="0"/>
    <n v="0"/>
    <n v="0"/>
  </r>
  <r>
    <x v="53"/>
    <x v="53"/>
    <x v="75"/>
    <x v="75"/>
    <n v="0"/>
    <n v="0"/>
    <n v="0"/>
    <n v="0"/>
    <n v="0"/>
  </r>
  <r>
    <x v="54"/>
    <x v="54"/>
    <x v="75"/>
    <x v="75"/>
    <n v="0"/>
    <n v="0"/>
    <n v="0"/>
    <n v="0"/>
    <n v="0"/>
  </r>
  <r>
    <x v="55"/>
    <x v="55"/>
    <x v="75"/>
    <x v="75"/>
    <n v="0"/>
    <n v="0"/>
    <n v="0"/>
    <n v="0"/>
    <n v="0"/>
  </r>
  <r>
    <x v="56"/>
    <x v="56"/>
    <x v="75"/>
    <x v="75"/>
    <n v="0"/>
    <n v="0"/>
    <n v="0"/>
    <n v="0"/>
    <n v="0"/>
  </r>
  <r>
    <x v="57"/>
    <x v="57"/>
    <x v="75"/>
    <x v="75"/>
    <n v="0"/>
    <n v="0"/>
    <n v="0"/>
    <n v="0"/>
    <n v="0"/>
  </r>
  <r>
    <x v="58"/>
    <x v="58"/>
    <x v="75"/>
    <x v="75"/>
    <n v="0"/>
    <n v="0"/>
    <n v="0"/>
    <n v="0"/>
    <n v="0"/>
  </r>
  <r>
    <x v="0"/>
    <x v="0"/>
    <x v="76"/>
    <x v="76"/>
    <n v="300805457"/>
    <n v="0"/>
    <n v="0"/>
    <n v="0"/>
    <n v="0"/>
  </r>
  <r>
    <x v="1"/>
    <x v="1"/>
    <x v="76"/>
    <x v="76"/>
    <n v="41908055"/>
    <n v="0"/>
    <n v="0"/>
    <n v="0"/>
    <n v="0"/>
  </r>
  <r>
    <x v="2"/>
    <x v="2"/>
    <x v="76"/>
    <x v="76"/>
    <n v="74000253"/>
    <n v="0"/>
    <n v="0"/>
    <n v="0"/>
    <n v="0"/>
  </r>
  <r>
    <x v="3"/>
    <x v="3"/>
    <x v="76"/>
    <x v="76"/>
    <n v="4382638"/>
    <n v="0"/>
    <n v="0"/>
    <n v="0"/>
    <n v="0"/>
  </r>
  <r>
    <x v="4"/>
    <x v="4"/>
    <x v="76"/>
    <x v="76"/>
    <n v="645639471"/>
    <n v="0"/>
    <n v="0"/>
    <n v="0"/>
    <n v="0"/>
  </r>
  <r>
    <x v="5"/>
    <x v="5"/>
    <x v="76"/>
    <x v="76"/>
    <n v="67805401"/>
    <n v="0"/>
    <n v="0"/>
    <n v="0"/>
    <n v="0"/>
  </r>
  <r>
    <x v="6"/>
    <x v="6"/>
    <x v="76"/>
    <x v="76"/>
    <n v="221042403"/>
    <n v="0"/>
    <n v="0"/>
    <n v="0"/>
    <n v="0"/>
  </r>
  <r>
    <x v="7"/>
    <x v="7"/>
    <x v="76"/>
    <x v="76"/>
    <n v="198730045"/>
    <n v="0"/>
    <n v="0"/>
    <n v="0"/>
    <n v="0"/>
  </r>
  <r>
    <x v="8"/>
    <x v="8"/>
    <x v="76"/>
    <x v="76"/>
    <n v="414580102"/>
    <n v="0"/>
    <n v="0"/>
    <n v="0"/>
    <n v="0"/>
  </r>
  <r>
    <x v="9"/>
    <x v="9"/>
    <x v="76"/>
    <x v="76"/>
    <n v="24034788"/>
    <n v="0"/>
    <n v="0"/>
    <n v="0"/>
    <n v="0"/>
  </r>
  <r>
    <x v="10"/>
    <x v="10"/>
    <x v="76"/>
    <x v="76"/>
    <n v="200006620"/>
    <n v="0"/>
    <n v="0"/>
    <n v="0"/>
    <n v="0"/>
  </r>
  <r>
    <x v="11"/>
    <x v="11"/>
    <x v="76"/>
    <x v="76"/>
    <n v="366401666"/>
    <n v="0"/>
    <n v="0"/>
    <n v="0"/>
    <n v="0"/>
  </r>
  <r>
    <x v="12"/>
    <x v="12"/>
    <x v="76"/>
    <x v="76"/>
    <n v="188947"/>
    <n v="0"/>
    <n v="0"/>
    <n v="0"/>
    <n v="0"/>
  </r>
  <r>
    <x v="13"/>
    <x v="13"/>
    <x v="76"/>
    <x v="76"/>
    <n v="128619782"/>
    <n v="0"/>
    <n v="0"/>
    <n v="0"/>
    <n v="0"/>
  </r>
  <r>
    <x v="14"/>
    <x v="14"/>
    <x v="76"/>
    <x v="76"/>
    <n v="528708608"/>
    <n v="0"/>
    <n v="0"/>
    <n v="0"/>
    <n v="0"/>
  </r>
  <r>
    <x v="15"/>
    <x v="15"/>
    <x v="76"/>
    <x v="76"/>
    <n v="770908850"/>
    <n v="0"/>
    <n v="0"/>
    <n v="0"/>
    <n v="0"/>
  </r>
  <r>
    <x v="16"/>
    <x v="16"/>
    <x v="76"/>
    <x v="76"/>
    <n v="526833171"/>
    <n v="0"/>
    <n v="0"/>
    <n v="0"/>
    <n v="0"/>
  </r>
  <r>
    <x v="17"/>
    <x v="17"/>
    <x v="76"/>
    <x v="76"/>
    <n v="150131346"/>
    <n v="0"/>
    <n v="0"/>
    <n v="0"/>
    <n v="0"/>
  </r>
  <r>
    <x v="18"/>
    <x v="18"/>
    <x v="76"/>
    <x v="76"/>
    <n v="304173412"/>
    <n v="0"/>
    <n v="0"/>
    <n v="0"/>
    <n v="0"/>
  </r>
  <r>
    <x v="19"/>
    <x v="19"/>
    <x v="76"/>
    <x v="76"/>
    <n v="71308883"/>
    <n v="0"/>
    <n v="0"/>
    <n v="0"/>
    <n v="0"/>
  </r>
  <r>
    <x v="20"/>
    <x v="20"/>
    <x v="76"/>
    <x v="76"/>
    <n v="557946323"/>
    <n v="0"/>
    <n v="0"/>
    <n v="0"/>
    <n v="0"/>
  </r>
  <r>
    <x v="21"/>
    <x v="21"/>
    <x v="76"/>
    <x v="76"/>
    <n v="50115905"/>
    <n v="0"/>
    <n v="0"/>
    <n v="0"/>
    <n v="0"/>
  </r>
  <r>
    <x v="22"/>
    <x v="22"/>
    <x v="76"/>
    <x v="76"/>
    <n v="187820243"/>
    <n v="0"/>
    <n v="0"/>
    <n v="0"/>
    <n v="0"/>
  </r>
  <r>
    <x v="23"/>
    <x v="23"/>
    <x v="76"/>
    <x v="76"/>
    <n v="291830405"/>
    <n v="0"/>
    <n v="0"/>
    <n v="0"/>
    <n v="0"/>
  </r>
  <r>
    <x v="24"/>
    <x v="24"/>
    <x v="76"/>
    <x v="76"/>
    <n v="200582571"/>
    <n v="0"/>
    <n v="0"/>
    <n v="0"/>
    <n v="0"/>
  </r>
  <r>
    <x v="25"/>
    <x v="25"/>
    <x v="76"/>
    <x v="76"/>
    <n v="78315320"/>
    <n v="0"/>
    <n v="0"/>
    <n v="0"/>
    <n v="0"/>
  </r>
  <r>
    <x v="26"/>
    <x v="26"/>
    <x v="76"/>
    <x v="76"/>
    <n v="835162844"/>
    <n v="0"/>
    <n v="0"/>
    <n v="0"/>
    <n v="0"/>
  </r>
  <r>
    <x v="27"/>
    <x v="27"/>
    <x v="76"/>
    <x v="76"/>
    <n v="70240032"/>
    <n v="0"/>
    <n v="0"/>
    <n v="0"/>
    <n v="0"/>
  </r>
  <r>
    <x v="28"/>
    <x v="28"/>
    <x v="76"/>
    <x v="76"/>
    <n v="472756822"/>
    <n v="0"/>
    <n v="0"/>
    <n v="0"/>
    <n v="0"/>
  </r>
  <r>
    <x v="29"/>
    <x v="29"/>
    <x v="76"/>
    <x v="76"/>
    <n v="1262474068"/>
    <n v="0"/>
    <n v="0"/>
    <n v="0"/>
    <n v="0"/>
  </r>
  <r>
    <x v="30"/>
    <x v="30"/>
    <x v="76"/>
    <x v="76"/>
    <n v="365360836"/>
    <n v="0"/>
    <n v="0"/>
    <n v="0"/>
    <n v="0"/>
  </r>
  <r>
    <x v="31"/>
    <x v="31"/>
    <x v="76"/>
    <x v="76"/>
    <n v="500929197"/>
    <n v="0"/>
    <n v="0"/>
    <n v="0"/>
    <n v="0"/>
  </r>
  <r>
    <x v="32"/>
    <x v="32"/>
    <x v="76"/>
    <x v="76"/>
    <n v="206232636"/>
    <n v="0"/>
    <n v="0"/>
    <n v="0"/>
    <n v="0"/>
  </r>
  <r>
    <x v="33"/>
    <x v="33"/>
    <x v="76"/>
    <x v="76"/>
    <n v="281633963"/>
    <n v="0"/>
    <n v="0"/>
    <n v="0"/>
    <n v="0"/>
  </r>
  <r>
    <x v="34"/>
    <x v="34"/>
    <x v="76"/>
    <x v="76"/>
    <n v="261753647"/>
    <n v="0"/>
    <n v="0"/>
    <n v="0"/>
    <n v="0"/>
  </r>
  <r>
    <x v="35"/>
    <x v="35"/>
    <x v="76"/>
    <x v="76"/>
    <n v="138423162"/>
    <n v="0"/>
    <n v="0"/>
    <n v="0"/>
    <n v="0"/>
  </r>
  <r>
    <x v="36"/>
    <x v="36"/>
    <x v="76"/>
    <x v="76"/>
    <n v="510119284"/>
    <n v="0"/>
    <n v="0"/>
    <n v="0"/>
    <n v="0"/>
  </r>
  <r>
    <x v="37"/>
    <x v="37"/>
    <x v="76"/>
    <x v="76"/>
    <n v="574716406"/>
    <n v="0"/>
    <n v="0"/>
    <n v="0"/>
    <n v="0"/>
  </r>
  <r>
    <x v="38"/>
    <x v="38"/>
    <x v="76"/>
    <x v="76"/>
    <n v="3407251645"/>
    <n v="0"/>
    <n v="0"/>
    <n v="0"/>
    <n v="0"/>
  </r>
  <r>
    <x v="39"/>
    <x v="39"/>
    <x v="76"/>
    <x v="76"/>
    <n v="2183201855"/>
    <n v="0"/>
    <n v="0"/>
    <n v="0"/>
    <n v="0"/>
  </r>
  <r>
    <x v="40"/>
    <x v="40"/>
    <x v="76"/>
    <x v="76"/>
    <n v="113026657"/>
    <n v="0"/>
    <n v="0"/>
    <n v="0"/>
    <n v="0"/>
  </r>
  <r>
    <x v="41"/>
    <x v="41"/>
    <x v="76"/>
    <x v="76"/>
    <n v="87487804"/>
    <n v="0"/>
    <n v="0"/>
    <n v="0"/>
    <n v="0"/>
  </r>
  <r>
    <x v="42"/>
    <x v="42"/>
    <x v="76"/>
    <x v="76"/>
    <n v="266246557"/>
    <n v="0"/>
    <n v="0"/>
    <n v="0"/>
    <n v="0"/>
  </r>
  <r>
    <x v="43"/>
    <x v="43"/>
    <x v="76"/>
    <x v="76"/>
    <n v="1293376165"/>
    <n v="0"/>
    <n v="0"/>
    <n v="0"/>
    <n v="0"/>
  </r>
  <r>
    <x v="44"/>
    <x v="44"/>
    <x v="76"/>
    <x v="76"/>
    <n v="1540392449"/>
    <n v="0"/>
    <n v="0"/>
    <n v="0"/>
    <n v="0"/>
  </r>
  <r>
    <x v="45"/>
    <x v="45"/>
    <x v="76"/>
    <x v="76"/>
    <n v="71263534"/>
    <n v="0"/>
    <n v="0"/>
    <n v="0"/>
    <n v="0"/>
  </r>
  <r>
    <x v="46"/>
    <x v="46"/>
    <x v="76"/>
    <x v="76"/>
    <n v="612713300"/>
    <n v="0"/>
    <n v="0"/>
    <n v="0"/>
    <n v="0"/>
  </r>
  <r>
    <x v="47"/>
    <x v="47"/>
    <x v="76"/>
    <x v="76"/>
    <n v="758113275"/>
    <n v="0"/>
    <n v="0"/>
    <n v="0"/>
    <n v="0"/>
  </r>
  <r>
    <x v="48"/>
    <x v="48"/>
    <x v="76"/>
    <x v="76"/>
    <n v="3286326250"/>
    <n v="0"/>
    <n v="0"/>
    <n v="0"/>
    <n v="0"/>
  </r>
  <r>
    <x v="49"/>
    <x v="49"/>
    <x v="76"/>
    <x v="76"/>
    <n v="1292633303"/>
    <n v="0"/>
    <n v="0"/>
    <n v="0"/>
    <n v="0"/>
  </r>
  <r>
    <x v="50"/>
    <x v="50"/>
    <x v="76"/>
    <x v="76"/>
    <n v="1207624247"/>
    <n v="0"/>
    <n v="0"/>
    <n v="0"/>
    <n v="0"/>
  </r>
  <r>
    <x v="51"/>
    <x v="51"/>
    <x v="76"/>
    <x v="76"/>
    <n v="583806028"/>
    <n v="0"/>
    <n v="0"/>
    <n v="0"/>
    <n v="0"/>
  </r>
  <r>
    <x v="52"/>
    <x v="52"/>
    <x v="76"/>
    <x v="76"/>
    <n v="1726961453"/>
    <n v="0"/>
    <n v="0"/>
    <n v="0"/>
    <n v="0"/>
  </r>
  <r>
    <x v="53"/>
    <x v="53"/>
    <x v="76"/>
    <x v="76"/>
    <n v="651594480"/>
    <n v="0"/>
    <n v="0"/>
    <n v="0"/>
    <n v="0"/>
  </r>
  <r>
    <x v="54"/>
    <x v="54"/>
    <x v="76"/>
    <x v="76"/>
    <n v="1234049316"/>
    <n v="0"/>
    <n v="0"/>
    <n v="0"/>
    <n v="0"/>
  </r>
  <r>
    <x v="55"/>
    <x v="55"/>
    <x v="76"/>
    <x v="76"/>
    <n v="2844041169"/>
    <n v="0"/>
    <n v="0"/>
    <n v="0"/>
    <n v="0"/>
  </r>
  <r>
    <x v="56"/>
    <x v="56"/>
    <x v="76"/>
    <x v="76"/>
    <n v="982175371"/>
    <n v="0"/>
    <n v="0"/>
    <n v="0"/>
    <n v="0"/>
  </r>
  <r>
    <x v="57"/>
    <x v="57"/>
    <x v="76"/>
    <x v="76"/>
    <n v="272392784"/>
    <n v="0"/>
    <n v="0"/>
    <n v="0"/>
    <n v="0"/>
  </r>
  <r>
    <x v="58"/>
    <x v="58"/>
    <x v="76"/>
    <x v="76"/>
    <n v="36301301204"/>
    <n v="0"/>
    <n v="0"/>
    <n v="0"/>
    <n v="0"/>
  </r>
  <r>
    <x v="0"/>
    <x v="0"/>
    <x v="77"/>
    <x v="77"/>
    <n v="314114660"/>
    <n v="10756134"/>
    <n v="676903"/>
    <n v="1876161"/>
    <n v="5"/>
  </r>
  <r>
    <x v="1"/>
    <x v="1"/>
    <x v="77"/>
    <x v="77"/>
    <n v="60227026"/>
    <n v="2251541"/>
    <n v="555919"/>
    <n v="480603"/>
    <n v="15030908"/>
  </r>
  <r>
    <x v="2"/>
    <x v="2"/>
    <x v="77"/>
    <x v="77"/>
    <n v="76818426"/>
    <n v="2122820"/>
    <n v="174398"/>
    <n v="520955"/>
    <n v="0"/>
  </r>
  <r>
    <x v="3"/>
    <x v="3"/>
    <x v="77"/>
    <x v="77"/>
    <n v="50605970"/>
    <n v="1122621"/>
    <n v="949787"/>
    <n v="76695"/>
    <n v="44074229"/>
  </r>
  <r>
    <x v="4"/>
    <x v="4"/>
    <x v="77"/>
    <x v="77"/>
    <n v="969181190"/>
    <n v="114494467"/>
    <n v="139827431"/>
    <n v="15436605"/>
    <n v="53783216"/>
  </r>
  <r>
    <x v="5"/>
    <x v="5"/>
    <x v="77"/>
    <x v="77"/>
    <n v="73397766"/>
    <n v="3338345"/>
    <n v="1849"/>
    <n v="2252169"/>
    <n v="2"/>
  </r>
  <r>
    <x v="6"/>
    <x v="6"/>
    <x v="77"/>
    <x v="77"/>
    <n v="235773619"/>
    <n v="13165354"/>
    <n v="0"/>
    <n v="1416395"/>
    <n v="149467"/>
  </r>
  <r>
    <x v="7"/>
    <x v="7"/>
    <x v="77"/>
    <x v="77"/>
    <n v="278736828"/>
    <n v="14993310"/>
    <n v="8180463"/>
    <n v="3058595"/>
    <n v="53774415"/>
  </r>
  <r>
    <x v="8"/>
    <x v="8"/>
    <x v="77"/>
    <x v="77"/>
    <n v="464109557"/>
    <n v="36985660"/>
    <n v="4414998"/>
    <n v="2394924"/>
    <n v="5733873"/>
  </r>
  <r>
    <x v="9"/>
    <x v="9"/>
    <x v="77"/>
    <x v="77"/>
    <n v="33164828"/>
    <n v="4021847"/>
    <n v="1697316"/>
    <n v="479105"/>
    <n v="2931772"/>
  </r>
  <r>
    <x v="10"/>
    <x v="10"/>
    <x v="77"/>
    <x v="77"/>
    <n v="279317969"/>
    <n v="31308028"/>
    <n v="31178009"/>
    <n v="5422074"/>
    <n v="11403238"/>
  </r>
  <r>
    <x v="11"/>
    <x v="11"/>
    <x v="77"/>
    <x v="77"/>
    <n v="1382442221"/>
    <n v="877229"/>
    <n v="0"/>
    <n v="819088"/>
    <n v="1014344238"/>
  </r>
  <r>
    <x v="12"/>
    <x v="12"/>
    <x v="77"/>
    <x v="77"/>
    <n v="21099117"/>
    <n v="1297161"/>
    <n v="0"/>
    <n v="543782"/>
    <n v="19069227"/>
  </r>
  <r>
    <x v="13"/>
    <x v="13"/>
    <x v="77"/>
    <x v="77"/>
    <n v="171200786"/>
    <n v="9157107"/>
    <n v="1920783"/>
    <n v="20416045"/>
    <n v="11087069"/>
  </r>
  <r>
    <x v="14"/>
    <x v="14"/>
    <x v="77"/>
    <x v="77"/>
    <n v="565111080"/>
    <n v="13084995"/>
    <n v="21152829"/>
    <n v="1655254"/>
    <n v="509394"/>
  </r>
  <r>
    <x v="15"/>
    <x v="15"/>
    <x v="77"/>
    <x v="77"/>
    <n v="1125490532"/>
    <n v="39816180"/>
    <n v="34044951"/>
    <n v="8879747"/>
    <n v="271840804"/>
  </r>
  <r>
    <x v="16"/>
    <x v="16"/>
    <x v="77"/>
    <x v="77"/>
    <n v="648884751"/>
    <n v="36096656"/>
    <n v="39116970"/>
    <n v="11495429"/>
    <n v="35342525"/>
  </r>
  <r>
    <x v="17"/>
    <x v="17"/>
    <x v="77"/>
    <x v="77"/>
    <n v="176821558"/>
    <n v="5296688"/>
    <n v="4788649"/>
    <n v="2408655"/>
    <n v="14196220"/>
  </r>
  <r>
    <x v="18"/>
    <x v="18"/>
    <x v="77"/>
    <x v="77"/>
    <n v="449556715"/>
    <n v="25110643"/>
    <n v="24109300"/>
    <n v="6751606"/>
    <n v="89411754"/>
  </r>
  <r>
    <x v="19"/>
    <x v="19"/>
    <x v="77"/>
    <x v="77"/>
    <n v="114752442"/>
    <n v="8690674"/>
    <n v="7305285"/>
    <n v="1073127"/>
    <n v="26374473"/>
  </r>
  <r>
    <x v="20"/>
    <x v="20"/>
    <x v="77"/>
    <x v="77"/>
    <n v="671594046"/>
    <n v="41800787"/>
    <n v="38776919"/>
    <n v="9290670"/>
    <n v="23779347"/>
  </r>
  <r>
    <x v="21"/>
    <x v="21"/>
    <x v="77"/>
    <x v="77"/>
    <n v="78889014"/>
    <n v="4814026"/>
    <n v="5310511"/>
    <n v="700887"/>
    <n v="17947685"/>
  </r>
  <r>
    <x v="22"/>
    <x v="22"/>
    <x v="77"/>
    <x v="77"/>
    <n v="310797091"/>
    <n v="27553924"/>
    <n v="13813345"/>
    <n v="2551180"/>
    <n v="79058399"/>
  </r>
  <r>
    <x v="23"/>
    <x v="23"/>
    <x v="77"/>
    <x v="77"/>
    <n v="450664857"/>
    <n v="26922463"/>
    <n v="33332153"/>
    <n v="2338715"/>
    <n v="96241121"/>
  </r>
  <r>
    <x v="24"/>
    <x v="24"/>
    <x v="77"/>
    <x v="77"/>
    <n v="363003408"/>
    <n v="30012818"/>
    <n v="17781873"/>
    <n v="5439285"/>
    <n v="109186861"/>
  </r>
  <r>
    <x v="25"/>
    <x v="25"/>
    <x v="77"/>
    <x v="77"/>
    <n v="167420709"/>
    <n v="9395166"/>
    <n v="15207647"/>
    <n v="1355216"/>
    <n v="63147360"/>
  </r>
  <r>
    <x v="26"/>
    <x v="26"/>
    <x v="77"/>
    <x v="77"/>
    <n v="1676868384"/>
    <n v="160445953"/>
    <n v="39163725"/>
    <n v="20603146"/>
    <n v="621492716"/>
  </r>
  <r>
    <x v="27"/>
    <x v="27"/>
    <x v="77"/>
    <x v="77"/>
    <n v="227652074"/>
    <n v="25406707"/>
    <n v="21075109"/>
    <n v="8023767"/>
    <n v="102906459"/>
  </r>
  <r>
    <x v="28"/>
    <x v="28"/>
    <x v="77"/>
    <x v="77"/>
    <n v="1091115403"/>
    <n v="115310141"/>
    <n v="117133478"/>
    <n v="11180022"/>
    <n v="374734940"/>
  </r>
  <r>
    <x v="29"/>
    <x v="29"/>
    <x v="77"/>
    <x v="77"/>
    <n v="1729939893"/>
    <n v="91155724"/>
    <n v="86904200"/>
    <n v="15207914"/>
    <n v="274197987"/>
  </r>
  <r>
    <x v="30"/>
    <x v="30"/>
    <x v="77"/>
    <x v="77"/>
    <n v="506144746"/>
    <n v="47807100"/>
    <n v="20352697"/>
    <n v="10175798"/>
    <n v="62448315"/>
  </r>
  <r>
    <x v="31"/>
    <x v="31"/>
    <x v="77"/>
    <x v="77"/>
    <n v="727085374"/>
    <n v="29728449"/>
    <n v="24963693"/>
    <n v="5002813"/>
    <n v="166461222"/>
  </r>
  <r>
    <x v="32"/>
    <x v="32"/>
    <x v="77"/>
    <x v="77"/>
    <n v="237126133"/>
    <n v="13607989"/>
    <n v="11373117"/>
    <n v="3640001"/>
    <n v="2272390"/>
  </r>
  <r>
    <x v="33"/>
    <x v="33"/>
    <x v="77"/>
    <x v="77"/>
    <n v="412214399"/>
    <n v="27842213"/>
    <n v="20112761"/>
    <n v="5063986"/>
    <n v="77561476"/>
  </r>
  <r>
    <x v="34"/>
    <x v="34"/>
    <x v="77"/>
    <x v="77"/>
    <n v="946395279"/>
    <n v="39355111"/>
    <n v="30488443"/>
    <n v="8720267"/>
    <n v="606077811"/>
  </r>
  <r>
    <x v="35"/>
    <x v="35"/>
    <x v="77"/>
    <x v="77"/>
    <n v="880644663"/>
    <n v="39762234"/>
    <n v="17618090"/>
    <n v="1384258"/>
    <n v="683456919"/>
  </r>
  <r>
    <x v="36"/>
    <x v="36"/>
    <x v="77"/>
    <x v="77"/>
    <n v="941671386"/>
    <n v="20892489"/>
    <n v="29468338"/>
    <n v="3033144"/>
    <n v="378158131"/>
  </r>
  <r>
    <x v="37"/>
    <x v="37"/>
    <x v="77"/>
    <x v="77"/>
    <n v="1305168018"/>
    <n v="102624075"/>
    <n v="37200798"/>
    <n v="12953748"/>
    <n v="577672991"/>
  </r>
  <r>
    <x v="38"/>
    <x v="38"/>
    <x v="77"/>
    <x v="77"/>
    <n v="6032701958"/>
    <n v="303621563"/>
    <n v="226256260"/>
    <n v="47314118"/>
    <n v="2048258372"/>
  </r>
  <r>
    <x v="39"/>
    <x v="39"/>
    <x v="77"/>
    <x v="77"/>
    <n v="2977430413"/>
    <n v="160472892"/>
    <n v="157814937"/>
    <n v="20049789"/>
    <n v="455890940"/>
  </r>
  <r>
    <x v="40"/>
    <x v="40"/>
    <x v="77"/>
    <x v="77"/>
    <n v="192156038"/>
    <n v="7145384"/>
    <n v="990883"/>
    <n v="1164748"/>
    <n v="69828366"/>
  </r>
  <r>
    <x v="41"/>
    <x v="41"/>
    <x v="77"/>
    <x v="77"/>
    <n v="172664285"/>
    <n v="10045245"/>
    <n v="9326243"/>
    <n v="941154"/>
    <n v="64863839"/>
  </r>
  <r>
    <x v="42"/>
    <x v="42"/>
    <x v="77"/>
    <x v="77"/>
    <n v="344259749"/>
    <n v="28799344"/>
    <n v="22976201"/>
    <n v="3114669"/>
    <n v="23122978"/>
  </r>
  <r>
    <x v="43"/>
    <x v="43"/>
    <x v="77"/>
    <x v="77"/>
    <n v="1899033406"/>
    <n v="96610091"/>
    <n v="109460565"/>
    <n v="7589209"/>
    <n v="391997376"/>
  </r>
  <r>
    <x v="44"/>
    <x v="44"/>
    <x v="77"/>
    <x v="77"/>
    <n v="1697164809"/>
    <n v="5223352"/>
    <n v="7959250"/>
    <n v="1341292"/>
    <n v="142248466"/>
  </r>
  <r>
    <x v="45"/>
    <x v="45"/>
    <x v="77"/>
    <x v="77"/>
    <n v="71263534"/>
    <n v="0"/>
    <n v="0"/>
    <n v="0"/>
    <n v="0"/>
  </r>
  <r>
    <x v="46"/>
    <x v="46"/>
    <x v="77"/>
    <x v="77"/>
    <n v="612716974"/>
    <n v="0"/>
    <n v="0"/>
    <n v="3674"/>
    <n v="0"/>
  </r>
  <r>
    <x v="47"/>
    <x v="47"/>
    <x v="77"/>
    <x v="77"/>
    <n v="758113275"/>
    <n v="0"/>
    <n v="0"/>
    <n v="0"/>
    <n v="0"/>
  </r>
  <r>
    <x v="48"/>
    <x v="48"/>
    <x v="77"/>
    <x v="77"/>
    <n v="11026474"/>
    <n v="-1840342700"/>
    <n v="-1434957076"/>
    <n v="0"/>
    <n v="0"/>
  </r>
  <r>
    <x v="49"/>
    <x v="49"/>
    <x v="77"/>
    <x v="77"/>
    <n v="1358333734"/>
    <n v="0"/>
    <n v="0"/>
    <n v="0"/>
    <n v="65700431"/>
  </r>
  <r>
    <x v="50"/>
    <x v="50"/>
    <x v="77"/>
    <x v="77"/>
    <n v="1029127687"/>
    <n v="0"/>
    <n v="0"/>
    <n v="-295640484"/>
    <n v="117143924"/>
  </r>
  <r>
    <x v="51"/>
    <x v="51"/>
    <x v="77"/>
    <x v="77"/>
    <n v="638994895"/>
    <n v="0"/>
    <n v="0"/>
    <n v="0"/>
    <n v="55188867"/>
  </r>
  <r>
    <x v="52"/>
    <x v="52"/>
    <x v="77"/>
    <x v="77"/>
    <n v="1808671266"/>
    <n v="0"/>
    <n v="0"/>
    <n v="0"/>
    <n v="81709813"/>
  </r>
  <r>
    <x v="53"/>
    <x v="53"/>
    <x v="77"/>
    <x v="77"/>
    <n v="753318923"/>
    <n v="0"/>
    <n v="0"/>
    <n v="0"/>
    <n v="101724443"/>
  </r>
  <r>
    <x v="54"/>
    <x v="54"/>
    <x v="77"/>
    <x v="77"/>
    <n v="1552222836"/>
    <n v="0"/>
    <n v="0"/>
    <n v="0"/>
    <n v="318173520"/>
  </r>
  <r>
    <x v="55"/>
    <x v="55"/>
    <x v="77"/>
    <x v="77"/>
    <n v="2930261796"/>
    <n v="0"/>
    <n v="0"/>
    <n v="0"/>
    <n v="86220627"/>
  </r>
  <r>
    <x v="56"/>
    <x v="56"/>
    <x v="77"/>
    <x v="77"/>
    <n v="999051935"/>
    <n v="0"/>
    <n v="0"/>
    <n v="0"/>
    <n v="16876564"/>
  </r>
  <r>
    <x v="57"/>
    <x v="57"/>
    <x v="77"/>
    <x v="77"/>
    <n v="294303940"/>
    <n v="0"/>
    <n v="0"/>
    <n v="0"/>
    <n v="21911156"/>
  </r>
  <r>
    <x v="58"/>
    <x v="58"/>
    <x v="77"/>
    <x v="77"/>
    <n v="46348019845"/>
    <n v="0"/>
    <n v="0"/>
    <n v="0"/>
    <n v="10046718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412CA-9835-4E06-9435-9E59EA087A6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C71" firstHeaderRow="1" firstDataRow="3" firstDataCol="2"/>
  <pivotFields count="9">
    <pivotField axis="axisRow" outline="0" showAll="0" defaultSubtota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66">
        <item x="19"/>
        <item x="52"/>
        <item x="26"/>
        <item x="3"/>
        <item x="20"/>
        <item x="46"/>
        <item x="54"/>
        <item x="2"/>
        <item x="32"/>
        <item x="51"/>
        <item x="64"/>
        <item x="11"/>
        <item x="61"/>
        <item x="38"/>
        <item x="44"/>
        <item x="36"/>
        <item x="27"/>
        <item x="10"/>
        <item x="9"/>
        <item x="62"/>
        <item x="37"/>
        <item x="34"/>
        <item x="41"/>
        <item x="8"/>
        <item x="1"/>
        <item x="12"/>
        <item x="39"/>
        <item x="35"/>
        <item x="13"/>
        <item x="60"/>
        <item x="28"/>
        <item x="7"/>
        <item x="18"/>
        <item x="43"/>
        <item x="33"/>
        <item x="56"/>
        <item x="40"/>
        <item x="0"/>
        <item x="24"/>
        <item x="29"/>
        <item x="31"/>
        <item x="25"/>
        <item x="15"/>
        <item x="55"/>
        <item x="47"/>
        <item x="53"/>
        <item x="49"/>
        <item x="16"/>
        <item x="6"/>
        <item x="30"/>
        <item x="42"/>
        <item x="14"/>
        <item x="22"/>
        <item x="17"/>
        <item x="5"/>
        <item x="23"/>
        <item x="21"/>
        <item x="58"/>
        <item x="63"/>
        <item x="48"/>
        <item x="50"/>
        <item x="57"/>
        <item x="4"/>
        <item x="59"/>
        <item x="45"/>
        <item t="default"/>
      </items>
    </pivotField>
    <pivotField axis="axisCol" showAll="0" defaultSubtota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</pivotField>
    <pivotField axis="axisCol" showAll="0">
      <items count="79">
        <item x="19"/>
        <item x="52"/>
        <item x="26"/>
        <item x="3"/>
        <item x="20"/>
        <item x="46"/>
        <item x="54"/>
        <item x="2"/>
        <item x="32"/>
        <item x="51"/>
        <item x="76"/>
        <item x="11"/>
        <item x="38"/>
        <item x="44"/>
        <item x="63"/>
        <item x="36"/>
        <item x="27"/>
        <item x="10"/>
        <item x="9"/>
        <item x="60"/>
        <item x="61"/>
        <item x="68"/>
        <item x="69"/>
        <item x="67"/>
        <item x="62"/>
        <item x="37"/>
        <item x="34"/>
        <item x="41"/>
        <item x="8"/>
        <item x="1"/>
        <item x="12"/>
        <item x="39"/>
        <item x="35"/>
        <item x="13"/>
        <item x="28"/>
        <item x="7"/>
        <item x="18"/>
        <item x="43"/>
        <item x="33"/>
        <item x="56"/>
        <item x="40"/>
        <item x="0"/>
        <item x="24"/>
        <item x="29"/>
        <item x="31"/>
        <item x="25"/>
        <item x="59"/>
        <item x="15"/>
        <item x="55"/>
        <item x="47"/>
        <item x="53"/>
        <item x="49"/>
        <item x="73"/>
        <item x="16"/>
        <item x="6"/>
        <item x="30"/>
        <item x="42"/>
        <item x="14"/>
        <item x="64"/>
        <item x="70"/>
        <item x="22"/>
        <item x="17"/>
        <item x="5"/>
        <item x="23"/>
        <item x="21"/>
        <item x="66"/>
        <item x="65"/>
        <item x="71"/>
        <item x="58"/>
        <item x="75"/>
        <item x="77"/>
        <item x="48"/>
        <item x="50"/>
        <item x="74"/>
        <item x="57"/>
        <item x="4"/>
        <item x="45"/>
        <item x="72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0"/>
    <field x="1"/>
  </rowFields>
  <rowItems count="66">
    <i>
      <x/>
      <x v="37"/>
    </i>
    <i>
      <x v="1"/>
      <x v="24"/>
    </i>
    <i>
      <x v="2"/>
      <x v="7"/>
    </i>
    <i>
      <x v="3"/>
      <x v="3"/>
    </i>
    <i>
      <x v="4"/>
      <x v="62"/>
    </i>
    <i>
      <x v="5"/>
      <x v="54"/>
    </i>
    <i>
      <x v="6"/>
      <x v="48"/>
    </i>
    <i>
      <x v="7"/>
      <x v="31"/>
    </i>
    <i>
      <x v="8"/>
      <x v="23"/>
    </i>
    <i>
      <x v="9"/>
      <x v="18"/>
    </i>
    <i>
      <x v="10"/>
      <x v="17"/>
    </i>
    <i>
      <x v="11"/>
      <x v="11"/>
    </i>
    <i>
      <x v="12"/>
      <x v="25"/>
    </i>
    <i>
      <x v="13"/>
      <x v="28"/>
    </i>
    <i>
      <x v="14"/>
      <x v="51"/>
    </i>
    <i>
      <x v="15"/>
      <x v="42"/>
    </i>
    <i>
      <x v="16"/>
      <x v="47"/>
    </i>
    <i>
      <x v="17"/>
      <x v="53"/>
    </i>
    <i>
      <x v="18"/>
      <x v="32"/>
    </i>
    <i>
      <x v="19"/>
      <x/>
    </i>
    <i>
      <x v="20"/>
      <x v="4"/>
    </i>
    <i>
      <x v="21"/>
      <x v="56"/>
    </i>
    <i>
      <x v="22"/>
      <x v="52"/>
    </i>
    <i>
      <x v="23"/>
      <x v="55"/>
    </i>
    <i>
      <x v="24"/>
      <x v="38"/>
    </i>
    <i>
      <x v="25"/>
      <x v="41"/>
    </i>
    <i>
      <x v="26"/>
      <x v="2"/>
    </i>
    <i>
      <x v="27"/>
      <x v="16"/>
    </i>
    <i>
      <x v="28"/>
      <x v="30"/>
    </i>
    <i>
      <x v="29"/>
      <x v="39"/>
    </i>
    <i>
      <x v="30"/>
      <x v="49"/>
    </i>
    <i>
      <x v="31"/>
      <x v="40"/>
    </i>
    <i>
      <x v="32"/>
      <x v="8"/>
    </i>
    <i>
      <x v="33"/>
      <x v="34"/>
    </i>
    <i>
      <x v="34"/>
      <x v="21"/>
    </i>
    <i>
      <x v="35"/>
      <x v="27"/>
    </i>
    <i>
      <x v="36"/>
      <x v="15"/>
    </i>
    <i>
      <x v="37"/>
      <x v="20"/>
    </i>
    <i>
      <x v="38"/>
      <x v="13"/>
    </i>
    <i>
      <x v="39"/>
      <x v="26"/>
    </i>
    <i>
      <x v="40"/>
      <x v="36"/>
    </i>
    <i>
      <x v="41"/>
      <x v="22"/>
    </i>
    <i>
      <x v="42"/>
      <x v="50"/>
    </i>
    <i>
      <x v="43"/>
      <x v="33"/>
    </i>
    <i>
      <x v="44"/>
      <x v="14"/>
    </i>
    <i>
      <x v="45"/>
      <x v="64"/>
    </i>
    <i>
      <x v="46"/>
      <x v="5"/>
    </i>
    <i>
      <x v="47"/>
      <x v="44"/>
    </i>
    <i>
      <x v="48"/>
      <x v="59"/>
    </i>
    <i>
      <x v="49"/>
      <x v="46"/>
    </i>
    <i>
      <x v="50"/>
      <x v="60"/>
    </i>
    <i>
      <x v="51"/>
      <x v="9"/>
    </i>
    <i>
      <x v="52"/>
      <x v="1"/>
    </i>
    <i>
      <x v="53"/>
      <x v="45"/>
    </i>
    <i>
      <x v="54"/>
      <x v="6"/>
    </i>
    <i>
      <x v="55"/>
      <x v="43"/>
    </i>
    <i>
      <x v="56"/>
      <x v="35"/>
    </i>
    <i>
      <x v="57"/>
      <x v="61"/>
    </i>
    <i>
      <x v="58"/>
      <x v="57"/>
    </i>
    <i>
      <x v="59"/>
      <x v="63"/>
    </i>
    <i>
      <x v="60"/>
      <x v="29"/>
    </i>
    <i>
      <x v="61"/>
      <x v="12"/>
    </i>
    <i>
      <x v="62"/>
      <x v="19"/>
    </i>
    <i>
      <x v="63"/>
      <x v="58"/>
    </i>
    <i>
      <x v="64"/>
      <x v="10"/>
    </i>
    <i t="grand">
      <x/>
    </i>
  </rowItems>
  <colFields count="2">
    <field x="2"/>
    <field x="3"/>
  </colFields>
  <colItems count="79">
    <i>
      <x/>
      <x v="41"/>
    </i>
    <i>
      <x v="1"/>
      <x v="29"/>
    </i>
    <i>
      <x v="2"/>
      <x v="7"/>
    </i>
    <i>
      <x v="3"/>
      <x v="3"/>
    </i>
    <i>
      <x v="4"/>
      <x v="75"/>
    </i>
    <i>
      <x v="5"/>
      <x v="62"/>
    </i>
    <i>
      <x v="6"/>
      <x v="54"/>
    </i>
    <i>
      <x v="7"/>
      <x v="35"/>
    </i>
    <i>
      <x v="8"/>
      <x v="28"/>
    </i>
    <i>
      <x v="9"/>
      <x v="18"/>
    </i>
    <i>
      <x v="10"/>
      <x v="17"/>
    </i>
    <i>
      <x v="11"/>
      <x v="11"/>
    </i>
    <i>
      <x v="12"/>
      <x v="30"/>
    </i>
    <i>
      <x v="13"/>
      <x v="33"/>
    </i>
    <i>
      <x v="14"/>
      <x v="57"/>
    </i>
    <i>
      <x v="15"/>
      <x v="47"/>
    </i>
    <i>
      <x v="16"/>
      <x v="53"/>
    </i>
    <i>
      <x v="17"/>
      <x v="61"/>
    </i>
    <i>
      <x v="18"/>
      <x v="36"/>
    </i>
    <i>
      <x v="19"/>
      <x/>
    </i>
    <i>
      <x v="20"/>
      <x v="4"/>
    </i>
    <i>
      <x v="21"/>
      <x v="64"/>
    </i>
    <i>
      <x v="22"/>
      <x v="60"/>
    </i>
    <i>
      <x v="23"/>
      <x v="63"/>
    </i>
    <i>
      <x v="24"/>
      <x v="42"/>
    </i>
    <i>
      <x v="25"/>
      <x v="45"/>
    </i>
    <i>
      <x v="26"/>
      <x v="2"/>
    </i>
    <i>
      <x v="27"/>
      <x v="16"/>
    </i>
    <i>
      <x v="28"/>
      <x v="34"/>
    </i>
    <i>
      <x v="29"/>
      <x v="43"/>
    </i>
    <i>
      <x v="30"/>
      <x v="55"/>
    </i>
    <i>
      <x v="31"/>
      <x v="44"/>
    </i>
    <i>
      <x v="32"/>
      <x v="8"/>
    </i>
    <i>
      <x v="33"/>
      <x v="38"/>
    </i>
    <i>
      <x v="34"/>
      <x v="26"/>
    </i>
    <i>
      <x v="35"/>
      <x v="32"/>
    </i>
    <i>
      <x v="36"/>
      <x v="15"/>
    </i>
    <i>
      <x v="37"/>
      <x v="25"/>
    </i>
    <i>
      <x v="38"/>
      <x v="12"/>
    </i>
    <i>
      <x v="39"/>
      <x v="31"/>
    </i>
    <i>
      <x v="40"/>
      <x v="40"/>
    </i>
    <i>
      <x v="41"/>
      <x v="27"/>
    </i>
    <i>
      <x v="42"/>
      <x v="56"/>
    </i>
    <i>
      <x v="43"/>
      <x v="37"/>
    </i>
    <i>
      <x v="44"/>
      <x v="13"/>
    </i>
    <i>
      <x v="45"/>
      <x v="76"/>
    </i>
    <i>
      <x v="46"/>
      <x v="5"/>
    </i>
    <i>
      <x v="47"/>
      <x v="49"/>
    </i>
    <i>
      <x v="48"/>
      <x v="71"/>
    </i>
    <i>
      <x v="49"/>
      <x v="51"/>
    </i>
    <i>
      <x v="50"/>
      <x v="72"/>
    </i>
    <i>
      <x v="51"/>
      <x v="9"/>
    </i>
    <i>
      <x v="52"/>
      <x v="1"/>
    </i>
    <i>
      <x v="53"/>
      <x v="50"/>
    </i>
    <i>
      <x v="54"/>
      <x v="6"/>
    </i>
    <i>
      <x v="55"/>
      <x v="48"/>
    </i>
    <i>
      <x v="56"/>
      <x v="39"/>
    </i>
    <i>
      <x v="57"/>
      <x v="74"/>
    </i>
    <i>
      <x v="58"/>
      <x v="68"/>
    </i>
    <i>
      <x v="59"/>
      <x v="46"/>
    </i>
    <i>
      <x v="60"/>
      <x v="19"/>
    </i>
    <i>
      <x v="61"/>
      <x v="20"/>
    </i>
    <i>
      <x v="62"/>
      <x v="24"/>
    </i>
    <i>
      <x v="63"/>
      <x v="14"/>
    </i>
    <i>
      <x v="64"/>
      <x v="58"/>
    </i>
    <i>
      <x v="65"/>
      <x v="66"/>
    </i>
    <i>
      <x v="66"/>
      <x v="65"/>
    </i>
    <i>
      <x v="67"/>
      <x v="23"/>
    </i>
    <i>
      <x v="68"/>
      <x v="21"/>
    </i>
    <i>
      <x v="69"/>
      <x v="22"/>
    </i>
    <i>
      <x v="70"/>
      <x v="59"/>
    </i>
    <i>
      <x v="71"/>
      <x v="67"/>
    </i>
    <i>
      <x v="72"/>
      <x v="77"/>
    </i>
    <i>
      <x v="73"/>
      <x v="52"/>
    </i>
    <i>
      <x v="74"/>
      <x v="73"/>
    </i>
    <i>
      <x v="75"/>
      <x v="69"/>
    </i>
    <i>
      <x v="76"/>
      <x v="10"/>
    </i>
    <i>
      <x v="77"/>
      <x v="70"/>
    </i>
    <i t="grand">
      <x/>
    </i>
  </colItems>
  <dataFields count="1">
    <dataField name="Sum of PURCHAS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FB9A-4F8F-48C7-BFF4-83A61F18328E}">
  <dimension ref="A3:CC71"/>
  <sheetViews>
    <sheetView topLeftCell="BQ1" workbookViewId="0">
      <selection activeCell="A5" sqref="A5:CB71"/>
    </sheetView>
  </sheetViews>
  <sheetFormatPr defaultRowHeight="15"/>
  <cols>
    <col min="1" max="1" width="17.140625" bestFit="1" customWidth="1"/>
    <col min="2" max="2" width="32" bestFit="1" customWidth="1"/>
    <col min="3" max="3" width="15.28515625" bestFit="1" customWidth="1"/>
    <col min="4" max="5" width="9.7109375" bestFit="1" customWidth="1"/>
    <col min="6" max="6" width="13.7109375" bestFit="1" customWidth="1"/>
    <col min="7" max="7" width="19" bestFit="1" customWidth="1"/>
    <col min="8" max="8" width="9.7109375" bestFit="1" customWidth="1"/>
    <col min="9" max="9" width="13.140625" bestFit="1" customWidth="1"/>
    <col min="10" max="11" width="10.7109375" bestFit="1" customWidth="1"/>
    <col min="12" max="12" width="8.7109375" bestFit="1" customWidth="1"/>
    <col min="13" max="13" width="9.7109375" bestFit="1" customWidth="1"/>
    <col min="14" max="14" width="16.28515625" bestFit="1" customWidth="1"/>
    <col min="15" max="15" width="9.28515625" bestFit="1" customWidth="1"/>
    <col min="16" max="16" width="13.5703125" bestFit="1" customWidth="1"/>
    <col min="17" max="17" width="11.28515625" bestFit="1" customWidth="1"/>
    <col min="18" max="18" width="29.5703125" bestFit="1" customWidth="1"/>
    <col min="19" max="19" width="24.7109375" bestFit="1" customWidth="1"/>
    <col min="20" max="20" width="14.42578125" bestFit="1" customWidth="1"/>
    <col min="21" max="21" width="11" bestFit="1" customWidth="1"/>
    <col min="22" max="22" width="11.28515625" bestFit="1" customWidth="1"/>
    <col min="23" max="23" width="10.7109375" bestFit="1" customWidth="1"/>
    <col min="24" max="24" width="28.42578125" bestFit="1" customWidth="1"/>
    <col min="25" max="25" width="28.85546875" bestFit="1" customWidth="1"/>
    <col min="26" max="26" width="14.28515625" bestFit="1" customWidth="1"/>
    <col min="27" max="27" width="22.28515625" bestFit="1" customWidth="1"/>
    <col min="28" max="28" width="20.28515625" bestFit="1" customWidth="1"/>
    <col min="29" max="30" width="21" bestFit="1" customWidth="1"/>
    <col min="31" max="31" width="21.7109375" bestFit="1" customWidth="1"/>
    <col min="32" max="32" width="18.85546875" bestFit="1" customWidth="1"/>
    <col min="33" max="33" width="14.5703125" bestFit="1" customWidth="1"/>
    <col min="34" max="34" width="12" bestFit="1" customWidth="1"/>
    <col min="35" max="35" width="26.85546875" bestFit="1" customWidth="1"/>
    <col min="36" max="36" width="25" bestFit="1" customWidth="1"/>
    <col min="37" max="37" width="12.42578125" bestFit="1" customWidth="1"/>
    <col min="38" max="38" width="16.5703125" bestFit="1" customWidth="1"/>
    <col min="39" max="39" width="22.85546875" bestFit="1" customWidth="1"/>
    <col min="40" max="40" width="18.140625" bestFit="1" customWidth="1"/>
    <col min="41" max="41" width="30.42578125" bestFit="1" customWidth="1"/>
    <col min="42" max="42" width="25.85546875" bestFit="1" customWidth="1"/>
    <col min="43" max="43" width="28.28515625" bestFit="1" customWidth="1"/>
    <col min="44" max="44" width="14.85546875" bestFit="1" customWidth="1"/>
    <col min="45" max="45" width="25.85546875" bestFit="1" customWidth="1"/>
    <col min="46" max="46" width="26.28515625" bestFit="1" customWidth="1"/>
    <col min="47" max="47" width="16.140625" bestFit="1" customWidth="1"/>
    <col min="48" max="48" width="21.7109375" bestFit="1" customWidth="1"/>
    <col min="49" max="49" width="18.85546875" bestFit="1" customWidth="1"/>
    <col min="50" max="50" width="32" bestFit="1" customWidth="1"/>
    <col min="51" max="51" width="10.7109375" bestFit="1" customWidth="1"/>
    <col min="52" max="52" width="20.140625" bestFit="1" customWidth="1"/>
    <col min="53" max="53" width="13.140625" bestFit="1" customWidth="1"/>
    <col min="54" max="54" width="14" bestFit="1" customWidth="1"/>
    <col min="55" max="55" width="19.5703125" bestFit="1" customWidth="1"/>
    <col min="56" max="56" width="10.7109375" bestFit="1" customWidth="1"/>
    <col min="57" max="57" width="15.42578125" bestFit="1" customWidth="1"/>
    <col min="58" max="58" width="13.28515625" bestFit="1" customWidth="1"/>
    <col min="59" max="59" width="13" bestFit="1" customWidth="1"/>
    <col min="60" max="60" width="11" bestFit="1" customWidth="1"/>
    <col min="61" max="61" width="25.85546875" bestFit="1" customWidth="1"/>
    <col min="62" max="62" width="29.42578125" bestFit="1" customWidth="1"/>
    <col min="63" max="63" width="34.140625" bestFit="1" customWidth="1"/>
    <col min="64" max="64" width="26" bestFit="1" customWidth="1"/>
    <col min="65" max="65" width="14.7109375" bestFit="1" customWidth="1"/>
    <col min="66" max="66" width="13.85546875" bestFit="1" customWidth="1"/>
    <col min="67" max="67" width="13.42578125" bestFit="1" customWidth="1"/>
    <col min="68" max="68" width="17" bestFit="1" customWidth="1"/>
    <col min="69" max="69" width="12.42578125" bestFit="1" customWidth="1"/>
    <col min="70" max="70" width="13.28515625" bestFit="1" customWidth="1"/>
    <col min="71" max="71" width="10.7109375" bestFit="1" customWidth="1"/>
    <col min="72" max="72" width="10.28515625" bestFit="1" customWidth="1"/>
    <col min="73" max="73" width="13.7109375" bestFit="1" customWidth="1"/>
    <col min="74" max="74" width="12.28515625" bestFit="1" customWidth="1"/>
    <col min="75" max="75" width="21.5703125" bestFit="1" customWidth="1"/>
    <col min="76" max="77" width="17.28515625" bestFit="1" customWidth="1"/>
    <col min="78" max="78" width="32" bestFit="1" customWidth="1"/>
    <col min="79" max="81" width="11.7109375" bestFit="1" customWidth="1"/>
    <col min="82" max="82" width="28.28515625" bestFit="1" customWidth="1"/>
    <col min="83" max="83" width="9.7109375" bestFit="1" customWidth="1"/>
    <col min="84" max="84" width="14.85546875" bestFit="1" customWidth="1"/>
    <col min="85" max="85" width="9.7109375" bestFit="1" customWidth="1"/>
    <col min="86" max="86" width="25.85546875" bestFit="1" customWidth="1"/>
    <col min="87" max="87" width="9.7109375" bestFit="1" customWidth="1"/>
    <col min="88" max="88" width="26.28515625" bestFit="1" customWidth="1"/>
    <col min="89" max="89" width="10.7109375" bestFit="1" customWidth="1"/>
    <col min="90" max="90" width="16.140625" bestFit="1" customWidth="1"/>
    <col min="91" max="91" width="10.7109375" bestFit="1" customWidth="1"/>
    <col min="92" max="92" width="21.7109375" bestFit="1" customWidth="1"/>
    <col min="93" max="93" width="9.7109375" bestFit="1" customWidth="1"/>
    <col min="94" max="94" width="18.85546875" bestFit="1" customWidth="1"/>
    <col min="95" max="95" width="10.7109375" bestFit="1" customWidth="1"/>
    <col min="96" max="96" width="32" bestFit="1" customWidth="1"/>
    <col min="97" max="99" width="10.7109375" bestFit="1" customWidth="1"/>
    <col min="100" max="100" width="20.140625" bestFit="1" customWidth="1"/>
    <col min="101" max="101" width="10.7109375" bestFit="1" customWidth="1"/>
    <col min="102" max="102" width="13.140625" bestFit="1" customWidth="1"/>
    <col min="103" max="103" width="10.7109375" bestFit="1" customWidth="1"/>
    <col min="104" max="104" width="14" bestFit="1" customWidth="1"/>
    <col min="105" max="105" width="10.7109375" bestFit="1" customWidth="1"/>
    <col min="106" max="106" width="19.5703125" bestFit="1" customWidth="1"/>
    <col min="107" max="109" width="10.7109375" bestFit="1" customWidth="1"/>
    <col min="110" max="110" width="15.42578125" bestFit="1" customWidth="1"/>
    <col min="111" max="111" width="10.7109375" bestFit="1" customWidth="1"/>
    <col min="112" max="112" width="13.28515625" bestFit="1" customWidth="1"/>
    <col min="113" max="113" width="10.7109375" bestFit="1" customWidth="1"/>
    <col min="114" max="114" width="13" bestFit="1" customWidth="1"/>
    <col min="115" max="115" width="10.7109375" bestFit="1" customWidth="1"/>
    <col min="116" max="116" width="11" bestFit="1" customWidth="1"/>
    <col min="117" max="117" width="9.7109375" bestFit="1" customWidth="1"/>
    <col min="118" max="118" width="25.85546875" bestFit="1" customWidth="1"/>
    <col min="119" max="119" width="11.7109375" bestFit="1" customWidth="1"/>
    <col min="120" max="120" width="29.42578125" bestFit="1" customWidth="1"/>
    <col min="121" max="121" width="11.7109375" bestFit="1" customWidth="1"/>
    <col min="122" max="122" width="34.140625" bestFit="1" customWidth="1"/>
    <col min="123" max="123" width="10.7109375" bestFit="1" customWidth="1"/>
    <col min="124" max="124" width="26" bestFit="1" customWidth="1"/>
    <col min="125" max="125" width="10.7109375" bestFit="1" customWidth="1"/>
    <col min="126" max="126" width="14.7109375" bestFit="1" customWidth="1"/>
    <col min="127" max="127" width="10.7109375" bestFit="1" customWidth="1"/>
    <col min="128" max="128" width="13.85546875" bestFit="1" customWidth="1"/>
    <col min="129" max="129" width="11.7109375" bestFit="1" customWidth="1"/>
    <col min="130" max="130" width="13.42578125" bestFit="1" customWidth="1"/>
    <col min="131" max="131" width="10.7109375" bestFit="1" customWidth="1"/>
    <col min="132" max="132" width="17" bestFit="1" customWidth="1"/>
    <col min="133" max="133" width="11.7109375" bestFit="1" customWidth="1"/>
    <col min="134" max="134" width="12.42578125" bestFit="1" customWidth="1"/>
    <col min="135" max="135" width="11.7109375" bestFit="1" customWidth="1"/>
    <col min="136" max="136" width="13.28515625" bestFit="1" customWidth="1"/>
    <col min="137" max="137" width="12.28515625" bestFit="1" customWidth="1"/>
    <col min="138" max="138" width="10.7109375" bestFit="1" customWidth="1"/>
    <col min="139" max="141" width="10.28515625" bestFit="1" customWidth="1"/>
    <col min="142" max="142" width="13.7109375" bestFit="1" customWidth="1"/>
    <col min="143" max="143" width="11.28515625" bestFit="1" customWidth="1"/>
    <col min="144" max="145" width="12.28515625" bestFit="1" customWidth="1"/>
    <col min="146" max="146" width="21.5703125" bestFit="1" customWidth="1"/>
    <col min="147" max="147" width="10.7109375" bestFit="1" customWidth="1"/>
    <col min="148" max="148" width="17.28515625" bestFit="1" customWidth="1"/>
    <col min="149" max="149" width="10.7109375" bestFit="1" customWidth="1"/>
    <col min="150" max="150" width="17.28515625" bestFit="1" customWidth="1"/>
    <col min="151" max="151" width="9.7109375" bestFit="1" customWidth="1"/>
    <col min="152" max="152" width="32" bestFit="1" customWidth="1"/>
    <col min="153" max="153" width="10.7109375" bestFit="1" customWidth="1"/>
    <col min="154" max="158" width="11.7109375" bestFit="1" customWidth="1"/>
  </cols>
  <sheetData>
    <row r="3" spans="1:81">
      <c r="A3" s="7" t="s">
        <v>181</v>
      </c>
      <c r="C3" s="7" t="s">
        <v>180</v>
      </c>
    </row>
    <row r="4" spans="1:81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190</v>
      </c>
      <c r="BJ4">
        <v>301</v>
      </c>
      <c r="BK4">
        <v>302</v>
      </c>
      <c r="BL4">
        <v>303</v>
      </c>
      <c r="BM4">
        <v>304</v>
      </c>
      <c r="BN4">
        <v>305</v>
      </c>
      <c r="BO4">
        <v>306</v>
      </c>
      <c r="BP4">
        <v>309</v>
      </c>
      <c r="BQ4">
        <v>310</v>
      </c>
      <c r="BR4">
        <v>401</v>
      </c>
      <c r="BS4">
        <v>402</v>
      </c>
      <c r="BT4">
        <v>403</v>
      </c>
      <c r="BU4">
        <v>404</v>
      </c>
      <c r="BV4">
        <v>409</v>
      </c>
      <c r="BW4">
        <v>501</v>
      </c>
      <c r="BX4">
        <v>502</v>
      </c>
      <c r="BY4">
        <v>503</v>
      </c>
      <c r="BZ4">
        <v>509</v>
      </c>
      <c r="CA4">
        <v>600</v>
      </c>
      <c r="CB4">
        <v>700</v>
      </c>
      <c r="CC4" t="s">
        <v>179</v>
      </c>
    </row>
    <row r="5" spans="1:81">
      <c r="A5" s="7" t="s">
        <v>178</v>
      </c>
      <c r="B5" s="7" t="s">
        <v>175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125</v>
      </c>
      <c r="AK5" t="s">
        <v>126</v>
      </c>
      <c r="AL5" t="s">
        <v>127</v>
      </c>
      <c r="AM5" t="s">
        <v>128</v>
      </c>
      <c r="AN5" t="s">
        <v>129</v>
      </c>
      <c r="AO5" t="s">
        <v>130</v>
      </c>
      <c r="AP5" t="s">
        <v>131</v>
      </c>
      <c r="AQ5" t="s">
        <v>132</v>
      </c>
      <c r="AR5" t="s">
        <v>133</v>
      </c>
      <c r="AS5" t="s">
        <v>134</v>
      </c>
      <c r="AT5" t="s">
        <v>135</v>
      </c>
      <c r="AU5" t="s">
        <v>136</v>
      </c>
      <c r="AV5" t="s">
        <v>137</v>
      </c>
      <c r="AW5" t="s">
        <v>138</v>
      </c>
      <c r="AX5" t="s">
        <v>139</v>
      </c>
      <c r="AY5" t="s">
        <v>140</v>
      </c>
      <c r="AZ5" t="s">
        <v>141</v>
      </c>
      <c r="BA5" t="s">
        <v>142</v>
      </c>
      <c r="BB5" t="s">
        <v>143</v>
      </c>
      <c r="BC5" t="s">
        <v>144</v>
      </c>
      <c r="BD5" t="s">
        <v>145</v>
      </c>
      <c r="BE5" t="s">
        <v>146</v>
      </c>
      <c r="BF5" t="s">
        <v>147</v>
      </c>
      <c r="BG5" t="s">
        <v>148</v>
      </c>
      <c r="BH5" t="s">
        <v>149</v>
      </c>
      <c r="BI5" t="s">
        <v>150</v>
      </c>
      <c r="BJ5" t="s">
        <v>157</v>
      </c>
      <c r="BK5" t="s">
        <v>158</v>
      </c>
      <c r="BL5" t="s">
        <v>159</v>
      </c>
      <c r="BM5" t="s">
        <v>160</v>
      </c>
      <c r="BN5" t="s">
        <v>161</v>
      </c>
      <c r="BO5" t="s">
        <v>162</v>
      </c>
      <c r="BP5" t="s">
        <v>163</v>
      </c>
      <c r="BQ5" t="s">
        <v>164</v>
      </c>
      <c r="BR5" t="s">
        <v>165</v>
      </c>
      <c r="BS5" t="s">
        <v>166</v>
      </c>
      <c r="BT5" t="s">
        <v>167</v>
      </c>
      <c r="BU5" t="s">
        <v>168</v>
      </c>
      <c r="BV5" t="s">
        <v>169</v>
      </c>
      <c r="BW5" t="s">
        <v>170</v>
      </c>
      <c r="BX5" t="s">
        <v>171</v>
      </c>
      <c r="BY5" t="s">
        <v>172</v>
      </c>
      <c r="BZ5" t="s">
        <v>173</v>
      </c>
      <c r="CA5" t="s">
        <v>156</v>
      </c>
      <c r="CB5" t="s">
        <v>174</v>
      </c>
    </row>
    <row r="6" spans="1:81">
      <c r="A6" s="8">
        <v>1</v>
      </c>
      <c r="B6" s="8" t="s">
        <v>92</v>
      </c>
      <c r="C6">
        <v>23826912</v>
      </c>
      <c r="D6">
        <v>0</v>
      </c>
      <c r="E6">
        <v>0</v>
      </c>
      <c r="F6">
        <v>0</v>
      </c>
      <c r="G6">
        <v>3226116</v>
      </c>
      <c r="H6">
        <v>0</v>
      </c>
      <c r="I6">
        <v>0</v>
      </c>
      <c r="J6">
        <v>13272</v>
      </c>
      <c r="K6">
        <v>9677525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29138</v>
      </c>
      <c r="S6">
        <v>300553587</v>
      </c>
      <c r="T6">
        <v>0</v>
      </c>
      <c r="U6">
        <v>0</v>
      </c>
      <c r="V6">
        <v>3103</v>
      </c>
      <c r="W6">
        <v>0</v>
      </c>
      <c r="X6">
        <v>0</v>
      </c>
      <c r="Y6">
        <v>0</v>
      </c>
      <c r="Z6">
        <v>0</v>
      </c>
      <c r="AA6">
        <v>187802</v>
      </c>
      <c r="AB6">
        <v>0</v>
      </c>
      <c r="AC6">
        <v>0</v>
      </c>
      <c r="AD6">
        <v>288979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68315</v>
      </c>
      <c r="AU6">
        <v>296681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518802</v>
      </c>
      <c r="BI6">
        <v>338690232</v>
      </c>
      <c r="BJ6">
        <v>200503</v>
      </c>
      <c r="BK6">
        <v>26733</v>
      </c>
      <c r="BL6">
        <v>0</v>
      </c>
      <c r="BM6">
        <v>-24818427</v>
      </c>
      <c r="BN6">
        <v>15619</v>
      </c>
      <c r="BO6">
        <v>0</v>
      </c>
      <c r="BP6">
        <v>-24575572</v>
      </c>
      <c r="BQ6">
        <v>314114660</v>
      </c>
      <c r="BR6">
        <v>-5</v>
      </c>
      <c r="BS6">
        <v>0</v>
      </c>
      <c r="BT6">
        <v>0</v>
      </c>
      <c r="BU6">
        <v>0</v>
      </c>
      <c r="BV6">
        <v>-5</v>
      </c>
      <c r="BW6">
        <v>-10756134</v>
      </c>
      <c r="BX6">
        <v>-676903</v>
      </c>
      <c r="BY6">
        <v>-1876161</v>
      </c>
      <c r="BZ6">
        <v>-13309198</v>
      </c>
      <c r="CA6">
        <v>300805457</v>
      </c>
      <c r="CB6">
        <v>314114660</v>
      </c>
      <c r="CC6">
        <v>1530645691</v>
      </c>
    </row>
    <row r="7" spans="1:81">
      <c r="A7" s="8">
        <v>2</v>
      </c>
      <c r="B7" s="8" t="s">
        <v>93</v>
      </c>
      <c r="C7">
        <v>0</v>
      </c>
      <c r="D7">
        <v>5865215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4296645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781679</v>
      </c>
      <c r="S7">
        <v>861722</v>
      </c>
      <c r="T7">
        <v>0</v>
      </c>
      <c r="U7">
        <v>38007</v>
      </c>
      <c r="V7">
        <v>15692851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41504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43796</v>
      </c>
      <c r="AV7">
        <v>0</v>
      </c>
      <c r="AW7">
        <v>0</v>
      </c>
      <c r="AX7">
        <v>0</v>
      </c>
      <c r="AY7">
        <v>0</v>
      </c>
      <c r="AZ7">
        <v>619506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28240925</v>
      </c>
      <c r="BJ7">
        <v>566358</v>
      </c>
      <c r="BK7">
        <v>522790</v>
      </c>
      <c r="BL7">
        <v>0</v>
      </c>
      <c r="BM7">
        <v>27353408</v>
      </c>
      <c r="BN7">
        <v>3543545</v>
      </c>
      <c r="BO7">
        <v>0</v>
      </c>
      <c r="BP7">
        <v>31986101</v>
      </c>
      <c r="BQ7">
        <v>60227026</v>
      </c>
      <c r="BR7">
        <v>-13906462</v>
      </c>
      <c r="BS7">
        <v>-1124378</v>
      </c>
      <c r="BT7">
        <v>-68</v>
      </c>
      <c r="BU7">
        <v>0</v>
      </c>
      <c r="BV7">
        <v>-15030908</v>
      </c>
      <c r="BW7">
        <v>-2251541</v>
      </c>
      <c r="BX7">
        <v>-555919</v>
      </c>
      <c r="BY7">
        <v>-480603</v>
      </c>
      <c r="BZ7">
        <v>-3288063</v>
      </c>
      <c r="CA7">
        <v>41908055</v>
      </c>
      <c r="CB7">
        <v>60227026</v>
      </c>
      <c r="CC7">
        <v>246178217</v>
      </c>
    </row>
    <row r="8" spans="1:81">
      <c r="A8" s="8">
        <v>3</v>
      </c>
      <c r="B8" s="8" t="s">
        <v>94</v>
      </c>
      <c r="C8">
        <v>0</v>
      </c>
      <c r="D8">
        <v>0</v>
      </c>
      <c r="E8">
        <v>7591967</v>
      </c>
      <c r="F8">
        <v>3728</v>
      </c>
      <c r="G8">
        <v>0</v>
      </c>
      <c r="H8">
        <v>0</v>
      </c>
      <c r="I8">
        <v>0</v>
      </c>
      <c r="J8">
        <v>0</v>
      </c>
      <c r="K8">
        <v>12372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53738757</v>
      </c>
      <c r="T8">
        <v>0</v>
      </c>
      <c r="U8">
        <v>817601</v>
      </c>
      <c r="V8">
        <v>609291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596998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694544</v>
      </c>
      <c r="BI8">
        <v>64065258</v>
      </c>
      <c r="BJ8">
        <v>522579</v>
      </c>
      <c r="BK8">
        <v>380</v>
      </c>
      <c r="BL8">
        <v>0</v>
      </c>
      <c r="BM8">
        <v>12230209</v>
      </c>
      <c r="BN8">
        <v>0</v>
      </c>
      <c r="BO8">
        <v>0</v>
      </c>
      <c r="BP8">
        <v>12753168</v>
      </c>
      <c r="BQ8">
        <v>76818426</v>
      </c>
      <c r="BR8">
        <v>0</v>
      </c>
      <c r="BS8">
        <v>0</v>
      </c>
      <c r="BT8">
        <v>0</v>
      </c>
      <c r="BU8">
        <v>0</v>
      </c>
      <c r="BV8">
        <v>0</v>
      </c>
      <c r="BW8">
        <v>-2122820</v>
      </c>
      <c r="BX8">
        <v>-174398</v>
      </c>
      <c r="BY8">
        <v>-520955</v>
      </c>
      <c r="BZ8">
        <v>-2818173</v>
      </c>
      <c r="CA8">
        <v>74000253</v>
      </c>
      <c r="CB8">
        <v>76818426</v>
      </c>
      <c r="CC8">
        <v>375637611</v>
      </c>
    </row>
    <row r="9" spans="1:81">
      <c r="A9" s="8">
        <v>4</v>
      </c>
      <c r="B9" s="8" t="s">
        <v>95</v>
      </c>
      <c r="C9">
        <v>0</v>
      </c>
      <c r="D9">
        <v>0</v>
      </c>
      <c r="E9">
        <v>0</v>
      </c>
      <c r="F9">
        <v>654864</v>
      </c>
      <c r="G9">
        <v>3018992</v>
      </c>
      <c r="H9">
        <v>0</v>
      </c>
      <c r="I9">
        <v>0</v>
      </c>
      <c r="J9">
        <v>0</v>
      </c>
      <c r="K9">
        <v>2388736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12724250</v>
      </c>
      <c r="S9">
        <v>942118</v>
      </c>
      <c r="T9">
        <v>0</v>
      </c>
      <c r="U9">
        <v>12346452</v>
      </c>
      <c r="V9">
        <v>1388919</v>
      </c>
      <c r="W9">
        <v>5136281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480022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7520510</v>
      </c>
      <c r="BA9">
        <v>0</v>
      </c>
      <c r="BB9">
        <v>0</v>
      </c>
      <c r="BC9">
        <v>0</v>
      </c>
      <c r="BD9">
        <v>0</v>
      </c>
      <c r="BE9">
        <v>0</v>
      </c>
      <c r="BF9">
        <v>204294</v>
      </c>
      <c r="BG9">
        <v>0</v>
      </c>
      <c r="BH9">
        <v>609364</v>
      </c>
      <c r="BI9">
        <v>47414802</v>
      </c>
      <c r="BJ9">
        <v>1221069</v>
      </c>
      <c r="BK9">
        <v>109055</v>
      </c>
      <c r="BL9">
        <v>0</v>
      </c>
      <c r="BM9">
        <v>-288257</v>
      </c>
      <c r="BN9">
        <v>2149301</v>
      </c>
      <c r="BO9">
        <v>0</v>
      </c>
      <c r="BP9">
        <v>3191168</v>
      </c>
      <c r="BQ9">
        <v>50605970</v>
      </c>
      <c r="BR9">
        <v>-43130296</v>
      </c>
      <c r="BS9">
        <v>-928667</v>
      </c>
      <c r="BT9">
        <v>-15266</v>
      </c>
      <c r="BU9">
        <v>0</v>
      </c>
      <c r="BV9">
        <v>-44074229</v>
      </c>
      <c r="BW9">
        <v>-1122621</v>
      </c>
      <c r="BX9">
        <v>-949787</v>
      </c>
      <c r="BY9">
        <v>-76695</v>
      </c>
      <c r="BZ9">
        <v>-2149103</v>
      </c>
      <c r="CA9">
        <v>4382638</v>
      </c>
      <c r="CB9">
        <v>50605970</v>
      </c>
      <c r="CC9">
        <v>114359854</v>
      </c>
    </row>
    <row r="10" spans="1:81">
      <c r="A10" s="8">
        <v>5</v>
      </c>
      <c r="B10" s="8" t="s">
        <v>96</v>
      </c>
      <c r="C10">
        <v>0</v>
      </c>
      <c r="D10">
        <v>0</v>
      </c>
      <c r="E10">
        <v>0</v>
      </c>
      <c r="F10">
        <v>0</v>
      </c>
      <c r="G10">
        <v>260340</v>
      </c>
      <c r="H10">
        <v>0</v>
      </c>
      <c r="I10">
        <v>0</v>
      </c>
      <c r="J10">
        <v>0</v>
      </c>
      <c r="K10">
        <v>2828602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60639500</v>
      </c>
      <c r="S10">
        <v>0</v>
      </c>
      <c r="T10">
        <v>0</v>
      </c>
      <c r="U10">
        <v>8583443</v>
      </c>
      <c r="V10">
        <v>534552</v>
      </c>
      <c r="W10">
        <v>7016675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1104460</v>
      </c>
      <c r="AD10">
        <v>3988</v>
      </c>
      <c r="AE10">
        <v>1435019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105084676</v>
      </c>
      <c r="BA10">
        <v>36428</v>
      </c>
      <c r="BB10">
        <v>0</v>
      </c>
      <c r="BC10">
        <v>0</v>
      </c>
      <c r="BD10">
        <v>0</v>
      </c>
      <c r="BE10">
        <v>0</v>
      </c>
      <c r="BF10">
        <v>22284008</v>
      </c>
      <c r="BG10">
        <v>2821187</v>
      </c>
      <c r="BH10">
        <v>1095279</v>
      </c>
      <c r="BI10">
        <v>213728157</v>
      </c>
      <c r="BJ10">
        <v>586918761</v>
      </c>
      <c r="BK10">
        <v>244132</v>
      </c>
      <c r="BL10">
        <v>0</v>
      </c>
      <c r="BM10">
        <v>0</v>
      </c>
      <c r="BN10">
        <v>165985221</v>
      </c>
      <c r="BO10">
        <v>2304919</v>
      </c>
      <c r="BP10">
        <v>755453033</v>
      </c>
      <c r="BQ10">
        <v>969181190</v>
      </c>
      <c r="BR10">
        <v>-48485134</v>
      </c>
      <c r="BS10">
        <v>-3764461</v>
      </c>
      <c r="BT10">
        <v>-96691</v>
      </c>
      <c r="BU10">
        <v>-1436930</v>
      </c>
      <c r="BV10">
        <v>-53783216</v>
      </c>
      <c r="BW10">
        <v>-114494467</v>
      </c>
      <c r="BX10">
        <v>-139827431</v>
      </c>
      <c r="BY10">
        <v>-15436605</v>
      </c>
      <c r="BZ10">
        <v>-269758503</v>
      </c>
      <c r="CA10">
        <v>645639471</v>
      </c>
      <c r="CB10">
        <v>969181190</v>
      </c>
      <c r="CC10">
        <v>3875280793</v>
      </c>
    </row>
    <row r="11" spans="1:81">
      <c r="A11" s="8">
        <v>6</v>
      </c>
      <c r="B11" s="8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4490083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68681060</v>
      </c>
      <c r="U11">
        <v>0</v>
      </c>
      <c r="V11">
        <v>0</v>
      </c>
      <c r="W11">
        <v>206684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2232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10572</v>
      </c>
      <c r="BI11">
        <v>73390631</v>
      </c>
      <c r="BJ11">
        <v>7039</v>
      </c>
      <c r="BK11">
        <v>0</v>
      </c>
      <c r="BL11">
        <v>0</v>
      </c>
      <c r="BM11">
        <v>0</v>
      </c>
      <c r="BN11">
        <v>96</v>
      </c>
      <c r="BO11">
        <v>0</v>
      </c>
      <c r="BP11">
        <v>7135</v>
      </c>
      <c r="BQ11">
        <v>73397766</v>
      </c>
      <c r="BR11">
        <v>-2</v>
      </c>
      <c r="BS11">
        <v>0</v>
      </c>
      <c r="BT11">
        <v>0</v>
      </c>
      <c r="BU11">
        <v>0</v>
      </c>
      <c r="BV11">
        <v>-2</v>
      </c>
      <c r="BW11">
        <v>-3338345</v>
      </c>
      <c r="BX11">
        <v>-1849</v>
      </c>
      <c r="BY11">
        <v>-2252169</v>
      </c>
      <c r="BZ11">
        <v>-5592363</v>
      </c>
      <c r="CA11">
        <v>67805401</v>
      </c>
      <c r="CB11">
        <v>73397766</v>
      </c>
      <c r="CC11">
        <v>350211735</v>
      </c>
    </row>
    <row r="12" spans="1:81">
      <c r="A12" s="8">
        <v>7</v>
      </c>
      <c r="B12" s="8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9953834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96766</v>
      </c>
      <c r="AF12">
        <v>0</v>
      </c>
      <c r="AG12">
        <v>105841640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15939</v>
      </c>
      <c r="AR12">
        <v>0</v>
      </c>
      <c r="AS12">
        <v>0</v>
      </c>
      <c r="AT12">
        <v>35200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143396</v>
      </c>
      <c r="BI12">
        <v>116086775</v>
      </c>
      <c r="BJ12">
        <v>0</v>
      </c>
      <c r="BK12">
        <v>15785</v>
      </c>
      <c r="BL12">
        <v>0</v>
      </c>
      <c r="BM12">
        <v>67637322</v>
      </c>
      <c r="BN12">
        <v>52033737</v>
      </c>
      <c r="BO12">
        <v>0</v>
      </c>
      <c r="BP12">
        <v>119686844</v>
      </c>
      <c r="BQ12">
        <v>235773619</v>
      </c>
      <c r="BR12">
        <v>-140664</v>
      </c>
      <c r="BS12">
        <v>0</v>
      </c>
      <c r="BT12">
        <v>-8803</v>
      </c>
      <c r="BU12">
        <v>0</v>
      </c>
      <c r="BV12">
        <v>-149467</v>
      </c>
      <c r="BW12">
        <v>-13165354</v>
      </c>
      <c r="BX12">
        <v>0</v>
      </c>
      <c r="BY12">
        <v>-1416395</v>
      </c>
      <c r="BZ12">
        <v>-14581749</v>
      </c>
      <c r="CA12">
        <v>221042403</v>
      </c>
      <c r="CB12">
        <v>235773619</v>
      </c>
      <c r="CC12">
        <v>1134674447</v>
      </c>
    </row>
    <row r="13" spans="1:81">
      <c r="A13" s="8">
        <v>8</v>
      </c>
      <c r="B13" s="8" t="s">
        <v>99</v>
      </c>
      <c r="C13">
        <v>16110576</v>
      </c>
      <c r="D13">
        <v>829269</v>
      </c>
      <c r="E13">
        <v>1504441</v>
      </c>
      <c r="F13">
        <v>357001</v>
      </c>
      <c r="G13">
        <v>50313291</v>
      </c>
      <c r="H13">
        <v>3021059</v>
      </c>
      <c r="I13">
        <v>2246407</v>
      </c>
      <c r="J13">
        <v>14706240</v>
      </c>
      <c r="K13">
        <v>848308</v>
      </c>
      <c r="L13">
        <v>334330</v>
      </c>
      <c r="M13">
        <v>440057</v>
      </c>
      <c r="N13">
        <v>0</v>
      </c>
      <c r="O13">
        <v>0</v>
      </c>
      <c r="P13">
        <v>0</v>
      </c>
      <c r="Q13">
        <v>0</v>
      </c>
      <c r="R13">
        <v>85851714</v>
      </c>
      <c r="S13">
        <v>13343855</v>
      </c>
      <c r="T13">
        <v>255049</v>
      </c>
      <c r="U13">
        <v>8856829</v>
      </c>
      <c r="V13">
        <v>255989</v>
      </c>
      <c r="W13">
        <v>28781423</v>
      </c>
      <c r="X13">
        <v>1479335</v>
      </c>
      <c r="Y13">
        <v>89683</v>
      </c>
      <c r="Z13">
        <v>12982</v>
      </c>
      <c r="AA13">
        <v>3128</v>
      </c>
      <c r="AB13">
        <v>0</v>
      </c>
      <c r="AC13">
        <v>0</v>
      </c>
      <c r="AD13">
        <v>163081</v>
      </c>
      <c r="AE13">
        <v>8090848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255123</v>
      </c>
      <c r="AT13">
        <v>160203</v>
      </c>
      <c r="AU13">
        <v>0</v>
      </c>
      <c r="AV13">
        <v>0</v>
      </c>
      <c r="AW13">
        <v>33565</v>
      </c>
      <c r="AX13">
        <v>1353797</v>
      </c>
      <c r="AY13">
        <v>0</v>
      </c>
      <c r="AZ13">
        <v>2046837</v>
      </c>
      <c r="BA13">
        <v>0</v>
      </c>
      <c r="BB13">
        <v>0</v>
      </c>
      <c r="BC13">
        <v>0</v>
      </c>
      <c r="BD13">
        <v>1997</v>
      </c>
      <c r="BE13">
        <v>402488</v>
      </c>
      <c r="BF13">
        <v>170045</v>
      </c>
      <c r="BG13">
        <v>1951087</v>
      </c>
      <c r="BH13">
        <v>476099</v>
      </c>
      <c r="BI13">
        <v>244746136</v>
      </c>
      <c r="BJ13">
        <v>3944695</v>
      </c>
      <c r="BK13">
        <v>2199489</v>
      </c>
      <c r="BL13">
        <v>0</v>
      </c>
      <c r="BM13">
        <v>203793</v>
      </c>
      <c r="BN13">
        <v>27642715</v>
      </c>
      <c r="BO13">
        <v>0</v>
      </c>
      <c r="BP13">
        <v>33990692</v>
      </c>
      <c r="BQ13">
        <v>278736828</v>
      </c>
      <c r="BR13">
        <v>-51624855</v>
      </c>
      <c r="BS13">
        <v>-1700242</v>
      </c>
      <c r="BT13">
        <v>-444317</v>
      </c>
      <c r="BU13">
        <v>-5001</v>
      </c>
      <c r="BV13">
        <v>-53774415</v>
      </c>
      <c r="BW13">
        <v>-14993310</v>
      </c>
      <c r="BX13">
        <v>-8180463</v>
      </c>
      <c r="BY13">
        <v>-3058595</v>
      </c>
      <c r="BZ13">
        <v>-26232368</v>
      </c>
      <c r="CA13">
        <v>198730045</v>
      </c>
      <c r="CB13">
        <v>278736828</v>
      </c>
      <c r="CC13">
        <v>1153663791</v>
      </c>
    </row>
    <row r="14" spans="1:81">
      <c r="A14" s="8">
        <v>9</v>
      </c>
      <c r="B14" s="8" t="s">
        <v>100</v>
      </c>
      <c r="C14">
        <v>0</v>
      </c>
      <c r="D14">
        <v>0</v>
      </c>
      <c r="E14">
        <v>0</v>
      </c>
      <c r="F14">
        <v>0</v>
      </c>
      <c r="G14">
        <v>649482</v>
      </c>
      <c r="H14">
        <v>0</v>
      </c>
      <c r="I14">
        <v>0</v>
      </c>
      <c r="J14">
        <v>10772</v>
      </c>
      <c r="K14">
        <v>27489559</v>
      </c>
      <c r="L14">
        <v>0</v>
      </c>
      <c r="M14">
        <v>0</v>
      </c>
      <c r="N14">
        <v>0</v>
      </c>
      <c r="O14">
        <v>0</v>
      </c>
      <c r="P14">
        <v>0</v>
      </c>
      <c r="Q14">
        <v>300253373</v>
      </c>
      <c r="R14">
        <v>19003354</v>
      </c>
      <c r="S14">
        <v>0</v>
      </c>
      <c r="T14">
        <v>0</v>
      </c>
      <c r="U14">
        <v>4161915</v>
      </c>
      <c r="V14">
        <v>0</v>
      </c>
      <c r="W14">
        <v>0</v>
      </c>
      <c r="X14">
        <v>0</v>
      </c>
      <c r="Y14">
        <v>6667100</v>
      </c>
      <c r="Z14">
        <v>18311</v>
      </c>
      <c r="AA14">
        <v>0</v>
      </c>
      <c r="AB14">
        <v>0</v>
      </c>
      <c r="AC14">
        <v>0</v>
      </c>
      <c r="AD14">
        <v>284322</v>
      </c>
      <c r="AE14">
        <v>829987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1313067</v>
      </c>
      <c r="AS14">
        <v>0</v>
      </c>
      <c r="AT14">
        <v>25524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7016546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1403526</v>
      </c>
      <c r="BG14">
        <v>36415</v>
      </c>
      <c r="BH14">
        <v>147330</v>
      </c>
      <c r="BI14">
        <v>369310583</v>
      </c>
      <c r="BJ14">
        <v>75750243</v>
      </c>
      <c r="BK14">
        <v>537858</v>
      </c>
      <c r="BL14">
        <v>3049362</v>
      </c>
      <c r="BM14">
        <v>0</v>
      </c>
      <c r="BN14">
        <v>15461511</v>
      </c>
      <c r="BO14">
        <v>0</v>
      </c>
      <c r="BP14">
        <v>94798974</v>
      </c>
      <c r="BQ14">
        <v>464109557</v>
      </c>
      <c r="BR14">
        <v>-5602028</v>
      </c>
      <c r="BS14">
        <v>-3501</v>
      </c>
      <c r="BT14">
        <v>-128344</v>
      </c>
      <c r="BU14">
        <v>0</v>
      </c>
      <c r="BV14">
        <v>-5733873</v>
      </c>
      <c r="BW14">
        <v>-36985660</v>
      </c>
      <c r="BX14">
        <v>-4414998</v>
      </c>
      <c r="BY14">
        <v>-2394924</v>
      </c>
      <c r="BZ14">
        <v>-43795582</v>
      </c>
      <c r="CA14">
        <v>414580102</v>
      </c>
      <c r="CB14">
        <v>464109557</v>
      </c>
      <c r="CC14">
        <v>2171959420</v>
      </c>
    </row>
    <row r="15" spans="1:81">
      <c r="A15" s="8">
        <v>10</v>
      </c>
      <c r="B15" s="8" t="s">
        <v>101</v>
      </c>
      <c r="C15">
        <v>4505</v>
      </c>
      <c r="D15">
        <v>0</v>
      </c>
      <c r="E15">
        <v>0</v>
      </c>
      <c r="F15">
        <v>0</v>
      </c>
      <c r="G15">
        <v>95611</v>
      </c>
      <c r="H15">
        <v>0</v>
      </c>
      <c r="I15">
        <v>0</v>
      </c>
      <c r="J15">
        <v>6674</v>
      </c>
      <c r="K15">
        <v>136453</v>
      </c>
      <c r="L15">
        <v>700494</v>
      </c>
      <c r="M15">
        <v>8062</v>
      </c>
      <c r="N15">
        <v>0</v>
      </c>
      <c r="O15">
        <v>0</v>
      </c>
      <c r="P15">
        <v>132475</v>
      </c>
      <c r="Q15">
        <v>0</v>
      </c>
      <c r="R15">
        <v>43408</v>
      </c>
      <c r="S15">
        <v>0</v>
      </c>
      <c r="T15">
        <v>15218</v>
      </c>
      <c r="U15">
        <v>845776</v>
      </c>
      <c r="V15">
        <v>23963</v>
      </c>
      <c r="W15">
        <v>33440</v>
      </c>
      <c r="X15">
        <v>5016</v>
      </c>
      <c r="Y15">
        <v>0</v>
      </c>
      <c r="Z15">
        <v>0</v>
      </c>
      <c r="AA15">
        <v>6063713</v>
      </c>
      <c r="AB15">
        <v>0</v>
      </c>
      <c r="AC15">
        <v>0</v>
      </c>
      <c r="AD15">
        <v>15938</v>
      </c>
      <c r="AE15">
        <v>1275852</v>
      </c>
      <c r="AF15">
        <v>0</v>
      </c>
      <c r="AG15">
        <v>110393</v>
      </c>
      <c r="AH15">
        <v>0</v>
      </c>
      <c r="AI15">
        <v>0</v>
      </c>
      <c r="AJ15">
        <v>127132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7227</v>
      </c>
      <c r="AR15">
        <v>0</v>
      </c>
      <c r="AS15">
        <v>38887303</v>
      </c>
      <c r="AT15">
        <v>22766</v>
      </c>
      <c r="AU15">
        <v>345213</v>
      </c>
      <c r="AV15">
        <v>0</v>
      </c>
      <c r="AW15">
        <v>1147176</v>
      </c>
      <c r="AX15">
        <v>359353</v>
      </c>
      <c r="AY15">
        <v>0</v>
      </c>
      <c r="AZ15">
        <v>1066145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20510</v>
      </c>
      <c r="BG15">
        <v>0</v>
      </c>
      <c r="BH15">
        <v>336145</v>
      </c>
      <c r="BI15">
        <v>51835961</v>
      </c>
      <c r="BJ15">
        <v>10481989</v>
      </c>
      <c r="BK15">
        <v>0</v>
      </c>
      <c r="BL15">
        <v>0</v>
      </c>
      <c r="BM15">
        <v>-38847602</v>
      </c>
      <c r="BN15">
        <v>9694480</v>
      </c>
      <c r="BO15">
        <v>0</v>
      </c>
      <c r="BP15">
        <v>-18671133</v>
      </c>
      <c r="BQ15">
        <v>33164828</v>
      </c>
      <c r="BR15">
        <v>-2716606</v>
      </c>
      <c r="BS15">
        <v>-12523</v>
      </c>
      <c r="BT15">
        <v>-202643</v>
      </c>
      <c r="BU15">
        <v>0</v>
      </c>
      <c r="BV15">
        <v>-2931772</v>
      </c>
      <c r="BW15">
        <v>-4021847</v>
      </c>
      <c r="BX15">
        <v>-1697316</v>
      </c>
      <c r="BY15">
        <v>-479105</v>
      </c>
      <c r="BZ15">
        <v>-6198268</v>
      </c>
      <c r="CA15">
        <v>24034788</v>
      </c>
      <c r="CB15">
        <v>33164828</v>
      </c>
      <c r="CC15">
        <v>138434020</v>
      </c>
    </row>
    <row r="16" spans="1:81">
      <c r="A16" s="8">
        <v>11</v>
      </c>
      <c r="B16" s="8" t="s">
        <v>102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4224945</v>
      </c>
      <c r="L16">
        <v>0</v>
      </c>
      <c r="M16">
        <v>11719193</v>
      </c>
      <c r="N16">
        <v>0</v>
      </c>
      <c r="O16">
        <v>0</v>
      </c>
      <c r="P16">
        <v>0</v>
      </c>
      <c r="Q16">
        <v>0</v>
      </c>
      <c r="R16">
        <v>82007018</v>
      </c>
      <c r="S16">
        <v>0</v>
      </c>
      <c r="T16">
        <v>0</v>
      </c>
      <c r="U16">
        <v>3173024</v>
      </c>
      <c r="V16">
        <v>2091654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4175208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53290815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3605291</v>
      </c>
      <c r="BG16">
        <v>157531</v>
      </c>
      <c r="BH16">
        <v>238845</v>
      </c>
      <c r="BI16">
        <v>164683524</v>
      </c>
      <c r="BJ16">
        <v>107290773</v>
      </c>
      <c r="BK16">
        <v>141201</v>
      </c>
      <c r="BL16">
        <v>3154870</v>
      </c>
      <c r="BM16">
        <v>0</v>
      </c>
      <c r="BN16">
        <v>4047601</v>
      </c>
      <c r="BO16">
        <v>0</v>
      </c>
      <c r="BP16">
        <v>114634445</v>
      </c>
      <c r="BQ16">
        <v>279317969</v>
      </c>
      <c r="BR16">
        <v>-11276066</v>
      </c>
      <c r="BS16">
        <v>-108065</v>
      </c>
      <c r="BT16">
        <v>-19107</v>
      </c>
      <c r="BU16">
        <v>0</v>
      </c>
      <c r="BV16">
        <v>-11403238</v>
      </c>
      <c r="BW16">
        <v>-31308028</v>
      </c>
      <c r="BX16">
        <v>-31178009</v>
      </c>
      <c r="BY16">
        <v>-5422074</v>
      </c>
      <c r="BZ16">
        <v>-67908111</v>
      </c>
      <c r="CA16">
        <v>200006620</v>
      </c>
      <c r="CB16">
        <v>279317969</v>
      </c>
      <c r="CC16">
        <v>1158655798</v>
      </c>
    </row>
    <row r="17" spans="1:81">
      <c r="A17" s="8">
        <v>12</v>
      </c>
      <c r="B17" s="8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15879688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3145740</v>
      </c>
      <c r="AD17">
        <v>0</v>
      </c>
      <c r="AE17">
        <v>7013921</v>
      </c>
      <c r="AF17">
        <v>807407767</v>
      </c>
      <c r="AG17">
        <v>0</v>
      </c>
      <c r="AH17">
        <v>0</v>
      </c>
      <c r="AI17">
        <v>7448520</v>
      </c>
      <c r="AJ17">
        <v>0</v>
      </c>
      <c r="AK17">
        <v>0</v>
      </c>
      <c r="AL17">
        <v>5289759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401159406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87013</v>
      </c>
      <c r="BI17">
        <v>1247431814</v>
      </c>
      <c r="BJ17">
        <v>0</v>
      </c>
      <c r="BK17">
        <v>0</v>
      </c>
      <c r="BL17">
        <v>0</v>
      </c>
      <c r="BM17">
        <v>119611124</v>
      </c>
      <c r="BN17">
        <v>15399283</v>
      </c>
      <c r="BO17">
        <v>0</v>
      </c>
      <c r="BP17">
        <v>135010407</v>
      </c>
      <c r="BQ17">
        <v>1382442221</v>
      </c>
      <c r="BR17">
        <v>-935241246</v>
      </c>
      <c r="BS17">
        <v>0</v>
      </c>
      <c r="BT17">
        <v>-79102992</v>
      </c>
      <c r="BU17">
        <v>0</v>
      </c>
      <c r="BV17">
        <v>-1014344238</v>
      </c>
      <c r="BW17">
        <v>-877229</v>
      </c>
      <c r="BX17">
        <v>0</v>
      </c>
      <c r="BY17">
        <v>-819088</v>
      </c>
      <c r="BZ17">
        <v>-1696317</v>
      </c>
      <c r="CA17">
        <v>366401666</v>
      </c>
      <c r="CB17">
        <v>1382442221</v>
      </c>
      <c r="CC17">
        <v>3864089440</v>
      </c>
    </row>
    <row r="18" spans="1:81">
      <c r="A18" s="8">
        <v>13</v>
      </c>
      <c r="B18" s="8" t="s">
        <v>104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1096937</v>
      </c>
      <c r="AD18">
        <v>0</v>
      </c>
      <c r="AE18">
        <v>26393</v>
      </c>
      <c r="AF18">
        <v>0</v>
      </c>
      <c r="AG18">
        <v>0</v>
      </c>
      <c r="AH18">
        <v>0</v>
      </c>
      <c r="AI18">
        <v>564118</v>
      </c>
      <c r="AJ18">
        <v>915536</v>
      </c>
      <c r="AK18">
        <v>1804607</v>
      </c>
      <c r="AL18">
        <v>22835657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108666</v>
      </c>
      <c r="BI18">
        <v>27351914</v>
      </c>
      <c r="BJ18">
        <v>0</v>
      </c>
      <c r="BK18">
        <v>0</v>
      </c>
      <c r="BL18">
        <v>0</v>
      </c>
      <c r="BM18">
        <v>-10590201</v>
      </c>
      <c r="BN18">
        <v>4337404</v>
      </c>
      <c r="BO18">
        <v>0</v>
      </c>
      <c r="BP18">
        <v>-6252797</v>
      </c>
      <c r="BQ18">
        <v>21099117</v>
      </c>
      <c r="BR18">
        <v>-18036490</v>
      </c>
      <c r="BS18">
        <v>0</v>
      </c>
      <c r="BT18">
        <v>-1032737</v>
      </c>
      <c r="BU18">
        <v>0</v>
      </c>
      <c r="BV18">
        <v>-19069227</v>
      </c>
      <c r="BW18">
        <v>-1297161</v>
      </c>
      <c r="BX18">
        <v>0</v>
      </c>
      <c r="BY18">
        <v>-543782</v>
      </c>
      <c r="BZ18">
        <v>-1840943</v>
      </c>
      <c r="CA18">
        <v>188947</v>
      </c>
      <c r="CB18">
        <v>21099117</v>
      </c>
      <c r="CC18">
        <v>42765075</v>
      </c>
    </row>
    <row r="19" spans="1:81">
      <c r="A19" s="8">
        <v>14</v>
      </c>
      <c r="B19" s="8" t="s">
        <v>105</v>
      </c>
      <c r="C19">
        <v>0</v>
      </c>
      <c r="D19">
        <v>0</v>
      </c>
      <c r="E19">
        <v>0</v>
      </c>
      <c r="F19">
        <v>0</v>
      </c>
      <c r="G19">
        <v>190889</v>
      </c>
      <c r="H19">
        <v>0</v>
      </c>
      <c r="I19">
        <v>19485</v>
      </c>
      <c r="J19">
        <v>40766</v>
      </c>
      <c r="K19">
        <v>83536</v>
      </c>
      <c r="L19">
        <v>0</v>
      </c>
      <c r="M19">
        <v>39198</v>
      </c>
      <c r="N19">
        <v>180182</v>
      </c>
      <c r="O19">
        <v>0</v>
      </c>
      <c r="P19">
        <v>1069006</v>
      </c>
      <c r="Q19">
        <v>0</v>
      </c>
      <c r="R19">
        <v>710744</v>
      </c>
      <c r="S19">
        <v>0</v>
      </c>
      <c r="T19">
        <v>0</v>
      </c>
      <c r="U19">
        <v>3053874</v>
      </c>
      <c r="V19">
        <v>58554</v>
      </c>
      <c r="W19">
        <v>0</v>
      </c>
      <c r="X19">
        <v>0</v>
      </c>
      <c r="Y19">
        <v>2739</v>
      </c>
      <c r="Z19">
        <v>0</v>
      </c>
      <c r="AA19">
        <v>410497</v>
      </c>
      <c r="AB19">
        <v>0</v>
      </c>
      <c r="AC19">
        <v>7405932</v>
      </c>
      <c r="AD19">
        <v>3704237</v>
      </c>
      <c r="AE19">
        <v>1837541</v>
      </c>
      <c r="AF19">
        <v>0</v>
      </c>
      <c r="AG19">
        <v>143094</v>
      </c>
      <c r="AH19">
        <v>28739</v>
      </c>
      <c r="AI19">
        <v>44615880</v>
      </c>
      <c r="AJ19">
        <v>40748264</v>
      </c>
      <c r="AK19">
        <v>2115112</v>
      </c>
      <c r="AL19">
        <v>725897</v>
      </c>
      <c r="AM19">
        <v>262073</v>
      </c>
      <c r="AN19">
        <v>421669</v>
      </c>
      <c r="AO19">
        <v>746547</v>
      </c>
      <c r="AP19">
        <v>0</v>
      </c>
      <c r="AQ19">
        <v>114389</v>
      </c>
      <c r="AR19">
        <v>49830</v>
      </c>
      <c r="AS19">
        <v>0</v>
      </c>
      <c r="AT19">
        <v>10671636</v>
      </c>
      <c r="AU19">
        <v>29524</v>
      </c>
      <c r="AV19">
        <v>45871</v>
      </c>
      <c r="AW19">
        <v>28088563</v>
      </c>
      <c r="AX19">
        <v>68865876</v>
      </c>
      <c r="AY19">
        <v>0</v>
      </c>
      <c r="AZ19">
        <v>0</v>
      </c>
      <c r="BA19">
        <v>17372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708078</v>
      </c>
      <c r="BI19">
        <v>217205594</v>
      </c>
      <c r="BJ19">
        <v>0</v>
      </c>
      <c r="BK19">
        <v>0</v>
      </c>
      <c r="BL19">
        <v>0</v>
      </c>
      <c r="BM19">
        <v>-66262088</v>
      </c>
      <c r="BN19">
        <v>20257280</v>
      </c>
      <c r="BO19">
        <v>0</v>
      </c>
      <c r="BP19">
        <v>-46004808</v>
      </c>
      <c r="BQ19">
        <v>171200786</v>
      </c>
      <c r="BR19">
        <v>-10363439</v>
      </c>
      <c r="BS19">
        <v>-19442</v>
      </c>
      <c r="BT19">
        <v>-704188</v>
      </c>
      <c r="BU19">
        <v>0</v>
      </c>
      <c r="BV19">
        <v>-11087069</v>
      </c>
      <c r="BW19">
        <v>-9157107</v>
      </c>
      <c r="BX19">
        <v>-1920783</v>
      </c>
      <c r="BY19">
        <v>-20416045</v>
      </c>
      <c r="BZ19">
        <v>-31493935</v>
      </c>
      <c r="CA19">
        <v>128619782</v>
      </c>
      <c r="CB19">
        <v>171200786</v>
      </c>
      <c r="CC19">
        <v>728260918</v>
      </c>
    </row>
    <row r="20" spans="1:81">
      <c r="A20" s="8">
        <v>15</v>
      </c>
      <c r="B20" s="8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121404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77021461</v>
      </c>
      <c r="S20">
        <v>0</v>
      </c>
      <c r="T20">
        <v>0</v>
      </c>
      <c r="U20">
        <v>2124956</v>
      </c>
      <c r="V20">
        <v>575708</v>
      </c>
      <c r="W20">
        <v>0</v>
      </c>
      <c r="X20">
        <v>0</v>
      </c>
      <c r="Y20">
        <v>0</v>
      </c>
      <c r="Z20">
        <v>381545</v>
      </c>
      <c r="AA20">
        <v>0</v>
      </c>
      <c r="AB20">
        <v>0</v>
      </c>
      <c r="AC20">
        <v>0</v>
      </c>
      <c r="AD20">
        <v>0</v>
      </c>
      <c r="AE20">
        <v>13924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9719406</v>
      </c>
      <c r="AS20">
        <v>0</v>
      </c>
      <c r="AT20">
        <v>2147182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133562274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6358363</v>
      </c>
      <c r="BG20">
        <v>2439031</v>
      </c>
      <c r="BH20">
        <v>547622</v>
      </c>
      <c r="BI20">
        <v>235012876</v>
      </c>
      <c r="BJ20">
        <v>324813930</v>
      </c>
      <c r="BK20">
        <v>3870084</v>
      </c>
      <c r="BL20">
        <v>0</v>
      </c>
      <c r="BM20">
        <v>0</v>
      </c>
      <c r="BN20">
        <v>1414190</v>
      </c>
      <c r="BO20">
        <v>0</v>
      </c>
      <c r="BP20">
        <v>330098204</v>
      </c>
      <c r="BQ20">
        <v>565111080</v>
      </c>
      <c r="BR20">
        <v>-482092</v>
      </c>
      <c r="BS20">
        <v>-18484</v>
      </c>
      <c r="BT20">
        <v>-8818</v>
      </c>
      <c r="BU20">
        <v>0</v>
      </c>
      <c r="BV20">
        <v>-509394</v>
      </c>
      <c r="BW20">
        <v>-13084995</v>
      </c>
      <c r="BX20">
        <v>-21152829</v>
      </c>
      <c r="BY20">
        <v>-1655254</v>
      </c>
      <c r="BZ20">
        <v>-35893078</v>
      </c>
      <c r="CA20">
        <v>528708608</v>
      </c>
      <c r="CB20">
        <v>565111080</v>
      </c>
      <c r="CC20">
        <v>2716347984</v>
      </c>
    </row>
    <row r="21" spans="1:81">
      <c r="A21" s="8">
        <v>16</v>
      </c>
      <c r="B21" s="8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32006826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97450615</v>
      </c>
      <c r="S21">
        <v>16017</v>
      </c>
      <c r="T21">
        <v>0</v>
      </c>
      <c r="U21">
        <v>26368470</v>
      </c>
      <c r="V21">
        <v>20565241</v>
      </c>
      <c r="W21">
        <v>295788</v>
      </c>
      <c r="X21">
        <v>0</v>
      </c>
      <c r="Y21">
        <v>0</v>
      </c>
      <c r="Z21">
        <v>0</v>
      </c>
      <c r="AA21">
        <v>0</v>
      </c>
      <c r="AB21">
        <v>0</v>
      </c>
      <c r="AC21">
        <v>578705</v>
      </c>
      <c r="AD21">
        <v>0</v>
      </c>
      <c r="AE21">
        <v>13448358</v>
      </c>
      <c r="AF21">
        <v>92011</v>
      </c>
      <c r="AG21">
        <v>0</v>
      </c>
      <c r="AH21">
        <v>179048</v>
      </c>
      <c r="AI21">
        <v>0</v>
      </c>
      <c r="AJ21">
        <v>0</v>
      </c>
      <c r="AK21">
        <v>0</v>
      </c>
      <c r="AL21">
        <v>38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27541</v>
      </c>
      <c r="AV21">
        <v>0</v>
      </c>
      <c r="AW21">
        <v>0</v>
      </c>
      <c r="AX21">
        <v>0</v>
      </c>
      <c r="AY21">
        <v>0</v>
      </c>
      <c r="AZ21">
        <v>86056422</v>
      </c>
      <c r="BA21">
        <v>24106</v>
      </c>
      <c r="BB21">
        <v>0</v>
      </c>
      <c r="BC21">
        <v>0</v>
      </c>
      <c r="BD21">
        <v>0</v>
      </c>
      <c r="BE21">
        <v>0</v>
      </c>
      <c r="BF21">
        <v>9143487</v>
      </c>
      <c r="BG21">
        <v>1905618</v>
      </c>
      <c r="BH21">
        <v>1720964</v>
      </c>
      <c r="BI21">
        <v>289879255</v>
      </c>
      <c r="BJ21">
        <v>293033886</v>
      </c>
      <c r="BK21">
        <v>25333331</v>
      </c>
      <c r="BL21">
        <v>0</v>
      </c>
      <c r="BM21">
        <v>57844489</v>
      </c>
      <c r="BN21">
        <v>456662650</v>
      </c>
      <c r="BO21">
        <v>2736921</v>
      </c>
      <c r="BP21">
        <v>835611277</v>
      </c>
      <c r="BQ21">
        <v>1125490532</v>
      </c>
      <c r="BR21">
        <v>-254790929</v>
      </c>
      <c r="BS21">
        <v>-6056811</v>
      </c>
      <c r="BT21">
        <v>-10067923</v>
      </c>
      <c r="BU21">
        <v>-925141</v>
      </c>
      <c r="BV21">
        <v>-271840804</v>
      </c>
      <c r="BW21">
        <v>-39816180</v>
      </c>
      <c r="BX21">
        <v>-34044951</v>
      </c>
      <c r="BY21">
        <v>-8879747</v>
      </c>
      <c r="BZ21">
        <v>-82740878</v>
      </c>
      <c r="CA21">
        <v>770908850</v>
      </c>
      <c r="CB21">
        <v>1125490532</v>
      </c>
      <c r="CC21">
        <v>4563707614</v>
      </c>
    </row>
    <row r="22" spans="1:81">
      <c r="A22" s="8">
        <v>17</v>
      </c>
      <c r="B22" s="8" t="s">
        <v>108</v>
      </c>
      <c r="C22">
        <v>0</v>
      </c>
      <c r="D22">
        <v>0</v>
      </c>
      <c r="E22">
        <v>0</v>
      </c>
      <c r="F22">
        <v>0</v>
      </c>
      <c r="G22">
        <v>383515</v>
      </c>
      <c r="H22">
        <v>0</v>
      </c>
      <c r="I22">
        <v>0</v>
      </c>
      <c r="J22">
        <v>40404</v>
      </c>
      <c r="K22">
        <v>27944542</v>
      </c>
      <c r="L22">
        <v>0</v>
      </c>
      <c r="M22">
        <v>528741</v>
      </c>
      <c r="N22">
        <v>0</v>
      </c>
      <c r="O22">
        <v>0</v>
      </c>
      <c r="P22">
        <v>0</v>
      </c>
      <c r="Q22">
        <v>0</v>
      </c>
      <c r="R22">
        <v>7906992</v>
      </c>
      <c r="S22">
        <v>15016052</v>
      </c>
      <c r="T22">
        <v>729640</v>
      </c>
      <c r="U22">
        <v>42939182</v>
      </c>
      <c r="V22">
        <v>5871071</v>
      </c>
      <c r="W22">
        <v>3162941</v>
      </c>
      <c r="X22">
        <v>0</v>
      </c>
      <c r="Y22">
        <v>116920</v>
      </c>
      <c r="Z22">
        <v>9255</v>
      </c>
      <c r="AA22">
        <v>327252</v>
      </c>
      <c r="AB22">
        <v>679</v>
      </c>
      <c r="AC22">
        <v>2552134</v>
      </c>
      <c r="AD22">
        <v>69186</v>
      </c>
      <c r="AE22">
        <v>2942943</v>
      </c>
      <c r="AF22">
        <v>0</v>
      </c>
      <c r="AG22">
        <v>509172</v>
      </c>
      <c r="AH22">
        <v>12382</v>
      </c>
      <c r="AI22">
        <v>0</v>
      </c>
      <c r="AJ22">
        <v>771384</v>
      </c>
      <c r="AK22">
        <v>0</v>
      </c>
      <c r="AL22">
        <v>0</v>
      </c>
      <c r="AM22">
        <v>0</v>
      </c>
      <c r="AN22">
        <v>0</v>
      </c>
      <c r="AO22">
        <v>28614</v>
      </c>
      <c r="AP22">
        <v>0</v>
      </c>
      <c r="AQ22">
        <v>0</v>
      </c>
      <c r="AR22">
        <v>18432</v>
      </c>
      <c r="AS22">
        <v>14797</v>
      </c>
      <c r="AT22">
        <v>9196</v>
      </c>
      <c r="AU22">
        <v>780304</v>
      </c>
      <c r="AV22">
        <v>0</v>
      </c>
      <c r="AW22">
        <v>0</v>
      </c>
      <c r="AX22">
        <v>0</v>
      </c>
      <c r="AY22">
        <v>0</v>
      </c>
      <c r="AZ22">
        <v>42963246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11029758</v>
      </c>
      <c r="BG22">
        <v>3352764</v>
      </c>
      <c r="BH22">
        <v>322694</v>
      </c>
      <c r="BI22">
        <v>170354192</v>
      </c>
      <c r="BJ22">
        <v>333340695</v>
      </c>
      <c r="BK22">
        <v>0</v>
      </c>
      <c r="BL22">
        <v>0</v>
      </c>
      <c r="BM22">
        <v>-79365247</v>
      </c>
      <c r="BN22">
        <v>224554307</v>
      </c>
      <c r="BO22">
        <v>804</v>
      </c>
      <c r="BP22">
        <v>478530559</v>
      </c>
      <c r="BQ22">
        <v>648884751</v>
      </c>
      <c r="BR22">
        <v>-32743287</v>
      </c>
      <c r="BS22">
        <v>-1390266</v>
      </c>
      <c r="BT22">
        <v>-1208972</v>
      </c>
      <c r="BU22">
        <v>0</v>
      </c>
      <c r="BV22">
        <v>-35342525</v>
      </c>
      <c r="BW22">
        <v>-36096656</v>
      </c>
      <c r="BX22">
        <v>-39116970</v>
      </c>
      <c r="BY22">
        <v>-11495429</v>
      </c>
      <c r="BZ22">
        <v>-86709055</v>
      </c>
      <c r="CA22">
        <v>526833171</v>
      </c>
      <c r="CB22">
        <v>648884751</v>
      </c>
      <c r="CC22">
        <v>2878269015</v>
      </c>
    </row>
    <row r="23" spans="1:81">
      <c r="A23" s="8">
        <v>18</v>
      </c>
      <c r="B23" s="8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26957938</v>
      </c>
      <c r="S23">
        <v>2972</v>
      </c>
      <c r="T23">
        <v>3015053</v>
      </c>
      <c r="U23">
        <v>17794107</v>
      </c>
      <c r="V23">
        <v>100558</v>
      </c>
      <c r="W23">
        <v>46659247</v>
      </c>
      <c r="X23">
        <v>0</v>
      </c>
      <c r="Y23">
        <v>0</v>
      </c>
      <c r="Z23">
        <v>0</v>
      </c>
      <c r="AA23">
        <v>1572475</v>
      </c>
      <c r="AB23">
        <v>0</v>
      </c>
      <c r="AC23">
        <v>449265</v>
      </c>
      <c r="AD23">
        <v>505301</v>
      </c>
      <c r="AE23">
        <v>1569571</v>
      </c>
      <c r="AF23">
        <v>0</v>
      </c>
      <c r="AG23">
        <v>69370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495360</v>
      </c>
      <c r="AT23">
        <v>0</v>
      </c>
      <c r="AU23">
        <v>1455650</v>
      </c>
      <c r="AV23">
        <v>0</v>
      </c>
      <c r="AW23">
        <v>0</v>
      </c>
      <c r="AX23">
        <v>0</v>
      </c>
      <c r="AY23">
        <v>0</v>
      </c>
      <c r="AZ23">
        <v>7812133</v>
      </c>
      <c r="BA23">
        <v>9794</v>
      </c>
      <c r="BB23">
        <v>0</v>
      </c>
      <c r="BC23">
        <v>0</v>
      </c>
      <c r="BD23">
        <v>0</v>
      </c>
      <c r="BE23">
        <v>0</v>
      </c>
      <c r="BF23">
        <v>866886</v>
      </c>
      <c r="BG23">
        <v>80069</v>
      </c>
      <c r="BH23">
        <v>113328</v>
      </c>
      <c r="BI23">
        <v>109529077</v>
      </c>
      <c r="BJ23">
        <v>30347812</v>
      </c>
      <c r="BK23">
        <v>0</v>
      </c>
      <c r="BL23">
        <v>0</v>
      </c>
      <c r="BM23">
        <v>-23289063</v>
      </c>
      <c r="BN23">
        <v>60233732</v>
      </c>
      <c r="BO23">
        <v>0</v>
      </c>
      <c r="BP23">
        <v>67292481</v>
      </c>
      <c r="BQ23">
        <v>176821558</v>
      </c>
      <c r="BR23">
        <v>-12872471</v>
      </c>
      <c r="BS23">
        <v>-254227</v>
      </c>
      <c r="BT23">
        <v>-1069522</v>
      </c>
      <c r="BU23">
        <v>0</v>
      </c>
      <c r="BV23">
        <v>-14196220</v>
      </c>
      <c r="BW23">
        <v>-5296688</v>
      </c>
      <c r="BX23">
        <v>-4788649</v>
      </c>
      <c r="BY23">
        <v>-2408655</v>
      </c>
      <c r="BZ23">
        <v>-12493992</v>
      </c>
      <c r="CA23">
        <v>150131346</v>
      </c>
      <c r="CB23">
        <v>176821558</v>
      </c>
      <c r="CC23">
        <v>804037154</v>
      </c>
    </row>
    <row r="24" spans="1:81">
      <c r="A24" s="8">
        <v>19</v>
      </c>
      <c r="B24" s="8" t="s">
        <v>110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5990688</v>
      </c>
      <c r="N24">
        <v>0</v>
      </c>
      <c r="O24">
        <v>0</v>
      </c>
      <c r="P24">
        <v>0</v>
      </c>
      <c r="Q24">
        <v>1024523</v>
      </c>
      <c r="R24">
        <v>22317098</v>
      </c>
      <c r="S24">
        <v>212846</v>
      </c>
      <c r="T24">
        <v>2153</v>
      </c>
      <c r="U24">
        <v>23474023</v>
      </c>
      <c r="V24">
        <v>65394</v>
      </c>
      <c r="W24">
        <v>17786538</v>
      </c>
      <c r="X24">
        <v>0</v>
      </c>
      <c r="Y24">
        <v>0</v>
      </c>
      <c r="Z24">
        <v>0</v>
      </c>
      <c r="AA24">
        <v>10757</v>
      </c>
      <c r="AB24">
        <v>0</v>
      </c>
      <c r="AC24">
        <v>0</v>
      </c>
      <c r="AD24">
        <v>50811</v>
      </c>
      <c r="AE24">
        <v>4348524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1393036</v>
      </c>
      <c r="AZ24">
        <v>72410884</v>
      </c>
      <c r="BA24">
        <v>469978</v>
      </c>
      <c r="BB24">
        <v>0</v>
      </c>
      <c r="BC24">
        <v>45883</v>
      </c>
      <c r="BD24">
        <v>0</v>
      </c>
      <c r="BE24">
        <v>127257</v>
      </c>
      <c r="BF24">
        <v>4685518</v>
      </c>
      <c r="BG24">
        <v>375009</v>
      </c>
      <c r="BH24">
        <v>900153</v>
      </c>
      <c r="BI24">
        <v>155691073</v>
      </c>
      <c r="BJ24">
        <v>169586150</v>
      </c>
      <c r="BK24">
        <v>11174935</v>
      </c>
      <c r="BL24">
        <v>0</v>
      </c>
      <c r="BM24">
        <v>-44431677</v>
      </c>
      <c r="BN24">
        <v>153275469</v>
      </c>
      <c r="BO24">
        <v>4260765</v>
      </c>
      <c r="BP24">
        <v>293865642</v>
      </c>
      <c r="BQ24">
        <v>449556715</v>
      </c>
      <c r="BR24">
        <v>-80824919</v>
      </c>
      <c r="BS24">
        <v>-2564895</v>
      </c>
      <c r="BT24">
        <v>-5876886</v>
      </c>
      <c r="BU24">
        <v>-145054</v>
      </c>
      <c r="BV24">
        <v>-89411754</v>
      </c>
      <c r="BW24">
        <v>-25110643</v>
      </c>
      <c r="BX24">
        <v>-24109300</v>
      </c>
      <c r="BY24">
        <v>-6751606</v>
      </c>
      <c r="BZ24">
        <v>-55971549</v>
      </c>
      <c r="CA24">
        <v>304173412</v>
      </c>
      <c r="CB24">
        <v>449556715</v>
      </c>
      <c r="CC24">
        <v>1811633666</v>
      </c>
    </row>
    <row r="25" spans="1:81">
      <c r="A25" s="8">
        <v>20</v>
      </c>
      <c r="B25" s="8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72942348</v>
      </c>
      <c r="L25">
        <v>0</v>
      </c>
      <c r="M25">
        <v>26279943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2319341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197827</v>
      </c>
      <c r="BG25">
        <v>1246895</v>
      </c>
      <c r="BH25">
        <v>87650</v>
      </c>
      <c r="BI25">
        <v>103074004</v>
      </c>
      <c r="BJ25">
        <v>4801466</v>
      </c>
      <c r="BK25">
        <v>44740</v>
      </c>
      <c r="BL25">
        <v>0</v>
      </c>
      <c r="BM25">
        <v>-54850635</v>
      </c>
      <c r="BN25">
        <v>61682867</v>
      </c>
      <c r="BO25">
        <v>0</v>
      </c>
      <c r="BP25">
        <v>11678438</v>
      </c>
      <c r="BQ25">
        <v>114752442</v>
      </c>
      <c r="BR25">
        <v>-25943065</v>
      </c>
      <c r="BS25">
        <v>-408342</v>
      </c>
      <c r="BT25">
        <v>-23066</v>
      </c>
      <c r="BU25">
        <v>0</v>
      </c>
      <c r="BV25">
        <v>-26374473</v>
      </c>
      <c r="BW25">
        <v>-8690674</v>
      </c>
      <c r="BX25">
        <v>-7305285</v>
      </c>
      <c r="BY25">
        <v>-1073127</v>
      </c>
      <c r="BZ25">
        <v>-17069086</v>
      </c>
      <c r="CA25">
        <v>71308883</v>
      </c>
      <c r="CB25">
        <v>114752442</v>
      </c>
      <c r="CC25">
        <v>443431533</v>
      </c>
    </row>
    <row r="26" spans="1:81">
      <c r="A26" s="8">
        <v>21</v>
      </c>
      <c r="B26" s="8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6044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101721</v>
      </c>
      <c r="S26">
        <v>0</v>
      </c>
      <c r="T26">
        <v>0</v>
      </c>
      <c r="U26">
        <v>0</v>
      </c>
      <c r="V26">
        <v>0</v>
      </c>
      <c r="W26">
        <v>43970950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73969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33310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1130237</v>
      </c>
      <c r="AZ26">
        <v>156133462</v>
      </c>
      <c r="BA26">
        <v>560196</v>
      </c>
      <c r="BB26">
        <v>0</v>
      </c>
      <c r="BC26">
        <v>641370</v>
      </c>
      <c r="BD26">
        <v>46724</v>
      </c>
      <c r="BE26">
        <v>1624947</v>
      </c>
      <c r="BF26">
        <v>127734</v>
      </c>
      <c r="BG26">
        <v>3166919</v>
      </c>
      <c r="BH26">
        <v>2522613</v>
      </c>
      <c r="BI26">
        <v>210140196</v>
      </c>
      <c r="BJ26">
        <v>290107001</v>
      </c>
      <c r="BK26">
        <v>27385</v>
      </c>
      <c r="BL26">
        <v>0</v>
      </c>
      <c r="BM26">
        <v>113113549</v>
      </c>
      <c r="BN26">
        <v>55307074</v>
      </c>
      <c r="BO26">
        <v>2898841</v>
      </c>
      <c r="BP26">
        <v>461453850</v>
      </c>
      <c r="BQ26">
        <v>671594046</v>
      </c>
      <c r="BR26">
        <v>-12962302</v>
      </c>
      <c r="BS26">
        <v>-1196297</v>
      </c>
      <c r="BT26">
        <v>-6040042</v>
      </c>
      <c r="BU26">
        <v>-3580706</v>
      </c>
      <c r="BV26">
        <v>-23779347</v>
      </c>
      <c r="BW26">
        <v>-41800787</v>
      </c>
      <c r="BX26">
        <v>-38776919</v>
      </c>
      <c r="BY26">
        <v>-9290670</v>
      </c>
      <c r="BZ26">
        <v>-89868376</v>
      </c>
      <c r="CA26">
        <v>557946323</v>
      </c>
      <c r="CB26">
        <v>671594046</v>
      </c>
      <c r="CC26">
        <v>3017027061</v>
      </c>
    </row>
    <row r="27" spans="1:81">
      <c r="A27" s="8">
        <v>22</v>
      </c>
      <c r="B27" s="8" t="s">
        <v>113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6234431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2036182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471772</v>
      </c>
      <c r="BI27">
        <v>8742385</v>
      </c>
      <c r="BJ27">
        <v>68050398</v>
      </c>
      <c r="BK27">
        <v>0</v>
      </c>
      <c r="BL27">
        <v>0</v>
      </c>
      <c r="BM27">
        <v>-5612033</v>
      </c>
      <c r="BN27">
        <v>6931620</v>
      </c>
      <c r="BO27">
        <v>776644</v>
      </c>
      <c r="BP27">
        <v>70146629</v>
      </c>
      <c r="BQ27">
        <v>78889014</v>
      </c>
      <c r="BR27">
        <v>-9290534</v>
      </c>
      <c r="BS27">
        <v>-1188020</v>
      </c>
      <c r="BT27">
        <v>-7347184</v>
      </c>
      <c r="BU27">
        <v>-121947</v>
      </c>
      <c r="BV27">
        <v>-17947685</v>
      </c>
      <c r="BW27">
        <v>-4814026</v>
      </c>
      <c r="BX27">
        <v>-5310511</v>
      </c>
      <c r="BY27">
        <v>-700887</v>
      </c>
      <c r="BZ27">
        <v>-10825424</v>
      </c>
      <c r="CA27">
        <v>50115905</v>
      </c>
      <c r="CB27">
        <v>78889014</v>
      </c>
      <c r="CC27">
        <v>308125743</v>
      </c>
    </row>
    <row r="28" spans="1:81">
      <c r="A28" s="8">
        <v>23</v>
      </c>
      <c r="B28" s="8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104</v>
      </c>
      <c r="L28">
        <v>0</v>
      </c>
      <c r="M28">
        <v>1177</v>
      </c>
      <c r="N28">
        <v>0</v>
      </c>
      <c r="O28">
        <v>0</v>
      </c>
      <c r="P28">
        <v>0</v>
      </c>
      <c r="Q28">
        <v>0</v>
      </c>
      <c r="R28">
        <v>0</v>
      </c>
      <c r="S28">
        <v>1462</v>
      </c>
      <c r="T28">
        <v>3748</v>
      </c>
      <c r="U28">
        <v>0</v>
      </c>
      <c r="V28">
        <v>0</v>
      </c>
      <c r="W28">
        <v>0</v>
      </c>
      <c r="X28">
        <v>0</v>
      </c>
      <c r="Y28">
        <v>53298110</v>
      </c>
      <c r="Z28">
        <v>121519644</v>
      </c>
      <c r="AA28">
        <v>28378</v>
      </c>
      <c r="AB28">
        <v>8508</v>
      </c>
      <c r="AC28">
        <v>2282326</v>
      </c>
      <c r="AD28">
        <v>1602</v>
      </c>
      <c r="AE28">
        <v>306008</v>
      </c>
      <c r="AF28">
        <v>0</v>
      </c>
      <c r="AG28">
        <v>12935418</v>
      </c>
      <c r="AH28">
        <v>557860</v>
      </c>
      <c r="AI28">
        <v>0</v>
      </c>
      <c r="AJ28">
        <v>259612</v>
      </c>
      <c r="AK28">
        <v>0</v>
      </c>
      <c r="AL28">
        <v>0</v>
      </c>
      <c r="AM28">
        <v>54043</v>
      </c>
      <c r="AN28">
        <v>0</v>
      </c>
      <c r="AO28">
        <v>0</v>
      </c>
      <c r="AP28">
        <v>592576</v>
      </c>
      <c r="AQ28">
        <v>49849</v>
      </c>
      <c r="AR28">
        <v>4014291</v>
      </c>
      <c r="AS28">
        <v>121572</v>
      </c>
      <c r="AT28">
        <v>8458963</v>
      </c>
      <c r="AU28">
        <v>0</v>
      </c>
      <c r="AV28">
        <v>0</v>
      </c>
      <c r="AW28">
        <v>27543</v>
      </c>
      <c r="AX28">
        <v>0</v>
      </c>
      <c r="AY28">
        <v>655087</v>
      </c>
      <c r="AZ28">
        <v>91077</v>
      </c>
      <c r="BA28">
        <v>0</v>
      </c>
      <c r="BB28">
        <v>0</v>
      </c>
      <c r="BC28">
        <v>0</v>
      </c>
      <c r="BD28">
        <v>0</v>
      </c>
      <c r="BE28">
        <v>506087</v>
      </c>
      <c r="BF28">
        <v>66897</v>
      </c>
      <c r="BG28">
        <v>334827</v>
      </c>
      <c r="BH28">
        <v>249716</v>
      </c>
      <c r="BI28">
        <v>206426485</v>
      </c>
      <c r="BJ28">
        <v>2128333</v>
      </c>
      <c r="BK28">
        <v>74188</v>
      </c>
      <c r="BL28">
        <v>0</v>
      </c>
      <c r="BM28">
        <v>9184715</v>
      </c>
      <c r="BN28">
        <v>92962136</v>
      </c>
      <c r="BO28">
        <v>21234</v>
      </c>
      <c r="BP28">
        <v>104370606</v>
      </c>
      <c r="BQ28">
        <v>310797091</v>
      </c>
      <c r="BR28">
        <v>-75153585</v>
      </c>
      <c r="BS28">
        <v>-730071</v>
      </c>
      <c r="BT28">
        <v>-3174697</v>
      </c>
      <c r="BU28">
        <v>-46</v>
      </c>
      <c r="BV28">
        <v>-79058399</v>
      </c>
      <c r="BW28">
        <v>-27553924</v>
      </c>
      <c r="BX28">
        <v>-13813345</v>
      </c>
      <c r="BY28">
        <v>-2551180</v>
      </c>
      <c r="BZ28">
        <v>-43918449</v>
      </c>
      <c r="CA28">
        <v>187820243</v>
      </c>
      <c r="CB28">
        <v>310797091</v>
      </c>
      <c r="CC28">
        <v>1185054911</v>
      </c>
    </row>
    <row r="29" spans="1:81">
      <c r="A29" s="8">
        <v>24</v>
      </c>
      <c r="B29" s="8" t="s">
        <v>115</v>
      </c>
      <c r="C29">
        <v>30174</v>
      </c>
      <c r="D29">
        <v>208864</v>
      </c>
      <c r="E29">
        <v>951</v>
      </c>
      <c r="F29">
        <v>12637</v>
      </c>
      <c r="G29">
        <v>230080</v>
      </c>
      <c r="H29">
        <v>1447</v>
      </c>
      <c r="I29">
        <v>0</v>
      </c>
      <c r="J29">
        <v>165333</v>
      </c>
      <c r="K29">
        <v>6707</v>
      </c>
      <c r="L29">
        <v>93380</v>
      </c>
      <c r="M29">
        <v>943037</v>
      </c>
      <c r="N29">
        <v>0</v>
      </c>
      <c r="O29">
        <v>0</v>
      </c>
      <c r="P29">
        <v>82310</v>
      </c>
      <c r="Q29">
        <v>47950</v>
      </c>
      <c r="R29">
        <v>65</v>
      </c>
      <c r="S29">
        <v>1161542</v>
      </c>
      <c r="T29">
        <v>17921</v>
      </c>
      <c r="U29">
        <v>2527</v>
      </c>
      <c r="V29">
        <v>0</v>
      </c>
      <c r="W29">
        <v>0</v>
      </c>
      <c r="X29">
        <v>0</v>
      </c>
      <c r="Y29">
        <v>27954</v>
      </c>
      <c r="Z29">
        <v>10864185</v>
      </c>
      <c r="AA29">
        <v>18632</v>
      </c>
      <c r="AB29">
        <v>0</v>
      </c>
      <c r="AC29">
        <v>75193</v>
      </c>
      <c r="AD29">
        <v>0</v>
      </c>
      <c r="AE29">
        <v>379301</v>
      </c>
      <c r="AF29">
        <v>0</v>
      </c>
      <c r="AG29">
        <v>1475822</v>
      </c>
      <c r="AH29">
        <v>9884</v>
      </c>
      <c r="AI29">
        <v>5020</v>
      </c>
      <c r="AJ29">
        <v>28328</v>
      </c>
      <c r="AK29">
        <v>59060</v>
      </c>
      <c r="AL29">
        <v>0</v>
      </c>
      <c r="AM29">
        <v>119831</v>
      </c>
      <c r="AN29">
        <v>133933</v>
      </c>
      <c r="AO29">
        <v>3766743</v>
      </c>
      <c r="AP29">
        <v>2401793</v>
      </c>
      <c r="AQ29">
        <v>1593070</v>
      </c>
      <c r="AR29">
        <v>1067732</v>
      </c>
      <c r="AS29">
        <v>16963</v>
      </c>
      <c r="AT29">
        <v>4318771</v>
      </c>
      <c r="AU29">
        <v>167278</v>
      </c>
      <c r="AV29">
        <v>18049</v>
      </c>
      <c r="AW29">
        <v>384967</v>
      </c>
      <c r="AX29">
        <v>0</v>
      </c>
      <c r="AY29">
        <v>6684650</v>
      </c>
      <c r="AZ29">
        <v>3092631</v>
      </c>
      <c r="BA29">
        <v>876772</v>
      </c>
      <c r="BB29">
        <v>21329</v>
      </c>
      <c r="BC29">
        <v>3845884</v>
      </c>
      <c r="BD29">
        <v>17239</v>
      </c>
      <c r="BE29">
        <v>2134412</v>
      </c>
      <c r="BF29">
        <v>2976446</v>
      </c>
      <c r="BG29">
        <v>3142409</v>
      </c>
      <c r="BH29">
        <v>1634062</v>
      </c>
      <c r="BI29">
        <v>54363268</v>
      </c>
      <c r="BJ29">
        <v>241844358</v>
      </c>
      <c r="BK29">
        <v>4842898</v>
      </c>
      <c r="BL29">
        <v>8762791</v>
      </c>
      <c r="BM29">
        <v>4852347</v>
      </c>
      <c r="BN29">
        <v>127350338</v>
      </c>
      <c r="BO29">
        <v>8648857</v>
      </c>
      <c r="BP29">
        <v>396301589</v>
      </c>
      <c r="BQ29">
        <v>450664857</v>
      </c>
      <c r="BR29">
        <v>-79834315</v>
      </c>
      <c r="BS29">
        <v>-3163301</v>
      </c>
      <c r="BT29">
        <v>-3484287</v>
      </c>
      <c r="BU29">
        <v>-9759218</v>
      </c>
      <c r="BV29">
        <v>-96241121</v>
      </c>
      <c r="BW29">
        <v>-26922463</v>
      </c>
      <c r="BX29">
        <v>-33332153</v>
      </c>
      <c r="BY29">
        <v>-2338715</v>
      </c>
      <c r="BZ29">
        <v>-62593331</v>
      </c>
      <c r="CA29">
        <v>291830405</v>
      </c>
      <c r="CB29">
        <v>450664857</v>
      </c>
      <c r="CC29">
        <v>1776820929</v>
      </c>
    </row>
    <row r="30" spans="1:81">
      <c r="A30" s="8">
        <v>25</v>
      </c>
      <c r="B30" s="8" t="s">
        <v>116</v>
      </c>
      <c r="C30">
        <v>0</v>
      </c>
      <c r="D30">
        <v>554</v>
      </c>
      <c r="E30">
        <v>0</v>
      </c>
      <c r="F30">
        <v>0</v>
      </c>
      <c r="G30">
        <v>452221</v>
      </c>
      <c r="H30">
        <v>558</v>
      </c>
      <c r="I30">
        <v>1951</v>
      </c>
      <c r="J30">
        <v>38753</v>
      </c>
      <c r="K30">
        <v>57184</v>
      </c>
      <c r="L30">
        <v>17849</v>
      </c>
      <c r="M30">
        <v>150154</v>
      </c>
      <c r="N30">
        <v>27647</v>
      </c>
      <c r="O30">
        <v>42</v>
      </c>
      <c r="P30">
        <v>24796</v>
      </c>
      <c r="Q30">
        <v>50550</v>
      </c>
      <c r="R30">
        <v>3710481</v>
      </c>
      <c r="S30">
        <v>211958</v>
      </c>
      <c r="T30">
        <v>13115</v>
      </c>
      <c r="U30">
        <v>1735269</v>
      </c>
      <c r="V30">
        <v>43244</v>
      </c>
      <c r="W30">
        <v>2405839</v>
      </c>
      <c r="X30">
        <v>991499</v>
      </c>
      <c r="Y30">
        <v>471020</v>
      </c>
      <c r="Z30">
        <v>1206367</v>
      </c>
      <c r="AA30">
        <v>88412212</v>
      </c>
      <c r="AB30">
        <v>28566506</v>
      </c>
      <c r="AC30">
        <v>1705075</v>
      </c>
      <c r="AD30">
        <v>202717</v>
      </c>
      <c r="AE30">
        <v>5693653</v>
      </c>
      <c r="AF30">
        <v>304931</v>
      </c>
      <c r="AG30">
        <v>354079</v>
      </c>
      <c r="AH30">
        <v>1501122</v>
      </c>
      <c r="AI30">
        <v>1717460</v>
      </c>
      <c r="AJ30">
        <v>982323</v>
      </c>
      <c r="AK30">
        <v>110694</v>
      </c>
      <c r="AL30">
        <v>139712</v>
      </c>
      <c r="AM30">
        <v>1010785</v>
      </c>
      <c r="AN30">
        <v>279796</v>
      </c>
      <c r="AO30">
        <v>9645724</v>
      </c>
      <c r="AP30">
        <v>7705666</v>
      </c>
      <c r="AQ30">
        <v>34481</v>
      </c>
      <c r="AR30">
        <v>400919</v>
      </c>
      <c r="AS30">
        <v>521598</v>
      </c>
      <c r="AT30">
        <v>5301099</v>
      </c>
      <c r="AU30">
        <v>766212</v>
      </c>
      <c r="AV30">
        <v>21712</v>
      </c>
      <c r="AW30">
        <v>564438</v>
      </c>
      <c r="AX30">
        <v>211685</v>
      </c>
      <c r="AY30">
        <v>13316692</v>
      </c>
      <c r="AZ30">
        <v>2963225</v>
      </c>
      <c r="BA30">
        <v>3130690</v>
      </c>
      <c r="BB30">
        <v>5088301</v>
      </c>
      <c r="BC30">
        <v>22524152</v>
      </c>
      <c r="BD30">
        <v>530065</v>
      </c>
      <c r="BE30">
        <v>12935606</v>
      </c>
      <c r="BF30">
        <v>38528711</v>
      </c>
      <c r="BG30">
        <v>3435178</v>
      </c>
      <c r="BH30">
        <v>1945549</v>
      </c>
      <c r="BI30">
        <v>272163819</v>
      </c>
      <c r="BJ30">
        <v>20243584</v>
      </c>
      <c r="BK30">
        <v>20176774</v>
      </c>
      <c r="BL30">
        <v>0</v>
      </c>
      <c r="BM30">
        <v>-24589740</v>
      </c>
      <c r="BN30">
        <v>75003347</v>
      </c>
      <c r="BO30">
        <v>5624</v>
      </c>
      <c r="BP30">
        <v>90839589</v>
      </c>
      <c r="BQ30">
        <v>363003408</v>
      </c>
      <c r="BR30">
        <v>-102164013</v>
      </c>
      <c r="BS30">
        <v>-663596</v>
      </c>
      <c r="BT30">
        <v>-6359252</v>
      </c>
      <c r="BU30">
        <v>0</v>
      </c>
      <c r="BV30">
        <v>-109186861</v>
      </c>
      <c r="BW30">
        <v>-30012818</v>
      </c>
      <c r="BX30">
        <v>-17781873</v>
      </c>
      <c r="BY30">
        <v>-5439285</v>
      </c>
      <c r="BZ30">
        <v>-53233976</v>
      </c>
      <c r="CA30">
        <v>200582571</v>
      </c>
      <c r="CB30">
        <v>363003408</v>
      </c>
      <c r="CC30">
        <v>1327754529</v>
      </c>
    </row>
    <row r="31" spans="1:81">
      <c r="A31" s="8">
        <v>26</v>
      </c>
      <c r="B31" s="8" t="s">
        <v>117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41571</v>
      </c>
      <c r="K31">
        <v>612</v>
      </c>
      <c r="L31">
        <v>0</v>
      </c>
      <c r="M31">
        <v>0</v>
      </c>
      <c r="N31">
        <v>69922</v>
      </c>
      <c r="O31">
        <v>0</v>
      </c>
      <c r="P31">
        <v>3282</v>
      </c>
      <c r="Q31">
        <v>0</v>
      </c>
      <c r="R31">
        <v>11925</v>
      </c>
      <c r="S31">
        <v>58</v>
      </c>
      <c r="T31">
        <v>1993</v>
      </c>
      <c r="U31">
        <v>2679</v>
      </c>
      <c r="V31">
        <v>869</v>
      </c>
      <c r="W31">
        <v>8654</v>
      </c>
      <c r="X31">
        <v>770</v>
      </c>
      <c r="Y31">
        <v>4885</v>
      </c>
      <c r="Z31">
        <v>6598</v>
      </c>
      <c r="AA31">
        <v>5709</v>
      </c>
      <c r="AB31">
        <v>88813</v>
      </c>
      <c r="AC31">
        <v>31186</v>
      </c>
      <c r="AD31">
        <v>0</v>
      </c>
      <c r="AE31">
        <v>53263</v>
      </c>
      <c r="AF31">
        <v>0</v>
      </c>
      <c r="AG31">
        <v>4532</v>
      </c>
      <c r="AH31">
        <v>164866</v>
      </c>
      <c r="AI31">
        <v>3618</v>
      </c>
      <c r="AJ31">
        <v>8982</v>
      </c>
      <c r="AK31">
        <v>69371</v>
      </c>
      <c r="AL31">
        <v>0</v>
      </c>
      <c r="AM31">
        <v>0</v>
      </c>
      <c r="AN31">
        <v>0</v>
      </c>
      <c r="AO31">
        <v>274704</v>
      </c>
      <c r="AP31">
        <v>363919</v>
      </c>
      <c r="AQ31">
        <v>5436</v>
      </c>
      <c r="AR31">
        <v>4142</v>
      </c>
      <c r="AS31">
        <v>32623</v>
      </c>
      <c r="AT31">
        <v>119707</v>
      </c>
      <c r="AU31">
        <v>198591</v>
      </c>
      <c r="AV31">
        <v>2135</v>
      </c>
      <c r="AW31">
        <v>22317</v>
      </c>
      <c r="AX31">
        <v>78877</v>
      </c>
      <c r="AY31">
        <v>8912283</v>
      </c>
      <c r="AZ31">
        <v>243474</v>
      </c>
      <c r="BA31">
        <v>559167</v>
      </c>
      <c r="BB31">
        <v>1652900</v>
      </c>
      <c r="BC31">
        <v>2257386</v>
      </c>
      <c r="BD31">
        <v>64720</v>
      </c>
      <c r="BE31">
        <v>46457768</v>
      </c>
      <c r="BF31">
        <v>17121207</v>
      </c>
      <c r="BG31">
        <v>1017932</v>
      </c>
      <c r="BH31">
        <v>143832</v>
      </c>
      <c r="BI31">
        <v>80117278</v>
      </c>
      <c r="BJ31">
        <v>48180928</v>
      </c>
      <c r="BK31">
        <v>8940983</v>
      </c>
      <c r="BL31">
        <v>0</v>
      </c>
      <c r="BM31">
        <v>12135680</v>
      </c>
      <c r="BN31">
        <v>1814911</v>
      </c>
      <c r="BO31">
        <v>16230929</v>
      </c>
      <c r="BP31">
        <v>87303431</v>
      </c>
      <c r="BQ31">
        <v>167420709</v>
      </c>
      <c r="BR31">
        <v>-8490858</v>
      </c>
      <c r="BS31">
        <v>-125726</v>
      </c>
      <c r="BT31">
        <v>-242828</v>
      </c>
      <c r="BU31">
        <v>-54287948</v>
      </c>
      <c r="BV31">
        <v>-63147360</v>
      </c>
      <c r="BW31">
        <v>-9395166</v>
      </c>
      <c r="BX31">
        <v>-15207647</v>
      </c>
      <c r="BY31">
        <v>-1355216</v>
      </c>
      <c r="BZ31">
        <v>-25958029</v>
      </c>
      <c r="CA31">
        <v>78315320</v>
      </c>
      <c r="CB31">
        <v>167420709</v>
      </c>
      <c r="CC31">
        <v>569787378</v>
      </c>
    </row>
    <row r="32" spans="1:81">
      <c r="A32" s="8">
        <v>27</v>
      </c>
      <c r="B32" s="8" t="s">
        <v>118</v>
      </c>
      <c r="C32">
        <v>0</v>
      </c>
      <c r="D32">
        <v>0</v>
      </c>
      <c r="E32">
        <v>0</v>
      </c>
      <c r="F32">
        <v>0</v>
      </c>
      <c r="G32">
        <v>1092982</v>
      </c>
      <c r="H32">
        <v>0</v>
      </c>
      <c r="I32">
        <v>1058974</v>
      </c>
      <c r="J32">
        <v>6999</v>
      </c>
      <c r="K32">
        <v>86250</v>
      </c>
      <c r="L32">
        <v>0</v>
      </c>
      <c r="M32">
        <v>1951495</v>
      </c>
      <c r="N32">
        <v>131812</v>
      </c>
      <c r="O32">
        <v>1502</v>
      </c>
      <c r="P32">
        <v>2645055</v>
      </c>
      <c r="Q32">
        <v>125554</v>
      </c>
      <c r="R32">
        <v>5935966</v>
      </c>
      <c r="S32">
        <v>573746</v>
      </c>
      <c r="T32">
        <v>1278158</v>
      </c>
      <c r="U32">
        <v>5898117</v>
      </c>
      <c r="V32">
        <v>646046</v>
      </c>
      <c r="W32">
        <v>18751645</v>
      </c>
      <c r="X32">
        <v>47098</v>
      </c>
      <c r="Y32">
        <v>33647196</v>
      </c>
      <c r="Z32">
        <v>1680749</v>
      </c>
      <c r="AA32">
        <v>10463460</v>
      </c>
      <c r="AB32">
        <v>128175</v>
      </c>
      <c r="AC32">
        <v>322888358</v>
      </c>
      <c r="AD32">
        <v>23472382</v>
      </c>
      <c r="AE32">
        <v>110084945</v>
      </c>
      <c r="AF32">
        <v>39605154</v>
      </c>
      <c r="AG32">
        <v>51884519</v>
      </c>
      <c r="AH32">
        <v>241793781</v>
      </c>
      <c r="AI32">
        <v>2275383</v>
      </c>
      <c r="AJ32">
        <v>21561735</v>
      </c>
      <c r="AK32">
        <v>5399137</v>
      </c>
      <c r="AL32">
        <v>1799513</v>
      </c>
      <c r="AM32">
        <v>9385422</v>
      </c>
      <c r="AN32">
        <v>4123987</v>
      </c>
      <c r="AO32">
        <v>74806861</v>
      </c>
      <c r="AP32">
        <v>14857271</v>
      </c>
      <c r="AQ32">
        <v>2388325</v>
      </c>
      <c r="AR32">
        <v>4349661</v>
      </c>
      <c r="AS32">
        <v>1527351</v>
      </c>
      <c r="AT32">
        <v>25191384</v>
      </c>
      <c r="AU32">
        <v>2817351</v>
      </c>
      <c r="AV32">
        <v>3536388</v>
      </c>
      <c r="AW32">
        <v>216022</v>
      </c>
      <c r="AX32">
        <v>1008551</v>
      </c>
      <c r="AY32">
        <v>0</v>
      </c>
      <c r="AZ32">
        <v>0</v>
      </c>
      <c r="BA32">
        <v>79812</v>
      </c>
      <c r="BB32">
        <v>0</v>
      </c>
      <c r="BC32">
        <v>0</v>
      </c>
      <c r="BD32">
        <v>0</v>
      </c>
      <c r="BE32">
        <v>1054978</v>
      </c>
      <c r="BF32">
        <v>27342922</v>
      </c>
      <c r="BG32">
        <v>1316135</v>
      </c>
      <c r="BH32">
        <v>447311</v>
      </c>
      <c r="BI32">
        <v>1081365618</v>
      </c>
      <c r="BJ32">
        <v>0</v>
      </c>
      <c r="BK32">
        <v>274519</v>
      </c>
      <c r="BL32">
        <v>0</v>
      </c>
      <c r="BM32">
        <v>-125251916</v>
      </c>
      <c r="BN32">
        <v>720480163</v>
      </c>
      <c r="BO32">
        <v>0</v>
      </c>
      <c r="BP32">
        <v>595502766</v>
      </c>
      <c r="BQ32">
        <v>1676868384</v>
      </c>
      <c r="BR32">
        <v>-593269412</v>
      </c>
      <c r="BS32">
        <v>-2665585</v>
      </c>
      <c r="BT32">
        <v>-25557719</v>
      </c>
      <c r="BU32">
        <v>0</v>
      </c>
      <c r="BV32">
        <v>-621492716</v>
      </c>
      <c r="BW32">
        <v>-160445953</v>
      </c>
      <c r="BX32">
        <v>-39163725</v>
      </c>
      <c r="BY32">
        <v>-20603146</v>
      </c>
      <c r="BZ32">
        <v>-220212824</v>
      </c>
      <c r="CA32">
        <v>835162844</v>
      </c>
      <c r="CB32">
        <v>1676868384</v>
      </c>
      <c r="CC32">
        <v>5859225300</v>
      </c>
    </row>
    <row r="33" spans="1:81">
      <c r="A33" s="8">
        <v>28</v>
      </c>
      <c r="B33" s="8" t="s">
        <v>119</v>
      </c>
      <c r="C33">
        <v>43078118</v>
      </c>
      <c r="D33">
        <v>6761322</v>
      </c>
      <c r="E33">
        <v>10990700</v>
      </c>
      <c r="F33">
        <v>599773</v>
      </c>
      <c r="G33">
        <v>90687025</v>
      </c>
      <c r="H33">
        <v>13310604</v>
      </c>
      <c r="I33">
        <v>20316356</v>
      </c>
      <c r="J33">
        <v>33951556</v>
      </c>
      <c r="K33">
        <v>499647</v>
      </c>
      <c r="L33">
        <v>244714</v>
      </c>
      <c r="M33">
        <v>16590</v>
      </c>
      <c r="N33">
        <v>0</v>
      </c>
      <c r="O33">
        <v>0</v>
      </c>
      <c r="P33">
        <v>47184</v>
      </c>
      <c r="Q33">
        <v>0</v>
      </c>
      <c r="R33">
        <v>0</v>
      </c>
      <c r="S33">
        <v>0</v>
      </c>
      <c r="T33">
        <v>0</v>
      </c>
      <c r="U33">
        <v>8343</v>
      </c>
      <c r="V33">
        <v>0</v>
      </c>
      <c r="W33">
        <v>0</v>
      </c>
      <c r="X33">
        <v>573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11667881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172118</v>
      </c>
      <c r="AT33">
        <v>0</v>
      </c>
      <c r="AU33">
        <v>0</v>
      </c>
      <c r="AV33">
        <v>0</v>
      </c>
      <c r="AW33">
        <v>3821</v>
      </c>
      <c r="AX33">
        <v>412199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15267</v>
      </c>
      <c r="BE33">
        <v>2012185</v>
      </c>
      <c r="BF33">
        <v>0</v>
      </c>
      <c r="BG33">
        <v>13371822</v>
      </c>
      <c r="BH33">
        <v>245866</v>
      </c>
      <c r="BI33">
        <v>248413664</v>
      </c>
      <c r="BJ33">
        <v>3053896</v>
      </c>
      <c r="BK33">
        <v>0</v>
      </c>
      <c r="BL33">
        <v>0</v>
      </c>
      <c r="BM33">
        <v>-44150296</v>
      </c>
      <c r="BN33">
        <v>20334810</v>
      </c>
      <c r="BO33">
        <v>0</v>
      </c>
      <c r="BP33">
        <v>-20761590</v>
      </c>
      <c r="BQ33">
        <v>227652074</v>
      </c>
      <c r="BR33">
        <v>-102136987</v>
      </c>
      <c r="BS33">
        <v>-436584</v>
      </c>
      <c r="BT33">
        <v>-332888</v>
      </c>
      <c r="BU33">
        <v>0</v>
      </c>
      <c r="BV33">
        <v>-102906459</v>
      </c>
      <c r="BW33">
        <v>-25406707</v>
      </c>
      <c r="BX33">
        <v>-21075109</v>
      </c>
      <c r="BY33">
        <v>-8023767</v>
      </c>
      <c r="BZ33">
        <v>-54505583</v>
      </c>
      <c r="CA33">
        <v>70240032</v>
      </c>
      <c r="CB33">
        <v>227652074</v>
      </c>
      <c r="CC33">
        <v>666024244</v>
      </c>
    </row>
    <row r="34" spans="1:81">
      <c r="A34" s="8">
        <v>29</v>
      </c>
      <c r="B34" s="8" t="s">
        <v>120</v>
      </c>
      <c r="C34">
        <v>32700</v>
      </c>
      <c r="D34">
        <v>0</v>
      </c>
      <c r="E34">
        <v>0</v>
      </c>
      <c r="F34">
        <v>0</v>
      </c>
      <c r="G34">
        <v>830553</v>
      </c>
      <c r="H34">
        <v>0</v>
      </c>
      <c r="I34">
        <v>1017</v>
      </c>
      <c r="J34">
        <v>180533</v>
      </c>
      <c r="K34">
        <v>14687983</v>
      </c>
      <c r="L34">
        <v>0</v>
      </c>
      <c r="M34">
        <v>277381</v>
      </c>
      <c r="N34">
        <v>478452</v>
      </c>
      <c r="O34">
        <v>1014</v>
      </c>
      <c r="P34">
        <v>3270173</v>
      </c>
      <c r="Q34">
        <v>918084</v>
      </c>
      <c r="R34">
        <v>4731026</v>
      </c>
      <c r="S34">
        <v>53541</v>
      </c>
      <c r="T34">
        <v>29146</v>
      </c>
      <c r="U34">
        <v>1614942</v>
      </c>
      <c r="V34">
        <v>2915631</v>
      </c>
      <c r="W34">
        <v>3580693</v>
      </c>
      <c r="X34">
        <v>48631</v>
      </c>
      <c r="Y34">
        <v>3087959</v>
      </c>
      <c r="Z34">
        <v>2578792</v>
      </c>
      <c r="AA34">
        <v>8219020</v>
      </c>
      <c r="AB34">
        <v>14181536</v>
      </c>
      <c r="AC34">
        <v>2518926</v>
      </c>
      <c r="AD34">
        <v>1227240</v>
      </c>
      <c r="AE34">
        <v>77367380</v>
      </c>
      <c r="AF34">
        <v>1549564</v>
      </c>
      <c r="AG34">
        <v>3300001</v>
      </c>
      <c r="AH34">
        <v>13844351</v>
      </c>
      <c r="AI34">
        <v>2621699</v>
      </c>
      <c r="AJ34">
        <v>22205032</v>
      </c>
      <c r="AK34">
        <v>1089250</v>
      </c>
      <c r="AL34">
        <v>348622</v>
      </c>
      <c r="AM34">
        <v>10525598</v>
      </c>
      <c r="AN34">
        <v>6550864</v>
      </c>
      <c r="AO34">
        <v>39712835</v>
      </c>
      <c r="AP34">
        <v>68026968</v>
      </c>
      <c r="AQ34">
        <v>3416810</v>
      </c>
      <c r="AR34">
        <v>3002154</v>
      </c>
      <c r="AS34">
        <v>13495482</v>
      </c>
      <c r="AT34">
        <v>10814307</v>
      </c>
      <c r="AU34">
        <v>110585</v>
      </c>
      <c r="AV34">
        <v>11416</v>
      </c>
      <c r="AW34">
        <v>17028630</v>
      </c>
      <c r="AX34">
        <v>4049439</v>
      </c>
      <c r="AY34">
        <v>3486367</v>
      </c>
      <c r="AZ34">
        <v>9117684</v>
      </c>
      <c r="BA34">
        <v>1742914</v>
      </c>
      <c r="BB34">
        <v>852545</v>
      </c>
      <c r="BC34">
        <v>4124120</v>
      </c>
      <c r="BD34">
        <v>165878</v>
      </c>
      <c r="BE34">
        <v>4601275</v>
      </c>
      <c r="BF34">
        <v>208500734</v>
      </c>
      <c r="BG34">
        <v>40131587</v>
      </c>
      <c r="BH34">
        <v>1394365</v>
      </c>
      <c r="BI34">
        <v>638653429</v>
      </c>
      <c r="BJ34">
        <v>318333132</v>
      </c>
      <c r="BK34">
        <v>11533559</v>
      </c>
      <c r="BL34">
        <v>0</v>
      </c>
      <c r="BM34">
        <v>-56175188</v>
      </c>
      <c r="BN34">
        <v>174834009</v>
      </c>
      <c r="BO34">
        <v>3936462</v>
      </c>
      <c r="BP34">
        <v>452461974</v>
      </c>
      <c r="BQ34">
        <v>1091115403</v>
      </c>
      <c r="BR34">
        <v>-348900139</v>
      </c>
      <c r="BS34">
        <v>-4554188</v>
      </c>
      <c r="BT34">
        <v>-18623034</v>
      </c>
      <c r="BU34">
        <v>-2657579</v>
      </c>
      <c r="BV34">
        <v>-374734940</v>
      </c>
      <c r="BW34">
        <v>-115310141</v>
      </c>
      <c r="BX34">
        <v>-117133478</v>
      </c>
      <c r="BY34">
        <v>-11180022</v>
      </c>
      <c r="BZ34">
        <v>-243623641</v>
      </c>
      <c r="CA34">
        <v>472756822</v>
      </c>
      <c r="CB34">
        <v>1091115403</v>
      </c>
      <c r="CC34">
        <v>3600501272</v>
      </c>
    </row>
    <row r="35" spans="1:81">
      <c r="A35" s="8">
        <v>30</v>
      </c>
      <c r="B35" s="8" t="s">
        <v>121</v>
      </c>
      <c r="C35">
        <v>10090789</v>
      </c>
      <c r="D35">
        <v>873484</v>
      </c>
      <c r="E35">
        <v>1902746</v>
      </c>
      <c r="F35">
        <v>164317</v>
      </c>
      <c r="G35">
        <v>15368361</v>
      </c>
      <c r="H35">
        <v>2064006</v>
      </c>
      <c r="I35">
        <v>1936966</v>
      </c>
      <c r="J35">
        <v>10831345</v>
      </c>
      <c r="K35">
        <v>2630089</v>
      </c>
      <c r="L35">
        <v>497218</v>
      </c>
      <c r="M35">
        <v>37325272</v>
      </c>
      <c r="N35">
        <v>40956636</v>
      </c>
      <c r="O35">
        <v>46464</v>
      </c>
      <c r="P35">
        <v>14666887</v>
      </c>
      <c r="Q35">
        <v>2119655</v>
      </c>
      <c r="R35">
        <v>8351672</v>
      </c>
      <c r="S35">
        <v>3071878</v>
      </c>
      <c r="T35">
        <v>1620993</v>
      </c>
      <c r="U35">
        <v>5151945</v>
      </c>
      <c r="V35">
        <v>268424</v>
      </c>
      <c r="W35">
        <v>6815001</v>
      </c>
      <c r="X35">
        <v>49718</v>
      </c>
      <c r="Y35">
        <v>2830743</v>
      </c>
      <c r="Z35">
        <v>2852018</v>
      </c>
      <c r="AA35">
        <v>1807902</v>
      </c>
      <c r="AB35">
        <v>376511</v>
      </c>
      <c r="AC35">
        <v>77861438</v>
      </c>
      <c r="AD35">
        <v>1042237</v>
      </c>
      <c r="AE35">
        <v>5361296</v>
      </c>
      <c r="AF35">
        <v>35305854</v>
      </c>
      <c r="AG35">
        <v>7351233</v>
      </c>
      <c r="AH35">
        <v>7391843</v>
      </c>
      <c r="AI35">
        <v>7771452</v>
      </c>
      <c r="AJ35">
        <v>10449671</v>
      </c>
      <c r="AK35">
        <v>10988471</v>
      </c>
      <c r="AL35">
        <v>7112122</v>
      </c>
      <c r="AM35">
        <v>5028448</v>
      </c>
      <c r="AN35">
        <v>10114192</v>
      </c>
      <c r="AO35">
        <v>20447912</v>
      </c>
      <c r="AP35">
        <v>39430065</v>
      </c>
      <c r="AQ35">
        <v>1068799</v>
      </c>
      <c r="AR35">
        <v>454585</v>
      </c>
      <c r="AS35">
        <v>2356995</v>
      </c>
      <c r="AT35">
        <v>6867271</v>
      </c>
      <c r="AU35">
        <v>69372916</v>
      </c>
      <c r="AV35">
        <v>457457</v>
      </c>
      <c r="AW35">
        <v>5331439</v>
      </c>
      <c r="AX35">
        <v>28920433</v>
      </c>
      <c r="AY35">
        <v>31081527</v>
      </c>
      <c r="AZ35">
        <v>17697254</v>
      </c>
      <c r="BA35">
        <v>257749541</v>
      </c>
      <c r="BB35">
        <v>9523739</v>
      </c>
      <c r="BC35">
        <v>10698530</v>
      </c>
      <c r="BD35">
        <v>1659698</v>
      </c>
      <c r="BE35">
        <v>44409071</v>
      </c>
      <c r="BF35">
        <v>36201896</v>
      </c>
      <c r="BG35">
        <v>26346881</v>
      </c>
      <c r="BH35">
        <v>1285403</v>
      </c>
      <c r="BI35">
        <v>971810709</v>
      </c>
      <c r="BJ35">
        <v>319772016</v>
      </c>
      <c r="BK35">
        <v>54303707</v>
      </c>
      <c r="BL35">
        <v>0</v>
      </c>
      <c r="BM35">
        <v>66954903</v>
      </c>
      <c r="BN35">
        <v>279068236</v>
      </c>
      <c r="BO35">
        <v>38030322</v>
      </c>
      <c r="BP35">
        <v>758129184</v>
      </c>
      <c r="BQ35">
        <v>1729939893</v>
      </c>
      <c r="BR35">
        <v>-188138394</v>
      </c>
      <c r="BS35">
        <v>-2236282</v>
      </c>
      <c r="BT35">
        <v>-24633562</v>
      </c>
      <c r="BU35">
        <v>-59189749</v>
      </c>
      <c r="BV35">
        <v>-274197987</v>
      </c>
      <c r="BW35">
        <v>-91155724</v>
      </c>
      <c r="BX35">
        <v>-86904200</v>
      </c>
      <c r="BY35">
        <v>-15207914</v>
      </c>
      <c r="BZ35">
        <v>-193267838</v>
      </c>
      <c r="CA35">
        <v>1262474068</v>
      </c>
      <c r="CB35">
        <v>1729939893</v>
      </c>
      <c r="CC35">
        <v>7247301990</v>
      </c>
    </row>
    <row r="36" spans="1:81">
      <c r="A36" s="8">
        <v>31</v>
      </c>
      <c r="B36" s="8" t="s">
        <v>122</v>
      </c>
      <c r="C36">
        <v>8953</v>
      </c>
      <c r="D36">
        <v>273</v>
      </c>
      <c r="E36">
        <v>971</v>
      </c>
      <c r="F36">
        <v>64</v>
      </c>
      <c r="G36">
        <v>540882</v>
      </c>
      <c r="H36">
        <v>0</v>
      </c>
      <c r="I36">
        <v>2950</v>
      </c>
      <c r="J36">
        <v>25188</v>
      </c>
      <c r="K36">
        <v>24610</v>
      </c>
      <c r="L36">
        <v>130</v>
      </c>
      <c r="M36">
        <v>12227</v>
      </c>
      <c r="N36">
        <v>40038</v>
      </c>
      <c r="O36">
        <v>0</v>
      </c>
      <c r="P36">
        <v>791008</v>
      </c>
      <c r="Q36">
        <v>0</v>
      </c>
      <c r="R36">
        <v>295456</v>
      </c>
      <c r="S36">
        <v>0</v>
      </c>
      <c r="T36">
        <v>0</v>
      </c>
      <c r="U36">
        <v>217</v>
      </c>
      <c r="V36">
        <v>0</v>
      </c>
      <c r="W36">
        <v>0</v>
      </c>
      <c r="X36">
        <v>0</v>
      </c>
      <c r="Y36">
        <v>3606</v>
      </c>
      <c r="Z36">
        <v>5227090</v>
      </c>
      <c r="AA36">
        <v>0</v>
      </c>
      <c r="AB36">
        <v>0</v>
      </c>
      <c r="AC36">
        <v>0</v>
      </c>
      <c r="AD36">
        <v>0</v>
      </c>
      <c r="AE36">
        <v>79815</v>
      </c>
      <c r="AF36">
        <v>203047</v>
      </c>
      <c r="AG36">
        <v>57247160</v>
      </c>
      <c r="AH36">
        <v>4433390</v>
      </c>
      <c r="AI36">
        <v>0</v>
      </c>
      <c r="AJ36">
        <v>0</v>
      </c>
      <c r="AK36">
        <v>0</v>
      </c>
      <c r="AL36">
        <v>25626</v>
      </c>
      <c r="AM36">
        <v>211739</v>
      </c>
      <c r="AN36">
        <v>7666971</v>
      </c>
      <c r="AO36">
        <v>6454265</v>
      </c>
      <c r="AP36">
        <v>60105400</v>
      </c>
      <c r="AQ36">
        <v>197279</v>
      </c>
      <c r="AR36">
        <v>4813119</v>
      </c>
      <c r="AS36">
        <v>73977</v>
      </c>
      <c r="AT36">
        <v>6728304</v>
      </c>
      <c r="AU36">
        <v>0</v>
      </c>
      <c r="AV36">
        <v>4145</v>
      </c>
      <c r="AW36">
        <v>6273564</v>
      </c>
      <c r="AX36">
        <v>30603</v>
      </c>
      <c r="AY36">
        <v>409057</v>
      </c>
      <c r="AZ36">
        <v>42366</v>
      </c>
      <c r="BA36">
        <v>10447151</v>
      </c>
      <c r="BB36">
        <v>0</v>
      </c>
      <c r="BC36">
        <v>24893</v>
      </c>
      <c r="BD36">
        <v>0</v>
      </c>
      <c r="BE36">
        <v>1207955</v>
      </c>
      <c r="BF36">
        <v>1954273</v>
      </c>
      <c r="BG36">
        <v>1071017</v>
      </c>
      <c r="BH36">
        <v>1642521</v>
      </c>
      <c r="BI36">
        <v>178321300</v>
      </c>
      <c r="BJ36">
        <v>24108931</v>
      </c>
      <c r="BK36">
        <v>0</v>
      </c>
      <c r="BL36">
        <v>4351757</v>
      </c>
      <c r="BM36">
        <v>-111442144</v>
      </c>
      <c r="BN36">
        <v>410804902</v>
      </c>
      <c r="BO36">
        <v>0</v>
      </c>
      <c r="BP36">
        <v>327823446</v>
      </c>
      <c r="BQ36">
        <v>506144746</v>
      </c>
      <c r="BR36">
        <v>-58387485</v>
      </c>
      <c r="BS36">
        <v>-1122417</v>
      </c>
      <c r="BT36">
        <v>-2938413</v>
      </c>
      <c r="BU36">
        <v>0</v>
      </c>
      <c r="BV36">
        <v>-62448315</v>
      </c>
      <c r="BW36">
        <v>-47807100</v>
      </c>
      <c r="BX36">
        <v>-20352697</v>
      </c>
      <c r="BY36">
        <v>-10175798</v>
      </c>
      <c r="BZ36">
        <v>-78335595</v>
      </c>
      <c r="CA36">
        <v>365360836</v>
      </c>
      <c r="CB36">
        <v>506144746</v>
      </c>
      <c r="CC36">
        <v>2108372000</v>
      </c>
    </row>
    <row r="37" spans="1:81">
      <c r="A37" s="8">
        <v>32</v>
      </c>
      <c r="B37" s="8" t="s">
        <v>123</v>
      </c>
      <c r="C37">
        <v>423548</v>
      </c>
      <c r="D37">
        <v>18420</v>
      </c>
      <c r="E37">
        <v>21200</v>
      </c>
      <c r="F37">
        <v>2824</v>
      </c>
      <c r="G37">
        <v>9345097</v>
      </c>
      <c r="H37">
        <v>7164</v>
      </c>
      <c r="I37">
        <v>2195573</v>
      </c>
      <c r="J37">
        <v>2015744</v>
      </c>
      <c r="K37">
        <v>2627178</v>
      </c>
      <c r="L37">
        <v>185609</v>
      </c>
      <c r="M37">
        <v>2983654</v>
      </c>
      <c r="N37">
        <v>237735</v>
      </c>
      <c r="O37">
        <v>423</v>
      </c>
      <c r="P37">
        <v>77587</v>
      </c>
      <c r="Q37">
        <v>5456614</v>
      </c>
      <c r="R37">
        <v>17014440</v>
      </c>
      <c r="S37">
        <v>7333750</v>
      </c>
      <c r="T37">
        <v>2221250</v>
      </c>
      <c r="U37">
        <v>8297600</v>
      </c>
      <c r="V37">
        <v>1209418</v>
      </c>
      <c r="W37">
        <v>16192344</v>
      </c>
      <c r="X37">
        <v>15779</v>
      </c>
      <c r="Y37">
        <v>1052641</v>
      </c>
      <c r="Z37">
        <v>4151893</v>
      </c>
      <c r="AA37">
        <v>1890973</v>
      </c>
      <c r="AB37">
        <v>2314611</v>
      </c>
      <c r="AC37">
        <v>7078957</v>
      </c>
      <c r="AD37">
        <v>1455907</v>
      </c>
      <c r="AE37">
        <v>17898907</v>
      </c>
      <c r="AF37">
        <v>904767</v>
      </c>
      <c r="AG37">
        <v>4567844</v>
      </c>
      <c r="AH37">
        <v>21343232</v>
      </c>
      <c r="AI37">
        <v>178290</v>
      </c>
      <c r="AJ37">
        <v>2201263</v>
      </c>
      <c r="AK37">
        <v>285211</v>
      </c>
      <c r="AL37">
        <v>321899</v>
      </c>
      <c r="AM37">
        <v>6164463</v>
      </c>
      <c r="AN37">
        <v>5150759</v>
      </c>
      <c r="AO37">
        <v>84067968</v>
      </c>
      <c r="AP37">
        <v>42078283</v>
      </c>
      <c r="AQ37">
        <v>615738</v>
      </c>
      <c r="AR37">
        <v>2622628</v>
      </c>
      <c r="AS37">
        <v>3514405</v>
      </c>
      <c r="AT37">
        <v>21376772</v>
      </c>
      <c r="AU37">
        <v>205258</v>
      </c>
      <c r="AV37">
        <v>635081</v>
      </c>
      <c r="AW37">
        <v>6935494</v>
      </c>
      <c r="AX37">
        <v>1505056</v>
      </c>
      <c r="AY37">
        <v>55468079</v>
      </c>
      <c r="AZ37">
        <v>9134654</v>
      </c>
      <c r="BA37">
        <v>2382804</v>
      </c>
      <c r="BB37">
        <v>766362</v>
      </c>
      <c r="BC37">
        <v>991106</v>
      </c>
      <c r="BD37">
        <v>209689</v>
      </c>
      <c r="BE37">
        <v>881696</v>
      </c>
      <c r="BF37">
        <v>1208493</v>
      </c>
      <c r="BG37">
        <v>6288348</v>
      </c>
      <c r="BH37">
        <v>1876949</v>
      </c>
      <c r="BI37">
        <v>397609431</v>
      </c>
      <c r="BJ37">
        <v>18815656</v>
      </c>
      <c r="BK37">
        <v>2104148</v>
      </c>
      <c r="BL37">
        <v>4859105</v>
      </c>
      <c r="BM37">
        <v>119902509</v>
      </c>
      <c r="BN37">
        <v>183756053</v>
      </c>
      <c r="BO37">
        <v>38472</v>
      </c>
      <c r="BP37">
        <v>329475943</v>
      </c>
      <c r="BQ37">
        <v>727085374</v>
      </c>
      <c r="BR37">
        <v>-158537682</v>
      </c>
      <c r="BS37">
        <v>-3382920</v>
      </c>
      <c r="BT37">
        <v>-4540620</v>
      </c>
      <c r="BU37">
        <v>0</v>
      </c>
      <c r="BV37">
        <v>-166461222</v>
      </c>
      <c r="BW37">
        <v>-29728449</v>
      </c>
      <c r="BX37">
        <v>-24963693</v>
      </c>
      <c r="BY37">
        <v>-5002813</v>
      </c>
      <c r="BZ37">
        <v>-59694955</v>
      </c>
      <c r="CA37">
        <v>500929197</v>
      </c>
      <c r="CB37">
        <v>727085374</v>
      </c>
      <c r="CC37">
        <v>2956958339</v>
      </c>
    </row>
    <row r="38" spans="1:81">
      <c r="A38" s="8">
        <v>33</v>
      </c>
      <c r="B38" s="8" t="s">
        <v>124</v>
      </c>
      <c r="C38">
        <v>0</v>
      </c>
      <c r="D38">
        <v>0</v>
      </c>
      <c r="E38">
        <v>0</v>
      </c>
      <c r="F38">
        <v>0</v>
      </c>
      <c r="G38">
        <v>389002</v>
      </c>
      <c r="H38">
        <v>0</v>
      </c>
      <c r="I38">
        <v>0</v>
      </c>
      <c r="J38">
        <v>150638</v>
      </c>
      <c r="K38">
        <v>187058</v>
      </c>
      <c r="L38">
        <v>0</v>
      </c>
      <c r="M38">
        <v>240258</v>
      </c>
      <c r="N38">
        <v>0</v>
      </c>
      <c r="O38">
        <v>0</v>
      </c>
      <c r="P38">
        <v>9543</v>
      </c>
      <c r="Q38">
        <v>0</v>
      </c>
      <c r="R38">
        <v>0</v>
      </c>
      <c r="S38">
        <v>0</v>
      </c>
      <c r="T38">
        <v>1093717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566331</v>
      </c>
      <c r="AD38">
        <v>219801</v>
      </c>
      <c r="AE38">
        <v>0</v>
      </c>
      <c r="AF38">
        <v>0</v>
      </c>
      <c r="AG38">
        <v>0</v>
      </c>
      <c r="AH38">
        <v>0</v>
      </c>
      <c r="AI38">
        <v>25377238</v>
      </c>
      <c r="AJ38">
        <v>16467981</v>
      </c>
      <c r="AK38">
        <v>0</v>
      </c>
      <c r="AL38">
        <v>175971</v>
      </c>
      <c r="AM38">
        <v>1074240</v>
      </c>
      <c r="AN38">
        <v>38881</v>
      </c>
      <c r="AO38">
        <v>0</v>
      </c>
      <c r="AP38">
        <v>0</v>
      </c>
      <c r="AQ38">
        <v>15342</v>
      </c>
      <c r="AR38">
        <v>0</v>
      </c>
      <c r="AS38">
        <v>163978</v>
      </c>
      <c r="AT38">
        <v>4574</v>
      </c>
      <c r="AU38">
        <v>0</v>
      </c>
      <c r="AV38">
        <v>491784</v>
      </c>
      <c r="AW38">
        <v>94814538</v>
      </c>
      <c r="AX38">
        <v>114196130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74113</v>
      </c>
      <c r="BE38">
        <v>0</v>
      </c>
      <c r="BF38">
        <v>76876</v>
      </c>
      <c r="BG38">
        <v>0</v>
      </c>
      <c r="BH38">
        <v>463304</v>
      </c>
      <c r="BI38">
        <v>256291298</v>
      </c>
      <c r="BJ38">
        <v>209652</v>
      </c>
      <c r="BK38">
        <v>1040322</v>
      </c>
      <c r="BL38">
        <v>0</v>
      </c>
      <c r="BM38">
        <v>-28198862</v>
      </c>
      <c r="BN38">
        <v>7783723</v>
      </c>
      <c r="BO38">
        <v>0</v>
      </c>
      <c r="BP38">
        <v>-19165165</v>
      </c>
      <c r="BQ38">
        <v>237126133</v>
      </c>
      <c r="BR38">
        <v>-2075810</v>
      </c>
      <c r="BS38">
        <v>-41829</v>
      </c>
      <c r="BT38">
        <v>-154751</v>
      </c>
      <c r="BU38">
        <v>0</v>
      </c>
      <c r="BV38">
        <v>-2272390</v>
      </c>
      <c r="BW38">
        <v>-13607989</v>
      </c>
      <c r="BX38">
        <v>-11373117</v>
      </c>
      <c r="BY38">
        <v>-3640001</v>
      </c>
      <c r="BZ38">
        <v>-28621107</v>
      </c>
      <c r="CA38">
        <v>206232636</v>
      </c>
      <c r="CB38">
        <v>237126133</v>
      </c>
      <c r="CC38">
        <v>1092950174</v>
      </c>
    </row>
    <row r="39" spans="1:81">
      <c r="A39" s="8">
        <v>34</v>
      </c>
      <c r="B39" s="8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17780</v>
      </c>
      <c r="J39">
        <v>403870</v>
      </c>
      <c r="K39">
        <v>0</v>
      </c>
      <c r="L39">
        <v>224060</v>
      </c>
      <c r="M39">
        <v>0</v>
      </c>
      <c r="N39">
        <v>0</v>
      </c>
      <c r="O39">
        <v>0</v>
      </c>
      <c r="P39">
        <v>52174</v>
      </c>
      <c r="Q39">
        <v>0</v>
      </c>
      <c r="R39">
        <v>206497</v>
      </c>
      <c r="S39">
        <v>0</v>
      </c>
      <c r="T39">
        <v>11441</v>
      </c>
      <c r="U39">
        <v>1191317</v>
      </c>
      <c r="V39">
        <v>0</v>
      </c>
      <c r="W39">
        <v>17835717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107335</v>
      </c>
      <c r="AD39">
        <v>125170</v>
      </c>
      <c r="AE39">
        <v>5123916</v>
      </c>
      <c r="AF39">
        <v>0</v>
      </c>
      <c r="AG39">
        <v>0</v>
      </c>
      <c r="AH39">
        <v>0</v>
      </c>
      <c r="AI39">
        <v>41096</v>
      </c>
      <c r="AJ39">
        <v>35605844</v>
      </c>
      <c r="AK39">
        <v>65443</v>
      </c>
      <c r="AL39">
        <v>11548</v>
      </c>
      <c r="AM39">
        <v>2242348</v>
      </c>
      <c r="AN39">
        <v>5426190</v>
      </c>
      <c r="AO39">
        <v>48715815</v>
      </c>
      <c r="AP39">
        <v>21928023</v>
      </c>
      <c r="AQ39">
        <v>3803442</v>
      </c>
      <c r="AR39">
        <v>621</v>
      </c>
      <c r="AS39">
        <v>350701</v>
      </c>
      <c r="AT39">
        <v>17022569</v>
      </c>
      <c r="AU39">
        <v>0</v>
      </c>
      <c r="AV39">
        <v>0</v>
      </c>
      <c r="AW39">
        <v>83819882</v>
      </c>
      <c r="AX39">
        <v>11059261</v>
      </c>
      <c r="AY39">
        <v>931176</v>
      </c>
      <c r="AZ39">
        <v>1634971</v>
      </c>
      <c r="BA39">
        <v>660</v>
      </c>
      <c r="BB39">
        <v>0</v>
      </c>
      <c r="BC39">
        <v>0</v>
      </c>
      <c r="BD39">
        <v>17105</v>
      </c>
      <c r="BE39">
        <v>0</v>
      </c>
      <c r="BF39">
        <v>207706</v>
      </c>
      <c r="BG39">
        <v>135140</v>
      </c>
      <c r="BH39">
        <v>2243968</v>
      </c>
      <c r="BI39">
        <v>260562786</v>
      </c>
      <c r="BJ39">
        <v>35421934</v>
      </c>
      <c r="BK39">
        <v>315539</v>
      </c>
      <c r="BL39">
        <v>24505542</v>
      </c>
      <c r="BM39">
        <v>14593912</v>
      </c>
      <c r="BN39">
        <v>76756158</v>
      </c>
      <c r="BO39">
        <v>58528</v>
      </c>
      <c r="BP39">
        <v>151651613</v>
      </c>
      <c r="BQ39">
        <v>412214399</v>
      </c>
      <c r="BR39">
        <v>-72575949</v>
      </c>
      <c r="BS39">
        <v>-1816603</v>
      </c>
      <c r="BT39">
        <v>-2359786</v>
      </c>
      <c r="BU39">
        <v>-809138</v>
      </c>
      <c r="BV39">
        <v>-77561476</v>
      </c>
      <c r="BW39">
        <v>-27842213</v>
      </c>
      <c r="BX39">
        <v>-20112761</v>
      </c>
      <c r="BY39">
        <v>-5063986</v>
      </c>
      <c r="BZ39">
        <v>-53018960</v>
      </c>
      <c r="CA39">
        <v>281633963</v>
      </c>
      <c r="CB39">
        <v>412214399</v>
      </c>
      <c r="CC39">
        <v>1669330687</v>
      </c>
    </row>
    <row r="40" spans="1:81">
      <c r="A40" s="8">
        <v>35</v>
      </c>
      <c r="B40" s="8" t="s">
        <v>126</v>
      </c>
      <c r="C40">
        <v>2318</v>
      </c>
      <c r="D40">
        <v>0</v>
      </c>
      <c r="E40">
        <v>0</v>
      </c>
      <c r="F40">
        <v>0</v>
      </c>
      <c r="G40">
        <v>196364</v>
      </c>
      <c r="H40">
        <v>0</v>
      </c>
      <c r="I40">
        <v>0</v>
      </c>
      <c r="J40">
        <v>11823</v>
      </c>
      <c r="K40">
        <v>0</v>
      </c>
      <c r="L40">
        <v>18384</v>
      </c>
      <c r="M40">
        <v>3340</v>
      </c>
      <c r="N40">
        <v>341</v>
      </c>
      <c r="O40">
        <v>25</v>
      </c>
      <c r="P40">
        <v>27129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6522</v>
      </c>
      <c r="AF40">
        <v>0</v>
      </c>
      <c r="AG40">
        <v>2153330</v>
      </c>
      <c r="AH40">
        <v>541545</v>
      </c>
      <c r="AI40">
        <v>14285865</v>
      </c>
      <c r="AJ40">
        <v>703209</v>
      </c>
      <c r="AK40">
        <v>151566472</v>
      </c>
      <c r="AL40">
        <v>595543</v>
      </c>
      <c r="AM40">
        <v>177227063</v>
      </c>
      <c r="AN40">
        <v>81672540</v>
      </c>
      <c r="AO40">
        <v>114060177</v>
      </c>
      <c r="AP40">
        <v>287940083</v>
      </c>
      <c r="AQ40">
        <v>10224733</v>
      </c>
      <c r="AR40">
        <v>8156</v>
      </c>
      <c r="AS40">
        <v>311703</v>
      </c>
      <c r="AT40">
        <v>15421600</v>
      </c>
      <c r="AU40">
        <v>0</v>
      </c>
      <c r="AV40">
        <v>9410</v>
      </c>
      <c r="AW40">
        <v>44575286</v>
      </c>
      <c r="AX40">
        <v>66756222</v>
      </c>
      <c r="AY40">
        <v>95538</v>
      </c>
      <c r="AZ40">
        <v>0</v>
      </c>
      <c r="BA40">
        <v>643573</v>
      </c>
      <c r="BB40">
        <v>0</v>
      </c>
      <c r="BC40">
        <v>0</v>
      </c>
      <c r="BD40">
        <v>0</v>
      </c>
      <c r="BE40">
        <v>1953550</v>
      </c>
      <c r="BF40">
        <v>0</v>
      </c>
      <c r="BG40">
        <v>7148686</v>
      </c>
      <c r="BH40">
        <v>2433701</v>
      </c>
      <c r="BI40">
        <v>980594231</v>
      </c>
      <c r="BJ40">
        <v>0</v>
      </c>
      <c r="BK40">
        <v>31724</v>
      </c>
      <c r="BL40">
        <v>0</v>
      </c>
      <c r="BM40">
        <v>-124444497</v>
      </c>
      <c r="BN40">
        <v>90213821</v>
      </c>
      <c r="BO40">
        <v>0</v>
      </c>
      <c r="BP40">
        <v>-34198952</v>
      </c>
      <c r="BQ40">
        <v>946395279</v>
      </c>
      <c r="BR40">
        <v>-577226627</v>
      </c>
      <c r="BS40">
        <v>-4899726</v>
      </c>
      <c r="BT40">
        <v>-23951458</v>
      </c>
      <c r="BU40">
        <v>0</v>
      </c>
      <c r="BV40">
        <v>-606077811</v>
      </c>
      <c r="BW40">
        <v>-39355111</v>
      </c>
      <c r="BX40">
        <v>-30488443</v>
      </c>
      <c r="BY40">
        <v>-8720267</v>
      </c>
      <c r="BZ40">
        <v>-78563821</v>
      </c>
      <c r="CA40">
        <v>261753647</v>
      </c>
      <c r="CB40">
        <v>946395279</v>
      </c>
      <c r="CC40">
        <v>2678051499</v>
      </c>
    </row>
    <row r="41" spans="1:81">
      <c r="A41" s="8">
        <v>36</v>
      </c>
      <c r="B41" s="8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3140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554221</v>
      </c>
      <c r="S41">
        <v>0</v>
      </c>
      <c r="T41">
        <v>0</v>
      </c>
      <c r="U41">
        <v>0</v>
      </c>
      <c r="V41">
        <v>0</v>
      </c>
      <c r="W41">
        <v>0</v>
      </c>
      <c r="X41">
        <v>40345</v>
      </c>
      <c r="Y41">
        <v>0</v>
      </c>
      <c r="Z41">
        <v>396</v>
      </c>
      <c r="AA41">
        <v>15867</v>
      </c>
      <c r="AB41">
        <v>204007</v>
      </c>
      <c r="AC41">
        <v>63912</v>
      </c>
      <c r="AD41">
        <v>0</v>
      </c>
      <c r="AE41">
        <v>36266</v>
      </c>
      <c r="AF41">
        <v>0</v>
      </c>
      <c r="AG41">
        <v>0</v>
      </c>
      <c r="AH41">
        <v>144402</v>
      </c>
      <c r="AI41">
        <v>0</v>
      </c>
      <c r="AJ41">
        <v>326727</v>
      </c>
      <c r="AK41">
        <v>1271911</v>
      </c>
      <c r="AL41">
        <v>35325502</v>
      </c>
      <c r="AM41">
        <v>59710744</v>
      </c>
      <c r="AN41">
        <v>15797928</v>
      </c>
      <c r="AO41">
        <v>244342691</v>
      </c>
      <c r="AP41">
        <v>30399130</v>
      </c>
      <c r="AQ41">
        <v>2604719</v>
      </c>
      <c r="AR41">
        <v>0</v>
      </c>
      <c r="AS41">
        <v>391559</v>
      </c>
      <c r="AT41">
        <v>220341608</v>
      </c>
      <c r="AU41">
        <v>0</v>
      </c>
      <c r="AV41">
        <v>3743</v>
      </c>
      <c r="AW41">
        <v>4751527</v>
      </c>
      <c r="AX41">
        <v>10930074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35653</v>
      </c>
      <c r="BF41">
        <v>100636</v>
      </c>
      <c r="BG41">
        <v>8617753</v>
      </c>
      <c r="BH41">
        <v>522683</v>
      </c>
      <c r="BI41">
        <v>636537144</v>
      </c>
      <c r="BJ41">
        <v>0</v>
      </c>
      <c r="BK41">
        <v>0</v>
      </c>
      <c r="BL41">
        <v>0</v>
      </c>
      <c r="BM41">
        <v>26090084</v>
      </c>
      <c r="BN41">
        <v>218017435</v>
      </c>
      <c r="BO41">
        <v>0</v>
      </c>
      <c r="BP41">
        <v>244107519</v>
      </c>
      <c r="BQ41">
        <v>880644663</v>
      </c>
      <c r="BR41">
        <v>-656503565</v>
      </c>
      <c r="BS41">
        <v>-669420</v>
      </c>
      <c r="BT41">
        <v>-26283934</v>
      </c>
      <c r="BU41">
        <v>0</v>
      </c>
      <c r="BV41">
        <v>-683456919</v>
      </c>
      <c r="BW41">
        <v>-39762234</v>
      </c>
      <c r="BX41">
        <v>-17618090</v>
      </c>
      <c r="BY41">
        <v>-1384258</v>
      </c>
      <c r="BZ41">
        <v>-58764582</v>
      </c>
      <c r="CA41">
        <v>138423162</v>
      </c>
      <c r="CB41">
        <v>880644663</v>
      </c>
      <c r="CC41">
        <v>2176558812</v>
      </c>
    </row>
    <row r="42" spans="1:81">
      <c r="A42" s="8">
        <v>37</v>
      </c>
      <c r="B42" s="8" t="s">
        <v>128</v>
      </c>
      <c r="C42">
        <v>2231216</v>
      </c>
      <c r="D42">
        <v>262041</v>
      </c>
      <c r="E42">
        <v>881555</v>
      </c>
      <c r="F42">
        <v>66510</v>
      </c>
      <c r="G42">
        <v>4954277</v>
      </c>
      <c r="H42">
        <v>888590</v>
      </c>
      <c r="I42">
        <v>1071536</v>
      </c>
      <c r="J42">
        <v>4898604</v>
      </c>
      <c r="K42">
        <v>1355011</v>
      </c>
      <c r="L42">
        <v>918000</v>
      </c>
      <c r="M42">
        <v>42941</v>
      </c>
      <c r="N42">
        <v>17732</v>
      </c>
      <c r="O42">
        <v>2387</v>
      </c>
      <c r="P42">
        <v>4069282</v>
      </c>
      <c r="Q42">
        <v>2101197</v>
      </c>
      <c r="R42">
        <v>14884299</v>
      </c>
      <c r="S42">
        <v>50636</v>
      </c>
      <c r="T42">
        <v>62514</v>
      </c>
      <c r="U42">
        <v>776569</v>
      </c>
      <c r="V42">
        <v>0</v>
      </c>
      <c r="W42">
        <v>28085433</v>
      </c>
      <c r="X42">
        <v>1553</v>
      </c>
      <c r="Y42">
        <v>542951</v>
      </c>
      <c r="Z42">
        <v>1825167</v>
      </c>
      <c r="AA42">
        <v>1398979</v>
      </c>
      <c r="AB42">
        <v>886601</v>
      </c>
      <c r="AC42">
        <v>1741644</v>
      </c>
      <c r="AD42">
        <v>9735</v>
      </c>
      <c r="AE42">
        <v>3800239</v>
      </c>
      <c r="AF42">
        <v>124139</v>
      </c>
      <c r="AG42">
        <v>2257160</v>
      </c>
      <c r="AH42">
        <v>839349</v>
      </c>
      <c r="AI42">
        <v>176778</v>
      </c>
      <c r="AJ42">
        <v>1088555</v>
      </c>
      <c r="AK42">
        <v>1128523</v>
      </c>
      <c r="AL42">
        <v>27617</v>
      </c>
      <c r="AM42">
        <v>24414306</v>
      </c>
      <c r="AN42">
        <v>30892041</v>
      </c>
      <c r="AO42">
        <v>44264472</v>
      </c>
      <c r="AP42">
        <v>37805580</v>
      </c>
      <c r="AQ42">
        <v>3884996</v>
      </c>
      <c r="AR42">
        <v>1402123</v>
      </c>
      <c r="AS42">
        <v>6271953</v>
      </c>
      <c r="AT42">
        <v>6182526</v>
      </c>
      <c r="AU42">
        <v>3955667</v>
      </c>
      <c r="AV42">
        <v>94292</v>
      </c>
      <c r="AW42">
        <v>54231039</v>
      </c>
      <c r="AX42">
        <v>22975086</v>
      </c>
      <c r="AY42">
        <v>1146899</v>
      </c>
      <c r="AZ42">
        <v>1948812</v>
      </c>
      <c r="BA42">
        <v>4011713</v>
      </c>
      <c r="BB42">
        <v>11129</v>
      </c>
      <c r="BC42">
        <v>262224</v>
      </c>
      <c r="BD42">
        <v>412552</v>
      </c>
      <c r="BE42">
        <v>4123073</v>
      </c>
      <c r="BF42">
        <v>5831658</v>
      </c>
      <c r="BG42">
        <v>8499915</v>
      </c>
      <c r="BH42">
        <v>4177888</v>
      </c>
      <c r="BI42">
        <v>350269264</v>
      </c>
      <c r="BJ42">
        <v>47639899</v>
      </c>
      <c r="BK42">
        <v>12626373</v>
      </c>
      <c r="BL42">
        <v>87316283</v>
      </c>
      <c r="BM42">
        <v>133976575</v>
      </c>
      <c r="BN42">
        <v>309791435</v>
      </c>
      <c r="BO42">
        <v>51557</v>
      </c>
      <c r="BP42">
        <v>591402122</v>
      </c>
      <c r="BQ42">
        <v>941671386</v>
      </c>
      <c r="BR42">
        <v>-359829221</v>
      </c>
      <c r="BS42">
        <v>-6704091</v>
      </c>
      <c r="BT42">
        <v>-11624819</v>
      </c>
      <c r="BU42">
        <v>0</v>
      </c>
      <c r="BV42">
        <v>-378158131</v>
      </c>
      <c r="BW42">
        <v>-20892489</v>
      </c>
      <c r="BX42">
        <v>-29468338</v>
      </c>
      <c r="BY42">
        <v>-3033144</v>
      </c>
      <c r="BZ42">
        <v>-53393971</v>
      </c>
      <c r="CA42">
        <v>510119284</v>
      </c>
      <c r="CB42">
        <v>941671386</v>
      </c>
      <c r="CC42">
        <v>3413700624</v>
      </c>
    </row>
    <row r="43" spans="1:81">
      <c r="A43" s="8">
        <v>38</v>
      </c>
      <c r="B43" s="8" t="s">
        <v>129</v>
      </c>
      <c r="C43">
        <v>1758200</v>
      </c>
      <c r="D43">
        <v>541261</v>
      </c>
      <c r="E43">
        <v>65512</v>
      </c>
      <c r="F43">
        <v>29778</v>
      </c>
      <c r="G43">
        <v>4449849</v>
      </c>
      <c r="H43">
        <v>1118367</v>
      </c>
      <c r="I43">
        <v>743840</v>
      </c>
      <c r="J43">
        <v>1569581</v>
      </c>
      <c r="K43">
        <v>212309</v>
      </c>
      <c r="L43">
        <v>534987</v>
      </c>
      <c r="M43">
        <v>625244</v>
      </c>
      <c r="N43">
        <v>6408694</v>
      </c>
      <c r="O43">
        <v>21738</v>
      </c>
      <c r="P43">
        <v>4911276</v>
      </c>
      <c r="Q43">
        <v>807380</v>
      </c>
      <c r="R43">
        <v>3999673</v>
      </c>
      <c r="S43">
        <v>1752637</v>
      </c>
      <c r="T43">
        <v>2117395</v>
      </c>
      <c r="U43">
        <v>2390661</v>
      </c>
      <c r="V43">
        <v>329081</v>
      </c>
      <c r="W43">
        <v>3214595</v>
      </c>
      <c r="X43">
        <v>168565</v>
      </c>
      <c r="Y43">
        <v>1602602</v>
      </c>
      <c r="Z43">
        <v>1397941</v>
      </c>
      <c r="AA43">
        <v>1075781</v>
      </c>
      <c r="AB43">
        <v>424837</v>
      </c>
      <c r="AC43">
        <v>6946020</v>
      </c>
      <c r="AD43">
        <v>696813</v>
      </c>
      <c r="AE43">
        <v>2213570</v>
      </c>
      <c r="AF43">
        <v>3237869</v>
      </c>
      <c r="AG43">
        <v>1877097</v>
      </c>
      <c r="AH43">
        <v>4581002</v>
      </c>
      <c r="AI43">
        <v>1894148</v>
      </c>
      <c r="AJ43">
        <v>1644929</v>
      </c>
      <c r="AK43">
        <v>1999018</v>
      </c>
      <c r="AL43">
        <v>778360</v>
      </c>
      <c r="AM43">
        <v>2520425</v>
      </c>
      <c r="AN43">
        <v>187820577</v>
      </c>
      <c r="AO43">
        <v>28325909</v>
      </c>
      <c r="AP43">
        <v>143192291</v>
      </c>
      <c r="AQ43">
        <v>10864624</v>
      </c>
      <c r="AR43">
        <v>513539</v>
      </c>
      <c r="AS43">
        <v>2568541</v>
      </c>
      <c r="AT43">
        <v>4608876</v>
      </c>
      <c r="AU43">
        <v>6837942</v>
      </c>
      <c r="AV43">
        <v>40066</v>
      </c>
      <c r="AW43">
        <v>2366132</v>
      </c>
      <c r="AX43">
        <v>6585453</v>
      </c>
      <c r="AY43">
        <v>17715</v>
      </c>
      <c r="AZ43">
        <v>381699</v>
      </c>
      <c r="BA43">
        <v>3190566</v>
      </c>
      <c r="BB43">
        <v>0</v>
      </c>
      <c r="BC43">
        <v>0</v>
      </c>
      <c r="BD43">
        <v>122009</v>
      </c>
      <c r="BE43">
        <v>11574443</v>
      </c>
      <c r="BF43">
        <v>3420274</v>
      </c>
      <c r="BG43">
        <v>2482406</v>
      </c>
      <c r="BH43">
        <v>783205</v>
      </c>
      <c r="BI43">
        <v>486357302</v>
      </c>
      <c r="BJ43">
        <v>1984416</v>
      </c>
      <c r="BK43">
        <v>8000504</v>
      </c>
      <c r="BL43">
        <v>414032286</v>
      </c>
      <c r="BM43">
        <v>-78029883</v>
      </c>
      <c r="BN43">
        <v>472823393</v>
      </c>
      <c r="BO43">
        <v>0</v>
      </c>
      <c r="BP43">
        <v>818810716</v>
      </c>
      <c r="BQ43">
        <v>1305168018</v>
      </c>
      <c r="BR43">
        <v>-549904371</v>
      </c>
      <c r="BS43">
        <v>-4788506</v>
      </c>
      <c r="BT43">
        <v>-22980114</v>
      </c>
      <c r="BU43">
        <v>0</v>
      </c>
      <c r="BV43">
        <v>-577672991</v>
      </c>
      <c r="BW43">
        <v>-102624075</v>
      </c>
      <c r="BX43">
        <v>-37200798</v>
      </c>
      <c r="BY43">
        <v>-12953748</v>
      </c>
      <c r="BZ43">
        <v>-152778621</v>
      </c>
      <c r="CA43">
        <v>574716406</v>
      </c>
      <c r="CB43">
        <v>1305168018</v>
      </c>
      <c r="CC43">
        <v>4334485254</v>
      </c>
    </row>
    <row r="44" spans="1:81">
      <c r="A44" s="8">
        <v>39</v>
      </c>
      <c r="B44" s="8" t="s">
        <v>130</v>
      </c>
      <c r="C44">
        <v>22873</v>
      </c>
      <c r="D44">
        <v>0</v>
      </c>
      <c r="E44">
        <v>0</v>
      </c>
      <c r="F44">
        <v>0</v>
      </c>
      <c r="G44">
        <v>118132</v>
      </c>
      <c r="H44">
        <v>0</v>
      </c>
      <c r="I44">
        <v>109717</v>
      </c>
      <c r="J44">
        <v>208403</v>
      </c>
      <c r="K44">
        <v>368909</v>
      </c>
      <c r="L44">
        <v>73111</v>
      </c>
      <c r="M44">
        <v>289499</v>
      </c>
      <c r="N44">
        <v>478323</v>
      </c>
      <c r="O44">
        <v>320</v>
      </c>
      <c r="P44">
        <v>326142</v>
      </c>
      <c r="Q44">
        <v>250813</v>
      </c>
      <c r="R44">
        <v>460417</v>
      </c>
      <c r="S44">
        <v>65461</v>
      </c>
      <c r="T44">
        <v>46303</v>
      </c>
      <c r="U44">
        <v>384036</v>
      </c>
      <c r="V44">
        <v>25330</v>
      </c>
      <c r="W44">
        <v>243245</v>
      </c>
      <c r="X44">
        <v>910</v>
      </c>
      <c r="Y44">
        <v>91482</v>
      </c>
      <c r="Z44">
        <v>427701</v>
      </c>
      <c r="AA44">
        <v>188390</v>
      </c>
      <c r="AB44">
        <v>250248</v>
      </c>
      <c r="AC44">
        <v>459977</v>
      </c>
      <c r="AD44">
        <v>35845</v>
      </c>
      <c r="AE44">
        <v>281256</v>
      </c>
      <c r="AF44">
        <v>39296</v>
      </c>
      <c r="AG44">
        <v>93000</v>
      </c>
      <c r="AH44">
        <v>450949</v>
      </c>
      <c r="AI44">
        <v>120983</v>
      </c>
      <c r="AJ44">
        <v>237389</v>
      </c>
      <c r="AK44">
        <v>178572</v>
      </c>
      <c r="AL44">
        <v>18354</v>
      </c>
      <c r="AM44">
        <v>1771190</v>
      </c>
      <c r="AN44">
        <v>15498415</v>
      </c>
      <c r="AO44">
        <v>1753075785</v>
      </c>
      <c r="AP44">
        <v>191768620</v>
      </c>
      <c r="AQ44">
        <v>4126709</v>
      </c>
      <c r="AR44">
        <v>182158</v>
      </c>
      <c r="AS44">
        <v>88463</v>
      </c>
      <c r="AT44">
        <v>3569069</v>
      </c>
      <c r="AU44">
        <v>21105287</v>
      </c>
      <c r="AV44">
        <v>59838</v>
      </c>
      <c r="AW44">
        <v>44503623</v>
      </c>
      <c r="AX44">
        <v>43917782</v>
      </c>
      <c r="AY44">
        <v>11783869</v>
      </c>
      <c r="AZ44">
        <v>8621476</v>
      </c>
      <c r="BA44">
        <v>2883208</v>
      </c>
      <c r="BB44">
        <v>16985763</v>
      </c>
      <c r="BC44">
        <v>17012519</v>
      </c>
      <c r="BD44">
        <v>1917524</v>
      </c>
      <c r="BE44">
        <v>72548698</v>
      </c>
      <c r="BF44">
        <v>36910017</v>
      </c>
      <c r="BG44">
        <v>142729036</v>
      </c>
      <c r="BH44">
        <v>8622414</v>
      </c>
      <c r="BI44">
        <v>2406026849</v>
      </c>
      <c r="BJ44">
        <v>227908868</v>
      </c>
      <c r="BK44">
        <v>13219792</v>
      </c>
      <c r="BL44">
        <v>655006360</v>
      </c>
      <c r="BM44">
        <v>554015860</v>
      </c>
      <c r="BN44">
        <v>2175521572</v>
      </c>
      <c r="BO44">
        <v>1002657</v>
      </c>
      <c r="BP44">
        <v>3626675109</v>
      </c>
      <c r="BQ44">
        <v>6032701958</v>
      </c>
      <c r="BR44">
        <v>-1993006357</v>
      </c>
      <c r="BS44">
        <v>-15307320</v>
      </c>
      <c r="BT44">
        <v>-37966412</v>
      </c>
      <c r="BU44">
        <v>-1978283</v>
      </c>
      <c r="BV44">
        <v>-2048258372</v>
      </c>
      <c r="BW44">
        <v>-303621563</v>
      </c>
      <c r="BX44">
        <v>-226256260</v>
      </c>
      <c r="BY44">
        <v>-47314118</v>
      </c>
      <c r="BZ44">
        <v>-577191941</v>
      </c>
      <c r="CA44">
        <v>3407251645</v>
      </c>
      <c r="CB44">
        <v>6032701958</v>
      </c>
      <c r="CC44">
        <v>22287158851</v>
      </c>
    </row>
    <row r="45" spans="1:81">
      <c r="A45" s="8">
        <v>40</v>
      </c>
      <c r="B45" s="8" t="s">
        <v>131</v>
      </c>
      <c r="C45">
        <v>373720</v>
      </c>
      <c r="D45">
        <v>114877</v>
      </c>
      <c r="E45">
        <v>39389</v>
      </c>
      <c r="F45">
        <v>14400</v>
      </c>
      <c r="G45">
        <v>8125579</v>
      </c>
      <c r="H45">
        <v>52638</v>
      </c>
      <c r="I45">
        <v>93414</v>
      </c>
      <c r="J45">
        <v>1862939</v>
      </c>
      <c r="K45">
        <v>1337411</v>
      </c>
      <c r="L45">
        <v>459412</v>
      </c>
      <c r="M45">
        <v>210767</v>
      </c>
      <c r="N45">
        <v>4642977</v>
      </c>
      <c r="O45">
        <v>6157</v>
      </c>
      <c r="P45">
        <v>9136478</v>
      </c>
      <c r="Q45">
        <v>836120</v>
      </c>
      <c r="R45">
        <v>1024451</v>
      </c>
      <c r="S45">
        <v>305464</v>
      </c>
      <c r="T45">
        <v>247592</v>
      </c>
      <c r="U45">
        <v>765803</v>
      </c>
      <c r="V45">
        <v>85323</v>
      </c>
      <c r="W45">
        <v>2181959</v>
      </c>
      <c r="X45">
        <v>2238</v>
      </c>
      <c r="Y45">
        <v>157489</v>
      </c>
      <c r="Z45">
        <v>494754</v>
      </c>
      <c r="AA45">
        <v>222659</v>
      </c>
      <c r="AB45">
        <v>62601</v>
      </c>
      <c r="AC45">
        <v>1553153</v>
      </c>
      <c r="AD45">
        <v>40977</v>
      </c>
      <c r="AE45">
        <v>666398</v>
      </c>
      <c r="AF45">
        <v>567093</v>
      </c>
      <c r="AG45">
        <v>883377</v>
      </c>
      <c r="AH45">
        <v>1798958</v>
      </c>
      <c r="AI45">
        <v>588376</v>
      </c>
      <c r="AJ45">
        <v>275692</v>
      </c>
      <c r="AK45">
        <v>165480</v>
      </c>
      <c r="AL45">
        <v>79299</v>
      </c>
      <c r="AM45">
        <v>807431</v>
      </c>
      <c r="AN45">
        <v>3324662</v>
      </c>
      <c r="AO45">
        <v>8131843</v>
      </c>
      <c r="AP45">
        <v>476531360</v>
      </c>
      <c r="AQ45">
        <v>309271</v>
      </c>
      <c r="AR45">
        <v>189346</v>
      </c>
      <c r="AS45">
        <v>385735</v>
      </c>
      <c r="AT45">
        <v>2014696</v>
      </c>
      <c r="AU45">
        <v>2953713</v>
      </c>
      <c r="AV45">
        <v>78856</v>
      </c>
      <c r="AW45">
        <v>1605610</v>
      </c>
      <c r="AX45">
        <v>3061678</v>
      </c>
      <c r="AY45">
        <v>20799109</v>
      </c>
      <c r="AZ45">
        <v>1521243</v>
      </c>
      <c r="BA45">
        <v>150650315</v>
      </c>
      <c r="BB45">
        <v>2449300</v>
      </c>
      <c r="BC45">
        <v>9542714</v>
      </c>
      <c r="BD45">
        <v>604956</v>
      </c>
      <c r="BE45">
        <v>14589888</v>
      </c>
      <c r="BF45">
        <v>9797914</v>
      </c>
      <c r="BG45">
        <v>5857794</v>
      </c>
      <c r="BH45">
        <v>15237789</v>
      </c>
      <c r="BI45">
        <v>769920637</v>
      </c>
      <c r="BJ45">
        <v>373672841</v>
      </c>
      <c r="BK45">
        <v>4966017</v>
      </c>
      <c r="BL45">
        <v>755219295</v>
      </c>
      <c r="BM45">
        <v>45949449</v>
      </c>
      <c r="BN45">
        <v>1027702174</v>
      </c>
      <c r="BO45">
        <v>0</v>
      </c>
      <c r="BP45">
        <v>2207509776</v>
      </c>
      <c r="BQ45">
        <v>2977430413</v>
      </c>
      <c r="BR45">
        <v>-382559680</v>
      </c>
      <c r="BS45">
        <v>-22378296</v>
      </c>
      <c r="BT45">
        <v>-50952964</v>
      </c>
      <c r="BU45">
        <v>0</v>
      </c>
      <c r="BV45">
        <v>-455890940</v>
      </c>
      <c r="BW45">
        <v>-160472892</v>
      </c>
      <c r="BX45">
        <v>-157814937</v>
      </c>
      <c r="BY45">
        <v>-20049789</v>
      </c>
      <c r="BZ45">
        <v>-338337618</v>
      </c>
      <c r="CA45">
        <v>2183201855</v>
      </c>
      <c r="CB45">
        <v>2977430413</v>
      </c>
      <c r="CC45">
        <v>12504466391</v>
      </c>
    </row>
    <row r="46" spans="1:81">
      <c r="A46" s="8">
        <v>41</v>
      </c>
      <c r="B46" s="8" t="s">
        <v>132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3567187</v>
      </c>
      <c r="N46">
        <v>0</v>
      </c>
      <c r="O46">
        <v>426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11047837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16207608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30823058</v>
      </c>
      <c r="BJ46">
        <v>228772</v>
      </c>
      <c r="BK46">
        <v>101324</v>
      </c>
      <c r="BL46">
        <v>114957101</v>
      </c>
      <c r="BM46">
        <v>11923291</v>
      </c>
      <c r="BN46">
        <v>34122492</v>
      </c>
      <c r="BO46">
        <v>0</v>
      </c>
      <c r="BP46">
        <v>161332980</v>
      </c>
      <c r="BQ46">
        <v>192156038</v>
      </c>
      <c r="BR46">
        <v>-67945117</v>
      </c>
      <c r="BS46">
        <v>-562370</v>
      </c>
      <c r="BT46">
        <v>-1320879</v>
      </c>
      <c r="BU46">
        <v>0</v>
      </c>
      <c r="BV46">
        <v>-69828366</v>
      </c>
      <c r="BW46">
        <v>-7145384</v>
      </c>
      <c r="BX46">
        <v>-990883</v>
      </c>
      <c r="BY46">
        <v>-1164748</v>
      </c>
      <c r="BZ46">
        <v>-9301015</v>
      </c>
      <c r="CA46">
        <v>113026657</v>
      </c>
      <c r="CB46">
        <v>192156038</v>
      </c>
      <c r="CC46">
        <v>723392047</v>
      </c>
    </row>
    <row r="47" spans="1:81">
      <c r="A47" s="8">
        <v>42</v>
      </c>
      <c r="B47" s="8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8841183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3148395</v>
      </c>
      <c r="AN47">
        <v>0</v>
      </c>
      <c r="AO47">
        <v>0</v>
      </c>
      <c r="AP47">
        <v>0</v>
      </c>
      <c r="AQ47">
        <v>40927</v>
      </c>
      <c r="AR47">
        <v>17375565</v>
      </c>
      <c r="AS47">
        <v>470050</v>
      </c>
      <c r="AT47">
        <v>4151513</v>
      </c>
      <c r="AU47">
        <v>0</v>
      </c>
      <c r="AV47">
        <v>0</v>
      </c>
      <c r="AW47">
        <v>0</v>
      </c>
      <c r="AX47">
        <v>0</v>
      </c>
      <c r="AY47">
        <v>1367232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605010</v>
      </c>
      <c r="BF47">
        <v>0</v>
      </c>
      <c r="BG47">
        <v>236262</v>
      </c>
      <c r="BH47">
        <v>394655</v>
      </c>
      <c r="BI47">
        <v>36630792</v>
      </c>
      <c r="BJ47">
        <v>74330917</v>
      </c>
      <c r="BK47">
        <v>0</v>
      </c>
      <c r="BL47">
        <v>0</v>
      </c>
      <c r="BM47">
        <v>4230148</v>
      </c>
      <c r="BN47">
        <v>55757274</v>
      </c>
      <c r="BO47">
        <v>1715154</v>
      </c>
      <c r="BP47">
        <v>136033493</v>
      </c>
      <c r="BQ47">
        <v>172664285</v>
      </c>
      <c r="BR47">
        <v>-60167939</v>
      </c>
      <c r="BS47">
        <v>-1882149</v>
      </c>
      <c r="BT47">
        <v>-2225741</v>
      </c>
      <c r="BU47">
        <v>-588010</v>
      </c>
      <c r="BV47">
        <v>-64863839</v>
      </c>
      <c r="BW47">
        <v>-10045245</v>
      </c>
      <c r="BX47">
        <v>-9326243</v>
      </c>
      <c r="BY47">
        <v>-941154</v>
      </c>
      <c r="BZ47">
        <v>-20312642</v>
      </c>
      <c r="CA47">
        <v>87487804</v>
      </c>
      <c r="CB47">
        <v>172664285</v>
      </c>
      <c r="CC47">
        <v>607791982</v>
      </c>
    </row>
    <row r="48" spans="1:81">
      <c r="A48" s="8">
        <v>43</v>
      </c>
      <c r="B48" s="8" t="s">
        <v>134</v>
      </c>
      <c r="C48">
        <v>5485</v>
      </c>
      <c r="D48">
        <v>42865</v>
      </c>
      <c r="E48">
        <v>1736</v>
      </c>
      <c r="F48">
        <v>961</v>
      </c>
      <c r="G48">
        <v>5501111</v>
      </c>
      <c r="H48">
        <v>0</v>
      </c>
      <c r="I48">
        <v>0</v>
      </c>
      <c r="J48">
        <v>1042918</v>
      </c>
      <c r="K48">
        <v>328419</v>
      </c>
      <c r="L48">
        <v>254138</v>
      </c>
      <c r="M48">
        <v>198727</v>
      </c>
      <c r="N48">
        <v>0</v>
      </c>
      <c r="O48">
        <v>0</v>
      </c>
      <c r="P48">
        <v>284355</v>
      </c>
      <c r="Q48">
        <v>62285</v>
      </c>
      <c r="R48">
        <v>21780</v>
      </c>
      <c r="S48">
        <v>527</v>
      </c>
      <c r="T48">
        <v>4929</v>
      </c>
      <c r="U48">
        <v>64520</v>
      </c>
      <c r="V48">
        <v>0</v>
      </c>
      <c r="W48">
        <v>67293</v>
      </c>
      <c r="X48">
        <v>0</v>
      </c>
      <c r="Y48">
        <v>16079</v>
      </c>
      <c r="Z48">
        <v>0</v>
      </c>
      <c r="AA48">
        <v>0</v>
      </c>
      <c r="AB48">
        <v>0</v>
      </c>
      <c r="AC48">
        <v>0</v>
      </c>
      <c r="AD48">
        <v>235427</v>
      </c>
      <c r="AE48">
        <v>384046</v>
      </c>
      <c r="AF48">
        <v>0</v>
      </c>
      <c r="AG48">
        <v>88958</v>
      </c>
      <c r="AH48">
        <v>0</v>
      </c>
      <c r="AI48">
        <v>20581</v>
      </c>
      <c r="AJ48">
        <v>495943</v>
      </c>
      <c r="AK48">
        <v>0</v>
      </c>
      <c r="AL48">
        <v>0</v>
      </c>
      <c r="AM48">
        <v>1606135</v>
      </c>
      <c r="AN48">
        <v>953271</v>
      </c>
      <c r="AO48">
        <v>3384380</v>
      </c>
      <c r="AP48">
        <v>2425686</v>
      </c>
      <c r="AQ48">
        <v>2696168</v>
      </c>
      <c r="AR48">
        <v>68339</v>
      </c>
      <c r="AS48">
        <v>66816170</v>
      </c>
      <c r="AT48">
        <v>4745886</v>
      </c>
      <c r="AU48">
        <v>605614</v>
      </c>
      <c r="AV48">
        <v>0</v>
      </c>
      <c r="AW48">
        <v>11483325</v>
      </c>
      <c r="AX48">
        <v>5979014</v>
      </c>
      <c r="AY48">
        <v>4225478</v>
      </c>
      <c r="AZ48">
        <v>242955</v>
      </c>
      <c r="BA48">
        <v>4198818</v>
      </c>
      <c r="BB48">
        <v>0</v>
      </c>
      <c r="BC48">
        <v>0</v>
      </c>
      <c r="BD48">
        <v>0</v>
      </c>
      <c r="BE48">
        <v>1119138</v>
      </c>
      <c r="BF48">
        <v>772153</v>
      </c>
      <c r="BG48">
        <v>476769</v>
      </c>
      <c r="BH48">
        <v>456103</v>
      </c>
      <c r="BI48">
        <v>121378485</v>
      </c>
      <c r="BJ48">
        <v>22176032</v>
      </c>
      <c r="BK48">
        <v>56810</v>
      </c>
      <c r="BL48">
        <v>17271136</v>
      </c>
      <c r="BM48">
        <v>82632447</v>
      </c>
      <c r="BN48">
        <v>100669375</v>
      </c>
      <c r="BO48">
        <v>75464</v>
      </c>
      <c r="BP48">
        <v>222881264</v>
      </c>
      <c r="BQ48">
        <v>344259749</v>
      </c>
      <c r="BR48">
        <v>-21342735</v>
      </c>
      <c r="BS48">
        <v>-343084</v>
      </c>
      <c r="BT48">
        <v>-1436560</v>
      </c>
      <c r="BU48">
        <v>-599</v>
      </c>
      <c r="BV48">
        <v>-23122978</v>
      </c>
      <c r="BW48">
        <v>-28799344</v>
      </c>
      <c r="BX48">
        <v>-22976201</v>
      </c>
      <c r="BY48">
        <v>-3114669</v>
      </c>
      <c r="BZ48">
        <v>-54890214</v>
      </c>
      <c r="CA48">
        <v>266246557</v>
      </c>
      <c r="CB48">
        <v>344259749</v>
      </c>
      <c r="CC48">
        <v>1487259169</v>
      </c>
    </row>
    <row r="49" spans="1:81">
      <c r="A49" s="8">
        <v>44</v>
      </c>
      <c r="B49" s="8" t="s">
        <v>135</v>
      </c>
      <c r="C49">
        <v>10630</v>
      </c>
      <c r="D49">
        <v>463</v>
      </c>
      <c r="E49">
        <v>92</v>
      </c>
      <c r="F49">
        <v>0</v>
      </c>
      <c r="G49">
        <v>143705</v>
      </c>
      <c r="H49">
        <v>0</v>
      </c>
      <c r="I49">
        <v>5065</v>
      </c>
      <c r="J49">
        <v>65555</v>
      </c>
      <c r="K49">
        <v>476462</v>
      </c>
      <c r="L49">
        <v>75364</v>
      </c>
      <c r="M49">
        <v>72626</v>
      </c>
      <c r="N49">
        <v>961500</v>
      </c>
      <c r="O49">
        <v>83</v>
      </c>
      <c r="P49">
        <v>369678</v>
      </c>
      <c r="Q49">
        <v>1051251</v>
      </c>
      <c r="R49">
        <v>693639</v>
      </c>
      <c r="S49">
        <v>90103</v>
      </c>
      <c r="T49">
        <v>37854</v>
      </c>
      <c r="U49">
        <v>278994</v>
      </c>
      <c r="V49">
        <v>12998</v>
      </c>
      <c r="W49">
        <v>420253</v>
      </c>
      <c r="X49">
        <v>3722</v>
      </c>
      <c r="Y49">
        <v>74562</v>
      </c>
      <c r="Z49">
        <v>10617466</v>
      </c>
      <c r="AA49">
        <v>390953</v>
      </c>
      <c r="AB49">
        <v>665214</v>
      </c>
      <c r="AC49">
        <v>627273</v>
      </c>
      <c r="AD49">
        <v>32271</v>
      </c>
      <c r="AE49">
        <v>945936</v>
      </c>
      <c r="AF49">
        <v>78343</v>
      </c>
      <c r="AG49">
        <v>648199</v>
      </c>
      <c r="AH49">
        <v>949629</v>
      </c>
      <c r="AI49">
        <v>343648</v>
      </c>
      <c r="AJ49">
        <v>193661</v>
      </c>
      <c r="AK49">
        <v>252999</v>
      </c>
      <c r="AL49">
        <v>60081</v>
      </c>
      <c r="AM49">
        <v>532989</v>
      </c>
      <c r="AN49">
        <v>2031721</v>
      </c>
      <c r="AO49">
        <v>18951629</v>
      </c>
      <c r="AP49">
        <v>4955104</v>
      </c>
      <c r="AQ49">
        <v>128116</v>
      </c>
      <c r="AR49">
        <v>3249233</v>
      </c>
      <c r="AS49">
        <v>782316</v>
      </c>
      <c r="AT49">
        <v>497965378</v>
      </c>
      <c r="AU49">
        <v>922507</v>
      </c>
      <c r="AV49">
        <v>296447</v>
      </c>
      <c r="AW49">
        <v>361820</v>
      </c>
      <c r="AX49">
        <v>1608341</v>
      </c>
      <c r="AY49">
        <v>3307461</v>
      </c>
      <c r="AZ49">
        <v>1664735</v>
      </c>
      <c r="BA49">
        <v>1370862</v>
      </c>
      <c r="BB49">
        <v>1207059</v>
      </c>
      <c r="BC49">
        <v>5200859</v>
      </c>
      <c r="BD49">
        <v>573739</v>
      </c>
      <c r="BE49">
        <v>21172129</v>
      </c>
      <c r="BF49">
        <v>75341943</v>
      </c>
      <c r="BG49">
        <v>13709020</v>
      </c>
      <c r="BH49">
        <v>5731952</v>
      </c>
      <c r="BI49">
        <v>681715632</v>
      </c>
      <c r="BJ49">
        <v>212845353</v>
      </c>
      <c r="BK49">
        <v>21933718</v>
      </c>
      <c r="BL49">
        <v>168232534</v>
      </c>
      <c r="BM49">
        <v>244746842</v>
      </c>
      <c r="BN49">
        <v>564184975</v>
      </c>
      <c r="BO49">
        <v>5374352</v>
      </c>
      <c r="BP49">
        <v>1217317774</v>
      </c>
      <c r="BQ49">
        <v>1899033406</v>
      </c>
      <c r="BR49">
        <v>-364884998</v>
      </c>
      <c r="BS49">
        <v>-2854316</v>
      </c>
      <c r="BT49">
        <v>-17835771</v>
      </c>
      <c r="BU49">
        <v>-6422291</v>
      </c>
      <c r="BV49">
        <v>-391997376</v>
      </c>
      <c r="BW49">
        <v>-96610091</v>
      </c>
      <c r="BX49">
        <v>-109460565</v>
      </c>
      <c r="BY49">
        <v>-7589209</v>
      </c>
      <c r="BZ49">
        <v>-213659865</v>
      </c>
      <c r="CA49">
        <v>1293376165</v>
      </c>
      <c r="CB49">
        <v>1899033406</v>
      </c>
      <c r="CC49">
        <v>7678195307</v>
      </c>
    </row>
    <row r="50" spans="1:81">
      <c r="A50" s="8">
        <v>45</v>
      </c>
      <c r="B50" s="8" t="s">
        <v>136</v>
      </c>
      <c r="C50">
        <v>39678</v>
      </c>
      <c r="D50">
        <v>1798</v>
      </c>
      <c r="E50">
        <v>16382</v>
      </c>
      <c r="F50">
        <v>595</v>
      </c>
      <c r="G50">
        <v>2972218</v>
      </c>
      <c r="H50">
        <v>117630</v>
      </c>
      <c r="I50">
        <v>306378</v>
      </c>
      <c r="J50">
        <v>636383</v>
      </c>
      <c r="K50">
        <v>3351599</v>
      </c>
      <c r="L50">
        <v>22855</v>
      </c>
      <c r="M50">
        <v>960016</v>
      </c>
      <c r="N50">
        <v>1960074</v>
      </c>
      <c r="O50">
        <v>4732</v>
      </c>
      <c r="P50">
        <v>2820778</v>
      </c>
      <c r="Q50">
        <v>15240372</v>
      </c>
      <c r="R50">
        <v>14130649</v>
      </c>
      <c r="S50">
        <v>11594641</v>
      </c>
      <c r="T50">
        <v>2367334</v>
      </c>
      <c r="U50">
        <v>15216086</v>
      </c>
      <c r="V50">
        <v>1346367</v>
      </c>
      <c r="W50">
        <v>7883063</v>
      </c>
      <c r="X50">
        <v>111186</v>
      </c>
      <c r="Y50">
        <v>13167223</v>
      </c>
      <c r="Z50">
        <v>7346637</v>
      </c>
      <c r="AA50">
        <v>5747087</v>
      </c>
      <c r="AB50">
        <v>1632622</v>
      </c>
      <c r="AC50">
        <v>69114559</v>
      </c>
      <c r="AD50">
        <v>1082098</v>
      </c>
      <c r="AE50">
        <v>10377361</v>
      </c>
      <c r="AF50">
        <v>26505494</v>
      </c>
      <c r="AG50">
        <v>7336351</v>
      </c>
      <c r="AH50">
        <v>31708797</v>
      </c>
      <c r="AI50">
        <v>10938238</v>
      </c>
      <c r="AJ50">
        <v>11481055</v>
      </c>
      <c r="AK50">
        <v>12138123</v>
      </c>
      <c r="AL50">
        <v>3139207</v>
      </c>
      <c r="AM50">
        <v>8583184</v>
      </c>
      <c r="AN50">
        <v>8989664</v>
      </c>
      <c r="AO50">
        <v>45006251</v>
      </c>
      <c r="AP50">
        <v>36010944</v>
      </c>
      <c r="AQ50">
        <v>2571562</v>
      </c>
      <c r="AR50">
        <v>1117194</v>
      </c>
      <c r="AS50">
        <v>6682382</v>
      </c>
      <c r="AT50">
        <v>15030187</v>
      </c>
      <c r="AU50">
        <v>452468230</v>
      </c>
      <c r="AV50">
        <v>8191830</v>
      </c>
      <c r="AW50">
        <v>5841657</v>
      </c>
      <c r="AX50">
        <v>953730</v>
      </c>
      <c r="AY50">
        <v>65534715</v>
      </c>
      <c r="AZ50">
        <v>72031617</v>
      </c>
      <c r="BA50">
        <v>109690959</v>
      </c>
      <c r="BB50">
        <v>15917648</v>
      </c>
      <c r="BC50">
        <v>21286235</v>
      </c>
      <c r="BD50">
        <v>24293893</v>
      </c>
      <c r="BE50">
        <v>13351247</v>
      </c>
      <c r="BF50">
        <v>42529908</v>
      </c>
      <c r="BG50">
        <v>30150131</v>
      </c>
      <c r="BH50">
        <v>2538385</v>
      </c>
      <c r="BI50">
        <v>1281587219</v>
      </c>
      <c r="BJ50">
        <v>355558350</v>
      </c>
      <c r="BK50">
        <v>51460693</v>
      </c>
      <c r="BL50">
        <v>0</v>
      </c>
      <c r="BM50">
        <v>0</v>
      </c>
      <c r="BN50">
        <v>8557486</v>
      </c>
      <c r="BO50">
        <v>1061</v>
      </c>
      <c r="BP50">
        <v>415577590</v>
      </c>
      <c r="BQ50">
        <v>1697164809</v>
      </c>
      <c r="BR50">
        <v>-132116469</v>
      </c>
      <c r="BS50">
        <v>0</v>
      </c>
      <c r="BT50">
        <v>-10131237</v>
      </c>
      <c r="BU50">
        <v>-760</v>
      </c>
      <c r="BV50">
        <v>-142248466</v>
      </c>
      <c r="BW50">
        <v>-5223352</v>
      </c>
      <c r="BX50">
        <v>-7959250</v>
      </c>
      <c r="BY50">
        <v>-1341292</v>
      </c>
      <c r="BZ50">
        <v>-14523894</v>
      </c>
      <c r="CA50">
        <v>1540392449</v>
      </c>
      <c r="CB50">
        <v>1697164809</v>
      </c>
      <c r="CC50">
        <v>8015506965</v>
      </c>
    </row>
    <row r="51" spans="1:81">
      <c r="A51" s="8">
        <v>46</v>
      </c>
      <c r="B51" s="8" t="s">
        <v>137</v>
      </c>
      <c r="C51">
        <v>200462</v>
      </c>
      <c r="D51">
        <v>28166</v>
      </c>
      <c r="E51">
        <v>42901</v>
      </c>
      <c r="F51">
        <v>19</v>
      </c>
      <c r="G51">
        <v>1026394</v>
      </c>
      <c r="H51">
        <v>15122</v>
      </c>
      <c r="I51">
        <v>30349</v>
      </c>
      <c r="J51">
        <v>151888</v>
      </c>
      <c r="K51">
        <v>483908</v>
      </c>
      <c r="L51">
        <v>1810</v>
      </c>
      <c r="M51">
        <v>18018</v>
      </c>
      <c r="N51">
        <v>3620</v>
      </c>
      <c r="O51">
        <v>0</v>
      </c>
      <c r="P51">
        <v>65999</v>
      </c>
      <c r="Q51">
        <v>740999</v>
      </c>
      <c r="R51">
        <v>624512</v>
      </c>
      <c r="S51">
        <v>61992</v>
      </c>
      <c r="T51">
        <v>71699</v>
      </c>
      <c r="U51">
        <v>1500502</v>
      </c>
      <c r="V51">
        <v>17019</v>
      </c>
      <c r="W51">
        <v>1716650</v>
      </c>
      <c r="X51">
        <v>3552</v>
      </c>
      <c r="Y51">
        <v>117784</v>
      </c>
      <c r="Z51">
        <v>109091</v>
      </c>
      <c r="AA51">
        <v>240453</v>
      </c>
      <c r="AB51">
        <v>21459</v>
      </c>
      <c r="AC51">
        <v>1042790</v>
      </c>
      <c r="AD51">
        <v>37780</v>
      </c>
      <c r="AE51">
        <v>247997</v>
      </c>
      <c r="AF51">
        <v>86675</v>
      </c>
      <c r="AG51">
        <v>115600</v>
      </c>
      <c r="AH51">
        <v>263757</v>
      </c>
      <c r="AI51">
        <v>261608</v>
      </c>
      <c r="AJ51">
        <v>110675</v>
      </c>
      <c r="AK51">
        <v>21244</v>
      </c>
      <c r="AL51">
        <v>12110</v>
      </c>
      <c r="AM51">
        <v>102616</v>
      </c>
      <c r="AN51">
        <v>114271</v>
      </c>
      <c r="AO51">
        <v>991204</v>
      </c>
      <c r="AP51">
        <v>705358</v>
      </c>
      <c r="AQ51">
        <v>40909</v>
      </c>
      <c r="AR51">
        <v>37821</v>
      </c>
      <c r="AS51">
        <v>83785</v>
      </c>
      <c r="AT51">
        <v>340288</v>
      </c>
      <c r="AU51">
        <v>200866</v>
      </c>
      <c r="AV51">
        <v>2240731</v>
      </c>
      <c r="AW51">
        <v>281073</v>
      </c>
      <c r="AX51">
        <v>59024</v>
      </c>
      <c r="AY51">
        <v>2663435</v>
      </c>
      <c r="AZ51">
        <v>2605395</v>
      </c>
      <c r="BA51">
        <v>429229</v>
      </c>
      <c r="BB51">
        <v>394416</v>
      </c>
      <c r="BC51">
        <v>830719</v>
      </c>
      <c r="BD51">
        <v>1060553</v>
      </c>
      <c r="BE51">
        <v>1217750</v>
      </c>
      <c r="BF51">
        <v>1299285</v>
      </c>
      <c r="BG51">
        <v>1721815</v>
      </c>
      <c r="BH51">
        <v>17504</v>
      </c>
      <c r="BI51">
        <v>26932651</v>
      </c>
      <c r="BJ51">
        <v>36276529</v>
      </c>
      <c r="BK51">
        <v>8054354</v>
      </c>
      <c r="BL51">
        <v>0</v>
      </c>
      <c r="BM51">
        <v>0</v>
      </c>
      <c r="BN51">
        <v>0</v>
      </c>
      <c r="BO51">
        <v>0</v>
      </c>
      <c r="BP51">
        <v>44330883</v>
      </c>
      <c r="BQ51">
        <v>71263534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71263534</v>
      </c>
      <c r="CB51">
        <v>71263534</v>
      </c>
      <c r="CC51">
        <v>356317670</v>
      </c>
    </row>
    <row r="52" spans="1:81">
      <c r="A52" s="8">
        <v>47</v>
      </c>
      <c r="B52" s="8" t="s">
        <v>138</v>
      </c>
      <c r="C52">
        <v>68970</v>
      </c>
      <c r="D52">
        <v>5270</v>
      </c>
      <c r="E52">
        <v>0</v>
      </c>
      <c r="F52">
        <v>0</v>
      </c>
      <c r="G52">
        <v>64535</v>
      </c>
      <c r="H52">
        <v>0</v>
      </c>
      <c r="I52">
        <v>1481</v>
      </c>
      <c r="J52">
        <v>118811</v>
      </c>
      <c r="K52">
        <v>693608</v>
      </c>
      <c r="L52">
        <v>1486</v>
      </c>
      <c r="M52">
        <v>58869</v>
      </c>
      <c r="N52">
        <v>30188</v>
      </c>
      <c r="O52">
        <v>0</v>
      </c>
      <c r="P52">
        <v>88768</v>
      </c>
      <c r="Q52">
        <v>255680</v>
      </c>
      <c r="R52">
        <v>606241</v>
      </c>
      <c r="S52">
        <v>199855</v>
      </c>
      <c r="T52">
        <v>90784</v>
      </c>
      <c r="U52">
        <v>191347</v>
      </c>
      <c r="V52">
        <v>32709</v>
      </c>
      <c r="W52">
        <v>251228</v>
      </c>
      <c r="X52">
        <v>6298</v>
      </c>
      <c r="Y52">
        <v>110734</v>
      </c>
      <c r="Z52">
        <v>160077</v>
      </c>
      <c r="AA52">
        <v>166994</v>
      </c>
      <c r="AB52">
        <v>76735</v>
      </c>
      <c r="AC52">
        <v>561669</v>
      </c>
      <c r="AD52">
        <v>52615</v>
      </c>
      <c r="AE52">
        <v>378171</v>
      </c>
      <c r="AF52">
        <v>113748</v>
      </c>
      <c r="AG52">
        <v>194454</v>
      </c>
      <c r="AH52">
        <v>216878</v>
      </c>
      <c r="AI52">
        <v>181692</v>
      </c>
      <c r="AJ52">
        <v>246210</v>
      </c>
      <c r="AK52">
        <v>112238</v>
      </c>
      <c r="AL52">
        <v>40946</v>
      </c>
      <c r="AM52">
        <v>385592</v>
      </c>
      <c r="AN52">
        <v>221634</v>
      </c>
      <c r="AO52">
        <v>1082095</v>
      </c>
      <c r="AP52">
        <v>759797</v>
      </c>
      <c r="AQ52">
        <v>66503</v>
      </c>
      <c r="AR52">
        <v>50381</v>
      </c>
      <c r="AS52">
        <v>148979</v>
      </c>
      <c r="AT52">
        <v>373471</v>
      </c>
      <c r="AU52">
        <v>1770619</v>
      </c>
      <c r="AV52">
        <v>0</v>
      </c>
      <c r="AW52">
        <v>173721</v>
      </c>
      <c r="AX52">
        <v>234655</v>
      </c>
      <c r="AY52">
        <v>3434818</v>
      </c>
      <c r="AZ52">
        <v>2375560</v>
      </c>
      <c r="BA52">
        <v>586004</v>
      </c>
      <c r="BB52">
        <v>29513</v>
      </c>
      <c r="BC52">
        <v>1350426</v>
      </c>
      <c r="BD52">
        <v>2103181</v>
      </c>
      <c r="BE52">
        <v>1475534</v>
      </c>
      <c r="BF52">
        <v>4677687</v>
      </c>
      <c r="BG52">
        <v>3232665</v>
      </c>
      <c r="BH52">
        <v>80444</v>
      </c>
      <c r="BI52">
        <v>29992568</v>
      </c>
      <c r="BJ52">
        <v>7177730</v>
      </c>
      <c r="BK52">
        <v>3682908</v>
      </c>
      <c r="BL52">
        <v>571863768</v>
      </c>
      <c r="BM52">
        <v>0</v>
      </c>
      <c r="BN52">
        <v>0</v>
      </c>
      <c r="BO52">
        <v>0</v>
      </c>
      <c r="BP52">
        <v>582724406</v>
      </c>
      <c r="BQ52">
        <v>612716974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-3674</v>
      </c>
      <c r="BZ52">
        <v>-3674</v>
      </c>
      <c r="CA52">
        <v>612713300</v>
      </c>
      <c r="CB52">
        <v>612716974</v>
      </c>
      <c r="CC52">
        <v>3063573848</v>
      </c>
    </row>
    <row r="53" spans="1:81">
      <c r="A53" s="8">
        <v>48</v>
      </c>
      <c r="B53" s="8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758113275</v>
      </c>
      <c r="BM53">
        <v>0</v>
      </c>
      <c r="BN53">
        <v>0</v>
      </c>
      <c r="BO53">
        <v>0</v>
      </c>
      <c r="BP53">
        <v>758113275</v>
      </c>
      <c r="BQ53">
        <v>758113275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758113275</v>
      </c>
      <c r="CB53">
        <v>758113275</v>
      </c>
      <c r="CC53">
        <v>3790566375</v>
      </c>
    </row>
    <row r="54" spans="1:81">
      <c r="A54" s="8">
        <v>49</v>
      </c>
      <c r="B54" s="8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11026474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11026474</v>
      </c>
      <c r="BQ54">
        <v>11026474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1840342700</v>
      </c>
      <c r="BX54">
        <v>1434957076</v>
      </c>
      <c r="BY54">
        <v>0</v>
      </c>
      <c r="BZ54">
        <v>3275299776</v>
      </c>
      <c r="CA54">
        <v>3286326250</v>
      </c>
      <c r="CB54">
        <v>11026474</v>
      </c>
      <c r="CC54">
        <v>9881031698</v>
      </c>
    </row>
    <row r="55" spans="1:81">
      <c r="A55" s="8">
        <v>50</v>
      </c>
      <c r="B55" s="8" t="s">
        <v>141</v>
      </c>
      <c r="C55">
        <v>0</v>
      </c>
      <c r="D55">
        <v>0</v>
      </c>
      <c r="E55">
        <v>0</v>
      </c>
      <c r="F55">
        <v>0</v>
      </c>
      <c r="G55">
        <v>4789505</v>
      </c>
      <c r="H55">
        <v>0</v>
      </c>
      <c r="I55">
        <v>0</v>
      </c>
      <c r="J55">
        <v>995518</v>
      </c>
      <c r="K55">
        <v>585196</v>
      </c>
      <c r="L55">
        <v>320887</v>
      </c>
      <c r="M55">
        <v>293793</v>
      </c>
      <c r="N55">
        <v>468856</v>
      </c>
      <c r="O55">
        <v>1524</v>
      </c>
      <c r="P55">
        <v>1928020</v>
      </c>
      <c r="Q55">
        <v>430814</v>
      </c>
      <c r="R55">
        <v>1607594</v>
      </c>
      <c r="S55">
        <v>678422</v>
      </c>
      <c r="T55">
        <v>136976</v>
      </c>
      <c r="U55">
        <v>677928</v>
      </c>
      <c r="V55">
        <v>37447</v>
      </c>
      <c r="W55">
        <v>1151470</v>
      </c>
      <c r="X55">
        <v>16990</v>
      </c>
      <c r="Y55">
        <v>223426</v>
      </c>
      <c r="Z55">
        <v>1677548</v>
      </c>
      <c r="AA55">
        <v>240779</v>
      </c>
      <c r="AB55">
        <v>93809</v>
      </c>
      <c r="AC55">
        <v>1233718</v>
      </c>
      <c r="AD55">
        <v>442362</v>
      </c>
      <c r="AE55">
        <v>421317</v>
      </c>
      <c r="AF55">
        <v>449161</v>
      </c>
      <c r="AG55">
        <v>638527</v>
      </c>
      <c r="AH55">
        <v>469863</v>
      </c>
      <c r="AI55">
        <v>265683</v>
      </c>
      <c r="AJ55">
        <v>327475</v>
      </c>
      <c r="AK55">
        <v>304685</v>
      </c>
      <c r="AL55">
        <v>87831</v>
      </c>
      <c r="AM55">
        <v>1050224</v>
      </c>
      <c r="AN55">
        <v>504724</v>
      </c>
      <c r="AO55">
        <v>4119023</v>
      </c>
      <c r="AP55">
        <v>2074471</v>
      </c>
      <c r="AQ55">
        <v>419365</v>
      </c>
      <c r="AR55">
        <v>274804</v>
      </c>
      <c r="AS55">
        <v>788176</v>
      </c>
      <c r="AT55">
        <v>1804474</v>
      </c>
      <c r="AU55">
        <v>1239150</v>
      </c>
      <c r="AV55">
        <v>41242</v>
      </c>
      <c r="AW55">
        <v>1983099</v>
      </c>
      <c r="AX55">
        <v>2020220</v>
      </c>
      <c r="AY55">
        <v>22961164</v>
      </c>
      <c r="AZ55">
        <v>5121675</v>
      </c>
      <c r="BA55">
        <v>6020784</v>
      </c>
      <c r="BB55">
        <v>84419</v>
      </c>
      <c r="BC55">
        <v>5773836</v>
      </c>
      <c r="BD55">
        <v>897658</v>
      </c>
      <c r="BE55">
        <v>48945992</v>
      </c>
      <c r="BF55">
        <v>25080684</v>
      </c>
      <c r="BG55">
        <v>15216137</v>
      </c>
      <c r="BH55">
        <v>4545930</v>
      </c>
      <c r="BI55">
        <v>171964375</v>
      </c>
      <c r="BJ55">
        <v>1015795492</v>
      </c>
      <c r="BK55">
        <v>68138115</v>
      </c>
      <c r="BL55">
        <v>0</v>
      </c>
      <c r="BM55">
        <v>0</v>
      </c>
      <c r="BN55">
        <v>0</v>
      </c>
      <c r="BO55">
        <v>102435752</v>
      </c>
      <c r="BP55">
        <v>1186369359</v>
      </c>
      <c r="BQ55">
        <v>1358333734</v>
      </c>
      <c r="BR55">
        <v>0</v>
      </c>
      <c r="BS55">
        <v>0</v>
      </c>
      <c r="BT55">
        <v>0</v>
      </c>
      <c r="BU55">
        <v>-65700431</v>
      </c>
      <c r="BV55">
        <v>-65700431</v>
      </c>
      <c r="BW55">
        <v>0</v>
      </c>
      <c r="BX55">
        <v>0</v>
      </c>
      <c r="BY55">
        <v>0</v>
      </c>
      <c r="BZ55">
        <v>0</v>
      </c>
      <c r="CA55">
        <v>1292633303</v>
      </c>
      <c r="CB55">
        <v>1358333734</v>
      </c>
      <c r="CC55">
        <v>6594567377</v>
      </c>
    </row>
    <row r="56" spans="1:81">
      <c r="A56" s="8">
        <v>51</v>
      </c>
      <c r="B56" s="8" t="s">
        <v>142</v>
      </c>
      <c r="C56">
        <v>596343</v>
      </c>
      <c r="D56">
        <v>113104</v>
      </c>
      <c r="E56">
        <v>165683</v>
      </c>
      <c r="F56">
        <v>1414</v>
      </c>
      <c r="G56">
        <v>2826207</v>
      </c>
      <c r="H56">
        <v>94915</v>
      </c>
      <c r="I56">
        <v>711810</v>
      </c>
      <c r="J56">
        <v>580414</v>
      </c>
      <c r="K56">
        <v>740549</v>
      </c>
      <c r="L56">
        <v>74186</v>
      </c>
      <c r="M56">
        <v>50155</v>
      </c>
      <c r="N56">
        <v>2731389</v>
      </c>
      <c r="O56">
        <v>4654</v>
      </c>
      <c r="P56">
        <v>3861545</v>
      </c>
      <c r="Q56">
        <v>630065</v>
      </c>
      <c r="R56">
        <v>4056965</v>
      </c>
      <c r="S56">
        <v>2045017</v>
      </c>
      <c r="T56">
        <v>642914</v>
      </c>
      <c r="U56">
        <v>1228318</v>
      </c>
      <c r="V56">
        <v>55286</v>
      </c>
      <c r="W56">
        <v>3067723</v>
      </c>
      <c r="X56">
        <v>19163</v>
      </c>
      <c r="Y56">
        <v>687077</v>
      </c>
      <c r="Z56">
        <v>1435690</v>
      </c>
      <c r="AA56">
        <v>418455</v>
      </c>
      <c r="AB56">
        <v>68875</v>
      </c>
      <c r="AC56">
        <v>1723082</v>
      </c>
      <c r="AD56">
        <v>921189</v>
      </c>
      <c r="AE56">
        <v>2050405</v>
      </c>
      <c r="AF56">
        <v>1021435</v>
      </c>
      <c r="AG56">
        <v>1476399</v>
      </c>
      <c r="AH56">
        <v>1862346</v>
      </c>
      <c r="AI56">
        <v>588377</v>
      </c>
      <c r="AJ56">
        <v>832192</v>
      </c>
      <c r="AK56">
        <v>870707</v>
      </c>
      <c r="AL56">
        <v>310184</v>
      </c>
      <c r="AM56">
        <v>2685742</v>
      </c>
      <c r="AN56">
        <v>903322</v>
      </c>
      <c r="AO56">
        <v>16075630</v>
      </c>
      <c r="AP56">
        <v>14256507</v>
      </c>
      <c r="AQ56">
        <v>274455</v>
      </c>
      <c r="AR56">
        <v>406070</v>
      </c>
      <c r="AS56">
        <v>869939</v>
      </c>
      <c r="AT56">
        <v>5914012</v>
      </c>
      <c r="AU56">
        <v>1253293</v>
      </c>
      <c r="AV56">
        <v>11795</v>
      </c>
      <c r="AW56">
        <v>16263255</v>
      </c>
      <c r="AX56">
        <v>31982932</v>
      </c>
      <c r="AY56">
        <v>148059984</v>
      </c>
      <c r="AZ56">
        <v>1599032</v>
      </c>
      <c r="BA56">
        <v>104631682</v>
      </c>
      <c r="BB56">
        <v>8636065</v>
      </c>
      <c r="BC56">
        <v>6143918</v>
      </c>
      <c r="BD56">
        <v>1995592</v>
      </c>
      <c r="BE56">
        <v>20185204</v>
      </c>
      <c r="BF56">
        <v>4330491</v>
      </c>
      <c r="BG56">
        <v>2774658</v>
      </c>
      <c r="BH56">
        <v>8719446</v>
      </c>
      <c r="BI56">
        <v>436537256</v>
      </c>
      <c r="BJ56">
        <v>321944518</v>
      </c>
      <c r="BK56">
        <v>19732042</v>
      </c>
      <c r="BL56">
        <v>0</v>
      </c>
      <c r="BM56">
        <v>0</v>
      </c>
      <c r="BN56">
        <v>0</v>
      </c>
      <c r="BO56">
        <v>250913871</v>
      </c>
      <c r="BP56">
        <v>592590431</v>
      </c>
      <c r="BQ56">
        <v>1029127687</v>
      </c>
      <c r="BR56">
        <v>0</v>
      </c>
      <c r="BS56">
        <v>0</v>
      </c>
      <c r="BT56">
        <v>0</v>
      </c>
      <c r="BU56">
        <v>-117143924</v>
      </c>
      <c r="BV56">
        <v>-117143924</v>
      </c>
      <c r="BW56">
        <v>0</v>
      </c>
      <c r="BX56">
        <v>0</v>
      </c>
      <c r="BY56">
        <v>295640484</v>
      </c>
      <c r="BZ56">
        <v>295640484</v>
      </c>
      <c r="CA56">
        <v>1207624247</v>
      </c>
      <c r="CB56">
        <v>1029127687</v>
      </c>
      <c r="CC56">
        <v>5681128115</v>
      </c>
    </row>
    <row r="57" spans="1:81">
      <c r="A57" s="8">
        <v>52</v>
      </c>
      <c r="B57" s="8" t="s">
        <v>143</v>
      </c>
      <c r="C57">
        <v>1220272</v>
      </c>
      <c r="D57">
        <v>142146</v>
      </c>
      <c r="E57">
        <v>243610</v>
      </c>
      <c r="F57">
        <v>211</v>
      </c>
      <c r="G57">
        <v>3193366</v>
      </c>
      <c r="H57">
        <v>13439</v>
      </c>
      <c r="I57">
        <v>696420</v>
      </c>
      <c r="J57">
        <v>848566</v>
      </c>
      <c r="K57">
        <v>301471</v>
      </c>
      <c r="L57">
        <v>18013</v>
      </c>
      <c r="M57">
        <v>39253</v>
      </c>
      <c r="N57">
        <v>244748</v>
      </c>
      <c r="O57">
        <v>1122</v>
      </c>
      <c r="P57">
        <v>264944</v>
      </c>
      <c r="Q57">
        <v>447899</v>
      </c>
      <c r="R57">
        <v>488319</v>
      </c>
      <c r="S57">
        <v>168067</v>
      </c>
      <c r="T57">
        <v>91163</v>
      </c>
      <c r="U57">
        <v>437762</v>
      </c>
      <c r="V57">
        <v>65247</v>
      </c>
      <c r="W57">
        <v>222566</v>
      </c>
      <c r="X57">
        <v>3516</v>
      </c>
      <c r="Y57">
        <v>171017</v>
      </c>
      <c r="Z57">
        <v>418565</v>
      </c>
      <c r="AA57">
        <v>410663</v>
      </c>
      <c r="AB57">
        <v>68918</v>
      </c>
      <c r="AC57">
        <v>757746</v>
      </c>
      <c r="AD57">
        <v>181145</v>
      </c>
      <c r="AE57">
        <v>415311</v>
      </c>
      <c r="AF57">
        <v>344341</v>
      </c>
      <c r="AG57">
        <v>155081</v>
      </c>
      <c r="AH57">
        <v>1134585</v>
      </c>
      <c r="AI57">
        <v>92870</v>
      </c>
      <c r="AJ57">
        <v>754092</v>
      </c>
      <c r="AK57">
        <v>267885</v>
      </c>
      <c r="AL57">
        <v>38128</v>
      </c>
      <c r="AM57">
        <v>678605</v>
      </c>
      <c r="AN57">
        <v>379770</v>
      </c>
      <c r="AO57">
        <v>3605863</v>
      </c>
      <c r="AP57">
        <v>2988081</v>
      </c>
      <c r="AQ57">
        <v>106894</v>
      </c>
      <c r="AR57">
        <v>130471</v>
      </c>
      <c r="AS57">
        <v>222931</v>
      </c>
      <c r="AT57">
        <v>2304959</v>
      </c>
      <c r="AU57">
        <v>2588782</v>
      </c>
      <c r="AV57">
        <v>4574</v>
      </c>
      <c r="AW57">
        <v>313231</v>
      </c>
      <c r="AX57">
        <v>341899</v>
      </c>
      <c r="AY57">
        <v>76910974</v>
      </c>
      <c r="AZ57">
        <v>4502438</v>
      </c>
      <c r="BA57">
        <v>3436299</v>
      </c>
      <c r="BB57">
        <v>88266053</v>
      </c>
      <c r="BC57">
        <v>23845456</v>
      </c>
      <c r="BD57">
        <v>914818</v>
      </c>
      <c r="BE57">
        <v>59111127</v>
      </c>
      <c r="BF57">
        <v>7480931</v>
      </c>
      <c r="BG57">
        <v>17039405</v>
      </c>
      <c r="BH57">
        <v>5973373</v>
      </c>
      <c r="BI57">
        <v>315509401</v>
      </c>
      <c r="BJ57">
        <v>243250169</v>
      </c>
      <c r="BK57">
        <v>53306370</v>
      </c>
      <c r="BL57">
        <v>0</v>
      </c>
      <c r="BM57">
        <v>0</v>
      </c>
      <c r="BN57">
        <v>0</v>
      </c>
      <c r="BO57">
        <v>26928955</v>
      </c>
      <c r="BP57">
        <v>323485494</v>
      </c>
      <c r="BQ57">
        <v>638994895</v>
      </c>
      <c r="BR57">
        <v>0</v>
      </c>
      <c r="BS57">
        <v>0</v>
      </c>
      <c r="BT57">
        <v>0</v>
      </c>
      <c r="BU57">
        <v>-55188867</v>
      </c>
      <c r="BV57">
        <v>-55188867</v>
      </c>
      <c r="BW57">
        <v>0</v>
      </c>
      <c r="BX57">
        <v>0</v>
      </c>
      <c r="BY57">
        <v>0</v>
      </c>
      <c r="BZ57">
        <v>0</v>
      </c>
      <c r="CA57">
        <v>583806028</v>
      </c>
      <c r="CB57">
        <v>638994895</v>
      </c>
      <c r="CC57">
        <v>3029407874</v>
      </c>
    </row>
    <row r="58" spans="1:81">
      <c r="A58" s="8">
        <v>53</v>
      </c>
      <c r="B58" s="8" t="s">
        <v>144</v>
      </c>
      <c r="C58">
        <v>6761672</v>
      </c>
      <c r="D58">
        <v>1071866</v>
      </c>
      <c r="E58">
        <v>2396903</v>
      </c>
      <c r="F58">
        <v>141951</v>
      </c>
      <c r="G58">
        <v>20344778</v>
      </c>
      <c r="H58">
        <v>3124540</v>
      </c>
      <c r="I58">
        <v>7237899</v>
      </c>
      <c r="J58">
        <v>4194703</v>
      </c>
      <c r="K58">
        <v>6305112</v>
      </c>
      <c r="L58">
        <v>294298</v>
      </c>
      <c r="M58">
        <v>3391993</v>
      </c>
      <c r="N58">
        <v>2067480</v>
      </c>
      <c r="O58">
        <v>5182</v>
      </c>
      <c r="P58">
        <v>2958301</v>
      </c>
      <c r="Q58">
        <v>3774639</v>
      </c>
      <c r="R58">
        <v>8034673</v>
      </c>
      <c r="S58">
        <v>6507222</v>
      </c>
      <c r="T58">
        <v>2572215</v>
      </c>
      <c r="U58">
        <v>2436948</v>
      </c>
      <c r="V58">
        <v>363017</v>
      </c>
      <c r="W58">
        <v>6599057</v>
      </c>
      <c r="X58">
        <v>33589</v>
      </c>
      <c r="Y58">
        <v>3576568</v>
      </c>
      <c r="Z58">
        <v>4914198</v>
      </c>
      <c r="AA58">
        <v>3399780</v>
      </c>
      <c r="AB58">
        <v>777491</v>
      </c>
      <c r="AC58">
        <v>17418531</v>
      </c>
      <c r="AD58">
        <v>1492566</v>
      </c>
      <c r="AE58">
        <v>6249012</v>
      </c>
      <c r="AF58">
        <v>18269912</v>
      </c>
      <c r="AG58">
        <v>3681415</v>
      </c>
      <c r="AH58">
        <v>10490821</v>
      </c>
      <c r="AI58">
        <v>5443802</v>
      </c>
      <c r="AJ58">
        <v>7927810</v>
      </c>
      <c r="AK58">
        <v>4318564</v>
      </c>
      <c r="AL58">
        <v>1576072</v>
      </c>
      <c r="AM58">
        <v>6077310</v>
      </c>
      <c r="AN58">
        <v>4430350</v>
      </c>
      <c r="AO58">
        <v>21017490</v>
      </c>
      <c r="AP58">
        <v>35222209</v>
      </c>
      <c r="AQ58">
        <v>2002589</v>
      </c>
      <c r="AR58">
        <v>996935</v>
      </c>
      <c r="AS58">
        <v>5362687</v>
      </c>
      <c r="AT58">
        <v>19401593</v>
      </c>
      <c r="AU58">
        <v>60970189</v>
      </c>
      <c r="AV58">
        <v>4895112</v>
      </c>
      <c r="AW58">
        <v>9952551</v>
      </c>
      <c r="AX58">
        <v>12583890</v>
      </c>
      <c r="AY58">
        <v>211980182</v>
      </c>
      <c r="AZ58">
        <v>14812191</v>
      </c>
      <c r="BA58">
        <v>43200474</v>
      </c>
      <c r="BB58">
        <v>33197173</v>
      </c>
      <c r="BC58">
        <v>213563295</v>
      </c>
      <c r="BD58">
        <v>60408560</v>
      </c>
      <c r="BE58">
        <v>56303539</v>
      </c>
      <c r="BF58">
        <v>16171678</v>
      </c>
      <c r="BG58">
        <v>10781015</v>
      </c>
      <c r="BH58">
        <v>16613146</v>
      </c>
      <c r="BI58">
        <v>1040098738</v>
      </c>
      <c r="BJ58">
        <v>726376747</v>
      </c>
      <c r="BK58">
        <v>636055</v>
      </c>
      <c r="BL58">
        <v>0</v>
      </c>
      <c r="BM58">
        <v>0</v>
      </c>
      <c r="BN58">
        <v>0</v>
      </c>
      <c r="BO58">
        <v>41559726</v>
      </c>
      <c r="BP58">
        <v>768572528</v>
      </c>
      <c r="BQ58">
        <v>1808671266</v>
      </c>
      <c r="BR58">
        <v>0</v>
      </c>
      <c r="BS58">
        <v>0</v>
      </c>
      <c r="BT58">
        <v>0</v>
      </c>
      <c r="BU58">
        <v>-81709813</v>
      </c>
      <c r="BV58">
        <v>-81709813</v>
      </c>
      <c r="BW58">
        <v>0</v>
      </c>
      <c r="BX58">
        <v>0</v>
      </c>
      <c r="BY58">
        <v>0</v>
      </c>
      <c r="BZ58">
        <v>0</v>
      </c>
      <c r="CA58">
        <v>1726961453</v>
      </c>
      <c r="CB58">
        <v>1808671266</v>
      </c>
      <c r="CC58">
        <v>8798226891</v>
      </c>
    </row>
    <row r="59" spans="1:81">
      <c r="A59" s="8">
        <v>54</v>
      </c>
      <c r="B59" s="8" t="s">
        <v>145</v>
      </c>
      <c r="C59">
        <v>0</v>
      </c>
      <c r="D59">
        <v>0</v>
      </c>
      <c r="E59">
        <v>0</v>
      </c>
      <c r="F59">
        <v>0</v>
      </c>
      <c r="G59">
        <v>137254</v>
      </c>
      <c r="H59">
        <v>0</v>
      </c>
      <c r="I59">
        <v>3236</v>
      </c>
      <c r="J59">
        <v>46152</v>
      </c>
      <c r="K59">
        <v>0</v>
      </c>
      <c r="L59">
        <v>0</v>
      </c>
      <c r="M59">
        <v>62056</v>
      </c>
      <c r="N59">
        <v>387621</v>
      </c>
      <c r="O59">
        <v>0</v>
      </c>
      <c r="P59">
        <v>139339</v>
      </c>
      <c r="Q59">
        <v>937027</v>
      </c>
      <c r="R59">
        <v>616160</v>
      </c>
      <c r="S59">
        <v>69190</v>
      </c>
      <c r="T59">
        <v>51158</v>
      </c>
      <c r="U59">
        <v>342969</v>
      </c>
      <c r="V59">
        <v>15877</v>
      </c>
      <c r="W59">
        <v>127331</v>
      </c>
      <c r="X59">
        <v>11853</v>
      </c>
      <c r="Y59">
        <v>210976</v>
      </c>
      <c r="Z59">
        <v>408720</v>
      </c>
      <c r="AA59">
        <v>143569</v>
      </c>
      <c r="AB59">
        <v>109412</v>
      </c>
      <c r="AC59">
        <v>464674</v>
      </c>
      <c r="AD59">
        <v>215623</v>
      </c>
      <c r="AE59">
        <v>557323</v>
      </c>
      <c r="AF59">
        <v>1519707</v>
      </c>
      <c r="AG59">
        <v>311791</v>
      </c>
      <c r="AH59">
        <v>42496</v>
      </c>
      <c r="AI59">
        <v>92023</v>
      </c>
      <c r="AJ59">
        <v>104828</v>
      </c>
      <c r="AK59">
        <v>98125</v>
      </c>
      <c r="AL59">
        <v>9333</v>
      </c>
      <c r="AM59">
        <v>138207</v>
      </c>
      <c r="AN59">
        <v>125822</v>
      </c>
      <c r="AO59">
        <v>1520250</v>
      </c>
      <c r="AP59">
        <v>610708</v>
      </c>
      <c r="AQ59">
        <v>81325</v>
      </c>
      <c r="AR59">
        <v>67979</v>
      </c>
      <c r="AS59">
        <v>323688</v>
      </c>
      <c r="AT59">
        <v>1339666</v>
      </c>
      <c r="AU59">
        <v>250482</v>
      </c>
      <c r="AV59">
        <v>2524</v>
      </c>
      <c r="AW59">
        <v>518289</v>
      </c>
      <c r="AX59">
        <v>262562</v>
      </c>
      <c r="AY59">
        <v>25534483</v>
      </c>
      <c r="AZ59">
        <v>7302124</v>
      </c>
      <c r="BA59">
        <v>3731209</v>
      </c>
      <c r="BB59">
        <v>3326505</v>
      </c>
      <c r="BC59">
        <v>22004330</v>
      </c>
      <c r="BD59">
        <v>311667</v>
      </c>
      <c r="BE59">
        <v>15056857</v>
      </c>
      <c r="BF59">
        <v>2746489</v>
      </c>
      <c r="BG59">
        <v>6549195</v>
      </c>
      <c r="BH59">
        <v>469346</v>
      </c>
      <c r="BI59">
        <v>99509530</v>
      </c>
      <c r="BJ59">
        <v>536033494</v>
      </c>
      <c r="BK59">
        <v>42134280</v>
      </c>
      <c r="BL59">
        <v>0</v>
      </c>
      <c r="BM59">
        <v>0</v>
      </c>
      <c r="BN59">
        <v>0</v>
      </c>
      <c r="BO59">
        <v>75641619</v>
      </c>
      <c r="BP59">
        <v>653809393</v>
      </c>
      <c r="BQ59">
        <v>753318923</v>
      </c>
      <c r="BR59">
        <v>0</v>
      </c>
      <c r="BS59">
        <v>0</v>
      </c>
      <c r="BT59">
        <v>0</v>
      </c>
      <c r="BU59">
        <v>-101724443</v>
      </c>
      <c r="BV59">
        <v>-101724443</v>
      </c>
      <c r="BW59">
        <v>0</v>
      </c>
      <c r="BX59">
        <v>0</v>
      </c>
      <c r="BY59">
        <v>0</v>
      </c>
      <c r="BZ59">
        <v>0</v>
      </c>
      <c r="CA59">
        <v>651594480</v>
      </c>
      <c r="CB59">
        <v>753318923</v>
      </c>
      <c r="CC59">
        <v>3461421286</v>
      </c>
    </row>
    <row r="60" spans="1:81">
      <c r="A60" s="8">
        <v>55</v>
      </c>
      <c r="B60" s="8" t="s">
        <v>146</v>
      </c>
      <c r="C60">
        <v>0</v>
      </c>
      <c r="D60">
        <v>0</v>
      </c>
      <c r="E60">
        <v>0</v>
      </c>
      <c r="F60">
        <v>0</v>
      </c>
      <c r="G60">
        <v>2565210</v>
      </c>
      <c r="H60">
        <v>6600</v>
      </c>
      <c r="I60">
        <v>1909564</v>
      </c>
      <c r="J60">
        <v>193379</v>
      </c>
      <c r="K60">
        <v>1014308</v>
      </c>
      <c r="L60">
        <v>205660</v>
      </c>
      <c r="M60">
        <v>1752165</v>
      </c>
      <c r="N60">
        <v>65407201</v>
      </c>
      <c r="O60">
        <v>1838</v>
      </c>
      <c r="P60">
        <v>321933</v>
      </c>
      <c r="Q60">
        <v>5123284</v>
      </c>
      <c r="R60">
        <v>16522492</v>
      </c>
      <c r="S60">
        <v>2121840</v>
      </c>
      <c r="T60">
        <v>4760792</v>
      </c>
      <c r="U60">
        <v>7615910</v>
      </c>
      <c r="V60">
        <v>1107626</v>
      </c>
      <c r="W60">
        <v>16009802</v>
      </c>
      <c r="X60">
        <v>610914</v>
      </c>
      <c r="Y60">
        <v>1655866</v>
      </c>
      <c r="Z60">
        <v>7412918</v>
      </c>
      <c r="AA60">
        <v>5334616</v>
      </c>
      <c r="AB60">
        <v>1498435</v>
      </c>
      <c r="AC60">
        <v>18373459</v>
      </c>
      <c r="AD60">
        <v>1814964</v>
      </c>
      <c r="AE60">
        <v>14675340</v>
      </c>
      <c r="AF60">
        <v>16416748</v>
      </c>
      <c r="AG60">
        <v>4652796</v>
      </c>
      <c r="AH60">
        <v>8972951</v>
      </c>
      <c r="AI60">
        <v>2323811</v>
      </c>
      <c r="AJ60">
        <v>8935184</v>
      </c>
      <c r="AK60">
        <v>1954168</v>
      </c>
      <c r="AL60">
        <v>976092</v>
      </c>
      <c r="AM60">
        <v>5650220</v>
      </c>
      <c r="AN60">
        <v>6742431</v>
      </c>
      <c r="AO60">
        <v>28942831</v>
      </c>
      <c r="AP60">
        <v>30181223</v>
      </c>
      <c r="AQ60">
        <v>606126</v>
      </c>
      <c r="AR60">
        <v>1239822</v>
      </c>
      <c r="AS60">
        <v>4095129</v>
      </c>
      <c r="AT60">
        <v>22175090</v>
      </c>
      <c r="AU60">
        <v>10580519</v>
      </c>
      <c r="AV60">
        <v>1425035</v>
      </c>
      <c r="AW60">
        <v>28780189</v>
      </c>
      <c r="AX60">
        <v>26881004</v>
      </c>
      <c r="AY60">
        <v>121751930</v>
      </c>
      <c r="AZ60">
        <v>20537023</v>
      </c>
      <c r="BA60">
        <v>72991027</v>
      </c>
      <c r="BB60">
        <v>26355917</v>
      </c>
      <c r="BC60">
        <v>110809260</v>
      </c>
      <c r="BD60">
        <v>54880222</v>
      </c>
      <c r="BE60">
        <v>186257543</v>
      </c>
      <c r="BF60">
        <v>37014591</v>
      </c>
      <c r="BG60">
        <v>27951924</v>
      </c>
      <c r="BH60">
        <v>2586399</v>
      </c>
      <c r="BI60">
        <v>1050683321</v>
      </c>
      <c r="BJ60">
        <v>129617731</v>
      </c>
      <c r="BK60">
        <v>145749337</v>
      </c>
      <c r="BL60">
        <v>96174705</v>
      </c>
      <c r="BM60">
        <v>0</v>
      </c>
      <c r="BN60">
        <v>0</v>
      </c>
      <c r="BO60">
        <v>129997742</v>
      </c>
      <c r="BP60">
        <v>501539515</v>
      </c>
      <c r="BQ60">
        <v>1552222836</v>
      </c>
      <c r="BR60">
        <v>0</v>
      </c>
      <c r="BS60">
        <v>0</v>
      </c>
      <c r="BT60">
        <v>0</v>
      </c>
      <c r="BU60">
        <v>-318173520</v>
      </c>
      <c r="BV60">
        <v>-318173520</v>
      </c>
      <c r="BW60">
        <v>0</v>
      </c>
      <c r="BX60">
        <v>0</v>
      </c>
      <c r="BY60">
        <v>0</v>
      </c>
      <c r="BZ60">
        <v>0</v>
      </c>
      <c r="CA60">
        <v>1234049316</v>
      </c>
      <c r="CB60">
        <v>1552222836</v>
      </c>
      <c r="CC60">
        <v>6806593620</v>
      </c>
    </row>
    <row r="61" spans="1:81">
      <c r="A61" s="8">
        <v>56</v>
      </c>
      <c r="B61" s="8" t="s">
        <v>147</v>
      </c>
      <c r="C61">
        <v>0</v>
      </c>
      <c r="D61">
        <v>0</v>
      </c>
      <c r="E61">
        <v>0</v>
      </c>
      <c r="F61">
        <v>0</v>
      </c>
      <c r="G61">
        <v>1826</v>
      </c>
      <c r="H61">
        <v>0</v>
      </c>
      <c r="I61">
        <v>0</v>
      </c>
      <c r="J61">
        <v>819</v>
      </c>
      <c r="K61">
        <v>596505</v>
      </c>
      <c r="L61">
        <v>3651</v>
      </c>
      <c r="M61">
        <v>0</v>
      </c>
      <c r="N61">
        <v>24033</v>
      </c>
      <c r="O61">
        <v>1367</v>
      </c>
      <c r="P61">
        <v>11263</v>
      </c>
      <c r="Q61">
        <v>709496</v>
      </c>
      <c r="R61">
        <v>408981</v>
      </c>
      <c r="S61">
        <v>281313</v>
      </c>
      <c r="T61">
        <v>153796</v>
      </c>
      <c r="U61">
        <v>265772</v>
      </c>
      <c r="V61">
        <v>22538</v>
      </c>
      <c r="W61">
        <v>238829</v>
      </c>
      <c r="X61">
        <v>15906</v>
      </c>
      <c r="Y61">
        <v>90928</v>
      </c>
      <c r="Z61">
        <v>182325</v>
      </c>
      <c r="AA61">
        <v>279363</v>
      </c>
      <c r="AB61">
        <v>24482</v>
      </c>
      <c r="AC61">
        <v>619258</v>
      </c>
      <c r="AD61">
        <v>60297</v>
      </c>
      <c r="AE61">
        <v>1827969</v>
      </c>
      <c r="AF61">
        <v>224813</v>
      </c>
      <c r="AG61">
        <v>115795</v>
      </c>
      <c r="AH61">
        <v>462624</v>
      </c>
      <c r="AI61">
        <v>232938</v>
      </c>
      <c r="AJ61">
        <v>456505</v>
      </c>
      <c r="AK61">
        <v>93217</v>
      </c>
      <c r="AL61">
        <v>35928</v>
      </c>
      <c r="AM61">
        <v>254240</v>
      </c>
      <c r="AN61">
        <v>467584</v>
      </c>
      <c r="AO61">
        <v>2637052</v>
      </c>
      <c r="AP61">
        <v>3614400</v>
      </c>
      <c r="AQ61">
        <v>20994</v>
      </c>
      <c r="AR61">
        <v>57833</v>
      </c>
      <c r="AS61">
        <v>65926</v>
      </c>
      <c r="AT61">
        <v>236087</v>
      </c>
      <c r="AU61">
        <v>2987591</v>
      </c>
      <c r="AV61">
        <v>220223</v>
      </c>
      <c r="AW61">
        <v>248032</v>
      </c>
      <c r="AX61">
        <v>99671</v>
      </c>
      <c r="AY61">
        <v>1628316</v>
      </c>
      <c r="AZ61">
        <v>2075687</v>
      </c>
      <c r="BA61">
        <v>663908</v>
      </c>
      <c r="BB61">
        <v>30746</v>
      </c>
      <c r="BC61">
        <v>20876103</v>
      </c>
      <c r="BD61">
        <v>3253045</v>
      </c>
      <c r="BE61">
        <v>6517866</v>
      </c>
      <c r="BF61">
        <v>9226374</v>
      </c>
      <c r="BG61">
        <v>1757599</v>
      </c>
      <c r="BH61">
        <v>2811000</v>
      </c>
      <c r="BI61">
        <v>67192814</v>
      </c>
      <c r="BJ61">
        <v>399292025</v>
      </c>
      <c r="BK61">
        <v>2300579496</v>
      </c>
      <c r="BL61">
        <v>116357846</v>
      </c>
      <c r="BM61">
        <v>0</v>
      </c>
      <c r="BN61">
        <v>0</v>
      </c>
      <c r="BO61">
        <v>46839615</v>
      </c>
      <c r="BP61">
        <v>2863068982</v>
      </c>
      <c r="BQ61">
        <v>2930261796</v>
      </c>
      <c r="BR61">
        <v>0</v>
      </c>
      <c r="BS61">
        <v>0</v>
      </c>
      <c r="BT61">
        <v>0</v>
      </c>
      <c r="BU61">
        <v>-86220627</v>
      </c>
      <c r="BV61">
        <v>-86220627</v>
      </c>
      <c r="BW61">
        <v>0</v>
      </c>
      <c r="BX61">
        <v>0</v>
      </c>
      <c r="BY61">
        <v>0</v>
      </c>
      <c r="BZ61">
        <v>0</v>
      </c>
      <c r="CA61">
        <v>2844041169</v>
      </c>
      <c r="CB61">
        <v>2930261796</v>
      </c>
      <c r="CC61">
        <v>14392647099</v>
      </c>
    </row>
    <row r="62" spans="1:81">
      <c r="A62" s="8">
        <v>57</v>
      </c>
      <c r="B62" s="8" t="s">
        <v>148</v>
      </c>
      <c r="C62">
        <v>7649</v>
      </c>
      <c r="D62">
        <v>17942</v>
      </c>
      <c r="E62">
        <v>0</v>
      </c>
      <c r="F62">
        <v>9427</v>
      </c>
      <c r="G62">
        <v>279364</v>
      </c>
      <c r="H62">
        <v>0</v>
      </c>
      <c r="I62">
        <v>292546</v>
      </c>
      <c r="J62">
        <v>90673</v>
      </c>
      <c r="K62">
        <v>70496</v>
      </c>
      <c r="L62">
        <v>223330</v>
      </c>
      <c r="M62">
        <v>296276</v>
      </c>
      <c r="N62">
        <v>486805</v>
      </c>
      <c r="O62">
        <v>336</v>
      </c>
      <c r="P62">
        <v>156826</v>
      </c>
      <c r="Q62">
        <v>51015</v>
      </c>
      <c r="R62">
        <v>1030642</v>
      </c>
      <c r="S62">
        <v>127838</v>
      </c>
      <c r="T62">
        <v>247264</v>
      </c>
      <c r="U62">
        <v>208565</v>
      </c>
      <c r="V62">
        <v>31053</v>
      </c>
      <c r="W62">
        <v>530144</v>
      </c>
      <c r="X62">
        <v>613500</v>
      </c>
      <c r="Y62">
        <v>261020</v>
      </c>
      <c r="Z62">
        <v>245927</v>
      </c>
      <c r="AA62">
        <v>163777</v>
      </c>
      <c r="AB62">
        <v>135931</v>
      </c>
      <c r="AC62">
        <v>551059</v>
      </c>
      <c r="AD62">
        <v>95452</v>
      </c>
      <c r="AE62">
        <v>1552984</v>
      </c>
      <c r="AF62">
        <v>125244</v>
      </c>
      <c r="AG62">
        <v>365501</v>
      </c>
      <c r="AH62">
        <v>267995</v>
      </c>
      <c r="AI62">
        <v>60121</v>
      </c>
      <c r="AJ62">
        <v>210844</v>
      </c>
      <c r="AK62">
        <v>79165</v>
      </c>
      <c r="AL62">
        <v>177729</v>
      </c>
      <c r="AM62">
        <v>339065</v>
      </c>
      <c r="AN62">
        <v>326439</v>
      </c>
      <c r="AO62">
        <v>9686108</v>
      </c>
      <c r="AP62">
        <v>3158093</v>
      </c>
      <c r="AQ62">
        <v>104314</v>
      </c>
      <c r="AR62">
        <v>73249</v>
      </c>
      <c r="AS62">
        <v>95691</v>
      </c>
      <c r="AT62">
        <v>915066</v>
      </c>
      <c r="AU62">
        <v>4156006</v>
      </c>
      <c r="AV62">
        <v>793616</v>
      </c>
      <c r="AW62">
        <v>509028</v>
      </c>
      <c r="AX62">
        <v>246268</v>
      </c>
      <c r="AY62">
        <v>10431087</v>
      </c>
      <c r="AZ62">
        <v>3970159</v>
      </c>
      <c r="BA62">
        <v>3125205</v>
      </c>
      <c r="BB62">
        <v>3794437</v>
      </c>
      <c r="BC62">
        <v>25117424</v>
      </c>
      <c r="BD62">
        <v>1354877</v>
      </c>
      <c r="BE62">
        <v>113010662</v>
      </c>
      <c r="BF62">
        <v>12883950</v>
      </c>
      <c r="BG62">
        <v>49085675</v>
      </c>
      <c r="BH62">
        <v>4409126</v>
      </c>
      <c r="BI62">
        <v>256649985</v>
      </c>
      <c r="BJ62">
        <v>685137076</v>
      </c>
      <c r="BK62">
        <v>13803365</v>
      </c>
      <c r="BL62">
        <v>0</v>
      </c>
      <c r="BM62">
        <v>0</v>
      </c>
      <c r="BN62">
        <v>0</v>
      </c>
      <c r="BO62">
        <v>43461509</v>
      </c>
      <c r="BP62">
        <v>742401950</v>
      </c>
      <c r="BQ62">
        <v>999051935</v>
      </c>
      <c r="BR62">
        <v>0</v>
      </c>
      <c r="BS62">
        <v>0</v>
      </c>
      <c r="BT62">
        <v>0</v>
      </c>
      <c r="BU62">
        <v>-16876564</v>
      </c>
      <c r="BV62">
        <v>-16876564</v>
      </c>
      <c r="BW62">
        <v>0</v>
      </c>
      <c r="BX62">
        <v>0</v>
      </c>
      <c r="BY62">
        <v>0</v>
      </c>
      <c r="BZ62">
        <v>0</v>
      </c>
      <c r="CA62">
        <v>982175371</v>
      </c>
      <c r="CB62">
        <v>999051935</v>
      </c>
      <c r="CC62">
        <v>4944629983</v>
      </c>
    </row>
    <row r="63" spans="1:81">
      <c r="A63" s="8">
        <v>58</v>
      </c>
      <c r="B63" s="8" t="s">
        <v>149</v>
      </c>
      <c r="C63">
        <v>911</v>
      </c>
      <c r="D63">
        <v>24576</v>
      </c>
      <c r="E63">
        <v>233140</v>
      </c>
      <c r="F63">
        <v>2212</v>
      </c>
      <c r="G63">
        <v>487518</v>
      </c>
      <c r="H63">
        <v>0</v>
      </c>
      <c r="I63">
        <v>25570</v>
      </c>
      <c r="J63">
        <v>319755</v>
      </c>
      <c r="K63">
        <v>553372</v>
      </c>
      <c r="L63">
        <v>240096</v>
      </c>
      <c r="M63">
        <v>839825</v>
      </c>
      <c r="N63">
        <v>371435</v>
      </c>
      <c r="O63">
        <v>596</v>
      </c>
      <c r="P63">
        <v>181597</v>
      </c>
      <c r="Q63">
        <v>2145383</v>
      </c>
      <c r="R63">
        <v>7092271</v>
      </c>
      <c r="S63">
        <v>1926675</v>
      </c>
      <c r="T63">
        <v>119857</v>
      </c>
      <c r="U63">
        <v>865684</v>
      </c>
      <c r="V63">
        <v>104995</v>
      </c>
      <c r="W63">
        <v>1799732</v>
      </c>
      <c r="X63">
        <v>56212</v>
      </c>
      <c r="Y63">
        <v>890457</v>
      </c>
      <c r="Z63">
        <v>1958628</v>
      </c>
      <c r="AA63">
        <v>885677</v>
      </c>
      <c r="AB63">
        <v>579607</v>
      </c>
      <c r="AC63">
        <v>2023470</v>
      </c>
      <c r="AD63">
        <v>2268</v>
      </c>
      <c r="AE63">
        <v>1501765</v>
      </c>
      <c r="AF63">
        <v>9642608</v>
      </c>
      <c r="AG63">
        <v>717350</v>
      </c>
      <c r="AH63">
        <v>971326</v>
      </c>
      <c r="AI63">
        <v>731092</v>
      </c>
      <c r="AJ63">
        <v>1915720</v>
      </c>
      <c r="AK63">
        <v>991417</v>
      </c>
      <c r="AL63">
        <v>200012</v>
      </c>
      <c r="AM63">
        <v>1078372</v>
      </c>
      <c r="AN63">
        <v>1684338</v>
      </c>
      <c r="AO63">
        <v>3927501</v>
      </c>
      <c r="AP63">
        <v>6080645</v>
      </c>
      <c r="AQ63">
        <v>527589</v>
      </c>
      <c r="AR63">
        <v>224972</v>
      </c>
      <c r="AS63">
        <v>695409</v>
      </c>
      <c r="AT63">
        <v>1948485</v>
      </c>
      <c r="AU63">
        <v>1733282</v>
      </c>
      <c r="AV63">
        <v>906464</v>
      </c>
      <c r="AW63">
        <v>550130</v>
      </c>
      <c r="AX63">
        <v>1740717</v>
      </c>
      <c r="AY63">
        <v>28160918</v>
      </c>
      <c r="AZ63">
        <v>2217831</v>
      </c>
      <c r="BA63">
        <v>4653024</v>
      </c>
      <c r="BB63">
        <v>1434453</v>
      </c>
      <c r="BC63">
        <v>13356205</v>
      </c>
      <c r="BD63">
        <v>1820734</v>
      </c>
      <c r="BE63">
        <v>6982677</v>
      </c>
      <c r="BF63">
        <v>3526403</v>
      </c>
      <c r="BG63">
        <v>8109457</v>
      </c>
      <c r="BH63">
        <v>22840286</v>
      </c>
      <c r="BI63">
        <v>154602701</v>
      </c>
      <c r="BJ63">
        <v>25140695</v>
      </c>
      <c r="BK63">
        <v>35329250</v>
      </c>
      <c r="BL63">
        <v>0</v>
      </c>
      <c r="BM63">
        <v>71440100</v>
      </c>
      <c r="BN63">
        <v>0</v>
      </c>
      <c r="BO63">
        <v>7791194</v>
      </c>
      <c r="BP63">
        <v>139701239</v>
      </c>
      <c r="BQ63">
        <v>294303940</v>
      </c>
      <c r="BR63">
        <v>0</v>
      </c>
      <c r="BS63">
        <v>0</v>
      </c>
      <c r="BT63">
        <v>0</v>
      </c>
      <c r="BU63">
        <v>-21911156</v>
      </c>
      <c r="BV63">
        <v>-21911156</v>
      </c>
      <c r="BW63">
        <v>0</v>
      </c>
      <c r="BX63">
        <v>0</v>
      </c>
      <c r="BY63">
        <v>0</v>
      </c>
      <c r="BZ63">
        <v>0</v>
      </c>
      <c r="CA63">
        <v>272392784</v>
      </c>
      <c r="CB63">
        <v>294303940</v>
      </c>
      <c r="CC63">
        <v>1405786232</v>
      </c>
    </row>
    <row r="64" spans="1:81">
      <c r="A64" s="8">
        <v>190</v>
      </c>
      <c r="B64" s="8" t="s">
        <v>150</v>
      </c>
      <c r="C64">
        <v>106906674</v>
      </c>
      <c r="D64">
        <v>16923776</v>
      </c>
      <c r="E64">
        <v>26099879</v>
      </c>
      <c r="F64">
        <v>2062686</v>
      </c>
      <c r="G64">
        <v>239251631</v>
      </c>
      <c r="H64">
        <v>28326762</v>
      </c>
      <c r="I64">
        <v>50993258</v>
      </c>
      <c r="J64">
        <v>80466542</v>
      </c>
      <c r="K64">
        <v>224589912</v>
      </c>
      <c r="L64">
        <v>6037452</v>
      </c>
      <c r="M64">
        <v>101679877</v>
      </c>
      <c r="N64">
        <v>144695129</v>
      </c>
      <c r="O64">
        <v>101932</v>
      </c>
      <c r="P64">
        <v>54795133</v>
      </c>
      <c r="Q64">
        <v>345592022</v>
      </c>
      <c r="R64">
        <v>610662137</v>
      </c>
      <c r="S64">
        <v>425142761</v>
      </c>
      <c r="T64">
        <v>92812194</v>
      </c>
      <c r="U64">
        <v>214128989</v>
      </c>
      <c r="V64">
        <v>58891734</v>
      </c>
      <c r="W64">
        <v>292450233</v>
      </c>
      <c r="X64">
        <v>10592862</v>
      </c>
      <c r="Y64">
        <v>124948797</v>
      </c>
      <c r="Z64">
        <v>200384361</v>
      </c>
      <c r="AA64">
        <v>140145752</v>
      </c>
      <c r="AB64">
        <v>53246623</v>
      </c>
      <c r="AC64">
        <v>556724292</v>
      </c>
      <c r="AD64">
        <v>52473965</v>
      </c>
      <c r="AE64">
        <v>318116496</v>
      </c>
      <c r="AF64">
        <v>964139721</v>
      </c>
      <c r="AG64">
        <v>273556458</v>
      </c>
      <c r="AH64">
        <v>357430771</v>
      </c>
      <c r="AI64">
        <v>131262408</v>
      </c>
      <c r="AJ64">
        <v>190601782</v>
      </c>
      <c r="AK64">
        <v>199798869</v>
      </c>
      <c r="AL64">
        <v>82274692</v>
      </c>
      <c r="AM64">
        <v>334841045</v>
      </c>
      <c r="AN64">
        <v>402788746</v>
      </c>
      <c r="AO64">
        <v>2641849482</v>
      </c>
      <c r="AP64">
        <v>1568170254</v>
      </c>
      <c r="AQ64">
        <v>66076851</v>
      </c>
      <c r="AR64">
        <v>59496577</v>
      </c>
      <c r="AS64">
        <v>159521558</v>
      </c>
      <c r="AT64">
        <v>950128273</v>
      </c>
      <c r="AU64">
        <v>1054356045</v>
      </c>
      <c r="AV64">
        <v>24539836</v>
      </c>
      <c r="AW64">
        <v>473984576</v>
      </c>
      <c r="AX64">
        <v>471271482</v>
      </c>
      <c r="AY64">
        <v>885263498</v>
      </c>
      <c r="AZ64">
        <v>875765624</v>
      </c>
      <c r="BA64">
        <v>814403852</v>
      </c>
      <c r="BB64">
        <v>220025772</v>
      </c>
      <c r="BC64">
        <v>542128847</v>
      </c>
      <c r="BD64">
        <v>159728075</v>
      </c>
      <c r="BE64">
        <v>774493305</v>
      </c>
      <c r="BF64">
        <v>693426474</v>
      </c>
      <c r="BG64">
        <v>478251118</v>
      </c>
      <c r="BH64">
        <v>135398550</v>
      </c>
      <c r="BI64">
        <v>20564218402</v>
      </c>
      <c r="BJ64">
        <v>8786511895</v>
      </c>
      <c r="BK64">
        <v>2951397062</v>
      </c>
      <c r="BL64">
        <v>3803228016</v>
      </c>
      <c r="BM64">
        <v>859985000</v>
      </c>
      <c r="BN64">
        <v>8568939920</v>
      </c>
      <c r="BO64">
        <v>813739550</v>
      </c>
      <c r="BP64">
        <v>25783801443</v>
      </c>
      <c r="BQ64">
        <v>46348019845</v>
      </c>
      <c r="BR64">
        <v>-8525584600</v>
      </c>
      <c r="BS64">
        <v>-102067001</v>
      </c>
      <c r="BT64">
        <v>-412509295</v>
      </c>
      <c r="BU64">
        <v>-1006557745</v>
      </c>
      <c r="BV64">
        <v>-10046718641</v>
      </c>
      <c r="BW64">
        <v>0</v>
      </c>
      <c r="BX64">
        <v>0</v>
      </c>
      <c r="BY64">
        <v>0</v>
      </c>
      <c r="BZ64">
        <v>0</v>
      </c>
      <c r="CA64">
        <v>36301301204</v>
      </c>
      <c r="CB64">
        <v>46348019845</v>
      </c>
      <c r="CC64">
        <v>201599943302</v>
      </c>
    </row>
    <row r="65" spans="1:81">
      <c r="A65" s="8">
        <v>201</v>
      </c>
      <c r="B65" s="8" t="s">
        <v>151</v>
      </c>
      <c r="C65">
        <v>66711643</v>
      </c>
      <c r="D65">
        <v>10628282</v>
      </c>
      <c r="E65">
        <v>18683997</v>
      </c>
      <c r="F65">
        <v>767311</v>
      </c>
      <c r="G65">
        <v>136013312</v>
      </c>
      <c r="H65">
        <v>18783938</v>
      </c>
      <c r="I65">
        <v>64784079</v>
      </c>
      <c r="J65">
        <v>35413750</v>
      </c>
      <c r="K65">
        <v>50686440</v>
      </c>
      <c r="L65">
        <v>6320044</v>
      </c>
      <c r="M65">
        <v>26891695</v>
      </c>
      <c r="N65">
        <v>42087971</v>
      </c>
      <c r="O65">
        <v>22061</v>
      </c>
      <c r="P65">
        <v>19573576</v>
      </c>
      <c r="Q65">
        <v>49425595</v>
      </c>
      <c r="R65">
        <v>39310178</v>
      </c>
      <c r="S65">
        <v>27530408</v>
      </c>
      <c r="T65">
        <v>16567714</v>
      </c>
      <c r="U65">
        <v>25110263</v>
      </c>
      <c r="V65">
        <v>3185990</v>
      </c>
      <c r="W65">
        <v>28569844</v>
      </c>
      <c r="X65">
        <v>2936191</v>
      </c>
      <c r="Y65">
        <v>17141312</v>
      </c>
      <c r="Z65">
        <v>29888490</v>
      </c>
      <c r="AA65">
        <v>16018297</v>
      </c>
      <c r="AB65">
        <v>8521990</v>
      </c>
      <c r="AC65">
        <v>86118488</v>
      </c>
      <c r="AD65">
        <v>5605242</v>
      </c>
      <c r="AE65">
        <v>46699106</v>
      </c>
      <c r="AF65">
        <v>19313941</v>
      </c>
      <c r="AG65">
        <v>23030390</v>
      </c>
      <c r="AH65">
        <v>47442202</v>
      </c>
      <c r="AI65">
        <v>21976498</v>
      </c>
      <c r="AJ65">
        <v>29329386</v>
      </c>
      <c r="AK65">
        <v>18482114</v>
      </c>
      <c r="AL65">
        <v>19138116</v>
      </c>
      <c r="AM65">
        <v>53518694</v>
      </c>
      <c r="AN65">
        <v>52341917</v>
      </c>
      <c r="AO65">
        <v>211962643</v>
      </c>
      <c r="AP65">
        <v>182634401</v>
      </c>
      <c r="AQ65">
        <v>14952073</v>
      </c>
      <c r="AR65">
        <v>9470241</v>
      </c>
      <c r="AS65">
        <v>36677620</v>
      </c>
      <c r="AT65">
        <v>102883422</v>
      </c>
      <c r="AU65">
        <v>124771661</v>
      </c>
      <c r="AV65">
        <v>12984883</v>
      </c>
      <c r="AW65">
        <v>41787909</v>
      </c>
      <c r="AX65">
        <v>92574143</v>
      </c>
      <c r="AY65">
        <v>647824586</v>
      </c>
      <c r="AZ65">
        <v>127021412</v>
      </c>
      <c r="BA65">
        <v>112659098</v>
      </c>
      <c r="BB65">
        <v>111491741</v>
      </c>
      <c r="BC65">
        <v>376967948</v>
      </c>
      <c r="BD65">
        <v>56449574</v>
      </c>
      <c r="BE65">
        <v>157051770</v>
      </c>
      <c r="BF65">
        <v>1568187883</v>
      </c>
      <c r="BG65">
        <v>195459789</v>
      </c>
      <c r="BH65">
        <v>34338703</v>
      </c>
      <c r="BI65">
        <v>5402721965</v>
      </c>
      <c r="CC65">
        <v>10805443930</v>
      </c>
    </row>
    <row r="66" spans="1:81">
      <c r="A66" s="8">
        <v>202</v>
      </c>
      <c r="B66" s="8" t="s">
        <v>152</v>
      </c>
      <c r="C66">
        <v>103830453</v>
      </c>
      <c r="D66">
        <v>12857217</v>
      </c>
      <c r="E66">
        <v>26105667</v>
      </c>
      <c r="F66">
        <v>1495111</v>
      </c>
      <c r="G66">
        <v>236904462</v>
      </c>
      <c r="H66">
        <v>28074623</v>
      </c>
      <c r="I66">
        <v>97839571</v>
      </c>
      <c r="J66">
        <v>74033448</v>
      </c>
      <c r="K66">
        <v>118896569</v>
      </c>
      <c r="L66">
        <v>9645342</v>
      </c>
      <c r="M66">
        <v>50955088</v>
      </c>
      <c r="N66">
        <v>73605379</v>
      </c>
      <c r="O66">
        <v>46442</v>
      </c>
      <c r="P66">
        <v>40933335</v>
      </c>
      <c r="Q66">
        <v>101568841</v>
      </c>
      <c r="R66">
        <v>65093679</v>
      </c>
      <c r="S66">
        <v>42181828</v>
      </c>
      <c r="T66">
        <v>26116643</v>
      </c>
      <c r="U66">
        <v>41579323</v>
      </c>
      <c r="V66">
        <v>5546964</v>
      </c>
      <c r="W66">
        <v>55224412</v>
      </c>
      <c r="X66">
        <v>5869258</v>
      </c>
      <c r="Y66">
        <v>25551965</v>
      </c>
      <c r="Z66">
        <v>37597366</v>
      </c>
      <c r="AA66">
        <v>26432469</v>
      </c>
      <c r="AB66">
        <v>9746331</v>
      </c>
      <c r="AC66">
        <v>113625088</v>
      </c>
      <c r="AD66">
        <v>7866354</v>
      </c>
      <c r="AE66">
        <v>66058854</v>
      </c>
      <c r="AF66">
        <v>17259410</v>
      </c>
      <c r="AG66">
        <v>37332756</v>
      </c>
      <c r="AH66">
        <v>54828558</v>
      </c>
      <c r="AI66">
        <v>34399811</v>
      </c>
      <c r="AJ66">
        <v>34035645</v>
      </c>
      <c r="AK66">
        <v>26131144</v>
      </c>
      <c r="AL66">
        <v>24360395</v>
      </c>
      <c r="AM66">
        <v>83521995</v>
      </c>
      <c r="AN66">
        <v>70657723</v>
      </c>
      <c r="AO66">
        <v>320472134</v>
      </c>
      <c r="AP66">
        <v>207807404</v>
      </c>
      <c r="AQ66">
        <v>22816474</v>
      </c>
      <c r="AR66">
        <v>11479631</v>
      </c>
      <c r="AS66">
        <v>48466444</v>
      </c>
      <c r="AT66">
        <v>151097808</v>
      </c>
      <c r="AU66">
        <v>160731710</v>
      </c>
      <c r="AV66">
        <v>15125897</v>
      </c>
      <c r="AW66">
        <v>53817134</v>
      </c>
      <c r="AX66">
        <v>117461623</v>
      </c>
      <c r="AY66">
        <v>1316903123</v>
      </c>
      <c r="AZ66">
        <v>151103069</v>
      </c>
      <c r="BA66">
        <v>137626748</v>
      </c>
      <c r="BB66">
        <v>134587008</v>
      </c>
      <c r="BC66">
        <v>568994615</v>
      </c>
      <c r="BD66">
        <v>100405038</v>
      </c>
      <c r="BE66">
        <v>200100257</v>
      </c>
      <c r="BF66">
        <v>178554120</v>
      </c>
      <c r="BG66">
        <v>172036260</v>
      </c>
      <c r="BH66">
        <v>66417821</v>
      </c>
      <c r="BI66">
        <v>6023813837</v>
      </c>
      <c r="CC66">
        <v>12047627674</v>
      </c>
    </row>
    <row r="67" spans="1:81">
      <c r="A67" s="8">
        <v>203</v>
      </c>
      <c r="B67" s="8" t="s">
        <v>153</v>
      </c>
      <c r="C67">
        <v>23207172</v>
      </c>
      <c r="D67">
        <v>1477950</v>
      </c>
      <c r="E67">
        <v>3073928</v>
      </c>
      <c r="F67">
        <v>55352</v>
      </c>
      <c r="G67">
        <v>33149151</v>
      </c>
      <c r="H67">
        <v>7826419</v>
      </c>
      <c r="I67">
        <v>7305765</v>
      </c>
      <c r="J67">
        <v>8717527</v>
      </c>
      <c r="K67">
        <v>19729403</v>
      </c>
      <c r="L67">
        <v>1414583</v>
      </c>
      <c r="M67">
        <v>20353707</v>
      </c>
      <c r="N67">
        <v>64631360</v>
      </c>
      <c r="O67">
        <v>13759</v>
      </c>
      <c r="P67">
        <v>10081721</v>
      </c>
      <c r="Q67">
        <v>26345577</v>
      </c>
      <c r="R67">
        <v>33751869</v>
      </c>
      <c r="S67">
        <v>18849197</v>
      </c>
      <c r="T67">
        <v>16007977</v>
      </c>
      <c r="U67">
        <v>16841816</v>
      </c>
      <c r="V67">
        <v>2177845</v>
      </c>
      <c r="W67">
        <v>29391696</v>
      </c>
      <c r="X67">
        <v>1342188</v>
      </c>
      <c r="Y67">
        <v>16210599</v>
      </c>
      <c r="Z67">
        <v>15295478</v>
      </c>
      <c r="AA67">
        <v>13748888</v>
      </c>
      <c r="AB67">
        <v>5121897</v>
      </c>
      <c r="AC67">
        <v>58052753</v>
      </c>
      <c r="AD67">
        <v>2782923</v>
      </c>
      <c r="AE67">
        <v>28547955</v>
      </c>
      <c r="AF67">
        <v>57550155</v>
      </c>
      <c r="AG67">
        <v>23223244</v>
      </c>
      <c r="AH67">
        <v>30645892</v>
      </c>
      <c r="AI67">
        <v>14237400</v>
      </c>
      <c r="AJ67">
        <v>21217832</v>
      </c>
      <c r="AK67">
        <v>9025763</v>
      </c>
      <c r="AL67">
        <v>7725868</v>
      </c>
      <c r="AM67">
        <v>24961642</v>
      </c>
      <c r="AN67">
        <v>33787543</v>
      </c>
      <c r="AO67">
        <v>153620165</v>
      </c>
      <c r="AP67">
        <v>108764737</v>
      </c>
      <c r="AQ67">
        <v>6793652</v>
      </c>
      <c r="AR67">
        <v>4893238</v>
      </c>
      <c r="AS67">
        <v>15956666</v>
      </c>
      <c r="AT67">
        <v>61092259</v>
      </c>
      <c r="AU67">
        <v>167999545</v>
      </c>
      <c r="AV67">
        <v>16099776</v>
      </c>
      <c r="AW67">
        <v>34180226</v>
      </c>
      <c r="AX67">
        <v>65629867</v>
      </c>
      <c r="AY67">
        <v>351052090</v>
      </c>
      <c r="AZ67">
        <v>99217482</v>
      </c>
      <c r="BA67">
        <v>117734997</v>
      </c>
      <c r="BB67">
        <v>105107866</v>
      </c>
      <c r="BC67">
        <v>135087385</v>
      </c>
      <c r="BD67">
        <v>316387538</v>
      </c>
      <c r="BE67">
        <v>73000455</v>
      </c>
      <c r="BF67">
        <v>394879485</v>
      </c>
      <c r="BG67">
        <v>74676300</v>
      </c>
      <c r="BH67">
        <v>30542477</v>
      </c>
      <c r="BI67">
        <v>3040598000</v>
      </c>
      <c r="CC67">
        <v>6081196000</v>
      </c>
    </row>
    <row r="68" spans="1:81">
      <c r="A68" s="8">
        <v>204</v>
      </c>
      <c r="B68" s="8" t="s">
        <v>154</v>
      </c>
      <c r="C68">
        <v>149515</v>
      </c>
      <c r="D68">
        <v>20830</v>
      </c>
      <c r="E68">
        <v>36782</v>
      </c>
      <c r="F68">
        <v>2178</v>
      </c>
      <c r="G68">
        <v>320915</v>
      </c>
      <c r="H68">
        <v>-15206341</v>
      </c>
      <c r="I68">
        <v>119730</v>
      </c>
      <c r="J68">
        <v>98778</v>
      </c>
      <c r="K68">
        <v>677778</v>
      </c>
      <c r="L68">
        <v>617367</v>
      </c>
      <c r="M68">
        <v>126253</v>
      </c>
      <c r="N68">
        <v>41381827</v>
      </c>
      <c r="O68">
        <v>4753</v>
      </c>
      <c r="P68">
        <v>3236017</v>
      </c>
      <c r="Q68">
        <v>5776573</v>
      </c>
      <c r="R68">
        <v>22090987</v>
      </c>
      <c r="S68">
        <v>13128977</v>
      </c>
      <c r="T68">
        <v>-1373182</v>
      </c>
      <c r="U68">
        <v>6513021</v>
      </c>
      <c r="V68">
        <v>1506350</v>
      </c>
      <c r="W68">
        <v>152310138</v>
      </c>
      <c r="X68">
        <v>29375406</v>
      </c>
      <c r="Y68">
        <v>3967570</v>
      </c>
      <c r="Z68">
        <v>8664710</v>
      </c>
      <c r="AA68">
        <v>4237165</v>
      </c>
      <c r="AB68">
        <v>1678479</v>
      </c>
      <c r="AC68">
        <v>20642223</v>
      </c>
      <c r="AD68">
        <v>1511548</v>
      </c>
      <c r="AE68">
        <v>13334411</v>
      </c>
      <c r="AF68">
        <v>204210841</v>
      </c>
      <c r="AG68">
        <v>8217988</v>
      </c>
      <c r="AH68">
        <v>10581774</v>
      </c>
      <c r="AI68">
        <v>4356519</v>
      </c>
      <c r="AJ68">
        <v>6449318</v>
      </c>
      <c r="AK68">
        <v>8315757</v>
      </c>
      <c r="AL68">
        <v>4924091</v>
      </c>
      <c r="AM68">
        <v>13275908</v>
      </c>
      <c r="AN68">
        <v>15140477</v>
      </c>
      <c r="AO68">
        <v>79347221</v>
      </c>
      <c r="AP68">
        <v>115825059</v>
      </c>
      <c r="AQ68">
        <v>2387607</v>
      </c>
      <c r="AR68">
        <v>2148117</v>
      </c>
      <c r="AS68">
        <v>5624269</v>
      </c>
      <c r="AT68">
        <v>28174403</v>
      </c>
      <c r="AU68">
        <v>32533488</v>
      </c>
      <c r="AV68">
        <v>2513142</v>
      </c>
      <c r="AW68">
        <v>8943455</v>
      </c>
      <c r="AX68">
        <v>11176160</v>
      </c>
      <c r="AY68">
        <v>85282953</v>
      </c>
      <c r="AZ68">
        <v>39525716</v>
      </c>
      <c r="BA68">
        <v>25199552</v>
      </c>
      <c r="BB68">
        <v>12593641</v>
      </c>
      <c r="BC68">
        <v>103782658</v>
      </c>
      <c r="BD68">
        <v>18624255</v>
      </c>
      <c r="BE68">
        <v>29403529</v>
      </c>
      <c r="BF68">
        <v>8993207</v>
      </c>
      <c r="BG68">
        <v>61751904</v>
      </c>
      <c r="BH68">
        <v>5695233</v>
      </c>
      <c r="BI68">
        <v>1269949000</v>
      </c>
      <c r="CC68">
        <v>2539898000</v>
      </c>
    </row>
    <row r="69" spans="1:81">
      <c r="A69" s="8">
        <v>209</v>
      </c>
      <c r="B69" s="8" t="s">
        <v>155</v>
      </c>
      <c r="C69">
        <v>193898783</v>
      </c>
      <c r="D69">
        <v>24984279</v>
      </c>
      <c r="E69">
        <v>47900374</v>
      </c>
      <c r="F69">
        <v>2319952</v>
      </c>
      <c r="G69">
        <v>406387840</v>
      </c>
      <c r="H69">
        <v>39478639</v>
      </c>
      <c r="I69">
        <v>170049145</v>
      </c>
      <c r="J69">
        <v>118263503</v>
      </c>
      <c r="K69">
        <v>189990190</v>
      </c>
      <c r="L69">
        <v>17997336</v>
      </c>
      <c r="M69">
        <v>98326743</v>
      </c>
      <c r="N69">
        <v>221706537</v>
      </c>
      <c r="O69">
        <v>87015</v>
      </c>
      <c r="P69">
        <v>73824649</v>
      </c>
      <c r="Q69">
        <v>183116586</v>
      </c>
      <c r="R69">
        <v>160246713</v>
      </c>
      <c r="S69">
        <v>101690410</v>
      </c>
      <c r="T69">
        <v>57319152</v>
      </c>
      <c r="U69">
        <v>90044423</v>
      </c>
      <c r="V69">
        <v>12417149</v>
      </c>
      <c r="W69">
        <v>265496090</v>
      </c>
      <c r="X69">
        <v>39523043</v>
      </c>
      <c r="Y69">
        <v>62871446</v>
      </c>
      <c r="Z69">
        <v>91446044</v>
      </c>
      <c r="AA69">
        <v>60436819</v>
      </c>
      <c r="AB69">
        <v>25068697</v>
      </c>
      <c r="AC69">
        <v>278438552</v>
      </c>
      <c r="AD69">
        <v>17766067</v>
      </c>
      <c r="AE69">
        <v>154640326</v>
      </c>
      <c r="AF69">
        <v>298334347</v>
      </c>
      <c r="AG69">
        <v>91804378</v>
      </c>
      <c r="AH69">
        <v>143498426</v>
      </c>
      <c r="AI69">
        <v>74970228</v>
      </c>
      <c r="AJ69">
        <v>91032181</v>
      </c>
      <c r="AK69">
        <v>61954778</v>
      </c>
      <c r="AL69">
        <v>56148470</v>
      </c>
      <c r="AM69">
        <v>175278239</v>
      </c>
      <c r="AN69">
        <v>171927660</v>
      </c>
      <c r="AO69">
        <v>765402163</v>
      </c>
      <c r="AP69">
        <v>615031601</v>
      </c>
      <c r="AQ69">
        <v>46949806</v>
      </c>
      <c r="AR69">
        <v>27991227</v>
      </c>
      <c r="AS69">
        <v>106724999</v>
      </c>
      <c r="AT69">
        <v>343247892</v>
      </c>
      <c r="AU69">
        <v>486036404</v>
      </c>
      <c r="AV69">
        <v>46723698</v>
      </c>
      <c r="AW69">
        <v>138728724</v>
      </c>
      <c r="AX69">
        <v>286841793</v>
      </c>
      <c r="AY69">
        <v>2401062752</v>
      </c>
      <c r="AZ69">
        <v>416867679</v>
      </c>
      <c r="BA69">
        <v>393220395</v>
      </c>
      <c r="BB69">
        <v>363780256</v>
      </c>
      <c r="BC69">
        <v>1184832606</v>
      </c>
      <c r="BD69">
        <v>491866405</v>
      </c>
      <c r="BE69">
        <v>459556011</v>
      </c>
      <c r="BF69">
        <v>2150614695</v>
      </c>
      <c r="BG69">
        <v>503924253</v>
      </c>
      <c r="BH69">
        <v>136994234</v>
      </c>
      <c r="BI69">
        <v>15737082802</v>
      </c>
      <c r="CC69">
        <v>31474165604</v>
      </c>
    </row>
    <row r="70" spans="1:81">
      <c r="A70" s="8">
        <v>210</v>
      </c>
      <c r="B70" s="8" t="s">
        <v>156</v>
      </c>
      <c r="C70">
        <v>300805457</v>
      </c>
      <c r="D70">
        <v>41908055</v>
      </c>
      <c r="E70">
        <v>74000253</v>
      </c>
      <c r="F70">
        <v>4382638</v>
      </c>
      <c r="G70">
        <v>645639471</v>
      </c>
      <c r="H70">
        <v>67805401</v>
      </c>
      <c r="I70">
        <v>221042403</v>
      </c>
      <c r="J70">
        <v>198730045</v>
      </c>
      <c r="K70">
        <v>414580102</v>
      </c>
      <c r="L70">
        <v>24034788</v>
      </c>
      <c r="M70">
        <v>200006620</v>
      </c>
      <c r="N70">
        <v>366401666</v>
      </c>
      <c r="O70">
        <v>188947</v>
      </c>
      <c r="P70">
        <v>128619782</v>
      </c>
      <c r="Q70">
        <v>528708608</v>
      </c>
      <c r="R70">
        <v>770908850</v>
      </c>
      <c r="S70">
        <v>526833171</v>
      </c>
      <c r="T70">
        <v>150131346</v>
      </c>
      <c r="U70">
        <v>304173412</v>
      </c>
      <c r="V70">
        <v>71308883</v>
      </c>
      <c r="W70">
        <v>557946323</v>
      </c>
      <c r="X70">
        <v>50115905</v>
      </c>
      <c r="Y70">
        <v>187820243</v>
      </c>
      <c r="Z70">
        <v>291830405</v>
      </c>
      <c r="AA70">
        <v>200582571</v>
      </c>
      <c r="AB70">
        <v>78315320</v>
      </c>
      <c r="AC70">
        <v>835162844</v>
      </c>
      <c r="AD70">
        <v>70240032</v>
      </c>
      <c r="AE70">
        <v>472756822</v>
      </c>
      <c r="AF70">
        <v>1262474068</v>
      </c>
      <c r="AG70">
        <v>365360836</v>
      </c>
      <c r="AH70">
        <v>500929197</v>
      </c>
      <c r="AI70">
        <v>206232636</v>
      </c>
      <c r="AJ70">
        <v>281633963</v>
      </c>
      <c r="AK70">
        <v>261753647</v>
      </c>
      <c r="AL70">
        <v>138423162</v>
      </c>
      <c r="AM70">
        <v>510119284</v>
      </c>
      <c r="AN70">
        <v>574716406</v>
      </c>
      <c r="AO70">
        <v>3407251645</v>
      </c>
      <c r="AP70">
        <v>2183201855</v>
      </c>
      <c r="AQ70">
        <v>113026657</v>
      </c>
      <c r="AR70">
        <v>87487804</v>
      </c>
      <c r="AS70">
        <v>266246557</v>
      </c>
      <c r="AT70">
        <v>1293376165</v>
      </c>
      <c r="AU70">
        <v>1540392449</v>
      </c>
      <c r="AV70">
        <v>71263534</v>
      </c>
      <c r="AW70">
        <v>612713300</v>
      </c>
      <c r="AX70">
        <v>758113275</v>
      </c>
      <c r="AY70">
        <v>3286326250</v>
      </c>
      <c r="AZ70">
        <v>1292633303</v>
      </c>
      <c r="BA70">
        <v>1207624247</v>
      </c>
      <c r="BB70">
        <v>583806028</v>
      </c>
      <c r="BC70">
        <v>1726961453</v>
      </c>
      <c r="BD70">
        <v>651594480</v>
      </c>
      <c r="BE70">
        <v>1234049316</v>
      </c>
      <c r="BF70">
        <v>2844041169</v>
      </c>
      <c r="BG70">
        <v>982175371</v>
      </c>
      <c r="BH70">
        <v>272392784</v>
      </c>
      <c r="BI70">
        <v>36301301204</v>
      </c>
      <c r="CC70">
        <v>72602602408</v>
      </c>
    </row>
    <row r="71" spans="1:81">
      <c r="A71" s="8" t="s">
        <v>179</v>
      </c>
      <c r="C71">
        <v>902416371</v>
      </c>
      <c r="D71">
        <v>125724165</v>
      </c>
      <c r="E71">
        <v>222000759</v>
      </c>
      <c r="F71">
        <v>13147914</v>
      </c>
      <c r="G71">
        <v>1936918413</v>
      </c>
      <c r="H71">
        <v>203416203</v>
      </c>
      <c r="I71">
        <v>663127209</v>
      </c>
      <c r="J71">
        <v>596190135</v>
      </c>
      <c r="K71">
        <v>1243740306</v>
      </c>
      <c r="L71">
        <v>72104364</v>
      </c>
      <c r="M71">
        <v>600019860</v>
      </c>
      <c r="N71">
        <v>1099204998</v>
      </c>
      <c r="O71">
        <v>566841</v>
      </c>
      <c r="P71">
        <v>385859346</v>
      </c>
      <c r="Q71">
        <v>1586125824</v>
      </c>
      <c r="R71">
        <v>2312726550</v>
      </c>
      <c r="S71">
        <v>1580499513</v>
      </c>
      <c r="T71">
        <v>450394038</v>
      </c>
      <c r="U71">
        <v>912520236</v>
      </c>
      <c r="V71">
        <v>213926649</v>
      </c>
      <c r="W71">
        <v>1673838969</v>
      </c>
      <c r="X71">
        <v>150347715</v>
      </c>
      <c r="Y71">
        <v>563460729</v>
      </c>
      <c r="Z71">
        <v>875491215</v>
      </c>
      <c r="AA71">
        <v>601747713</v>
      </c>
      <c r="AB71">
        <v>234945960</v>
      </c>
      <c r="AC71">
        <v>2505488532</v>
      </c>
      <c r="AD71">
        <v>210720096</v>
      </c>
      <c r="AE71">
        <v>1418270466</v>
      </c>
      <c r="AF71">
        <v>3787422204</v>
      </c>
      <c r="AG71">
        <v>1096082508</v>
      </c>
      <c r="AH71">
        <v>1502787591</v>
      </c>
      <c r="AI71">
        <v>618697908</v>
      </c>
      <c r="AJ71">
        <v>844901889</v>
      </c>
      <c r="AK71">
        <v>785260941</v>
      </c>
      <c r="AL71">
        <v>415269486</v>
      </c>
      <c r="AM71">
        <v>1530357852</v>
      </c>
      <c r="AN71">
        <v>1724149218</v>
      </c>
      <c r="AO71">
        <v>10221754935</v>
      </c>
      <c r="AP71">
        <v>6549605565</v>
      </c>
      <c r="AQ71">
        <v>339079971</v>
      </c>
      <c r="AR71">
        <v>262463412</v>
      </c>
      <c r="AS71">
        <v>798739671</v>
      </c>
      <c r="AT71">
        <v>3880128495</v>
      </c>
      <c r="AU71">
        <v>4621177347</v>
      </c>
      <c r="AV71">
        <v>213790602</v>
      </c>
      <c r="AW71">
        <v>1838139900</v>
      </c>
      <c r="AX71">
        <v>2274339825</v>
      </c>
      <c r="AY71">
        <v>9858978750</v>
      </c>
      <c r="AZ71">
        <v>3877899909</v>
      </c>
      <c r="BA71">
        <v>3622872741</v>
      </c>
      <c r="BB71">
        <v>1751418084</v>
      </c>
      <c r="BC71">
        <v>5180884359</v>
      </c>
      <c r="BD71">
        <v>1954783440</v>
      </c>
      <c r="BE71">
        <v>3702147948</v>
      </c>
      <c r="BF71">
        <v>8532123507</v>
      </c>
      <c r="BG71">
        <v>2946526113</v>
      </c>
      <c r="BH71">
        <v>817178352</v>
      </c>
      <c r="BI71">
        <v>108903903612</v>
      </c>
      <c r="BJ71">
        <v>17573023790</v>
      </c>
      <c r="BK71">
        <v>5902794124</v>
      </c>
      <c r="BL71">
        <v>7606456032</v>
      </c>
      <c r="BM71">
        <v>1719970000</v>
      </c>
      <c r="BN71">
        <v>17137879840</v>
      </c>
      <c r="BO71">
        <v>1627479100</v>
      </c>
      <c r="BP71">
        <v>51567602886</v>
      </c>
      <c r="BQ71">
        <v>92696039690</v>
      </c>
      <c r="BR71">
        <v>-17051169200</v>
      </c>
      <c r="BS71">
        <v>-204134002</v>
      </c>
      <c r="BT71">
        <v>-825018590</v>
      </c>
      <c r="BU71">
        <v>-2013115490</v>
      </c>
      <c r="BV71">
        <v>-20093437282</v>
      </c>
      <c r="BW71">
        <v>0</v>
      </c>
      <c r="BX71">
        <v>0</v>
      </c>
      <c r="BY71">
        <v>0</v>
      </c>
      <c r="BZ71">
        <v>0</v>
      </c>
      <c r="CA71">
        <v>72602602408</v>
      </c>
      <c r="CB71">
        <v>92696039690</v>
      </c>
      <c r="CC71">
        <v>538750820220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9FA3-232D-443D-987C-1305C3283B3B}">
  <dimension ref="A1:CC67"/>
  <sheetViews>
    <sheetView topLeftCell="BC30" workbookViewId="0">
      <selection activeCell="BN2" sqref="BN2:BO59"/>
    </sheetView>
  </sheetViews>
  <sheetFormatPr defaultRowHeight="15"/>
  <sheetData>
    <row r="1" spans="1:81">
      <c r="A1" s="9"/>
      <c r="B1" s="9"/>
      <c r="C1" s="9" t="s">
        <v>92</v>
      </c>
      <c r="D1" s="9" t="s">
        <v>93</v>
      </c>
      <c r="E1" s="9" t="s">
        <v>94</v>
      </c>
      <c r="F1" s="9" t="s">
        <v>95</v>
      </c>
      <c r="G1" s="9" t="s">
        <v>96</v>
      </c>
      <c r="H1" s="9" t="s">
        <v>97</v>
      </c>
      <c r="I1" s="9" t="s">
        <v>98</v>
      </c>
      <c r="J1" s="9" t="s">
        <v>99</v>
      </c>
      <c r="K1" s="9" t="s">
        <v>100</v>
      </c>
      <c r="L1" s="9" t="s">
        <v>101</v>
      </c>
      <c r="M1" s="9" t="s">
        <v>102</v>
      </c>
      <c r="N1" s="9" t="s">
        <v>103</v>
      </c>
      <c r="O1" s="9" t="s">
        <v>104</v>
      </c>
      <c r="P1" s="9" t="s">
        <v>105</v>
      </c>
      <c r="Q1" s="9" t="s">
        <v>106</v>
      </c>
      <c r="R1" s="9" t="s">
        <v>107</v>
      </c>
      <c r="S1" s="9" t="s">
        <v>108</v>
      </c>
      <c r="T1" s="9" t="s">
        <v>109</v>
      </c>
      <c r="U1" s="9" t="s">
        <v>110</v>
      </c>
      <c r="V1" s="9" t="s">
        <v>111</v>
      </c>
      <c r="W1" s="9" t="s">
        <v>112</v>
      </c>
      <c r="X1" s="9" t="s">
        <v>113</v>
      </c>
      <c r="Y1" s="9" t="s">
        <v>114</v>
      </c>
      <c r="Z1" s="9" t="s">
        <v>115</v>
      </c>
      <c r="AA1" s="9" t="s">
        <v>116</v>
      </c>
      <c r="AB1" s="9" t="s">
        <v>117</v>
      </c>
      <c r="AC1" s="9" t="s">
        <v>118</v>
      </c>
      <c r="AD1" s="9" t="s">
        <v>119</v>
      </c>
      <c r="AE1" s="9" t="s">
        <v>120</v>
      </c>
      <c r="AF1" s="9" t="s">
        <v>121</v>
      </c>
      <c r="AG1" s="9" t="s">
        <v>122</v>
      </c>
      <c r="AH1" s="9" t="s">
        <v>123</v>
      </c>
      <c r="AI1" s="9" t="s">
        <v>124</v>
      </c>
      <c r="AJ1" s="9" t="s">
        <v>125</v>
      </c>
      <c r="AK1" s="9" t="s">
        <v>126</v>
      </c>
      <c r="AL1" s="9" t="s">
        <v>127</v>
      </c>
      <c r="AM1" s="9" t="s">
        <v>128</v>
      </c>
      <c r="AN1" s="9" t="s">
        <v>129</v>
      </c>
      <c r="AO1" s="9" t="s">
        <v>130</v>
      </c>
      <c r="AP1" s="9" t="s">
        <v>131</v>
      </c>
      <c r="AQ1" s="9" t="s">
        <v>132</v>
      </c>
      <c r="AR1" s="9" t="s">
        <v>133</v>
      </c>
      <c r="AS1" s="9" t="s">
        <v>134</v>
      </c>
      <c r="AT1" s="9" t="s">
        <v>135</v>
      </c>
      <c r="AU1" s="9" t="s">
        <v>136</v>
      </c>
      <c r="AV1" s="9" t="s">
        <v>137</v>
      </c>
      <c r="AW1" s="9" t="s">
        <v>138</v>
      </c>
      <c r="AX1" s="9" t="s">
        <v>139</v>
      </c>
      <c r="AY1" s="9" t="s">
        <v>140</v>
      </c>
      <c r="AZ1" s="9" t="s">
        <v>141</v>
      </c>
      <c r="BA1" s="9" t="s">
        <v>142</v>
      </c>
      <c r="BB1" s="9" t="s">
        <v>143</v>
      </c>
      <c r="BC1" s="9" t="s">
        <v>144</v>
      </c>
      <c r="BD1" s="9" t="s">
        <v>145</v>
      </c>
      <c r="BE1" s="9" t="s">
        <v>146</v>
      </c>
      <c r="BF1" s="9" t="s">
        <v>147</v>
      </c>
      <c r="BG1" s="9" t="s">
        <v>148</v>
      </c>
      <c r="BH1" s="9" t="s">
        <v>149</v>
      </c>
      <c r="BI1" s="9" t="s">
        <v>150</v>
      </c>
      <c r="BJ1" s="9" t="s">
        <v>157</v>
      </c>
      <c r="BK1" s="9" t="s">
        <v>158</v>
      </c>
      <c r="BL1" s="9" t="s">
        <v>159</v>
      </c>
      <c r="BM1" s="9" t="s">
        <v>160</v>
      </c>
      <c r="BN1" s="9" t="s">
        <v>161</v>
      </c>
      <c r="BO1" s="9" t="s">
        <v>162</v>
      </c>
      <c r="BP1" s="9" t="s">
        <v>163</v>
      </c>
      <c r="BQ1" s="9" t="s">
        <v>164</v>
      </c>
      <c r="BR1" s="9" t="s">
        <v>165</v>
      </c>
      <c r="BS1" s="9" t="s">
        <v>166</v>
      </c>
      <c r="BT1" s="9" t="s">
        <v>167</v>
      </c>
      <c r="BU1" s="9" t="s">
        <v>168</v>
      </c>
      <c r="BV1" s="9" t="s">
        <v>169</v>
      </c>
      <c r="BW1" s="9" t="s">
        <v>170</v>
      </c>
      <c r="BX1" s="9" t="s">
        <v>171</v>
      </c>
      <c r="BY1" s="9" t="s">
        <v>172</v>
      </c>
      <c r="BZ1" s="9" t="s">
        <v>173</v>
      </c>
      <c r="CA1" s="9" t="s">
        <v>156</v>
      </c>
      <c r="CB1" s="9" t="s">
        <v>174</v>
      </c>
    </row>
    <row r="2" spans="1:81">
      <c r="A2" s="11">
        <v>1</v>
      </c>
      <c r="B2" s="8" t="s">
        <v>92</v>
      </c>
      <c r="C2">
        <v>23826912</v>
      </c>
      <c r="D2">
        <v>0</v>
      </c>
      <c r="E2">
        <v>0</v>
      </c>
      <c r="F2">
        <v>0</v>
      </c>
      <c r="G2">
        <v>3226116</v>
      </c>
      <c r="H2">
        <v>0</v>
      </c>
      <c r="I2">
        <v>0</v>
      </c>
      <c r="J2">
        <v>13272</v>
      </c>
      <c r="K2">
        <v>9677525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29138</v>
      </c>
      <c r="S2">
        <v>300553587</v>
      </c>
      <c r="T2">
        <v>0</v>
      </c>
      <c r="U2">
        <v>0</v>
      </c>
      <c r="V2">
        <v>3103</v>
      </c>
      <c r="W2">
        <v>0</v>
      </c>
      <c r="X2">
        <v>0</v>
      </c>
      <c r="Y2">
        <v>0</v>
      </c>
      <c r="Z2">
        <v>0</v>
      </c>
      <c r="AA2">
        <v>187802</v>
      </c>
      <c r="AB2">
        <v>0</v>
      </c>
      <c r="AC2">
        <v>0</v>
      </c>
      <c r="AD2">
        <v>288979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68315</v>
      </c>
      <c r="AU2">
        <v>296681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518802</v>
      </c>
      <c r="BI2">
        <v>338690232</v>
      </c>
      <c r="BJ2">
        <v>200503</v>
      </c>
      <c r="BK2">
        <v>26733</v>
      </c>
      <c r="BL2">
        <v>0</v>
      </c>
      <c r="BM2">
        <v>-24818427</v>
      </c>
      <c r="BN2">
        <v>15619</v>
      </c>
      <c r="BO2">
        <v>0</v>
      </c>
      <c r="BP2">
        <v>-24575572</v>
      </c>
      <c r="BQ2">
        <v>314114660</v>
      </c>
      <c r="BR2">
        <v>-5</v>
      </c>
      <c r="BS2">
        <v>0</v>
      </c>
      <c r="BT2">
        <v>0</v>
      </c>
      <c r="BU2">
        <v>0</v>
      </c>
      <c r="BV2">
        <v>-5</v>
      </c>
      <c r="BW2">
        <v>-10756134</v>
      </c>
      <c r="BX2">
        <v>-676903</v>
      </c>
      <c r="BY2">
        <v>-1876161</v>
      </c>
      <c r="BZ2">
        <v>-13309198</v>
      </c>
      <c r="CA2">
        <v>300805457</v>
      </c>
      <c r="CB2">
        <v>314114660</v>
      </c>
      <c r="CC2">
        <f>(BN2+BO2)/CB2*100</f>
        <v>4.9723881082150067E-3</v>
      </c>
    </row>
    <row r="3" spans="1:81">
      <c r="A3" s="11">
        <v>2</v>
      </c>
      <c r="B3" s="8" t="s">
        <v>93</v>
      </c>
      <c r="C3">
        <v>0</v>
      </c>
      <c r="D3">
        <v>5865215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4296645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781679</v>
      </c>
      <c r="S3">
        <v>861722</v>
      </c>
      <c r="T3">
        <v>0</v>
      </c>
      <c r="U3">
        <v>38007</v>
      </c>
      <c r="V3">
        <v>15692851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41504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43796</v>
      </c>
      <c r="AV3">
        <v>0</v>
      </c>
      <c r="AW3">
        <v>0</v>
      </c>
      <c r="AX3">
        <v>0</v>
      </c>
      <c r="AY3">
        <v>0</v>
      </c>
      <c r="AZ3">
        <v>619506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28240925</v>
      </c>
      <c r="BJ3">
        <v>566358</v>
      </c>
      <c r="BK3">
        <v>522790</v>
      </c>
      <c r="BL3">
        <v>0</v>
      </c>
      <c r="BM3">
        <v>27353408</v>
      </c>
      <c r="BN3">
        <v>3543545</v>
      </c>
      <c r="BO3">
        <v>0</v>
      </c>
      <c r="BP3">
        <v>31986101</v>
      </c>
      <c r="BQ3">
        <v>60227026</v>
      </c>
      <c r="BR3">
        <v>-13906462</v>
      </c>
      <c r="BS3">
        <v>-1124378</v>
      </c>
      <c r="BT3">
        <v>-68</v>
      </c>
      <c r="BU3">
        <v>0</v>
      </c>
      <c r="BV3">
        <v>-15030908</v>
      </c>
      <c r="BW3">
        <v>-2251541</v>
      </c>
      <c r="BX3">
        <v>-555919</v>
      </c>
      <c r="BY3">
        <v>-480603</v>
      </c>
      <c r="BZ3">
        <v>-3288063</v>
      </c>
      <c r="CA3">
        <v>41908055</v>
      </c>
      <c r="CB3">
        <v>60227026</v>
      </c>
      <c r="CC3">
        <f t="shared" ref="CC3:CC66" si="0">(BN3+BO3)/CB3*100</f>
        <v>5.8836459897588167</v>
      </c>
    </row>
    <row r="4" spans="1:81">
      <c r="A4" s="11">
        <v>3</v>
      </c>
      <c r="B4" s="8" t="s">
        <v>94</v>
      </c>
      <c r="C4">
        <v>0</v>
      </c>
      <c r="D4">
        <v>0</v>
      </c>
      <c r="E4">
        <v>7591967</v>
      </c>
      <c r="F4">
        <v>3728</v>
      </c>
      <c r="G4">
        <v>0</v>
      </c>
      <c r="H4">
        <v>0</v>
      </c>
      <c r="I4">
        <v>0</v>
      </c>
      <c r="J4">
        <v>0</v>
      </c>
      <c r="K4">
        <v>12372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53738757</v>
      </c>
      <c r="T4">
        <v>0</v>
      </c>
      <c r="U4">
        <v>817601</v>
      </c>
      <c r="V4">
        <v>609291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596998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694544</v>
      </c>
      <c r="BI4">
        <v>64065258</v>
      </c>
      <c r="BJ4">
        <v>522579</v>
      </c>
      <c r="BK4">
        <v>380</v>
      </c>
      <c r="BL4">
        <v>0</v>
      </c>
      <c r="BM4">
        <v>12230209</v>
      </c>
      <c r="BN4">
        <v>0</v>
      </c>
      <c r="BO4">
        <v>0</v>
      </c>
      <c r="BP4">
        <v>12753168</v>
      </c>
      <c r="BQ4">
        <v>76818426</v>
      </c>
      <c r="BR4">
        <v>0</v>
      </c>
      <c r="BS4">
        <v>0</v>
      </c>
      <c r="BT4">
        <v>0</v>
      </c>
      <c r="BU4">
        <v>0</v>
      </c>
      <c r="BV4">
        <v>0</v>
      </c>
      <c r="BW4">
        <v>-2122820</v>
      </c>
      <c r="BX4">
        <v>-174398</v>
      </c>
      <c r="BY4">
        <v>-520955</v>
      </c>
      <c r="BZ4">
        <v>-2818173</v>
      </c>
      <c r="CA4">
        <v>74000253</v>
      </c>
      <c r="CB4">
        <v>76818426</v>
      </c>
      <c r="CC4">
        <f t="shared" si="0"/>
        <v>0</v>
      </c>
    </row>
    <row r="5" spans="1:81">
      <c r="A5" s="11">
        <v>4</v>
      </c>
      <c r="B5" s="8" t="s">
        <v>95</v>
      </c>
      <c r="C5">
        <v>0</v>
      </c>
      <c r="D5">
        <v>0</v>
      </c>
      <c r="E5">
        <v>0</v>
      </c>
      <c r="F5">
        <v>654864</v>
      </c>
      <c r="G5">
        <v>3018992</v>
      </c>
      <c r="H5">
        <v>0</v>
      </c>
      <c r="I5">
        <v>0</v>
      </c>
      <c r="J5">
        <v>0</v>
      </c>
      <c r="K5">
        <v>2388736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12724250</v>
      </c>
      <c r="S5">
        <v>942118</v>
      </c>
      <c r="T5">
        <v>0</v>
      </c>
      <c r="U5">
        <v>12346452</v>
      </c>
      <c r="V5">
        <v>1388919</v>
      </c>
      <c r="W5">
        <v>5136281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480022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7520510</v>
      </c>
      <c r="BA5">
        <v>0</v>
      </c>
      <c r="BB5">
        <v>0</v>
      </c>
      <c r="BC5">
        <v>0</v>
      </c>
      <c r="BD5">
        <v>0</v>
      </c>
      <c r="BE5">
        <v>0</v>
      </c>
      <c r="BF5">
        <v>204294</v>
      </c>
      <c r="BG5">
        <v>0</v>
      </c>
      <c r="BH5">
        <v>609364</v>
      </c>
      <c r="BI5">
        <v>47414802</v>
      </c>
      <c r="BJ5">
        <v>1221069</v>
      </c>
      <c r="BK5">
        <v>109055</v>
      </c>
      <c r="BL5">
        <v>0</v>
      </c>
      <c r="BM5">
        <v>-288257</v>
      </c>
      <c r="BN5">
        <v>2149301</v>
      </c>
      <c r="BO5">
        <v>0</v>
      </c>
      <c r="BP5">
        <v>3191168</v>
      </c>
      <c r="BQ5">
        <v>50605970</v>
      </c>
      <c r="BR5">
        <v>-43130296</v>
      </c>
      <c r="BS5">
        <v>-928667</v>
      </c>
      <c r="BT5">
        <v>-15266</v>
      </c>
      <c r="BU5">
        <v>0</v>
      </c>
      <c r="BV5">
        <v>-44074229</v>
      </c>
      <c r="BW5">
        <v>-1122621</v>
      </c>
      <c r="BX5">
        <v>-949787</v>
      </c>
      <c r="BY5">
        <v>-76695</v>
      </c>
      <c r="BZ5">
        <v>-2149103</v>
      </c>
      <c r="CA5">
        <v>4382638</v>
      </c>
      <c r="CB5">
        <v>50605970</v>
      </c>
      <c r="CC5">
        <f t="shared" si="0"/>
        <v>4.2471293406686996</v>
      </c>
    </row>
    <row r="6" spans="1:81">
      <c r="A6" s="11">
        <v>5</v>
      </c>
      <c r="B6" s="8" t="s">
        <v>96</v>
      </c>
      <c r="C6">
        <v>0</v>
      </c>
      <c r="D6">
        <v>0</v>
      </c>
      <c r="E6">
        <v>0</v>
      </c>
      <c r="F6">
        <v>0</v>
      </c>
      <c r="G6">
        <v>260340</v>
      </c>
      <c r="H6">
        <v>0</v>
      </c>
      <c r="I6">
        <v>0</v>
      </c>
      <c r="J6">
        <v>0</v>
      </c>
      <c r="K6">
        <v>2828602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60639500</v>
      </c>
      <c r="S6">
        <v>0</v>
      </c>
      <c r="T6">
        <v>0</v>
      </c>
      <c r="U6">
        <v>8583443</v>
      </c>
      <c r="V6">
        <v>534552</v>
      </c>
      <c r="W6">
        <v>7016675</v>
      </c>
      <c r="X6">
        <v>0</v>
      </c>
      <c r="Y6">
        <v>0</v>
      </c>
      <c r="Z6">
        <v>0</v>
      </c>
      <c r="AA6">
        <v>0</v>
      </c>
      <c r="AB6">
        <v>0</v>
      </c>
      <c r="AC6">
        <v>1104460</v>
      </c>
      <c r="AD6">
        <v>3988</v>
      </c>
      <c r="AE6">
        <v>1435019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105084676</v>
      </c>
      <c r="BA6">
        <v>36428</v>
      </c>
      <c r="BB6">
        <v>0</v>
      </c>
      <c r="BC6">
        <v>0</v>
      </c>
      <c r="BD6">
        <v>0</v>
      </c>
      <c r="BE6">
        <v>0</v>
      </c>
      <c r="BF6">
        <v>22284008</v>
      </c>
      <c r="BG6">
        <v>2821187</v>
      </c>
      <c r="BH6">
        <v>1095279</v>
      </c>
      <c r="BI6">
        <v>213728157</v>
      </c>
      <c r="BJ6">
        <v>586918761</v>
      </c>
      <c r="BK6">
        <v>244132</v>
      </c>
      <c r="BL6">
        <v>0</v>
      </c>
      <c r="BM6">
        <v>0</v>
      </c>
      <c r="BN6">
        <v>165985221</v>
      </c>
      <c r="BO6">
        <v>2304919</v>
      </c>
      <c r="BP6">
        <v>755453033</v>
      </c>
      <c r="BQ6">
        <v>969181190</v>
      </c>
      <c r="BR6">
        <v>-48485134</v>
      </c>
      <c r="BS6">
        <v>-3764461</v>
      </c>
      <c r="BT6">
        <v>-96691</v>
      </c>
      <c r="BU6">
        <v>-1436930</v>
      </c>
      <c r="BV6">
        <v>-53783216</v>
      </c>
      <c r="BW6">
        <v>-114494467</v>
      </c>
      <c r="BX6">
        <v>-139827431</v>
      </c>
      <c r="BY6">
        <v>-15436605</v>
      </c>
      <c r="BZ6">
        <v>-269758503</v>
      </c>
      <c r="CA6">
        <v>645639471</v>
      </c>
      <c r="CB6">
        <v>969181190</v>
      </c>
      <c r="CC6">
        <f t="shared" si="0"/>
        <v>17.364156644435084</v>
      </c>
    </row>
    <row r="7" spans="1:81">
      <c r="A7" s="11">
        <v>6</v>
      </c>
      <c r="B7" s="8" t="s">
        <v>97</v>
      </c>
      <c r="C7">
        <v>0</v>
      </c>
      <c r="D7">
        <v>0</v>
      </c>
      <c r="E7">
        <v>0</v>
      </c>
      <c r="F7">
        <v>0</v>
      </c>
      <c r="G7">
        <v>0</v>
      </c>
      <c r="H7">
        <v>4490083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68681060</v>
      </c>
      <c r="U7">
        <v>0</v>
      </c>
      <c r="V7">
        <v>0</v>
      </c>
      <c r="W7">
        <v>206684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2232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10572</v>
      </c>
      <c r="BI7">
        <v>73390631</v>
      </c>
      <c r="BJ7">
        <v>7039</v>
      </c>
      <c r="BK7">
        <v>0</v>
      </c>
      <c r="BL7">
        <v>0</v>
      </c>
      <c r="BM7">
        <v>0</v>
      </c>
      <c r="BN7">
        <v>96</v>
      </c>
      <c r="BO7">
        <v>0</v>
      </c>
      <c r="BP7">
        <v>7135</v>
      </c>
      <c r="BQ7">
        <v>73397766</v>
      </c>
      <c r="BR7">
        <v>-2</v>
      </c>
      <c r="BS7">
        <v>0</v>
      </c>
      <c r="BT7">
        <v>0</v>
      </c>
      <c r="BU7">
        <v>0</v>
      </c>
      <c r="BV7">
        <v>-2</v>
      </c>
      <c r="BW7">
        <v>-3338345</v>
      </c>
      <c r="BX7">
        <v>-1849</v>
      </c>
      <c r="BY7">
        <v>-2252169</v>
      </c>
      <c r="BZ7">
        <v>-5592363</v>
      </c>
      <c r="CA7">
        <v>67805401</v>
      </c>
      <c r="CB7">
        <v>73397766</v>
      </c>
      <c r="CC7">
        <f t="shared" si="0"/>
        <v>1.3079417158282447E-4</v>
      </c>
    </row>
    <row r="8" spans="1:81">
      <c r="A8" s="11">
        <v>7</v>
      </c>
      <c r="B8" s="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9953834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96766</v>
      </c>
      <c r="AF8">
        <v>0</v>
      </c>
      <c r="AG8">
        <v>105841640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15939</v>
      </c>
      <c r="AR8">
        <v>0</v>
      </c>
      <c r="AS8">
        <v>0</v>
      </c>
      <c r="AT8">
        <v>35200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143396</v>
      </c>
      <c r="BI8">
        <v>116086775</v>
      </c>
      <c r="BJ8">
        <v>0</v>
      </c>
      <c r="BK8">
        <v>15785</v>
      </c>
      <c r="BL8">
        <v>0</v>
      </c>
      <c r="BM8">
        <v>67637322</v>
      </c>
      <c r="BN8">
        <v>52033737</v>
      </c>
      <c r="BO8">
        <v>0</v>
      </c>
      <c r="BP8">
        <v>119686844</v>
      </c>
      <c r="BQ8">
        <v>235773619</v>
      </c>
      <c r="BR8">
        <v>-140664</v>
      </c>
      <c r="BS8">
        <v>0</v>
      </c>
      <c r="BT8">
        <v>-8803</v>
      </c>
      <c r="BU8">
        <v>0</v>
      </c>
      <c r="BV8">
        <v>-149467</v>
      </c>
      <c r="BW8">
        <v>-13165354</v>
      </c>
      <c r="BX8">
        <v>0</v>
      </c>
      <c r="BY8">
        <v>-1416395</v>
      </c>
      <c r="BZ8">
        <v>-14581749</v>
      </c>
      <c r="CA8">
        <v>221042403</v>
      </c>
      <c r="CB8">
        <v>235773619</v>
      </c>
      <c r="CC8">
        <f t="shared" si="0"/>
        <v>22.069363493970883</v>
      </c>
    </row>
    <row r="9" spans="1:81">
      <c r="A9" s="11">
        <v>8</v>
      </c>
      <c r="B9" s="8" t="s">
        <v>99</v>
      </c>
      <c r="C9">
        <v>16110576</v>
      </c>
      <c r="D9">
        <v>829269</v>
      </c>
      <c r="E9">
        <v>1504441</v>
      </c>
      <c r="F9">
        <v>357001</v>
      </c>
      <c r="G9">
        <v>50313291</v>
      </c>
      <c r="H9">
        <v>3021059</v>
      </c>
      <c r="I9">
        <v>2246407</v>
      </c>
      <c r="J9">
        <v>14706240</v>
      </c>
      <c r="K9">
        <v>848308</v>
      </c>
      <c r="L9">
        <v>334330</v>
      </c>
      <c r="M9">
        <v>440057</v>
      </c>
      <c r="N9">
        <v>0</v>
      </c>
      <c r="O9">
        <v>0</v>
      </c>
      <c r="P9">
        <v>0</v>
      </c>
      <c r="Q9">
        <v>0</v>
      </c>
      <c r="R9">
        <v>85851714</v>
      </c>
      <c r="S9">
        <v>13343855</v>
      </c>
      <c r="T9">
        <v>255049</v>
      </c>
      <c r="U9">
        <v>8856829</v>
      </c>
      <c r="V9">
        <v>255989</v>
      </c>
      <c r="W9">
        <v>28781423</v>
      </c>
      <c r="X9">
        <v>1479335</v>
      </c>
      <c r="Y9">
        <v>89683</v>
      </c>
      <c r="Z9">
        <v>12982</v>
      </c>
      <c r="AA9">
        <v>3128</v>
      </c>
      <c r="AB9">
        <v>0</v>
      </c>
      <c r="AC9">
        <v>0</v>
      </c>
      <c r="AD9">
        <v>163081</v>
      </c>
      <c r="AE9">
        <v>8090848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255123</v>
      </c>
      <c r="AT9">
        <v>160203</v>
      </c>
      <c r="AU9">
        <v>0</v>
      </c>
      <c r="AV9">
        <v>0</v>
      </c>
      <c r="AW9">
        <v>33565</v>
      </c>
      <c r="AX9">
        <v>1353797</v>
      </c>
      <c r="AY9">
        <v>0</v>
      </c>
      <c r="AZ9">
        <v>2046837</v>
      </c>
      <c r="BA9">
        <v>0</v>
      </c>
      <c r="BB9">
        <v>0</v>
      </c>
      <c r="BC9">
        <v>0</v>
      </c>
      <c r="BD9">
        <v>1997</v>
      </c>
      <c r="BE9">
        <v>402488</v>
      </c>
      <c r="BF9">
        <v>170045</v>
      </c>
      <c r="BG9">
        <v>1951087</v>
      </c>
      <c r="BH9">
        <v>476099</v>
      </c>
      <c r="BI9">
        <v>244746136</v>
      </c>
      <c r="BJ9">
        <v>3944695</v>
      </c>
      <c r="BK9">
        <v>2199489</v>
      </c>
      <c r="BL9">
        <v>0</v>
      </c>
      <c r="BM9">
        <v>203793</v>
      </c>
      <c r="BN9">
        <v>27642715</v>
      </c>
      <c r="BO9">
        <v>0</v>
      </c>
      <c r="BP9">
        <v>33990692</v>
      </c>
      <c r="BQ9">
        <v>278736828</v>
      </c>
      <c r="BR9">
        <v>-51624855</v>
      </c>
      <c r="BS9">
        <v>-1700242</v>
      </c>
      <c r="BT9">
        <v>-444317</v>
      </c>
      <c r="BU9">
        <v>-5001</v>
      </c>
      <c r="BV9">
        <v>-53774415</v>
      </c>
      <c r="BW9">
        <v>-14993310</v>
      </c>
      <c r="BX9">
        <v>-8180463</v>
      </c>
      <c r="BY9">
        <v>-3058595</v>
      </c>
      <c r="BZ9">
        <v>-26232368</v>
      </c>
      <c r="CA9">
        <v>198730045</v>
      </c>
      <c r="CB9">
        <v>278736828</v>
      </c>
      <c r="CC9">
        <f t="shared" si="0"/>
        <v>9.9171376808521341</v>
      </c>
    </row>
    <row r="10" spans="1:81">
      <c r="A10" s="11">
        <v>9</v>
      </c>
      <c r="B10" s="8" t="s">
        <v>100</v>
      </c>
      <c r="C10">
        <v>0</v>
      </c>
      <c r="D10">
        <v>0</v>
      </c>
      <c r="E10">
        <v>0</v>
      </c>
      <c r="F10">
        <v>0</v>
      </c>
      <c r="G10">
        <v>649482</v>
      </c>
      <c r="H10">
        <v>0</v>
      </c>
      <c r="I10">
        <v>0</v>
      </c>
      <c r="J10">
        <v>10772</v>
      </c>
      <c r="K10">
        <v>27489559</v>
      </c>
      <c r="L10">
        <v>0</v>
      </c>
      <c r="M10">
        <v>0</v>
      </c>
      <c r="N10">
        <v>0</v>
      </c>
      <c r="O10">
        <v>0</v>
      </c>
      <c r="P10">
        <v>0</v>
      </c>
      <c r="Q10">
        <v>300253373</v>
      </c>
      <c r="R10">
        <v>19003354</v>
      </c>
      <c r="S10">
        <v>0</v>
      </c>
      <c r="T10">
        <v>0</v>
      </c>
      <c r="U10">
        <v>4161915</v>
      </c>
      <c r="V10">
        <v>0</v>
      </c>
      <c r="W10">
        <v>0</v>
      </c>
      <c r="X10">
        <v>0</v>
      </c>
      <c r="Y10">
        <v>6667100</v>
      </c>
      <c r="Z10">
        <v>18311</v>
      </c>
      <c r="AA10">
        <v>0</v>
      </c>
      <c r="AB10">
        <v>0</v>
      </c>
      <c r="AC10">
        <v>0</v>
      </c>
      <c r="AD10">
        <v>284322</v>
      </c>
      <c r="AE10">
        <v>829987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1313067</v>
      </c>
      <c r="AS10">
        <v>0</v>
      </c>
      <c r="AT10">
        <v>25524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7016546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1403526</v>
      </c>
      <c r="BG10">
        <v>36415</v>
      </c>
      <c r="BH10">
        <v>147330</v>
      </c>
      <c r="BI10">
        <v>369310583</v>
      </c>
      <c r="BJ10">
        <v>75750243</v>
      </c>
      <c r="BK10">
        <v>537858</v>
      </c>
      <c r="BL10">
        <v>3049362</v>
      </c>
      <c r="BM10">
        <v>0</v>
      </c>
      <c r="BN10">
        <v>15461511</v>
      </c>
      <c r="BO10">
        <v>0</v>
      </c>
      <c r="BP10">
        <v>94798974</v>
      </c>
      <c r="BQ10">
        <v>464109557</v>
      </c>
      <c r="BR10">
        <v>-5602028</v>
      </c>
      <c r="BS10">
        <v>-3501</v>
      </c>
      <c r="BT10">
        <v>-128344</v>
      </c>
      <c r="BU10">
        <v>0</v>
      </c>
      <c r="BV10">
        <v>-5733873</v>
      </c>
      <c r="BW10">
        <v>-36985660</v>
      </c>
      <c r="BX10">
        <v>-4414998</v>
      </c>
      <c r="BY10">
        <v>-2394924</v>
      </c>
      <c r="BZ10">
        <v>-43795582</v>
      </c>
      <c r="CA10">
        <v>414580102</v>
      </c>
      <c r="CB10">
        <v>464109557</v>
      </c>
      <c r="CC10">
        <f t="shared" si="0"/>
        <v>3.331435598944152</v>
      </c>
    </row>
    <row r="11" spans="1:81">
      <c r="A11" s="11">
        <v>10</v>
      </c>
      <c r="B11" s="8" t="s">
        <v>101</v>
      </c>
      <c r="C11">
        <v>4505</v>
      </c>
      <c r="D11">
        <v>0</v>
      </c>
      <c r="E11">
        <v>0</v>
      </c>
      <c r="F11">
        <v>0</v>
      </c>
      <c r="G11">
        <v>95611</v>
      </c>
      <c r="H11">
        <v>0</v>
      </c>
      <c r="I11">
        <v>0</v>
      </c>
      <c r="J11">
        <v>6674</v>
      </c>
      <c r="K11">
        <v>136453</v>
      </c>
      <c r="L11">
        <v>700494</v>
      </c>
      <c r="M11">
        <v>8062</v>
      </c>
      <c r="N11">
        <v>0</v>
      </c>
      <c r="O11">
        <v>0</v>
      </c>
      <c r="P11">
        <v>132475</v>
      </c>
      <c r="Q11">
        <v>0</v>
      </c>
      <c r="R11">
        <v>43408</v>
      </c>
      <c r="S11">
        <v>0</v>
      </c>
      <c r="T11">
        <v>15218</v>
      </c>
      <c r="U11">
        <v>845776</v>
      </c>
      <c r="V11">
        <v>23963</v>
      </c>
      <c r="W11">
        <v>33440</v>
      </c>
      <c r="X11">
        <v>5016</v>
      </c>
      <c r="Y11">
        <v>0</v>
      </c>
      <c r="Z11">
        <v>0</v>
      </c>
      <c r="AA11">
        <v>6063713</v>
      </c>
      <c r="AB11">
        <v>0</v>
      </c>
      <c r="AC11">
        <v>0</v>
      </c>
      <c r="AD11">
        <v>15938</v>
      </c>
      <c r="AE11">
        <v>1275852</v>
      </c>
      <c r="AF11">
        <v>0</v>
      </c>
      <c r="AG11">
        <v>110393</v>
      </c>
      <c r="AH11">
        <v>0</v>
      </c>
      <c r="AI11">
        <v>0</v>
      </c>
      <c r="AJ11">
        <v>127132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7227</v>
      </c>
      <c r="AR11">
        <v>0</v>
      </c>
      <c r="AS11">
        <v>38887303</v>
      </c>
      <c r="AT11">
        <v>22766</v>
      </c>
      <c r="AU11">
        <v>345213</v>
      </c>
      <c r="AV11">
        <v>0</v>
      </c>
      <c r="AW11">
        <v>1147176</v>
      </c>
      <c r="AX11">
        <v>359353</v>
      </c>
      <c r="AY11">
        <v>0</v>
      </c>
      <c r="AZ11">
        <v>1066145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20510</v>
      </c>
      <c r="BG11">
        <v>0</v>
      </c>
      <c r="BH11">
        <v>336145</v>
      </c>
      <c r="BI11">
        <v>51835961</v>
      </c>
      <c r="BJ11">
        <v>10481989</v>
      </c>
      <c r="BK11">
        <v>0</v>
      </c>
      <c r="BL11">
        <v>0</v>
      </c>
      <c r="BM11">
        <v>-38847602</v>
      </c>
      <c r="BN11">
        <v>9694480</v>
      </c>
      <c r="BO11">
        <v>0</v>
      </c>
      <c r="BP11">
        <v>-18671133</v>
      </c>
      <c r="BQ11">
        <v>33164828</v>
      </c>
      <c r="BR11">
        <v>-2716606</v>
      </c>
      <c r="BS11">
        <v>-12523</v>
      </c>
      <c r="BT11">
        <v>-202643</v>
      </c>
      <c r="BU11">
        <v>0</v>
      </c>
      <c r="BV11">
        <v>-2931772</v>
      </c>
      <c r="BW11">
        <v>-4021847</v>
      </c>
      <c r="BX11">
        <v>-1697316</v>
      </c>
      <c r="BY11">
        <v>-479105</v>
      </c>
      <c r="BZ11">
        <v>-6198268</v>
      </c>
      <c r="CA11">
        <v>24034788</v>
      </c>
      <c r="CB11">
        <v>33164828</v>
      </c>
      <c r="CC11">
        <f t="shared" si="0"/>
        <v>29.231208435635487</v>
      </c>
    </row>
    <row r="12" spans="1:81">
      <c r="A12" s="11">
        <v>11</v>
      </c>
      <c r="B12" s="8" t="s">
        <v>102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4224945</v>
      </c>
      <c r="L12">
        <v>0</v>
      </c>
      <c r="M12">
        <v>11719193</v>
      </c>
      <c r="N12">
        <v>0</v>
      </c>
      <c r="O12">
        <v>0</v>
      </c>
      <c r="P12">
        <v>0</v>
      </c>
      <c r="Q12">
        <v>0</v>
      </c>
      <c r="R12">
        <v>82007018</v>
      </c>
      <c r="S12">
        <v>0</v>
      </c>
      <c r="T12">
        <v>0</v>
      </c>
      <c r="U12">
        <v>3173024</v>
      </c>
      <c r="V12">
        <v>2091654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4175208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53290815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3605291</v>
      </c>
      <c r="BG12">
        <v>157531</v>
      </c>
      <c r="BH12">
        <v>238845</v>
      </c>
      <c r="BI12">
        <v>164683524</v>
      </c>
      <c r="BJ12">
        <v>107290773</v>
      </c>
      <c r="BK12">
        <v>141201</v>
      </c>
      <c r="BL12">
        <v>3154870</v>
      </c>
      <c r="BM12">
        <v>0</v>
      </c>
      <c r="BN12">
        <v>4047601</v>
      </c>
      <c r="BO12">
        <v>0</v>
      </c>
      <c r="BP12">
        <v>114634445</v>
      </c>
      <c r="BQ12">
        <v>279317969</v>
      </c>
      <c r="BR12">
        <v>-11276066</v>
      </c>
      <c r="BS12">
        <v>-108065</v>
      </c>
      <c r="BT12">
        <v>-19107</v>
      </c>
      <c r="BU12">
        <v>0</v>
      </c>
      <c r="BV12">
        <v>-11403238</v>
      </c>
      <c r="BW12">
        <v>-31308028</v>
      </c>
      <c r="BX12">
        <v>-31178009</v>
      </c>
      <c r="BY12">
        <v>-5422074</v>
      </c>
      <c r="BZ12">
        <v>-67908111</v>
      </c>
      <c r="CA12">
        <v>200006620</v>
      </c>
      <c r="CB12">
        <v>279317969</v>
      </c>
      <c r="CC12">
        <f t="shared" si="0"/>
        <v>1.4491015434814365</v>
      </c>
    </row>
    <row r="13" spans="1:81">
      <c r="A13" s="11">
        <v>12</v>
      </c>
      <c r="B13" s="8" t="s">
        <v>103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15879688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3145740</v>
      </c>
      <c r="AD13">
        <v>0</v>
      </c>
      <c r="AE13">
        <v>7013921</v>
      </c>
      <c r="AF13">
        <v>807407767</v>
      </c>
      <c r="AG13">
        <v>0</v>
      </c>
      <c r="AH13">
        <v>0</v>
      </c>
      <c r="AI13">
        <v>7448520</v>
      </c>
      <c r="AJ13">
        <v>0</v>
      </c>
      <c r="AK13">
        <v>0</v>
      </c>
      <c r="AL13">
        <v>5289759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401159406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87013</v>
      </c>
      <c r="BI13">
        <v>1247431814</v>
      </c>
      <c r="BJ13">
        <v>0</v>
      </c>
      <c r="BK13">
        <v>0</v>
      </c>
      <c r="BL13">
        <v>0</v>
      </c>
      <c r="BM13">
        <v>119611124</v>
      </c>
      <c r="BN13">
        <v>15399283</v>
      </c>
      <c r="BO13">
        <v>0</v>
      </c>
      <c r="BP13">
        <v>135010407</v>
      </c>
      <c r="BQ13">
        <v>1382442221</v>
      </c>
      <c r="BR13">
        <v>-935241246</v>
      </c>
      <c r="BS13">
        <v>0</v>
      </c>
      <c r="BT13">
        <v>-79102992</v>
      </c>
      <c r="BU13">
        <v>0</v>
      </c>
      <c r="BV13">
        <v>-1014344238</v>
      </c>
      <c r="BW13">
        <v>-877229</v>
      </c>
      <c r="BX13">
        <v>0</v>
      </c>
      <c r="BY13">
        <v>-819088</v>
      </c>
      <c r="BZ13">
        <v>-1696317</v>
      </c>
      <c r="CA13">
        <v>366401666</v>
      </c>
      <c r="CB13">
        <v>1382442221</v>
      </c>
      <c r="CC13">
        <f t="shared" si="0"/>
        <v>1.1139187422141095</v>
      </c>
    </row>
    <row r="14" spans="1:81">
      <c r="A14" s="11">
        <v>13</v>
      </c>
      <c r="B14" s="8" t="s">
        <v>104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1096937</v>
      </c>
      <c r="AD14">
        <v>0</v>
      </c>
      <c r="AE14">
        <v>26393</v>
      </c>
      <c r="AF14">
        <v>0</v>
      </c>
      <c r="AG14">
        <v>0</v>
      </c>
      <c r="AH14">
        <v>0</v>
      </c>
      <c r="AI14">
        <v>564118</v>
      </c>
      <c r="AJ14">
        <v>915536</v>
      </c>
      <c r="AK14">
        <v>1804607</v>
      </c>
      <c r="AL14">
        <v>22835657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108666</v>
      </c>
      <c r="BI14">
        <v>27351914</v>
      </c>
      <c r="BJ14">
        <v>0</v>
      </c>
      <c r="BK14">
        <v>0</v>
      </c>
      <c r="BL14">
        <v>0</v>
      </c>
      <c r="BM14">
        <v>-10590201</v>
      </c>
      <c r="BN14">
        <v>4337404</v>
      </c>
      <c r="BO14">
        <v>0</v>
      </c>
      <c r="BP14">
        <v>-6252797</v>
      </c>
      <c r="BQ14">
        <v>21099117</v>
      </c>
      <c r="BR14">
        <v>-18036490</v>
      </c>
      <c r="BS14">
        <v>0</v>
      </c>
      <c r="BT14">
        <v>-1032737</v>
      </c>
      <c r="BU14">
        <v>0</v>
      </c>
      <c r="BV14">
        <v>-19069227</v>
      </c>
      <c r="BW14">
        <v>-1297161</v>
      </c>
      <c r="BX14">
        <v>0</v>
      </c>
      <c r="BY14">
        <v>-543782</v>
      </c>
      <c r="BZ14">
        <v>-1840943</v>
      </c>
      <c r="CA14">
        <v>188947</v>
      </c>
      <c r="CB14">
        <v>21099117</v>
      </c>
      <c r="CC14">
        <f t="shared" si="0"/>
        <v>20.557277349568704</v>
      </c>
    </row>
    <row r="15" spans="1:81">
      <c r="A15" s="11">
        <v>14</v>
      </c>
      <c r="B15" s="8" t="s">
        <v>105</v>
      </c>
      <c r="C15">
        <v>0</v>
      </c>
      <c r="D15">
        <v>0</v>
      </c>
      <c r="E15">
        <v>0</v>
      </c>
      <c r="F15">
        <v>0</v>
      </c>
      <c r="G15">
        <v>190889</v>
      </c>
      <c r="H15">
        <v>0</v>
      </c>
      <c r="I15">
        <v>19485</v>
      </c>
      <c r="J15">
        <v>40766</v>
      </c>
      <c r="K15">
        <v>83536</v>
      </c>
      <c r="L15">
        <v>0</v>
      </c>
      <c r="M15">
        <v>39198</v>
      </c>
      <c r="N15">
        <v>180182</v>
      </c>
      <c r="O15">
        <v>0</v>
      </c>
      <c r="P15">
        <v>1069006</v>
      </c>
      <c r="Q15">
        <v>0</v>
      </c>
      <c r="R15">
        <v>710744</v>
      </c>
      <c r="S15">
        <v>0</v>
      </c>
      <c r="T15">
        <v>0</v>
      </c>
      <c r="U15">
        <v>3053874</v>
      </c>
      <c r="V15">
        <v>58554</v>
      </c>
      <c r="W15">
        <v>0</v>
      </c>
      <c r="X15">
        <v>0</v>
      </c>
      <c r="Y15">
        <v>2739</v>
      </c>
      <c r="Z15">
        <v>0</v>
      </c>
      <c r="AA15">
        <v>410497</v>
      </c>
      <c r="AB15">
        <v>0</v>
      </c>
      <c r="AC15">
        <v>7405932</v>
      </c>
      <c r="AD15">
        <v>3704237</v>
      </c>
      <c r="AE15">
        <v>1837541</v>
      </c>
      <c r="AF15">
        <v>0</v>
      </c>
      <c r="AG15">
        <v>143094</v>
      </c>
      <c r="AH15">
        <v>28739</v>
      </c>
      <c r="AI15">
        <v>44615880</v>
      </c>
      <c r="AJ15">
        <v>40748264</v>
      </c>
      <c r="AK15">
        <v>2115112</v>
      </c>
      <c r="AL15">
        <v>725897</v>
      </c>
      <c r="AM15">
        <v>262073</v>
      </c>
      <c r="AN15">
        <v>421669</v>
      </c>
      <c r="AO15">
        <v>746547</v>
      </c>
      <c r="AP15">
        <v>0</v>
      </c>
      <c r="AQ15">
        <v>114389</v>
      </c>
      <c r="AR15">
        <v>49830</v>
      </c>
      <c r="AS15">
        <v>0</v>
      </c>
      <c r="AT15">
        <v>10671636</v>
      </c>
      <c r="AU15">
        <v>29524</v>
      </c>
      <c r="AV15">
        <v>45871</v>
      </c>
      <c r="AW15">
        <v>28088563</v>
      </c>
      <c r="AX15">
        <v>68865876</v>
      </c>
      <c r="AY15">
        <v>0</v>
      </c>
      <c r="AZ15">
        <v>0</v>
      </c>
      <c r="BA15">
        <v>17372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708078</v>
      </c>
      <c r="BI15">
        <v>217205594</v>
      </c>
      <c r="BJ15">
        <v>0</v>
      </c>
      <c r="BK15">
        <v>0</v>
      </c>
      <c r="BL15">
        <v>0</v>
      </c>
      <c r="BM15">
        <v>-66262088</v>
      </c>
      <c r="BN15">
        <v>20257280</v>
      </c>
      <c r="BO15">
        <v>0</v>
      </c>
      <c r="BP15">
        <v>-46004808</v>
      </c>
      <c r="BQ15">
        <v>171200786</v>
      </c>
      <c r="BR15">
        <v>-10363439</v>
      </c>
      <c r="BS15">
        <v>-19442</v>
      </c>
      <c r="BT15">
        <v>-704188</v>
      </c>
      <c r="BU15">
        <v>0</v>
      </c>
      <c r="BV15">
        <v>-11087069</v>
      </c>
      <c r="BW15">
        <v>-9157107</v>
      </c>
      <c r="BX15">
        <v>-1920783</v>
      </c>
      <c r="BY15">
        <v>-20416045</v>
      </c>
      <c r="BZ15">
        <v>-31493935</v>
      </c>
      <c r="CA15">
        <v>128619782</v>
      </c>
      <c r="CB15">
        <v>171200786</v>
      </c>
      <c r="CC15">
        <f t="shared" si="0"/>
        <v>11.832469040183028</v>
      </c>
    </row>
    <row r="16" spans="1:81">
      <c r="A16" s="11">
        <v>15</v>
      </c>
      <c r="B16" s="8" t="s">
        <v>106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121404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77021461</v>
      </c>
      <c r="S16">
        <v>0</v>
      </c>
      <c r="T16">
        <v>0</v>
      </c>
      <c r="U16">
        <v>2124956</v>
      </c>
      <c r="V16">
        <v>575708</v>
      </c>
      <c r="W16">
        <v>0</v>
      </c>
      <c r="X16">
        <v>0</v>
      </c>
      <c r="Y16">
        <v>0</v>
      </c>
      <c r="Z16">
        <v>381545</v>
      </c>
      <c r="AA16">
        <v>0</v>
      </c>
      <c r="AB16">
        <v>0</v>
      </c>
      <c r="AC16">
        <v>0</v>
      </c>
      <c r="AD16">
        <v>0</v>
      </c>
      <c r="AE16">
        <v>13924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9719406</v>
      </c>
      <c r="AS16">
        <v>0</v>
      </c>
      <c r="AT16">
        <v>2147182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133562274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6358363</v>
      </c>
      <c r="BG16">
        <v>2439031</v>
      </c>
      <c r="BH16">
        <v>547622</v>
      </c>
      <c r="BI16">
        <v>235012876</v>
      </c>
      <c r="BJ16">
        <v>324813930</v>
      </c>
      <c r="BK16">
        <v>3870084</v>
      </c>
      <c r="BL16">
        <v>0</v>
      </c>
      <c r="BM16">
        <v>0</v>
      </c>
      <c r="BN16">
        <v>1414190</v>
      </c>
      <c r="BO16">
        <v>0</v>
      </c>
      <c r="BP16">
        <v>330098204</v>
      </c>
      <c r="BQ16">
        <v>565111080</v>
      </c>
      <c r="BR16">
        <v>-482092</v>
      </c>
      <c r="BS16">
        <v>-18484</v>
      </c>
      <c r="BT16">
        <v>-8818</v>
      </c>
      <c r="BU16">
        <v>0</v>
      </c>
      <c r="BV16">
        <v>-509394</v>
      </c>
      <c r="BW16">
        <v>-13084995</v>
      </c>
      <c r="BX16">
        <v>-21152829</v>
      </c>
      <c r="BY16">
        <v>-1655254</v>
      </c>
      <c r="BZ16">
        <v>-35893078</v>
      </c>
      <c r="CA16">
        <v>528708608</v>
      </c>
      <c r="CB16">
        <v>565111080</v>
      </c>
      <c r="CC16">
        <f t="shared" si="0"/>
        <v>0.25024991546794662</v>
      </c>
    </row>
    <row r="17" spans="1:81">
      <c r="A17" s="11">
        <v>16</v>
      </c>
      <c r="B17" s="8" t="s">
        <v>107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32006826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97450615</v>
      </c>
      <c r="S17">
        <v>16017</v>
      </c>
      <c r="T17">
        <v>0</v>
      </c>
      <c r="U17">
        <v>26368470</v>
      </c>
      <c r="V17">
        <v>20565241</v>
      </c>
      <c r="W17">
        <v>295788</v>
      </c>
      <c r="X17">
        <v>0</v>
      </c>
      <c r="Y17">
        <v>0</v>
      </c>
      <c r="Z17">
        <v>0</v>
      </c>
      <c r="AA17">
        <v>0</v>
      </c>
      <c r="AB17">
        <v>0</v>
      </c>
      <c r="AC17">
        <v>578705</v>
      </c>
      <c r="AD17">
        <v>0</v>
      </c>
      <c r="AE17">
        <v>13448358</v>
      </c>
      <c r="AF17">
        <v>92011</v>
      </c>
      <c r="AG17">
        <v>0</v>
      </c>
      <c r="AH17">
        <v>179048</v>
      </c>
      <c r="AI17">
        <v>0</v>
      </c>
      <c r="AJ17">
        <v>0</v>
      </c>
      <c r="AK17">
        <v>0</v>
      </c>
      <c r="AL17">
        <v>38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27541</v>
      </c>
      <c r="AV17">
        <v>0</v>
      </c>
      <c r="AW17">
        <v>0</v>
      </c>
      <c r="AX17">
        <v>0</v>
      </c>
      <c r="AY17">
        <v>0</v>
      </c>
      <c r="AZ17">
        <v>86056422</v>
      </c>
      <c r="BA17">
        <v>24106</v>
      </c>
      <c r="BB17">
        <v>0</v>
      </c>
      <c r="BC17">
        <v>0</v>
      </c>
      <c r="BD17">
        <v>0</v>
      </c>
      <c r="BE17">
        <v>0</v>
      </c>
      <c r="BF17">
        <v>9143487</v>
      </c>
      <c r="BG17">
        <v>1905618</v>
      </c>
      <c r="BH17">
        <v>1720964</v>
      </c>
      <c r="BI17">
        <v>289879255</v>
      </c>
      <c r="BJ17">
        <v>293033886</v>
      </c>
      <c r="BK17">
        <v>25333331</v>
      </c>
      <c r="BL17">
        <v>0</v>
      </c>
      <c r="BM17">
        <v>57844489</v>
      </c>
      <c r="BN17">
        <v>456662650</v>
      </c>
      <c r="BO17">
        <v>2736921</v>
      </c>
      <c r="BP17">
        <v>835611277</v>
      </c>
      <c r="BQ17">
        <v>1125490532</v>
      </c>
      <c r="BR17">
        <v>-254790929</v>
      </c>
      <c r="BS17">
        <v>-6056811</v>
      </c>
      <c r="BT17">
        <v>-10067923</v>
      </c>
      <c r="BU17">
        <v>-925141</v>
      </c>
      <c r="BV17">
        <v>-271840804</v>
      </c>
      <c r="BW17">
        <v>-39816180</v>
      </c>
      <c r="BX17">
        <v>-34044951</v>
      </c>
      <c r="BY17">
        <v>-8879747</v>
      </c>
      <c r="BZ17">
        <v>-82740878</v>
      </c>
      <c r="CA17">
        <v>770908850</v>
      </c>
      <c r="CB17">
        <v>1125490532</v>
      </c>
      <c r="CC17">
        <f t="shared" si="0"/>
        <v>40.817719735380237</v>
      </c>
    </row>
    <row r="18" spans="1:81">
      <c r="A18" s="11">
        <v>17</v>
      </c>
      <c r="B18" s="8" t="s">
        <v>108</v>
      </c>
      <c r="C18">
        <v>0</v>
      </c>
      <c r="D18">
        <v>0</v>
      </c>
      <c r="E18">
        <v>0</v>
      </c>
      <c r="F18">
        <v>0</v>
      </c>
      <c r="G18">
        <v>383515</v>
      </c>
      <c r="H18">
        <v>0</v>
      </c>
      <c r="I18">
        <v>0</v>
      </c>
      <c r="J18">
        <v>40404</v>
      </c>
      <c r="K18">
        <v>27944542</v>
      </c>
      <c r="L18">
        <v>0</v>
      </c>
      <c r="M18">
        <v>528741</v>
      </c>
      <c r="N18">
        <v>0</v>
      </c>
      <c r="O18">
        <v>0</v>
      </c>
      <c r="P18">
        <v>0</v>
      </c>
      <c r="Q18">
        <v>0</v>
      </c>
      <c r="R18">
        <v>7906992</v>
      </c>
      <c r="S18">
        <v>15016052</v>
      </c>
      <c r="T18">
        <v>729640</v>
      </c>
      <c r="U18">
        <v>42939182</v>
      </c>
      <c r="V18">
        <v>5871071</v>
      </c>
      <c r="W18">
        <v>3162941</v>
      </c>
      <c r="X18">
        <v>0</v>
      </c>
      <c r="Y18">
        <v>116920</v>
      </c>
      <c r="Z18">
        <v>9255</v>
      </c>
      <c r="AA18">
        <v>327252</v>
      </c>
      <c r="AB18">
        <v>679</v>
      </c>
      <c r="AC18">
        <v>2552134</v>
      </c>
      <c r="AD18">
        <v>69186</v>
      </c>
      <c r="AE18">
        <v>2942943</v>
      </c>
      <c r="AF18">
        <v>0</v>
      </c>
      <c r="AG18">
        <v>509172</v>
      </c>
      <c r="AH18">
        <v>12382</v>
      </c>
      <c r="AI18">
        <v>0</v>
      </c>
      <c r="AJ18">
        <v>771384</v>
      </c>
      <c r="AK18">
        <v>0</v>
      </c>
      <c r="AL18">
        <v>0</v>
      </c>
      <c r="AM18">
        <v>0</v>
      </c>
      <c r="AN18">
        <v>0</v>
      </c>
      <c r="AO18">
        <v>28614</v>
      </c>
      <c r="AP18">
        <v>0</v>
      </c>
      <c r="AQ18">
        <v>0</v>
      </c>
      <c r="AR18">
        <v>18432</v>
      </c>
      <c r="AS18">
        <v>14797</v>
      </c>
      <c r="AT18">
        <v>9196</v>
      </c>
      <c r="AU18">
        <v>780304</v>
      </c>
      <c r="AV18">
        <v>0</v>
      </c>
      <c r="AW18">
        <v>0</v>
      </c>
      <c r="AX18">
        <v>0</v>
      </c>
      <c r="AY18">
        <v>0</v>
      </c>
      <c r="AZ18">
        <v>42963246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11029758</v>
      </c>
      <c r="BG18">
        <v>3352764</v>
      </c>
      <c r="BH18">
        <v>322694</v>
      </c>
      <c r="BI18">
        <v>170354192</v>
      </c>
      <c r="BJ18">
        <v>333340695</v>
      </c>
      <c r="BK18">
        <v>0</v>
      </c>
      <c r="BL18">
        <v>0</v>
      </c>
      <c r="BM18">
        <v>-79365247</v>
      </c>
      <c r="BN18">
        <v>224554307</v>
      </c>
      <c r="BO18">
        <v>804</v>
      </c>
      <c r="BP18">
        <v>478530559</v>
      </c>
      <c r="BQ18">
        <v>648884751</v>
      </c>
      <c r="BR18">
        <v>-32743287</v>
      </c>
      <c r="BS18">
        <v>-1390266</v>
      </c>
      <c r="BT18">
        <v>-1208972</v>
      </c>
      <c r="BU18">
        <v>0</v>
      </c>
      <c r="BV18">
        <v>-35342525</v>
      </c>
      <c r="BW18">
        <v>-36096656</v>
      </c>
      <c r="BX18">
        <v>-39116970</v>
      </c>
      <c r="BY18">
        <v>-11495429</v>
      </c>
      <c r="BZ18">
        <v>-86709055</v>
      </c>
      <c r="CA18">
        <v>526833171</v>
      </c>
      <c r="CB18">
        <v>648884751</v>
      </c>
      <c r="CC18">
        <f t="shared" si="0"/>
        <v>34.606316553738829</v>
      </c>
    </row>
    <row r="19" spans="1:81">
      <c r="A19" s="11">
        <v>18</v>
      </c>
      <c r="B19" s="8" t="s">
        <v>109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26957938</v>
      </c>
      <c r="S19">
        <v>2972</v>
      </c>
      <c r="T19">
        <v>3015053</v>
      </c>
      <c r="U19">
        <v>17794107</v>
      </c>
      <c r="V19">
        <v>100558</v>
      </c>
      <c r="W19">
        <v>46659247</v>
      </c>
      <c r="X19">
        <v>0</v>
      </c>
      <c r="Y19">
        <v>0</v>
      </c>
      <c r="Z19">
        <v>0</v>
      </c>
      <c r="AA19">
        <v>1572475</v>
      </c>
      <c r="AB19">
        <v>0</v>
      </c>
      <c r="AC19">
        <v>449265</v>
      </c>
      <c r="AD19">
        <v>505301</v>
      </c>
      <c r="AE19">
        <v>1569571</v>
      </c>
      <c r="AF19">
        <v>0</v>
      </c>
      <c r="AG19">
        <v>69370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495360</v>
      </c>
      <c r="AT19">
        <v>0</v>
      </c>
      <c r="AU19">
        <v>1455650</v>
      </c>
      <c r="AV19">
        <v>0</v>
      </c>
      <c r="AW19">
        <v>0</v>
      </c>
      <c r="AX19">
        <v>0</v>
      </c>
      <c r="AY19">
        <v>0</v>
      </c>
      <c r="AZ19">
        <v>7812133</v>
      </c>
      <c r="BA19">
        <v>9794</v>
      </c>
      <c r="BB19">
        <v>0</v>
      </c>
      <c r="BC19">
        <v>0</v>
      </c>
      <c r="BD19">
        <v>0</v>
      </c>
      <c r="BE19">
        <v>0</v>
      </c>
      <c r="BF19">
        <v>866886</v>
      </c>
      <c r="BG19">
        <v>80069</v>
      </c>
      <c r="BH19">
        <v>113328</v>
      </c>
      <c r="BI19">
        <v>109529077</v>
      </c>
      <c r="BJ19">
        <v>30347812</v>
      </c>
      <c r="BK19">
        <v>0</v>
      </c>
      <c r="BL19">
        <v>0</v>
      </c>
      <c r="BM19">
        <v>-23289063</v>
      </c>
      <c r="BN19">
        <v>60233732</v>
      </c>
      <c r="BO19">
        <v>0</v>
      </c>
      <c r="BP19">
        <v>67292481</v>
      </c>
      <c r="BQ19">
        <v>176821558</v>
      </c>
      <c r="BR19">
        <v>-12872471</v>
      </c>
      <c r="BS19">
        <v>-254227</v>
      </c>
      <c r="BT19">
        <v>-1069522</v>
      </c>
      <c r="BU19">
        <v>0</v>
      </c>
      <c r="BV19">
        <v>-14196220</v>
      </c>
      <c r="BW19">
        <v>-5296688</v>
      </c>
      <c r="BX19">
        <v>-4788649</v>
      </c>
      <c r="BY19">
        <v>-2408655</v>
      </c>
      <c r="BZ19">
        <v>-12493992</v>
      </c>
      <c r="CA19">
        <v>150131346</v>
      </c>
      <c r="CB19">
        <v>176821558</v>
      </c>
      <c r="CC19">
        <f t="shared" si="0"/>
        <v>34.064699282878166</v>
      </c>
    </row>
    <row r="20" spans="1:81">
      <c r="A20" s="11">
        <v>19</v>
      </c>
      <c r="B20" s="8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5990688</v>
      </c>
      <c r="N20">
        <v>0</v>
      </c>
      <c r="O20">
        <v>0</v>
      </c>
      <c r="P20">
        <v>0</v>
      </c>
      <c r="Q20">
        <v>1024523</v>
      </c>
      <c r="R20">
        <v>22317098</v>
      </c>
      <c r="S20">
        <v>212846</v>
      </c>
      <c r="T20">
        <v>2153</v>
      </c>
      <c r="U20">
        <v>23474023</v>
      </c>
      <c r="V20">
        <v>65394</v>
      </c>
      <c r="W20">
        <v>17786538</v>
      </c>
      <c r="X20">
        <v>0</v>
      </c>
      <c r="Y20">
        <v>0</v>
      </c>
      <c r="Z20">
        <v>0</v>
      </c>
      <c r="AA20">
        <v>10757</v>
      </c>
      <c r="AB20">
        <v>0</v>
      </c>
      <c r="AC20">
        <v>0</v>
      </c>
      <c r="AD20">
        <v>50811</v>
      </c>
      <c r="AE20">
        <v>4348524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1393036</v>
      </c>
      <c r="AZ20">
        <v>72410884</v>
      </c>
      <c r="BA20">
        <v>469978</v>
      </c>
      <c r="BB20">
        <v>0</v>
      </c>
      <c r="BC20">
        <v>45883</v>
      </c>
      <c r="BD20">
        <v>0</v>
      </c>
      <c r="BE20">
        <v>127257</v>
      </c>
      <c r="BF20">
        <v>4685518</v>
      </c>
      <c r="BG20">
        <v>375009</v>
      </c>
      <c r="BH20">
        <v>900153</v>
      </c>
      <c r="BI20">
        <v>155691073</v>
      </c>
      <c r="BJ20">
        <v>169586150</v>
      </c>
      <c r="BK20">
        <v>11174935</v>
      </c>
      <c r="BL20">
        <v>0</v>
      </c>
      <c r="BM20">
        <v>-44431677</v>
      </c>
      <c r="BN20">
        <v>153275469</v>
      </c>
      <c r="BO20">
        <v>4260765</v>
      </c>
      <c r="BP20">
        <v>293865642</v>
      </c>
      <c r="BQ20">
        <v>449556715</v>
      </c>
      <c r="BR20">
        <v>-80824919</v>
      </c>
      <c r="BS20">
        <v>-2564895</v>
      </c>
      <c r="BT20">
        <v>-5876886</v>
      </c>
      <c r="BU20">
        <v>-145054</v>
      </c>
      <c r="BV20">
        <v>-89411754</v>
      </c>
      <c r="BW20">
        <v>-25110643</v>
      </c>
      <c r="BX20">
        <v>-24109300</v>
      </c>
      <c r="BY20">
        <v>-6751606</v>
      </c>
      <c r="BZ20">
        <v>-55971549</v>
      </c>
      <c r="CA20">
        <v>304173412</v>
      </c>
      <c r="CB20">
        <v>449556715</v>
      </c>
      <c r="CC20">
        <f t="shared" si="0"/>
        <v>35.042571658617092</v>
      </c>
    </row>
    <row r="21" spans="1:81">
      <c r="A21" s="11">
        <v>20</v>
      </c>
      <c r="B21" s="8" t="s">
        <v>111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72942348</v>
      </c>
      <c r="L21">
        <v>0</v>
      </c>
      <c r="M21">
        <v>26279943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2319341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197827</v>
      </c>
      <c r="BG21">
        <v>1246895</v>
      </c>
      <c r="BH21">
        <v>87650</v>
      </c>
      <c r="BI21">
        <v>103074004</v>
      </c>
      <c r="BJ21">
        <v>4801466</v>
      </c>
      <c r="BK21">
        <v>44740</v>
      </c>
      <c r="BL21">
        <v>0</v>
      </c>
      <c r="BM21">
        <v>-54850635</v>
      </c>
      <c r="BN21">
        <v>61682867</v>
      </c>
      <c r="BO21">
        <v>0</v>
      </c>
      <c r="BP21">
        <v>11678438</v>
      </c>
      <c r="BQ21">
        <v>114752442</v>
      </c>
      <c r="BR21">
        <v>-25943065</v>
      </c>
      <c r="BS21">
        <v>-408342</v>
      </c>
      <c r="BT21">
        <v>-23066</v>
      </c>
      <c r="BU21">
        <v>0</v>
      </c>
      <c r="BV21">
        <v>-26374473</v>
      </c>
      <c r="BW21">
        <v>-8690674</v>
      </c>
      <c r="BX21">
        <v>-7305285</v>
      </c>
      <c r="BY21">
        <v>-1073127</v>
      </c>
      <c r="BZ21">
        <v>-17069086</v>
      </c>
      <c r="CA21">
        <v>71308883</v>
      </c>
      <c r="CB21">
        <v>114752442</v>
      </c>
      <c r="CC21">
        <f t="shared" si="0"/>
        <v>53.752988542065182</v>
      </c>
    </row>
    <row r="22" spans="1:81">
      <c r="A22" s="11">
        <v>21</v>
      </c>
      <c r="B22" s="8" t="s">
        <v>112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6044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101721</v>
      </c>
      <c r="S22">
        <v>0</v>
      </c>
      <c r="T22">
        <v>0</v>
      </c>
      <c r="U22">
        <v>0</v>
      </c>
      <c r="V22">
        <v>0</v>
      </c>
      <c r="W22">
        <v>43970950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73969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33310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1130237</v>
      </c>
      <c r="AZ22">
        <v>156133462</v>
      </c>
      <c r="BA22">
        <v>560196</v>
      </c>
      <c r="BB22">
        <v>0</v>
      </c>
      <c r="BC22">
        <v>641370</v>
      </c>
      <c r="BD22">
        <v>46724</v>
      </c>
      <c r="BE22">
        <v>1624947</v>
      </c>
      <c r="BF22">
        <v>127734</v>
      </c>
      <c r="BG22">
        <v>3166919</v>
      </c>
      <c r="BH22">
        <v>2522613</v>
      </c>
      <c r="BI22">
        <v>210140196</v>
      </c>
      <c r="BJ22">
        <v>290107001</v>
      </c>
      <c r="BK22">
        <v>27385</v>
      </c>
      <c r="BL22">
        <v>0</v>
      </c>
      <c r="BM22">
        <v>113113549</v>
      </c>
      <c r="BN22">
        <v>55307074</v>
      </c>
      <c r="BO22">
        <v>2898841</v>
      </c>
      <c r="BP22">
        <v>461453850</v>
      </c>
      <c r="BQ22">
        <v>671594046</v>
      </c>
      <c r="BR22">
        <v>-12962302</v>
      </c>
      <c r="BS22">
        <v>-1196297</v>
      </c>
      <c r="BT22">
        <v>-6040042</v>
      </c>
      <c r="BU22">
        <v>-3580706</v>
      </c>
      <c r="BV22">
        <v>-23779347</v>
      </c>
      <c r="BW22">
        <v>-41800787</v>
      </c>
      <c r="BX22">
        <v>-38776919</v>
      </c>
      <c r="BY22">
        <v>-9290670</v>
      </c>
      <c r="BZ22">
        <v>-89868376</v>
      </c>
      <c r="CA22">
        <v>557946323</v>
      </c>
      <c r="CB22">
        <v>671594046</v>
      </c>
      <c r="CC22">
        <f t="shared" si="0"/>
        <v>8.6668301106409746</v>
      </c>
    </row>
    <row r="23" spans="1:81">
      <c r="A23" s="11">
        <v>22</v>
      </c>
      <c r="B23" s="8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6234431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2036182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471772</v>
      </c>
      <c r="BI23">
        <v>8742385</v>
      </c>
      <c r="BJ23">
        <v>68050398</v>
      </c>
      <c r="BK23">
        <v>0</v>
      </c>
      <c r="BL23">
        <v>0</v>
      </c>
      <c r="BM23">
        <v>-5612033</v>
      </c>
      <c r="BN23">
        <v>6931620</v>
      </c>
      <c r="BO23">
        <v>776644</v>
      </c>
      <c r="BP23">
        <v>70146629</v>
      </c>
      <c r="BQ23">
        <v>78889014</v>
      </c>
      <c r="BR23">
        <v>-9290534</v>
      </c>
      <c r="BS23">
        <v>-1188020</v>
      </c>
      <c r="BT23">
        <v>-7347184</v>
      </c>
      <c r="BU23">
        <v>-121947</v>
      </c>
      <c r="BV23">
        <v>-17947685</v>
      </c>
      <c r="BW23">
        <v>-4814026</v>
      </c>
      <c r="BX23">
        <v>-5310511</v>
      </c>
      <c r="BY23">
        <v>-700887</v>
      </c>
      <c r="BZ23">
        <v>-10825424</v>
      </c>
      <c r="CA23">
        <v>50115905</v>
      </c>
      <c r="CB23">
        <v>78889014</v>
      </c>
      <c r="CC23">
        <f t="shared" si="0"/>
        <v>9.7710233772220807</v>
      </c>
    </row>
    <row r="24" spans="1:81">
      <c r="A24" s="11">
        <v>23</v>
      </c>
      <c r="B24" s="8" t="s">
        <v>114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104</v>
      </c>
      <c r="L24">
        <v>0</v>
      </c>
      <c r="M24">
        <v>1177</v>
      </c>
      <c r="N24">
        <v>0</v>
      </c>
      <c r="O24">
        <v>0</v>
      </c>
      <c r="P24">
        <v>0</v>
      </c>
      <c r="Q24">
        <v>0</v>
      </c>
      <c r="R24">
        <v>0</v>
      </c>
      <c r="S24">
        <v>1462</v>
      </c>
      <c r="T24">
        <v>3748</v>
      </c>
      <c r="U24">
        <v>0</v>
      </c>
      <c r="V24">
        <v>0</v>
      </c>
      <c r="W24">
        <v>0</v>
      </c>
      <c r="X24">
        <v>0</v>
      </c>
      <c r="Y24">
        <v>53298110</v>
      </c>
      <c r="Z24">
        <v>121519644</v>
      </c>
      <c r="AA24">
        <v>28378</v>
      </c>
      <c r="AB24">
        <v>8508</v>
      </c>
      <c r="AC24">
        <v>2282326</v>
      </c>
      <c r="AD24">
        <v>1602</v>
      </c>
      <c r="AE24">
        <v>306008</v>
      </c>
      <c r="AF24">
        <v>0</v>
      </c>
      <c r="AG24">
        <v>12935418</v>
      </c>
      <c r="AH24">
        <v>557860</v>
      </c>
      <c r="AI24">
        <v>0</v>
      </c>
      <c r="AJ24">
        <v>259612</v>
      </c>
      <c r="AK24">
        <v>0</v>
      </c>
      <c r="AL24">
        <v>0</v>
      </c>
      <c r="AM24">
        <v>54043</v>
      </c>
      <c r="AN24">
        <v>0</v>
      </c>
      <c r="AO24">
        <v>0</v>
      </c>
      <c r="AP24">
        <v>592576</v>
      </c>
      <c r="AQ24">
        <v>49849</v>
      </c>
      <c r="AR24">
        <v>4014291</v>
      </c>
      <c r="AS24">
        <v>121572</v>
      </c>
      <c r="AT24">
        <v>8458963</v>
      </c>
      <c r="AU24">
        <v>0</v>
      </c>
      <c r="AV24">
        <v>0</v>
      </c>
      <c r="AW24">
        <v>27543</v>
      </c>
      <c r="AX24">
        <v>0</v>
      </c>
      <c r="AY24">
        <v>655087</v>
      </c>
      <c r="AZ24">
        <v>91077</v>
      </c>
      <c r="BA24">
        <v>0</v>
      </c>
      <c r="BB24">
        <v>0</v>
      </c>
      <c r="BC24">
        <v>0</v>
      </c>
      <c r="BD24">
        <v>0</v>
      </c>
      <c r="BE24">
        <v>506087</v>
      </c>
      <c r="BF24">
        <v>66897</v>
      </c>
      <c r="BG24">
        <v>334827</v>
      </c>
      <c r="BH24">
        <v>249716</v>
      </c>
      <c r="BI24">
        <v>206426485</v>
      </c>
      <c r="BJ24">
        <v>2128333</v>
      </c>
      <c r="BK24">
        <v>74188</v>
      </c>
      <c r="BL24">
        <v>0</v>
      </c>
      <c r="BM24">
        <v>9184715</v>
      </c>
      <c r="BN24">
        <v>92962136</v>
      </c>
      <c r="BO24">
        <v>21234</v>
      </c>
      <c r="BP24">
        <v>104370606</v>
      </c>
      <c r="BQ24">
        <v>310797091</v>
      </c>
      <c r="BR24">
        <v>-75153585</v>
      </c>
      <c r="BS24">
        <v>-730071</v>
      </c>
      <c r="BT24">
        <v>-3174697</v>
      </c>
      <c r="BU24">
        <v>-46</v>
      </c>
      <c r="BV24">
        <v>-79058399</v>
      </c>
      <c r="BW24">
        <v>-27553924</v>
      </c>
      <c r="BX24">
        <v>-13813345</v>
      </c>
      <c r="BY24">
        <v>-2551180</v>
      </c>
      <c r="BZ24">
        <v>-43918449</v>
      </c>
      <c r="CA24">
        <v>187820243</v>
      </c>
      <c r="CB24">
        <v>310797091</v>
      </c>
      <c r="CC24">
        <f t="shared" si="0"/>
        <v>29.917709236216755</v>
      </c>
    </row>
    <row r="25" spans="1:81">
      <c r="A25" s="11">
        <v>24</v>
      </c>
      <c r="B25" s="8" t="s">
        <v>115</v>
      </c>
      <c r="C25">
        <v>30174</v>
      </c>
      <c r="D25">
        <v>208864</v>
      </c>
      <c r="E25">
        <v>951</v>
      </c>
      <c r="F25">
        <v>12637</v>
      </c>
      <c r="G25">
        <v>230080</v>
      </c>
      <c r="H25">
        <v>1447</v>
      </c>
      <c r="I25">
        <v>0</v>
      </c>
      <c r="J25">
        <v>165333</v>
      </c>
      <c r="K25">
        <v>6707</v>
      </c>
      <c r="L25">
        <v>93380</v>
      </c>
      <c r="M25">
        <v>943037</v>
      </c>
      <c r="N25">
        <v>0</v>
      </c>
      <c r="O25">
        <v>0</v>
      </c>
      <c r="P25">
        <v>82310</v>
      </c>
      <c r="Q25">
        <v>47950</v>
      </c>
      <c r="R25">
        <v>65</v>
      </c>
      <c r="S25">
        <v>1161542</v>
      </c>
      <c r="T25">
        <v>17921</v>
      </c>
      <c r="U25">
        <v>2527</v>
      </c>
      <c r="V25">
        <v>0</v>
      </c>
      <c r="W25">
        <v>0</v>
      </c>
      <c r="X25">
        <v>0</v>
      </c>
      <c r="Y25">
        <v>27954</v>
      </c>
      <c r="Z25">
        <v>10864185</v>
      </c>
      <c r="AA25">
        <v>18632</v>
      </c>
      <c r="AB25">
        <v>0</v>
      </c>
      <c r="AC25">
        <v>75193</v>
      </c>
      <c r="AD25">
        <v>0</v>
      </c>
      <c r="AE25">
        <v>379301</v>
      </c>
      <c r="AF25">
        <v>0</v>
      </c>
      <c r="AG25">
        <v>1475822</v>
      </c>
      <c r="AH25">
        <v>9884</v>
      </c>
      <c r="AI25">
        <v>5020</v>
      </c>
      <c r="AJ25">
        <v>28328</v>
      </c>
      <c r="AK25">
        <v>59060</v>
      </c>
      <c r="AL25">
        <v>0</v>
      </c>
      <c r="AM25">
        <v>119831</v>
      </c>
      <c r="AN25">
        <v>133933</v>
      </c>
      <c r="AO25">
        <v>3766743</v>
      </c>
      <c r="AP25">
        <v>2401793</v>
      </c>
      <c r="AQ25">
        <v>1593070</v>
      </c>
      <c r="AR25">
        <v>1067732</v>
      </c>
      <c r="AS25">
        <v>16963</v>
      </c>
      <c r="AT25">
        <v>4318771</v>
      </c>
      <c r="AU25">
        <v>167278</v>
      </c>
      <c r="AV25">
        <v>18049</v>
      </c>
      <c r="AW25">
        <v>384967</v>
      </c>
      <c r="AX25">
        <v>0</v>
      </c>
      <c r="AY25">
        <v>6684650</v>
      </c>
      <c r="AZ25">
        <v>3092631</v>
      </c>
      <c r="BA25">
        <v>876772</v>
      </c>
      <c r="BB25">
        <v>21329</v>
      </c>
      <c r="BC25">
        <v>3845884</v>
      </c>
      <c r="BD25">
        <v>17239</v>
      </c>
      <c r="BE25">
        <v>2134412</v>
      </c>
      <c r="BF25">
        <v>2976446</v>
      </c>
      <c r="BG25">
        <v>3142409</v>
      </c>
      <c r="BH25">
        <v>1634062</v>
      </c>
      <c r="BI25">
        <v>54363268</v>
      </c>
      <c r="BJ25">
        <v>241844358</v>
      </c>
      <c r="BK25">
        <v>4842898</v>
      </c>
      <c r="BL25">
        <v>8762791</v>
      </c>
      <c r="BM25">
        <v>4852347</v>
      </c>
      <c r="BN25">
        <v>127350338</v>
      </c>
      <c r="BO25">
        <v>8648857</v>
      </c>
      <c r="BP25">
        <v>396301589</v>
      </c>
      <c r="BQ25">
        <v>450664857</v>
      </c>
      <c r="BR25">
        <v>-79834315</v>
      </c>
      <c r="BS25">
        <v>-3163301</v>
      </c>
      <c r="BT25">
        <v>-3484287</v>
      </c>
      <c r="BU25">
        <v>-9759218</v>
      </c>
      <c r="BV25">
        <v>-96241121</v>
      </c>
      <c r="BW25">
        <v>-26922463</v>
      </c>
      <c r="BX25">
        <v>-33332153</v>
      </c>
      <c r="BY25">
        <v>-2338715</v>
      </c>
      <c r="BZ25">
        <v>-62593331</v>
      </c>
      <c r="CA25">
        <v>291830405</v>
      </c>
      <c r="CB25">
        <v>450664857</v>
      </c>
      <c r="CC25">
        <f t="shared" si="0"/>
        <v>30.177457347201138</v>
      </c>
    </row>
    <row r="26" spans="1:81">
      <c r="A26" s="11">
        <v>25</v>
      </c>
      <c r="B26" s="8" t="s">
        <v>116</v>
      </c>
      <c r="C26">
        <v>0</v>
      </c>
      <c r="D26">
        <v>554</v>
      </c>
      <c r="E26">
        <v>0</v>
      </c>
      <c r="F26">
        <v>0</v>
      </c>
      <c r="G26">
        <v>452221</v>
      </c>
      <c r="H26">
        <v>558</v>
      </c>
      <c r="I26">
        <v>1951</v>
      </c>
      <c r="J26">
        <v>38753</v>
      </c>
      <c r="K26">
        <v>57184</v>
      </c>
      <c r="L26">
        <v>17849</v>
      </c>
      <c r="M26">
        <v>150154</v>
      </c>
      <c r="N26">
        <v>27647</v>
      </c>
      <c r="O26">
        <v>42</v>
      </c>
      <c r="P26">
        <v>24796</v>
      </c>
      <c r="Q26">
        <v>50550</v>
      </c>
      <c r="R26">
        <v>3710481</v>
      </c>
      <c r="S26">
        <v>211958</v>
      </c>
      <c r="T26">
        <v>13115</v>
      </c>
      <c r="U26">
        <v>1735269</v>
      </c>
      <c r="V26">
        <v>43244</v>
      </c>
      <c r="W26">
        <v>2405839</v>
      </c>
      <c r="X26">
        <v>991499</v>
      </c>
      <c r="Y26">
        <v>471020</v>
      </c>
      <c r="Z26">
        <v>1206367</v>
      </c>
      <c r="AA26">
        <v>88412212</v>
      </c>
      <c r="AB26">
        <v>28566506</v>
      </c>
      <c r="AC26">
        <v>1705075</v>
      </c>
      <c r="AD26">
        <v>202717</v>
      </c>
      <c r="AE26">
        <v>5693653</v>
      </c>
      <c r="AF26">
        <v>304931</v>
      </c>
      <c r="AG26">
        <v>354079</v>
      </c>
      <c r="AH26">
        <v>1501122</v>
      </c>
      <c r="AI26">
        <v>1717460</v>
      </c>
      <c r="AJ26">
        <v>982323</v>
      </c>
      <c r="AK26">
        <v>110694</v>
      </c>
      <c r="AL26">
        <v>139712</v>
      </c>
      <c r="AM26">
        <v>1010785</v>
      </c>
      <c r="AN26">
        <v>279796</v>
      </c>
      <c r="AO26">
        <v>9645724</v>
      </c>
      <c r="AP26">
        <v>7705666</v>
      </c>
      <c r="AQ26">
        <v>34481</v>
      </c>
      <c r="AR26">
        <v>400919</v>
      </c>
      <c r="AS26">
        <v>521598</v>
      </c>
      <c r="AT26">
        <v>5301099</v>
      </c>
      <c r="AU26">
        <v>766212</v>
      </c>
      <c r="AV26">
        <v>21712</v>
      </c>
      <c r="AW26">
        <v>564438</v>
      </c>
      <c r="AX26">
        <v>211685</v>
      </c>
      <c r="AY26">
        <v>13316692</v>
      </c>
      <c r="AZ26">
        <v>2963225</v>
      </c>
      <c r="BA26">
        <v>3130690</v>
      </c>
      <c r="BB26">
        <v>5088301</v>
      </c>
      <c r="BC26">
        <v>22524152</v>
      </c>
      <c r="BD26">
        <v>530065</v>
      </c>
      <c r="BE26">
        <v>12935606</v>
      </c>
      <c r="BF26">
        <v>38528711</v>
      </c>
      <c r="BG26">
        <v>3435178</v>
      </c>
      <c r="BH26">
        <v>1945549</v>
      </c>
      <c r="BI26">
        <v>272163819</v>
      </c>
      <c r="BJ26">
        <v>20243584</v>
      </c>
      <c r="BK26">
        <v>20176774</v>
      </c>
      <c r="BL26">
        <v>0</v>
      </c>
      <c r="BM26">
        <v>-24589740</v>
      </c>
      <c r="BN26">
        <v>75003347</v>
      </c>
      <c r="BO26">
        <v>5624</v>
      </c>
      <c r="BP26">
        <v>90839589</v>
      </c>
      <c r="BQ26">
        <v>363003408</v>
      </c>
      <c r="BR26">
        <v>-102164013</v>
      </c>
      <c r="BS26">
        <v>-663596</v>
      </c>
      <c r="BT26">
        <v>-6359252</v>
      </c>
      <c r="BU26">
        <v>0</v>
      </c>
      <c r="BV26">
        <v>-109186861</v>
      </c>
      <c r="BW26">
        <v>-30012818</v>
      </c>
      <c r="BX26">
        <v>-17781873</v>
      </c>
      <c r="BY26">
        <v>-5439285</v>
      </c>
      <c r="BZ26">
        <v>-53233976</v>
      </c>
      <c r="CA26">
        <v>200582571</v>
      </c>
      <c r="CB26">
        <v>363003408</v>
      </c>
      <c r="CC26">
        <f t="shared" si="0"/>
        <v>20.663434377453559</v>
      </c>
    </row>
    <row r="27" spans="1:81">
      <c r="A27" s="11">
        <v>26</v>
      </c>
      <c r="B27" s="8" t="s">
        <v>117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41571</v>
      </c>
      <c r="K27">
        <v>612</v>
      </c>
      <c r="L27">
        <v>0</v>
      </c>
      <c r="M27">
        <v>0</v>
      </c>
      <c r="N27">
        <v>69922</v>
      </c>
      <c r="O27">
        <v>0</v>
      </c>
      <c r="P27">
        <v>3282</v>
      </c>
      <c r="Q27">
        <v>0</v>
      </c>
      <c r="R27">
        <v>11925</v>
      </c>
      <c r="S27">
        <v>58</v>
      </c>
      <c r="T27">
        <v>1993</v>
      </c>
      <c r="U27">
        <v>2679</v>
      </c>
      <c r="V27">
        <v>869</v>
      </c>
      <c r="W27">
        <v>8654</v>
      </c>
      <c r="X27">
        <v>770</v>
      </c>
      <c r="Y27">
        <v>4885</v>
      </c>
      <c r="Z27">
        <v>6598</v>
      </c>
      <c r="AA27">
        <v>5709</v>
      </c>
      <c r="AB27">
        <v>88813</v>
      </c>
      <c r="AC27">
        <v>31186</v>
      </c>
      <c r="AD27">
        <v>0</v>
      </c>
      <c r="AE27">
        <v>53263</v>
      </c>
      <c r="AF27">
        <v>0</v>
      </c>
      <c r="AG27">
        <v>4532</v>
      </c>
      <c r="AH27">
        <v>164866</v>
      </c>
      <c r="AI27">
        <v>3618</v>
      </c>
      <c r="AJ27">
        <v>8982</v>
      </c>
      <c r="AK27">
        <v>69371</v>
      </c>
      <c r="AL27">
        <v>0</v>
      </c>
      <c r="AM27">
        <v>0</v>
      </c>
      <c r="AN27">
        <v>0</v>
      </c>
      <c r="AO27">
        <v>274704</v>
      </c>
      <c r="AP27">
        <v>363919</v>
      </c>
      <c r="AQ27">
        <v>5436</v>
      </c>
      <c r="AR27">
        <v>4142</v>
      </c>
      <c r="AS27">
        <v>32623</v>
      </c>
      <c r="AT27">
        <v>119707</v>
      </c>
      <c r="AU27">
        <v>198591</v>
      </c>
      <c r="AV27">
        <v>2135</v>
      </c>
      <c r="AW27">
        <v>22317</v>
      </c>
      <c r="AX27">
        <v>78877</v>
      </c>
      <c r="AY27">
        <v>8912283</v>
      </c>
      <c r="AZ27">
        <v>243474</v>
      </c>
      <c r="BA27">
        <v>559167</v>
      </c>
      <c r="BB27">
        <v>1652900</v>
      </c>
      <c r="BC27">
        <v>2257386</v>
      </c>
      <c r="BD27">
        <v>64720</v>
      </c>
      <c r="BE27">
        <v>46457768</v>
      </c>
      <c r="BF27">
        <v>17121207</v>
      </c>
      <c r="BG27">
        <v>1017932</v>
      </c>
      <c r="BH27">
        <v>143832</v>
      </c>
      <c r="BI27">
        <v>80117278</v>
      </c>
      <c r="BJ27">
        <v>48180928</v>
      </c>
      <c r="BK27">
        <v>8940983</v>
      </c>
      <c r="BL27">
        <v>0</v>
      </c>
      <c r="BM27">
        <v>12135680</v>
      </c>
      <c r="BN27">
        <v>1814911</v>
      </c>
      <c r="BO27">
        <v>16230929</v>
      </c>
      <c r="BP27">
        <v>87303431</v>
      </c>
      <c r="BQ27">
        <v>167420709</v>
      </c>
      <c r="BR27">
        <v>-8490858</v>
      </c>
      <c r="BS27">
        <v>-125726</v>
      </c>
      <c r="BT27">
        <v>-242828</v>
      </c>
      <c r="BU27">
        <v>-54287948</v>
      </c>
      <c r="BV27">
        <v>-63147360</v>
      </c>
      <c r="BW27">
        <v>-9395166</v>
      </c>
      <c r="BX27">
        <v>-15207647</v>
      </c>
      <c r="BY27">
        <v>-1355216</v>
      </c>
      <c r="BZ27">
        <v>-25958029</v>
      </c>
      <c r="CA27">
        <v>78315320</v>
      </c>
      <c r="CB27">
        <v>167420709</v>
      </c>
      <c r="CC27">
        <f t="shared" si="0"/>
        <v>10.778738250355874</v>
      </c>
    </row>
    <row r="28" spans="1:81">
      <c r="A28" s="11">
        <v>27</v>
      </c>
      <c r="B28" s="8" t="s">
        <v>118</v>
      </c>
      <c r="C28">
        <v>0</v>
      </c>
      <c r="D28">
        <v>0</v>
      </c>
      <c r="E28">
        <v>0</v>
      </c>
      <c r="F28">
        <v>0</v>
      </c>
      <c r="G28">
        <v>1092982</v>
      </c>
      <c r="H28">
        <v>0</v>
      </c>
      <c r="I28">
        <v>1058974</v>
      </c>
      <c r="J28">
        <v>6999</v>
      </c>
      <c r="K28">
        <v>86250</v>
      </c>
      <c r="L28">
        <v>0</v>
      </c>
      <c r="M28">
        <v>1951495</v>
      </c>
      <c r="N28">
        <v>131812</v>
      </c>
      <c r="O28">
        <v>1502</v>
      </c>
      <c r="P28">
        <v>2645055</v>
      </c>
      <c r="Q28">
        <v>125554</v>
      </c>
      <c r="R28">
        <v>5935966</v>
      </c>
      <c r="S28">
        <v>573746</v>
      </c>
      <c r="T28">
        <v>1278158</v>
      </c>
      <c r="U28">
        <v>5898117</v>
      </c>
      <c r="V28">
        <v>646046</v>
      </c>
      <c r="W28">
        <v>18751645</v>
      </c>
      <c r="X28">
        <v>47098</v>
      </c>
      <c r="Y28">
        <v>33647196</v>
      </c>
      <c r="Z28">
        <v>1680749</v>
      </c>
      <c r="AA28">
        <v>10463460</v>
      </c>
      <c r="AB28">
        <v>128175</v>
      </c>
      <c r="AC28">
        <v>322888358</v>
      </c>
      <c r="AD28">
        <v>23472382</v>
      </c>
      <c r="AE28">
        <v>110084945</v>
      </c>
      <c r="AF28">
        <v>39605154</v>
      </c>
      <c r="AG28">
        <v>51884519</v>
      </c>
      <c r="AH28">
        <v>241793781</v>
      </c>
      <c r="AI28">
        <v>2275383</v>
      </c>
      <c r="AJ28">
        <v>21561735</v>
      </c>
      <c r="AK28">
        <v>5399137</v>
      </c>
      <c r="AL28">
        <v>1799513</v>
      </c>
      <c r="AM28">
        <v>9385422</v>
      </c>
      <c r="AN28">
        <v>4123987</v>
      </c>
      <c r="AO28">
        <v>74806861</v>
      </c>
      <c r="AP28">
        <v>14857271</v>
      </c>
      <c r="AQ28">
        <v>2388325</v>
      </c>
      <c r="AR28">
        <v>4349661</v>
      </c>
      <c r="AS28">
        <v>1527351</v>
      </c>
      <c r="AT28">
        <v>25191384</v>
      </c>
      <c r="AU28">
        <v>2817351</v>
      </c>
      <c r="AV28">
        <v>3536388</v>
      </c>
      <c r="AW28">
        <v>216022</v>
      </c>
      <c r="AX28">
        <v>1008551</v>
      </c>
      <c r="AY28">
        <v>0</v>
      </c>
      <c r="AZ28">
        <v>0</v>
      </c>
      <c r="BA28">
        <v>79812</v>
      </c>
      <c r="BB28">
        <v>0</v>
      </c>
      <c r="BC28">
        <v>0</v>
      </c>
      <c r="BD28">
        <v>0</v>
      </c>
      <c r="BE28">
        <v>1054978</v>
      </c>
      <c r="BF28">
        <v>27342922</v>
      </c>
      <c r="BG28">
        <v>1316135</v>
      </c>
      <c r="BH28">
        <v>447311</v>
      </c>
      <c r="BI28">
        <v>1081365618</v>
      </c>
      <c r="BJ28">
        <v>0</v>
      </c>
      <c r="BK28">
        <v>274519</v>
      </c>
      <c r="BL28">
        <v>0</v>
      </c>
      <c r="BM28">
        <v>-125251916</v>
      </c>
      <c r="BN28">
        <v>720480163</v>
      </c>
      <c r="BO28">
        <v>0</v>
      </c>
      <c r="BP28">
        <v>595502766</v>
      </c>
      <c r="BQ28">
        <v>1676868384</v>
      </c>
      <c r="BR28">
        <v>-593269412</v>
      </c>
      <c r="BS28">
        <v>-2665585</v>
      </c>
      <c r="BT28">
        <v>-25557719</v>
      </c>
      <c r="BU28">
        <v>0</v>
      </c>
      <c r="BV28">
        <v>-621492716</v>
      </c>
      <c r="BW28">
        <v>-160445953</v>
      </c>
      <c r="BX28">
        <v>-39163725</v>
      </c>
      <c r="BY28">
        <v>-20603146</v>
      </c>
      <c r="BZ28">
        <v>-220212824</v>
      </c>
      <c r="CA28">
        <v>835162844</v>
      </c>
      <c r="CB28">
        <v>1676868384</v>
      </c>
      <c r="CC28">
        <f t="shared" si="0"/>
        <v>42.965814721926321</v>
      </c>
    </row>
    <row r="29" spans="1:81">
      <c r="A29" s="11">
        <v>28</v>
      </c>
      <c r="B29" s="8" t="s">
        <v>119</v>
      </c>
      <c r="C29">
        <v>43078118</v>
      </c>
      <c r="D29">
        <v>6761322</v>
      </c>
      <c r="E29">
        <v>10990700</v>
      </c>
      <c r="F29">
        <v>599773</v>
      </c>
      <c r="G29">
        <v>90687025</v>
      </c>
      <c r="H29">
        <v>13310604</v>
      </c>
      <c r="I29">
        <v>20316356</v>
      </c>
      <c r="J29">
        <v>33951556</v>
      </c>
      <c r="K29">
        <v>499647</v>
      </c>
      <c r="L29">
        <v>244714</v>
      </c>
      <c r="M29">
        <v>16590</v>
      </c>
      <c r="N29">
        <v>0</v>
      </c>
      <c r="O29">
        <v>0</v>
      </c>
      <c r="P29">
        <v>47184</v>
      </c>
      <c r="Q29">
        <v>0</v>
      </c>
      <c r="R29">
        <v>0</v>
      </c>
      <c r="S29">
        <v>0</v>
      </c>
      <c r="T29">
        <v>0</v>
      </c>
      <c r="U29">
        <v>8343</v>
      </c>
      <c r="V29">
        <v>0</v>
      </c>
      <c r="W29">
        <v>0</v>
      </c>
      <c r="X29">
        <v>573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11667881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172118</v>
      </c>
      <c r="AT29">
        <v>0</v>
      </c>
      <c r="AU29">
        <v>0</v>
      </c>
      <c r="AV29">
        <v>0</v>
      </c>
      <c r="AW29">
        <v>3821</v>
      </c>
      <c r="AX29">
        <v>412199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15267</v>
      </c>
      <c r="BE29">
        <v>2012185</v>
      </c>
      <c r="BF29">
        <v>0</v>
      </c>
      <c r="BG29">
        <v>13371822</v>
      </c>
      <c r="BH29">
        <v>245866</v>
      </c>
      <c r="BI29">
        <v>248413664</v>
      </c>
      <c r="BJ29">
        <v>3053896</v>
      </c>
      <c r="BK29">
        <v>0</v>
      </c>
      <c r="BL29">
        <v>0</v>
      </c>
      <c r="BM29">
        <v>-44150296</v>
      </c>
      <c r="BN29">
        <v>20334810</v>
      </c>
      <c r="BO29">
        <v>0</v>
      </c>
      <c r="BP29">
        <v>-20761590</v>
      </c>
      <c r="BQ29">
        <v>227652074</v>
      </c>
      <c r="BR29">
        <v>-102136987</v>
      </c>
      <c r="BS29">
        <v>-436584</v>
      </c>
      <c r="BT29">
        <v>-332888</v>
      </c>
      <c r="BU29">
        <v>0</v>
      </c>
      <c r="BV29">
        <v>-102906459</v>
      </c>
      <c r="BW29">
        <v>-25406707</v>
      </c>
      <c r="BX29">
        <v>-21075109</v>
      </c>
      <c r="BY29">
        <v>-8023767</v>
      </c>
      <c r="BZ29">
        <v>-54505583</v>
      </c>
      <c r="CA29">
        <v>70240032</v>
      </c>
      <c r="CB29">
        <v>227652074</v>
      </c>
      <c r="CC29">
        <f t="shared" si="0"/>
        <v>8.9324070906553654</v>
      </c>
    </row>
    <row r="30" spans="1:81">
      <c r="A30" s="11">
        <v>29</v>
      </c>
      <c r="B30" s="8" t="s">
        <v>120</v>
      </c>
      <c r="C30">
        <v>32700</v>
      </c>
      <c r="D30">
        <v>0</v>
      </c>
      <c r="E30">
        <v>0</v>
      </c>
      <c r="F30">
        <v>0</v>
      </c>
      <c r="G30">
        <v>830553</v>
      </c>
      <c r="H30">
        <v>0</v>
      </c>
      <c r="I30">
        <v>1017</v>
      </c>
      <c r="J30">
        <v>180533</v>
      </c>
      <c r="K30">
        <v>14687983</v>
      </c>
      <c r="L30">
        <v>0</v>
      </c>
      <c r="M30">
        <v>277381</v>
      </c>
      <c r="N30">
        <v>478452</v>
      </c>
      <c r="O30">
        <v>1014</v>
      </c>
      <c r="P30">
        <v>3270173</v>
      </c>
      <c r="Q30">
        <v>918084</v>
      </c>
      <c r="R30">
        <v>4731026</v>
      </c>
      <c r="S30">
        <v>53541</v>
      </c>
      <c r="T30">
        <v>29146</v>
      </c>
      <c r="U30">
        <v>1614942</v>
      </c>
      <c r="V30">
        <v>2915631</v>
      </c>
      <c r="W30">
        <v>3580693</v>
      </c>
      <c r="X30">
        <v>48631</v>
      </c>
      <c r="Y30">
        <v>3087959</v>
      </c>
      <c r="Z30">
        <v>2578792</v>
      </c>
      <c r="AA30">
        <v>8219020</v>
      </c>
      <c r="AB30">
        <v>14181536</v>
      </c>
      <c r="AC30">
        <v>2518926</v>
      </c>
      <c r="AD30">
        <v>1227240</v>
      </c>
      <c r="AE30">
        <v>77367380</v>
      </c>
      <c r="AF30">
        <v>1549564</v>
      </c>
      <c r="AG30">
        <v>3300001</v>
      </c>
      <c r="AH30">
        <v>13844351</v>
      </c>
      <c r="AI30">
        <v>2621699</v>
      </c>
      <c r="AJ30">
        <v>22205032</v>
      </c>
      <c r="AK30">
        <v>1089250</v>
      </c>
      <c r="AL30">
        <v>348622</v>
      </c>
      <c r="AM30">
        <v>10525598</v>
      </c>
      <c r="AN30">
        <v>6550864</v>
      </c>
      <c r="AO30">
        <v>39712835</v>
      </c>
      <c r="AP30">
        <v>68026968</v>
      </c>
      <c r="AQ30">
        <v>3416810</v>
      </c>
      <c r="AR30">
        <v>3002154</v>
      </c>
      <c r="AS30">
        <v>13495482</v>
      </c>
      <c r="AT30">
        <v>10814307</v>
      </c>
      <c r="AU30">
        <v>110585</v>
      </c>
      <c r="AV30">
        <v>11416</v>
      </c>
      <c r="AW30">
        <v>17028630</v>
      </c>
      <c r="AX30">
        <v>4049439</v>
      </c>
      <c r="AY30">
        <v>3486367</v>
      </c>
      <c r="AZ30">
        <v>9117684</v>
      </c>
      <c r="BA30">
        <v>1742914</v>
      </c>
      <c r="BB30">
        <v>852545</v>
      </c>
      <c r="BC30">
        <v>4124120</v>
      </c>
      <c r="BD30">
        <v>165878</v>
      </c>
      <c r="BE30">
        <v>4601275</v>
      </c>
      <c r="BF30">
        <v>208500734</v>
      </c>
      <c r="BG30">
        <v>40131587</v>
      </c>
      <c r="BH30">
        <v>1394365</v>
      </c>
      <c r="BI30">
        <v>638653429</v>
      </c>
      <c r="BJ30">
        <v>318333132</v>
      </c>
      <c r="BK30">
        <v>11533559</v>
      </c>
      <c r="BL30">
        <v>0</v>
      </c>
      <c r="BM30">
        <v>-56175188</v>
      </c>
      <c r="BN30">
        <v>174834009</v>
      </c>
      <c r="BO30">
        <v>3936462</v>
      </c>
      <c r="BP30">
        <v>452461974</v>
      </c>
      <c r="BQ30">
        <v>1091115403</v>
      </c>
      <c r="BR30">
        <v>-348900139</v>
      </c>
      <c r="BS30">
        <v>-4554188</v>
      </c>
      <c r="BT30">
        <v>-18623034</v>
      </c>
      <c r="BU30">
        <v>-2657579</v>
      </c>
      <c r="BV30">
        <v>-374734940</v>
      </c>
      <c r="BW30">
        <v>-115310141</v>
      </c>
      <c r="BX30">
        <v>-117133478</v>
      </c>
      <c r="BY30">
        <v>-11180022</v>
      </c>
      <c r="BZ30">
        <v>-243623641</v>
      </c>
      <c r="CA30">
        <v>472756822</v>
      </c>
      <c r="CB30">
        <v>1091115403</v>
      </c>
      <c r="CC30">
        <f t="shared" si="0"/>
        <v>16.384194605673621</v>
      </c>
    </row>
    <row r="31" spans="1:81">
      <c r="A31" s="11">
        <v>30</v>
      </c>
      <c r="B31" s="8" t="s">
        <v>121</v>
      </c>
      <c r="C31">
        <v>10090789</v>
      </c>
      <c r="D31">
        <v>873484</v>
      </c>
      <c r="E31">
        <v>1902746</v>
      </c>
      <c r="F31">
        <v>164317</v>
      </c>
      <c r="G31">
        <v>15368361</v>
      </c>
      <c r="H31">
        <v>2064006</v>
      </c>
      <c r="I31">
        <v>1936966</v>
      </c>
      <c r="J31">
        <v>10831345</v>
      </c>
      <c r="K31">
        <v>2630089</v>
      </c>
      <c r="L31">
        <v>497218</v>
      </c>
      <c r="M31">
        <v>37325272</v>
      </c>
      <c r="N31">
        <v>40956636</v>
      </c>
      <c r="O31">
        <v>46464</v>
      </c>
      <c r="P31">
        <v>14666887</v>
      </c>
      <c r="Q31">
        <v>2119655</v>
      </c>
      <c r="R31">
        <v>8351672</v>
      </c>
      <c r="S31">
        <v>3071878</v>
      </c>
      <c r="T31">
        <v>1620993</v>
      </c>
      <c r="U31">
        <v>5151945</v>
      </c>
      <c r="V31">
        <v>268424</v>
      </c>
      <c r="W31">
        <v>6815001</v>
      </c>
      <c r="X31">
        <v>49718</v>
      </c>
      <c r="Y31">
        <v>2830743</v>
      </c>
      <c r="Z31">
        <v>2852018</v>
      </c>
      <c r="AA31">
        <v>1807902</v>
      </c>
      <c r="AB31">
        <v>376511</v>
      </c>
      <c r="AC31">
        <v>77861438</v>
      </c>
      <c r="AD31">
        <v>1042237</v>
      </c>
      <c r="AE31">
        <v>5361296</v>
      </c>
      <c r="AF31">
        <v>35305854</v>
      </c>
      <c r="AG31">
        <v>7351233</v>
      </c>
      <c r="AH31">
        <v>7391843</v>
      </c>
      <c r="AI31">
        <v>7771452</v>
      </c>
      <c r="AJ31">
        <v>10449671</v>
      </c>
      <c r="AK31">
        <v>10988471</v>
      </c>
      <c r="AL31">
        <v>7112122</v>
      </c>
      <c r="AM31">
        <v>5028448</v>
      </c>
      <c r="AN31">
        <v>10114192</v>
      </c>
      <c r="AO31">
        <v>20447912</v>
      </c>
      <c r="AP31">
        <v>39430065</v>
      </c>
      <c r="AQ31">
        <v>1068799</v>
      </c>
      <c r="AR31">
        <v>454585</v>
      </c>
      <c r="AS31">
        <v>2356995</v>
      </c>
      <c r="AT31">
        <v>6867271</v>
      </c>
      <c r="AU31">
        <v>69372916</v>
      </c>
      <c r="AV31">
        <v>457457</v>
      </c>
      <c r="AW31">
        <v>5331439</v>
      </c>
      <c r="AX31">
        <v>28920433</v>
      </c>
      <c r="AY31">
        <v>31081527</v>
      </c>
      <c r="AZ31">
        <v>17697254</v>
      </c>
      <c r="BA31">
        <v>257749541</v>
      </c>
      <c r="BB31">
        <v>9523739</v>
      </c>
      <c r="BC31">
        <v>10698530</v>
      </c>
      <c r="BD31">
        <v>1659698</v>
      </c>
      <c r="BE31">
        <v>44409071</v>
      </c>
      <c r="BF31">
        <v>36201896</v>
      </c>
      <c r="BG31">
        <v>26346881</v>
      </c>
      <c r="BH31">
        <v>1285403</v>
      </c>
      <c r="BI31">
        <v>971810709</v>
      </c>
      <c r="BJ31">
        <v>319772016</v>
      </c>
      <c r="BK31">
        <v>54303707</v>
      </c>
      <c r="BL31">
        <v>0</v>
      </c>
      <c r="BM31">
        <v>66954903</v>
      </c>
      <c r="BN31">
        <v>279068236</v>
      </c>
      <c r="BO31">
        <v>38030322</v>
      </c>
      <c r="BP31">
        <v>758129184</v>
      </c>
      <c r="BQ31">
        <v>1729939893</v>
      </c>
      <c r="BR31">
        <v>-188138394</v>
      </c>
      <c r="BS31">
        <v>-2236282</v>
      </c>
      <c r="BT31">
        <v>-24633562</v>
      </c>
      <c r="BU31">
        <v>-59189749</v>
      </c>
      <c r="BV31">
        <v>-274197987</v>
      </c>
      <c r="BW31">
        <v>-91155724</v>
      </c>
      <c r="BX31">
        <v>-86904200</v>
      </c>
      <c r="BY31">
        <v>-15207914</v>
      </c>
      <c r="BZ31">
        <v>-193267838</v>
      </c>
      <c r="CA31">
        <v>1262474068</v>
      </c>
      <c r="CB31">
        <v>1729939893</v>
      </c>
      <c r="CC31">
        <f t="shared" si="0"/>
        <v>18.330033273589581</v>
      </c>
    </row>
    <row r="32" spans="1:81">
      <c r="A32" s="11">
        <v>31</v>
      </c>
      <c r="B32" s="8" t="s">
        <v>122</v>
      </c>
      <c r="C32">
        <v>8953</v>
      </c>
      <c r="D32">
        <v>273</v>
      </c>
      <c r="E32">
        <v>971</v>
      </c>
      <c r="F32">
        <v>64</v>
      </c>
      <c r="G32">
        <v>540882</v>
      </c>
      <c r="H32">
        <v>0</v>
      </c>
      <c r="I32">
        <v>2950</v>
      </c>
      <c r="J32">
        <v>25188</v>
      </c>
      <c r="K32">
        <v>24610</v>
      </c>
      <c r="L32">
        <v>130</v>
      </c>
      <c r="M32">
        <v>12227</v>
      </c>
      <c r="N32">
        <v>40038</v>
      </c>
      <c r="O32">
        <v>0</v>
      </c>
      <c r="P32">
        <v>791008</v>
      </c>
      <c r="Q32">
        <v>0</v>
      </c>
      <c r="R32">
        <v>295456</v>
      </c>
      <c r="S32">
        <v>0</v>
      </c>
      <c r="T32">
        <v>0</v>
      </c>
      <c r="U32">
        <v>217</v>
      </c>
      <c r="V32">
        <v>0</v>
      </c>
      <c r="W32">
        <v>0</v>
      </c>
      <c r="X32">
        <v>0</v>
      </c>
      <c r="Y32">
        <v>3606</v>
      </c>
      <c r="Z32">
        <v>5227090</v>
      </c>
      <c r="AA32">
        <v>0</v>
      </c>
      <c r="AB32">
        <v>0</v>
      </c>
      <c r="AC32">
        <v>0</v>
      </c>
      <c r="AD32">
        <v>0</v>
      </c>
      <c r="AE32">
        <v>79815</v>
      </c>
      <c r="AF32">
        <v>203047</v>
      </c>
      <c r="AG32">
        <v>57247160</v>
      </c>
      <c r="AH32">
        <v>4433390</v>
      </c>
      <c r="AI32">
        <v>0</v>
      </c>
      <c r="AJ32">
        <v>0</v>
      </c>
      <c r="AK32">
        <v>0</v>
      </c>
      <c r="AL32">
        <v>25626</v>
      </c>
      <c r="AM32">
        <v>211739</v>
      </c>
      <c r="AN32">
        <v>7666971</v>
      </c>
      <c r="AO32">
        <v>6454265</v>
      </c>
      <c r="AP32">
        <v>60105400</v>
      </c>
      <c r="AQ32">
        <v>197279</v>
      </c>
      <c r="AR32">
        <v>4813119</v>
      </c>
      <c r="AS32">
        <v>73977</v>
      </c>
      <c r="AT32">
        <v>6728304</v>
      </c>
      <c r="AU32">
        <v>0</v>
      </c>
      <c r="AV32">
        <v>4145</v>
      </c>
      <c r="AW32">
        <v>6273564</v>
      </c>
      <c r="AX32">
        <v>30603</v>
      </c>
      <c r="AY32">
        <v>409057</v>
      </c>
      <c r="AZ32">
        <v>42366</v>
      </c>
      <c r="BA32">
        <v>10447151</v>
      </c>
      <c r="BB32">
        <v>0</v>
      </c>
      <c r="BC32">
        <v>24893</v>
      </c>
      <c r="BD32">
        <v>0</v>
      </c>
      <c r="BE32">
        <v>1207955</v>
      </c>
      <c r="BF32">
        <v>1954273</v>
      </c>
      <c r="BG32">
        <v>1071017</v>
      </c>
      <c r="BH32">
        <v>1642521</v>
      </c>
      <c r="BI32">
        <v>178321300</v>
      </c>
      <c r="BJ32">
        <v>24108931</v>
      </c>
      <c r="BK32">
        <v>0</v>
      </c>
      <c r="BL32">
        <v>4351757</v>
      </c>
      <c r="BM32">
        <v>-111442144</v>
      </c>
      <c r="BN32">
        <v>410804902</v>
      </c>
      <c r="BO32">
        <v>0</v>
      </c>
      <c r="BP32">
        <v>327823446</v>
      </c>
      <c r="BQ32">
        <v>506144746</v>
      </c>
      <c r="BR32">
        <v>-58387485</v>
      </c>
      <c r="BS32">
        <v>-1122417</v>
      </c>
      <c r="BT32">
        <v>-2938413</v>
      </c>
      <c r="BU32">
        <v>0</v>
      </c>
      <c r="BV32">
        <v>-62448315</v>
      </c>
      <c r="BW32">
        <v>-47807100</v>
      </c>
      <c r="BX32">
        <v>-20352697</v>
      </c>
      <c r="BY32">
        <v>-10175798</v>
      </c>
      <c r="BZ32">
        <v>-78335595</v>
      </c>
      <c r="CA32">
        <v>365360836</v>
      </c>
      <c r="CB32">
        <v>506144746</v>
      </c>
      <c r="CC32">
        <f t="shared" si="0"/>
        <v>81.163521946348524</v>
      </c>
    </row>
    <row r="33" spans="1:81">
      <c r="A33" s="11">
        <v>32</v>
      </c>
      <c r="B33" s="8" t="s">
        <v>123</v>
      </c>
      <c r="C33">
        <v>423548</v>
      </c>
      <c r="D33">
        <v>18420</v>
      </c>
      <c r="E33">
        <v>21200</v>
      </c>
      <c r="F33">
        <v>2824</v>
      </c>
      <c r="G33">
        <v>9345097</v>
      </c>
      <c r="H33">
        <v>7164</v>
      </c>
      <c r="I33">
        <v>2195573</v>
      </c>
      <c r="J33">
        <v>2015744</v>
      </c>
      <c r="K33">
        <v>2627178</v>
      </c>
      <c r="L33">
        <v>185609</v>
      </c>
      <c r="M33">
        <v>2983654</v>
      </c>
      <c r="N33">
        <v>237735</v>
      </c>
      <c r="O33">
        <v>423</v>
      </c>
      <c r="P33">
        <v>77587</v>
      </c>
      <c r="Q33">
        <v>5456614</v>
      </c>
      <c r="R33">
        <v>17014440</v>
      </c>
      <c r="S33">
        <v>7333750</v>
      </c>
      <c r="T33">
        <v>2221250</v>
      </c>
      <c r="U33">
        <v>8297600</v>
      </c>
      <c r="V33">
        <v>1209418</v>
      </c>
      <c r="W33">
        <v>16192344</v>
      </c>
      <c r="X33">
        <v>15779</v>
      </c>
      <c r="Y33">
        <v>1052641</v>
      </c>
      <c r="Z33">
        <v>4151893</v>
      </c>
      <c r="AA33">
        <v>1890973</v>
      </c>
      <c r="AB33">
        <v>2314611</v>
      </c>
      <c r="AC33">
        <v>7078957</v>
      </c>
      <c r="AD33">
        <v>1455907</v>
      </c>
      <c r="AE33">
        <v>17898907</v>
      </c>
      <c r="AF33">
        <v>904767</v>
      </c>
      <c r="AG33">
        <v>4567844</v>
      </c>
      <c r="AH33">
        <v>21343232</v>
      </c>
      <c r="AI33">
        <v>178290</v>
      </c>
      <c r="AJ33">
        <v>2201263</v>
      </c>
      <c r="AK33">
        <v>285211</v>
      </c>
      <c r="AL33">
        <v>321899</v>
      </c>
      <c r="AM33">
        <v>6164463</v>
      </c>
      <c r="AN33">
        <v>5150759</v>
      </c>
      <c r="AO33">
        <v>84067968</v>
      </c>
      <c r="AP33">
        <v>42078283</v>
      </c>
      <c r="AQ33">
        <v>615738</v>
      </c>
      <c r="AR33">
        <v>2622628</v>
      </c>
      <c r="AS33">
        <v>3514405</v>
      </c>
      <c r="AT33">
        <v>21376772</v>
      </c>
      <c r="AU33">
        <v>205258</v>
      </c>
      <c r="AV33">
        <v>635081</v>
      </c>
      <c r="AW33">
        <v>6935494</v>
      </c>
      <c r="AX33">
        <v>1505056</v>
      </c>
      <c r="AY33">
        <v>55468079</v>
      </c>
      <c r="AZ33">
        <v>9134654</v>
      </c>
      <c r="BA33">
        <v>2382804</v>
      </c>
      <c r="BB33">
        <v>766362</v>
      </c>
      <c r="BC33">
        <v>991106</v>
      </c>
      <c r="BD33">
        <v>209689</v>
      </c>
      <c r="BE33">
        <v>881696</v>
      </c>
      <c r="BF33">
        <v>1208493</v>
      </c>
      <c r="BG33">
        <v>6288348</v>
      </c>
      <c r="BH33">
        <v>1876949</v>
      </c>
      <c r="BI33">
        <v>397609431</v>
      </c>
      <c r="BJ33">
        <v>18815656</v>
      </c>
      <c r="BK33">
        <v>2104148</v>
      </c>
      <c r="BL33">
        <v>4859105</v>
      </c>
      <c r="BM33">
        <v>119902509</v>
      </c>
      <c r="BN33">
        <v>183756053</v>
      </c>
      <c r="BO33">
        <v>38472</v>
      </c>
      <c r="BP33">
        <v>329475943</v>
      </c>
      <c r="BQ33">
        <v>727085374</v>
      </c>
      <c r="BR33">
        <v>-158537682</v>
      </c>
      <c r="BS33">
        <v>-3382920</v>
      </c>
      <c r="BT33">
        <v>-4540620</v>
      </c>
      <c r="BU33">
        <v>0</v>
      </c>
      <c r="BV33">
        <v>-166461222</v>
      </c>
      <c r="BW33">
        <v>-29728449</v>
      </c>
      <c r="BX33">
        <v>-24963693</v>
      </c>
      <c r="BY33">
        <v>-5002813</v>
      </c>
      <c r="BZ33">
        <v>-59694955</v>
      </c>
      <c r="CA33">
        <v>500929197</v>
      </c>
      <c r="CB33">
        <v>727085374</v>
      </c>
      <c r="CC33">
        <f t="shared" si="0"/>
        <v>25.278259138795438</v>
      </c>
    </row>
    <row r="34" spans="1:81">
      <c r="A34" s="11">
        <v>33</v>
      </c>
      <c r="B34" s="8" t="s">
        <v>124</v>
      </c>
      <c r="C34">
        <v>0</v>
      </c>
      <c r="D34">
        <v>0</v>
      </c>
      <c r="E34">
        <v>0</v>
      </c>
      <c r="F34">
        <v>0</v>
      </c>
      <c r="G34">
        <v>389002</v>
      </c>
      <c r="H34">
        <v>0</v>
      </c>
      <c r="I34">
        <v>0</v>
      </c>
      <c r="J34">
        <v>150638</v>
      </c>
      <c r="K34">
        <v>187058</v>
      </c>
      <c r="L34">
        <v>0</v>
      </c>
      <c r="M34">
        <v>240258</v>
      </c>
      <c r="N34">
        <v>0</v>
      </c>
      <c r="O34">
        <v>0</v>
      </c>
      <c r="P34">
        <v>9543</v>
      </c>
      <c r="Q34">
        <v>0</v>
      </c>
      <c r="R34">
        <v>0</v>
      </c>
      <c r="S34">
        <v>0</v>
      </c>
      <c r="T34">
        <v>1093717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566331</v>
      </c>
      <c r="AD34">
        <v>219801</v>
      </c>
      <c r="AE34">
        <v>0</v>
      </c>
      <c r="AF34">
        <v>0</v>
      </c>
      <c r="AG34">
        <v>0</v>
      </c>
      <c r="AH34">
        <v>0</v>
      </c>
      <c r="AI34">
        <v>25377238</v>
      </c>
      <c r="AJ34">
        <v>16467981</v>
      </c>
      <c r="AK34">
        <v>0</v>
      </c>
      <c r="AL34">
        <v>175971</v>
      </c>
      <c r="AM34">
        <v>1074240</v>
      </c>
      <c r="AN34">
        <v>38881</v>
      </c>
      <c r="AO34">
        <v>0</v>
      </c>
      <c r="AP34">
        <v>0</v>
      </c>
      <c r="AQ34">
        <v>15342</v>
      </c>
      <c r="AR34">
        <v>0</v>
      </c>
      <c r="AS34">
        <v>163978</v>
      </c>
      <c r="AT34">
        <v>4574</v>
      </c>
      <c r="AU34">
        <v>0</v>
      </c>
      <c r="AV34">
        <v>491784</v>
      </c>
      <c r="AW34">
        <v>94814538</v>
      </c>
      <c r="AX34">
        <v>114196130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74113</v>
      </c>
      <c r="BE34">
        <v>0</v>
      </c>
      <c r="BF34">
        <v>76876</v>
      </c>
      <c r="BG34">
        <v>0</v>
      </c>
      <c r="BH34">
        <v>463304</v>
      </c>
      <c r="BI34">
        <v>256291298</v>
      </c>
      <c r="BJ34">
        <v>209652</v>
      </c>
      <c r="BK34">
        <v>1040322</v>
      </c>
      <c r="BL34">
        <v>0</v>
      </c>
      <c r="BM34">
        <v>-28198862</v>
      </c>
      <c r="BN34">
        <v>7783723</v>
      </c>
      <c r="BO34">
        <v>0</v>
      </c>
      <c r="BP34">
        <v>-19165165</v>
      </c>
      <c r="BQ34">
        <v>237126133</v>
      </c>
      <c r="BR34">
        <v>-2075810</v>
      </c>
      <c r="BS34">
        <v>-41829</v>
      </c>
      <c r="BT34">
        <v>-154751</v>
      </c>
      <c r="BU34">
        <v>0</v>
      </c>
      <c r="BV34">
        <v>-2272390</v>
      </c>
      <c r="BW34">
        <v>-13607989</v>
      </c>
      <c r="BX34">
        <v>-11373117</v>
      </c>
      <c r="BY34">
        <v>-3640001</v>
      </c>
      <c r="BZ34">
        <v>-28621107</v>
      </c>
      <c r="CA34">
        <v>206232636</v>
      </c>
      <c r="CB34">
        <v>237126133</v>
      </c>
      <c r="CC34">
        <f t="shared" si="0"/>
        <v>3.2825243264098609</v>
      </c>
    </row>
    <row r="35" spans="1:81">
      <c r="A35" s="11">
        <v>34</v>
      </c>
      <c r="B35" s="8" t="s">
        <v>125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17780</v>
      </c>
      <c r="J35">
        <v>403870</v>
      </c>
      <c r="K35">
        <v>0</v>
      </c>
      <c r="L35">
        <v>224060</v>
      </c>
      <c r="M35">
        <v>0</v>
      </c>
      <c r="N35">
        <v>0</v>
      </c>
      <c r="O35">
        <v>0</v>
      </c>
      <c r="P35">
        <v>52174</v>
      </c>
      <c r="Q35">
        <v>0</v>
      </c>
      <c r="R35">
        <v>206497</v>
      </c>
      <c r="S35">
        <v>0</v>
      </c>
      <c r="T35">
        <v>11441</v>
      </c>
      <c r="U35">
        <v>1191317</v>
      </c>
      <c r="V35">
        <v>0</v>
      </c>
      <c r="W35">
        <v>17835717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107335</v>
      </c>
      <c r="AD35">
        <v>125170</v>
      </c>
      <c r="AE35">
        <v>5123916</v>
      </c>
      <c r="AF35">
        <v>0</v>
      </c>
      <c r="AG35">
        <v>0</v>
      </c>
      <c r="AH35">
        <v>0</v>
      </c>
      <c r="AI35">
        <v>41096</v>
      </c>
      <c r="AJ35">
        <v>35605844</v>
      </c>
      <c r="AK35">
        <v>65443</v>
      </c>
      <c r="AL35">
        <v>11548</v>
      </c>
      <c r="AM35">
        <v>2242348</v>
      </c>
      <c r="AN35">
        <v>5426190</v>
      </c>
      <c r="AO35">
        <v>48715815</v>
      </c>
      <c r="AP35">
        <v>21928023</v>
      </c>
      <c r="AQ35">
        <v>3803442</v>
      </c>
      <c r="AR35">
        <v>621</v>
      </c>
      <c r="AS35">
        <v>350701</v>
      </c>
      <c r="AT35">
        <v>17022569</v>
      </c>
      <c r="AU35">
        <v>0</v>
      </c>
      <c r="AV35">
        <v>0</v>
      </c>
      <c r="AW35">
        <v>83819882</v>
      </c>
      <c r="AX35">
        <v>11059261</v>
      </c>
      <c r="AY35">
        <v>931176</v>
      </c>
      <c r="AZ35">
        <v>1634971</v>
      </c>
      <c r="BA35">
        <v>660</v>
      </c>
      <c r="BB35">
        <v>0</v>
      </c>
      <c r="BC35">
        <v>0</v>
      </c>
      <c r="BD35">
        <v>17105</v>
      </c>
      <c r="BE35">
        <v>0</v>
      </c>
      <c r="BF35">
        <v>207706</v>
      </c>
      <c r="BG35">
        <v>135140</v>
      </c>
      <c r="BH35">
        <v>2243968</v>
      </c>
      <c r="BI35">
        <v>260562786</v>
      </c>
      <c r="BJ35">
        <v>35421934</v>
      </c>
      <c r="BK35">
        <v>315539</v>
      </c>
      <c r="BL35">
        <v>24505542</v>
      </c>
      <c r="BM35">
        <v>14593912</v>
      </c>
      <c r="BN35">
        <v>76756158</v>
      </c>
      <c r="BO35">
        <v>58528</v>
      </c>
      <c r="BP35">
        <v>151651613</v>
      </c>
      <c r="BQ35">
        <v>412214399</v>
      </c>
      <c r="BR35">
        <v>-72575949</v>
      </c>
      <c r="BS35">
        <v>-1816603</v>
      </c>
      <c r="BT35">
        <v>-2359786</v>
      </c>
      <c r="BU35">
        <v>-809138</v>
      </c>
      <c r="BV35">
        <v>-77561476</v>
      </c>
      <c r="BW35">
        <v>-27842213</v>
      </c>
      <c r="BX35">
        <v>-20112761</v>
      </c>
      <c r="BY35">
        <v>-5063986</v>
      </c>
      <c r="BZ35">
        <v>-53018960</v>
      </c>
      <c r="CA35">
        <v>281633963</v>
      </c>
      <c r="CB35">
        <v>412214399</v>
      </c>
      <c r="CC35">
        <f t="shared" si="0"/>
        <v>18.634644055701703</v>
      </c>
    </row>
    <row r="36" spans="1:81">
      <c r="A36" s="11">
        <v>35</v>
      </c>
      <c r="B36" s="8" t="s">
        <v>126</v>
      </c>
      <c r="C36">
        <v>2318</v>
      </c>
      <c r="D36">
        <v>0</v>
      </c>
      <c r="E36">
        <v>0</v>
      </c>
      <c r="F36">
        <v>0</v>
      </c>
      <c r="G36">
        <v>196364</v>
      </c>
      <c r="H36">
        <v>0</v>
      </c>
      <c r="I36">
        <v>0</v>
      </c>
      <c r="J36">
        <v>11823</v>
      </c>
      <c r="K36">
        <v>0</v>
      </c>
      <c r="L36">
        <v>18384</v>
      </c>
      <c r="M36">
        <v>3340</v>
      </c>
      <c r="N36">
        <v>341</v>
      </c>
      <c r="O36">
        <v>25</v>
      </c>
      <c r="P36">
        <v>27129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6522</v>
      </c>
      <c r="AF36">
        <v>0</v>
      </c>
      <c r="AG36">
        <v>2153330</v>
      </c>
      <c r="AH36">
        <v>541545</v>
      </c>
      <c r="AI36">
        <v>14285865</v>
      </c>
      <c r="AJ36">
        <v>703209</v>
      </c>
      <c r="AK36">
        <v>151566472</v>
      </c>
      <c r="AL36">
        <v>595543</v>
      </c>
      <c r="AM36">
        <v>177227063</v>
      </c>
      <c r="AN36">
        <v>81672540</v>
      </c>
      <c r="AO36">
        <v>114060177</v>
      </c>
      <c r="AP36">
        <v>287940083</v>
      </c>
      <c r="AQ36">
        <v>10224733</v>
      </c>
      <c r="AR36">
        <v>8156</v>
      </c>
      <c r="AS36">
        <v>311703</v>
      </c>
      <c r="AT36">
        <v>15421600</v>
      </c>
      <c r="AU36">
        <v>0</v>
      </c>
      <c r="AV36">
        <v>9410</v>
      </c>
      <c r="AW36">
        <v>44575286</v>
      </c>
      <c r="AX36">
        <v>66756222</v>
      </c>
      <c r="AY36">
        <v>95538</v>
      </c>
      <c r="AZ36">
        <v>0</v>
      </c>
      <c r="BA36">
        <v>643573</v>
      </c>
      <c r="BB36">
        <v>0</v>
      </c>
      <c r="BC36">
        <v>0</v>
      </c>
      <c r="BD36">
        <v>0</v>
      </c>
      <c r="BE36">
        <v>1953550</v>
      </c>
      <c r="BF36">
        <v>0</v>
      </c>
      <c r="BG36">
        <v>7148686</v>
      </c>
      <c r="BH36">
        <v>2433701</v>
      </c>
      <c r="BI36">
        <v>980594231</v>
      </c>
      <c r="BJ36">
        <v>0</v>
      </c>
      <c r="BK36">
        <v>31724</v>
      </c>
      <c r="BL36">
        <v>0</v>
      </c>
      <c r="BM36">
        <v>-124444497</v>
      </c>
      <c r="BN36">
        <v>90213821</v>
      </c>
      <c r="BO36">
        <v>0</v>
      </c>
      <c r="BP36">
        <v>-34198952</v>
      </c>
      <c r="BQ36">
        <v>946395279</v>
      </c>
      <c r="BR36">
        <v>-577226627</v>
      </c>
      <c r="BS36">
        <v>-4899726</v>
      </c>
      <c r="BT36">
        <v>-23951458</v>
      </c>
      <c r="BU36">
        <v>0</v>
      </c>
      <c r="BV36">
        <v>-606077811</v>
      </c>
      <c r="BW36">
        <v>-39355111</v>
      </c>
      <c r="BX36">
        <v>-30488443</v>
      </c>
      <c r="BY36">
        <v>-8720267</v>
      </c>
      <c r="BZ36">
        <v>-78563821</v>
      </c>
      <c r="CA36">
        <v>261753647</v>
      </c>
      <c r="CB36">
        <v>946395279</v>
      </c>
      <c r="CC36">
        <f t="shared" si="0"/>
        <v>9.5323616887991687</v>
      </c>
    </row>
    <row r="37" spans="1:81">
      <c r="A37" s="11">
        <v>36</v>
      </c>
      <c r="B37" s="8" t="s">
        <v>127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3140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554221</v>
      </c>
      <c r="S37">
        <v>0</v>
      </c>
      <c r="T37">
        <v>0</v>
      </c>
      <c r="U37">
        <v>0</v>
      </c>
      <c r="V37">
        <v>0</v>
      </c>
      <c r="W37">
        <v>0</v>
      </c>
      <c r="X37">
        <v>40345</v>
      </c>
      <c r="Y37">
        <v>0</v>
      </c>
      <c r="Z37">
        <v>396</v>
      </c>
      <c r="AA37">
        <v>15867</v>
      </c>
      <c r="AB37">
        <v>204007</v>
      </c>
      <c r="AC37">
        <v>63912</v>
      </c>
      <c r="AD37">
        <v>0</v>
      </c>
      <c r="AE37">
        <v>36266</v>
      </c>
      <c r="AF37">
        <v>0</v>
      </c>
      <c r="AG37">
        <v>0</v>
      </c>
      <c r="AH37">
        <v>144402</v>
      </c>
      <c r="AI37">
        <v>0</v>
      </c>
      <c r="AJ37">
        <v>326727</v>
      </c>
      <c r="AK37">
        <v>1271911</v>
      </c>
      <c r="AL37">
        <v>35325502</v>
      </c>
      <c r="AM37">
        <v>59710744</v>
      </c>
      <c r="AN37">
        <v>15797928</v>
      </c>
      <c r="AO37">
        <v>244342691</v>
      </c>
      <c r="AP37">
        <v>30399130</v>
      </c>
      <c r="AQ37">
        <v>2604719</v>
      </c>
      <c r="AR37">
        <v>0</v>
      </c>
      <c r="AS37">
        <v>391559</v>
      </c>
      <c r="AT37">
        <v>220341608</v>
      </c>
      <c r="AU37">
        <v>0</v>
      </c>
      <c r="AV37">
        <v>3743</v>
      </c>
      <c r="AW37">
        <v>4751527</v>
      </c>
      <c r="AX37">
        <v>10930074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35653</v>
      </c>
      <c r="BF37">
        <v>100636</v>
      </c>
      <c r="BG37">
        <v>8617753</v>
      </c>
      <c r="BH37">
        <v>522683</v>
      </c>
      <c r="BI37">
        <v>636537144</v>
      </c>
      <c r="BJ37">
        <v>0</v>
      </c>
      <c r="BK37">
        <v>0</v>
      </c>
      <c r="BL37">
        <v>0</v>
      </c>
      <c r="BM37">
        <v>26090084</v>
      </c>
      <c r="BN37">
        <v>218017435</v>
      </c>
      <c r="BO37">
        <v>0</v>
      </c>
      <c r="BP37">
        <v>244107519</v>
      </c>
      <c r="BQ37">
        <v>880644663</v>
      </c>
      <c r="BR37">
        <v>-656503565</v>
      </c>
      <c r="BS37">
        <v>-669420</v>
      </c>
      <c r="BT37">
        <v>-26283934</v>
      </c>
      <c r="BU37">
        <v>0</v>
      </c>
      <c r="BV37">
        <v>-683456919</v>
      </c>
      <c r="BW37">
        <v>-39762234</v>
      </c>
      <c r="BX37">
        <v>-17618090</v>
      </c>
      <c r="BY37">
        <v>-1384258</v>
      </c>
      <c r="BZ37">
        <v>-58764582</v>
      </c>
      <c r="CA37">
        <v>138423162</v>
      </c>
      <c r="CB37">
        <v>880644663</v>
      </c>
      <c r="CC37">
        <f t="shared" si="0"/>
        <v>24.756572560980818</v>
      </c>
    </row>
    <row r="38" spans="1:81">
      <c r="A38" s="11">
        <v>37</v>
      </c>
      <c r="B38" s="8" t="s">
        <v>128</v>
      </c>
      <c r="C38">
        <v>2231216</v>
      </c>
      <c r="D38">
        <v>262041</v>
      </c>
      <c r="E38">
        <v>881555</v>
      </c>
      <c r="F38">
        <v>66510</v>
      </c>
      <c r="G38">
        <v>4954277</v>
      </c>
      <c r="H38">
        <v>888590</v>
      </c>
      <c r="I38">
        <v>1071536</v>
      </c>
      <c r="J38">
        <v>4898604</v>
      </c>
      <c r="K38">
        <v>1355011</v>
      </c>
      <c r="L38">
        <v>918000</v>
      </c>
      <c r="M38">
        <v>42941</v>
      </c>
      <c r="N38">
        <v>17732</v>
      </c>
      <c r="O38">
        <v>2387</v>
      </c>
      <c r="P38">
        <v>4069282</v>
      </c>
      <c r="Q38">
        <v>2101197</v>
      </c>
      <c r="R38">
        <v>14884299</v>
      </c>
      <c r="S38">
        <v>50636</v>
      </c>
      <c r="T38">
        <v>62514</v>
      </c>
      <c r="U38">
        <v>776569</v>
      </c>
      <c r="V38">
        <v>0</v>
      </c>
      <c r="W38">
        <v>28085433</v>
      </c>
      <c r="X38">
        <v>1553</v>
      </c>
      <c r="Y38">
        <v>542951</v>
      </c>
      <c r="Z38">
        <v>1825167</v>
      </c>
      <c r="AA38">
        <v>1398979</v>
      </c>
      <c r="AB38">
        <v>886601</v>
      </c>
      <c r="AC38">
        <v>1741644</v>
      </c>
      <c r="AD38">
        <v>9735</v>
      </c>
      <c r="AE38">
        <v>3800239</v>
      </c>
      <c r="AF38">
        <v>124139</v>
      </c>
      <c r="AG38">
        <v>2257160</v>
      </c>
      <c r="AH38">
        <v>839349</v>
      </c>
      <c r="AI38">
        <v>176778</v>
      </c>
      <c r="AJ38">
        <v>1088555</v>
      </c>
      <c r="AK38">
        <v>1128523</v>
      </c>
      <c r="AL38">
        <v>27617</v>
      </c>
      <c r="AM38">
        <v>24414306</v>
      </c>
      <c r="AN38">
        <v>30892041</v>
      </c>
      <c r="AO38">
        <v>44264472</v>
      </c>
      <c r="AP38">
        <v>37805580</v>
      </c>
      <c r="AQ38">
        <v>3884996</v>
      </c>
      <c r="AR38">
        <v>1402123</v>
      </c>
      <c r="AS38">
        <v>6271953</v>
      </c>
      <c r="AT38">
        <v>6182526</v>
      </c>
      <c r="AU38">
        <v>3955667</v>
      </c>
      <c r="AV38">
        <v>94292</v>
      </c>
      <c r="AW38">
        <v>54231039</v>
      </c>
      <c r="AX38">
        <v>22975086</v>
      </c>
      <c r="AY38">
        <v>1146899</v>
      </c>
      <c r="AZ38">
        <v>1948812</v>
      </c>
      <c r="BA38">
        <v>4011713</v>
      </c>
      <c r="BB38">
        <v>11129</v>
      </c>
      <c r="BC38">
        <v>262224</v>
      </c>
      <c r="BD38">
        <v>412552</v>
      </c>
      <c r="BE38">
        <v>4123073</v>
      </c>
      <c r="BF38">
        <v>5831658</v>
      </c>
      <c r="BG38">
        <v>8499915</v>
      </c>
      <c r="BH38">
        <v>4177888</v>
      </c>
      <c r="BI38">
        <v>350269264</v>
      </c>
      <c r="BJ38">
        <v>47639899</v>
      </c>
      <c r="BK38">
        <v>12626373</v>
      </c>
      <c r="BL38">
        <v>87316283</v>
      </c>
      <c r="BM38">
        <v>133976575</v>
      </c>
      <c r="BN38">
        <v>309791435</v>
      </c>
      <c r="BO38">
        <v>51557</v>
      </c>
      <c r="BP38">
        <v>591402122</v>
      </c>
      <c r="BQ38">
        <v>941671386</v>
      </c>
      <c r="BR38">
        <v>-359829221</v>
      </c>
      <c r="BS38">
        <v>-6704091</v>
      </c>
      <c r="BT38">
        <v>-11624819</v>
      </c>
      <c r="BU38">
        <v>0</v>
      </c>
      <c r="BV38">
        <v>-378158131</v>
      </c>
      <c r="BW38">
        <v>-20892489</v>
      </c>
      <c r="BX38">
        <v>-29468338</v>
      </c>
      <c r="BY38">
        <v>-3033144</v>
      </c>
      <c r="BZ38">
        <v>-53393971</v>
      </c>
      <c r="CA38">
        <v>510119284</v>
      </c>
      <c r="CB38">
        <v>941671386</v>
      </c>
      <c r="CC38">
        <f t="shared" si="0"/>
        <v>32.903515664433705</v>
      </c>
    </row>
    <row r="39" spans="1:81">
      <c r="A39" s="11">
        <v>38</v>
      </c>
      <c r="B39" s="8" t="s">
        <v>129</v>
      </c>
      <c r="C39">
        <v>1758200</v>
      </c>
      <c r="D39">
        <v>541261</v>
      </c>
      <c r="E39">
        <v>65512</v>
      </c>
      <c r="F39">
        <v>29778</v>
      </c>
      <c r="G39">
        <v>4449849</v>
      </c>
      <c r="H39">
        <v>1118367</v>
      </c>
      <c r="I39">
        <v>743840</v>
      </c>
      <c r="J39">
        <v>1569581</v>
      </c>
      <c r="K39">
        <v>212309</v>
      </c>
      <c r="L39">
        <v>534987</v>
      </c>
      <c r="M39">
        <v>625244</v>
      </c>
      <c r="N39">
        <v>6408694</v>
      </c>
      <c r="O39">
        <v>21738</v>
      </c>
      <c r="P39">
        <v>4911276</v>
      </c>
      <c r="Q39">
        <v>807380</v>
      </c>
      <c r="R39">
        <v>3999673</v>
      </c>
      <c r="S39">
        <v>1752637</v>
      </c>
      <c r="T39">
        <v>2117395</v>
      </c>
      <c r="U39">
        <v>2390661</v>
      </c>
      <c r="V39">
        <v>329081</v>
      </c>
      <c r="W39">
        <v>3214595</v>
      </c>
      <c r="X39">
        <v>168565</v>
      </c>
      <c r="Y39">
        <v>1602602</v>
      </c>
      <c r="Z39">
        <v>1397941</v>
      </c>
      <c r="AA39">
        <v>1075781</v>
      </c>
      <c r="AB39">
        <v>424837</v>
      </c>
      <c r="AC39">
        <v>6946020</v>
      </c>
      <c r="AD39">
        <v>696813</v>
      </c>
      <c r="AE39">
        <v>2213570</v>
      </c>
      <c r="AF39">
        <v>3237869</v>
      </c>
      <c r="AG39">
        <v>1877097</v>
      </c>
      <c r="AH39">
        <v>4581002</v>
      </c>
      <c r="AI39">
        <v>1894148</v>
      </c>
      <c r="AJ39">
        <v>1644929</v>
      </c>
      <c r="AK39">
        <v>1999018</v>
      </c>
      <c r="AL39">
        <v>778360</v>
      </c>
      <c r="AM39">
        <v>2520425</v>
      </c>
      <c r="AN39">
        <v>187820577</v>
      </c>
      <c r="AO39">
        <v>28325909</v>
      </c>
      <c r="AP39">
        <v>143192291</v>
      </c>
      <c r="AQ39">
        <v>10864624</v>
      </c>
      <c r="AR39">
        <v>513539</v>
      </c>
      <c r="AS39">
        <v>2568541</v>
      </c>
      <c r="AT39">
        <v>4608876</v>
      </c>
      <c r="AU39">
        <v>6837942</v>
      </c>
      <c r="AV39">
        <v>40066</v>
      </c>
      <c r="AW39">
        <v>2366132</v>
      </c>
      <c r="AX39">
        <v>6585453</v>
      </c>
      <c r="AY39">
        <v>17715</v>
      </c>
      <c r="AZ39">
        <v>381699</v>
      </c>
      <c r="BA39">
        <v>3190566</v>
      </c>
      <c r="BB39">
        <v>0</v>
      </c>
      <c r="BC39">
        <v>0</v>
      </c>
      <c r="BD39">
        <v>122009</v>
      </c>
      <c r="BE39">
        <v>11574443</v>
      </c>
      <c r="BF39">
        <v>3420274</v>
      </c>
      <c r="BG39">
        <v>2482406</v>
      </c>
      <c r="BH39">
        <v>783205</v>
      </c>
      <c r="BI39">
        <v>486357302</v>
      </c>
      <c r="BJ39">
        <v>1984416</v>
      </c>
      <c r="BK39">
        <v>8000504</v>
      </c>
      <c r="BL39">
        <v>414032286</v>
      </c>
      <c r="BM39">
        <v>-78029883</v>
      </c>
      <c r="BN39">
        <v>472823393</v>
      </c>
      <c r="BO39">
        <v>0</v>
      </c>
      <c r="BP39">
        <v>818810716</v>
      </c>
      <c r="BQ39">
        <v>1305168018</v>
      </c>
      <c r="BR39">
        <v>-549904371</v>
      </c>
      <c r="BS39">
        <v>-4788506</v>
      </c>
      <c r="BT39">
        <v>-22980114</v>
      </c>
      <c r="BU39">
        <v>0</v>
      </c>
      <c r="BV39">
        <v>-577672991</v>
      </c>
      <c r="BW39">
        <v>-102624075</v>
      </c>
      <c r="BX39">
        <v>-37200798</v>
      </c>
      <c r="BY39">
        <v>-12953748</v>
      </c>
      <c r="BZ39">
        <v>-152778621</v>
      </c>
      <c r="CA39">
        <v>574716406</v>
      </c>
      <c r="CB39">
        <v>1305168018</v>
      </c>
      <c r="CC39">
        <f t="shared" si="0"/>
        <v>36.227013417363715</v>
      </c>
    </row>
    <row r="40" spans="1:81">
      <c r="A40" s="11">
        <v>39</v>
      </c>
      <c r="B40" s="8" t="s">
        <v>130</v>
      </c>
      <c r="C40">
        <v>22873</v>
      </c>
      <c r="D40">
        <v>0</v>
      </c>
      <c r="E40">
        <v>0</v>
      </c>
      <c r="F40">
        <v>0</v>
      </c>
      <c r="G40">
        <v>118132</v>
      </c>
      <c r="H40">
        <v>0</v>
      </c>
      <c r="I40">
        <v>109717</v>
      </c>
      <c r="J40">
        <v>208403</v>
      </c>
      <c r="K40">
        <v>368909</v>
      </c>
      <c r="L40">
        <v>73111</v>
      </c>
      <c r="M40">
        <v>289499</v>
      </c>
      <c r="N40">
        <v>478323</v>
      </c>
      <c r="O40">
        <v>320</v>
      </c>
      <c r="P40">
        <v>326142</v>
      </c>
      <c r="Q40">
        <v>250813</v>
      </c>
      <c r="R40">
        <v>460417</v>
      </c>
      <c r="S40">
        <v>65461</v>
      </c>
      <c r="T40">
        <v>46303</v>
      </c>
      <c r="U40">
        <v>384036</v>
      </c>
      <c r="V40">
        <v>25330</v>
      </c>
      <c r="W40">
        <v>243245</v>
      </c>
      <c r="X40">
        <v>910</v>
      </c>
      <c r="Y40">
        <v>91482</v>
      </c>
      <c r="Z40">
        <v>427701</v>
      </c>
      <c r="AA40">
        <v>188390</v>
      </c>
      <c r="AB40">
        <v>250248</v>
      </c>
      <c r="AC40">
        <v>459977</v>
      </c>
      <c r="AD40">
        <v>35845</v>
      </c>
      <c r="AE40">
        <v>281256</v>
      </c>
      <c r="AF40">
        <v>39296</v>
      </c>
      <c r="AG40">
        <v>93000</v>
      </c>
      <c r="AH40">
        <v>450949</v>
      </c>
      <c r="AI40">
        <v>120983</v>
      </c>
      <c r="AJ40">
        <v>237389</v>
      </c>
      <c r="AK40">
        <v>178572</v>
      </c>
      <c r="AL40">
        <v>18354</v>
      </c>
      <c r="AM40">
        <v>1771190</v>
      </c>
      <c r="AN40">
        <v>15498415</v>
      </c>
      <c r="AO40">
        <v>1753075785</v>
      </c>
      <c r="AP40">
        <v>191768620</v>
      </c>
      <c r="AQ40">
        <v>4126709</v>
      </c>
      <c r="AR40">
        <v>182158</v>
      </c>
      <c r="AS40">
        <v>88463</v>
      </c>
      <c r="AT40">
        <v>3569069</v>
      </c>
      <c r="AU40">
        <v>21105287</v>
      </c>
      <c r="AV40">
        <v>59838</v>
      </c>
      <c r="AW40">
        <v>44503623</v>
      </c>
      <c r="AX40">
        <v>43917782</v>
      </c>
      <c r="AY40">
        <v>11783869</v>
      </c>
      <c r="AZ40">
        <v>8621476</v>
      </c>
      <c r="BA40">
        <v>2883208</v>
      </c>
      <c r="BB40">
        <v>16985763</v>
      </c>
      <c r="BC40">
        <v>17012519</v>
      </c>
      <c r="BD40">
        <v>1917524</v>
      </c>
      <c r="BE40">
        <v>72548698</v>
      </c>
      <c r="BF40">
        <v>36910017</v>
      </c>
      <c r="BG40">
        <v>142729036</v>
      </c>
      <c r="BH40">
        <v>8622414</v>
      </c>
      <c r="BI40">
        <v>2406026849</v>
      </c>
      <c r="BJ40">
        <v>227908868</v>
      </c>
      <c r="BK40">
        <v>13219792</v>
      </c>
      <c r="BL40">
        <v>655006360</v>
      </c>
      <c r="BM40">
        <v>554015860</v>
      </c>
      <c r="BN40">
        <v>2175521572</v>
      </c>
      <c r="BO40">
        <v>1002657</v>
      </c>
      <c r="BP40">
        <v>3626675109</v>
      </c>
      <c r="BQ40">
        <v>6032701958</v>
      </c>
      <c r="BR40">
        <v>-1993006357</v>
      </c>
      <c r="BS40">
        <v>-15307320</v>
      </c>
      <c r="BT40">
        <v>-37966412</v>
      </c>
      <c r="BU40">
        <v>-1978283</v>
      </c>
      <c r="BV40">
        <v>-2048258372</v>
      </c>
      <c r="BW40">
        <v>-303621563</v>
      </c>
      <c r="BX40">
        <v>-226256260</v>
      </c>
      <c r="BY40">
        <v>-47314118</v>
      </c>
      <c r="BZ40">
        <v>-577191941</v>
      </c>
      <c r="CA40">
        <v>3407251645</v>
      </c>
      <c r="CB40">
        <v>6032701958</v>
      </c>
      <c r="CC40">
        <f t="shared" si="0"/>
        <v>36.078762785781237</v>
      </c>
    </row>
    <row r="41" spans="1:81">
      <c r="A41" s="11">
        <v>40</v>
      </c>
      <c r="B41" s="8" t="s">
        <v>131</v>
      </c>
      <c r="C41">
        <v>373720</v>
      </c>
      <c r="D41">
        <v>114877</v>
      </c>
      <c r="E41">
        <v>39389</v>
      </c>
      <c r="F41">
        <v>14400</v>
      </c>
      <c r="G41">
        <v>8125579</v>
      </c>
      <c r="H41">
        <v>52638</v>
      </c>
      <c r="I41">
        <v>93414</v>
      </c>
      <c r="J41">
        <v>1862939</v>
      </c>
      <c r="K41">
        <v>1337411</v>
      </c>
      <c r="L41">
        <v>459412</v>
      </c>
      <c r="M41">
        <v>210767</v>
      </c>
      <c r="N41">
        <v>4642977</v>
      </c>
      <c r="O41">
        <v>6157</v>
      </c>
      <c r="P41">
        <v>9136478</v>
      </c>
      <c r="Q41">
        <v>836120</v>
      </c>
      <c r="R41">
        <v>1024451</v>
      </c>
      <c r="S41">
        <v>305464</v>
      </c>
      <c r="T41">
        <v>247592</v>
      </c>
      <c r="U41">
        <v>765803</v>
      </c>
      <c r="V41">
        <v>85323</v>
      </c>
      <c r="W41">
        <v>2181959</v>
      </c>
      <c r="X41">
        <v>2238</v>
      </c>
      <c r="Y41">
        <v>157489</v>
      </c>
      <c r="Z41">
        <v>494754</v>
      </c>
      <c r="AA41">
        <v>222659</v>
      </c>
      <c r="AB41">
        <v>62601</v>
      </c>
      <c r="AC41">
        <v>1553153</v>
      </c>
      <c r="AD41">
        <v>40977</v>
      </c>
      <c r="AE41">
        <v>666398</v>
      </c>
      <c r="AF41">
        <v>567093</v>
      </c>
      <c r="AG41">
        <v>883377</v>
      </c>
      <c r="AH41">
        <v>1798958</v>
      </c>
      <c r="AI41">
        <v>588376</v>
      </c>
      <c r="AJ41">
        <v>275692</v>
      </c>
      <c r="AK41">
        <v>165480</v>
      </c>
      <c r="AL41">
        <v>79299</v>
      </c>
      <c r="AM41">
        <v>807431</v>
      </c>
      <c r="AN41">
        <v>3324662</v>
      </c>
      <c r="AO41">
        <v>8131843</v>
      </c>
      <c r="AP41">
        <v>476531360</v>
      </c>
      <c r="AQ41">
        <v>309271</v>
      </c>
      <c r="AR41">
        <v>189346</v>
      </c>
      <c r="AS41">
        <v>385735</v>
      </c>
      <c r="AT41">
        <v>2014696</v>
      </c>
      <c r="AU41">
        <v>2953713</v>
      </c>
      <c r="AV41">
        <v>78856</v>
      </c>
      <c r="AW41">
        <v>1605610</v>
      </c>
      <c r="AX41">
        <v>3061678</v>
      </c>
      <c r="AY41">
        <v>20799109</v>
      </c>
      <c r="AZ41">
        <v>1521243</v>
      </c>
      <c r="BA41">
        <v>150650315</v>
      </c>
      <c r="BB41">
        <v>2449300</v>
      </c>
      <c r="BC41">
        <v>9542714</v>
      </c>
      <c r="BD41">
        <v>604956</v>
      </c>
      <c r="BE41">
        <v>14589888</v>
      </c>
      <c r="BF41">
        <v>9797914</v>
      </c>
      <c r="BG41">
        <v>5857794</v>
      </c>
      <c r="BH41">
        <v>15237789</v>
      </c>
      <c r="BI41">
        <v>769920637</v>
      </c>
      <c r="BJ41">
        <v>373672841</v>
      </c>
      <c r="BK41">
        <v>4966017</v>
      </c>
      <c r="BL41">
        <v>755219295</v>
      </c>
      <c r="BM41">
        <v>45949449</v>
      </c>
      <c r="BN41">
        <v>1027702174</v>
      </c>
      <c r="BO41">
        <v>0</v>
      </c>
      <c r="BP41">
        <v>2207509776</v>
      </c>
      <c r="BQ41">
        <v>2977430413</v>
      </c>
      <c r="BR41">
        <v>-382559680</v>
      </c>
      <c r="BS41">
        <v>-22378296</v>
      </c>
      <c r="BT41">
        <v>-50952964</v>
      </c>
      <c r="BU41">
        <v>0</v>
      </c>
      <c r="BV41">
        <v>-455890940</v>
      </c>
      <c r="BW41">
        <v>-160472892</v>
      </c>
      <c r="BX41">
        <v>-157814937</v>
      </c>
      <c r="BY41">
        <v>-20049789</v>
      </c>
      <c r="BZ41">
        <v>-338337618</v>
      </c>
      <c r="CA41">
        <v>2183201855</v>
      </c>
      <c r="CB41">
        <v>2977430413</v>
      </c>
      <c r="CC41">
        <f t="shared" si="0"/>
        <v>34.516412860998066</v>
      </c>
    </row>
    <row r="42" spans="1:81">
      <c r="A42" s="11">
        <v>41</v>
      </c>
      <c r="B42" s="8" t="s">
        <v>132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3567187</v>
      </c>
      <c r="N42">
        <v>0</v>
      </c>
      <c r="O42">
        <v>426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11047837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16207608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30823058</v>
      </c>
      <c r="BJ42">
        <v>228772</v>
      </c>
      <c r="BK42">
        <v>101324</v>
      </c>
      <c r="BL42">
        <v>114957101</v>
      </c>
      <c r="BM42">
        <v>11923291</v>
      </c>
      <c r="BN42">
        <v>34122492</v>
      </c>
      <c r="BO42">
        <v>0</v>
      </c>
      <c r="BP42">
        <v>161332980</v>
      </c>
      <c r="BQ42">
        <v>192156038</v>
      </c>
      <c r="BR42">
        <v>-67945117</v>
      </c>
      <c r="BS42">
        <v>-562370</v>
      </c>
      <c r="BT42">
        <v>-1320879</v>
      </c>
      <c r="BU42">
        <v>0</v>
      </c>
      <c r="BV42">
        <v>-69828366</v>
      </c>
      <c r="BW42">
        <v>-7145384</v>
      </c>
      <c r="BX42">
        <v>-990883</v>
      </c>
      <c r="BY42">
        <v>-1164748</v>
      </c>
      <c r="BZ42">
        <v>-9301015</v>
      </c>
      <c r="CA42">
        <v>113026657</v>
      </c>
      <c r="CB42">
        <v>192156038</v>
      </c>
      <c r="CC42">
        <f t="shared" si="0"/>
        <v>17.757699604526607</v>
      </c>
    </row>
    <row r="43" spans="1:81">
      <c r="A43" s="11">
        <v>42</v>
      </c>
      <c r="B43" s="8" t="s">
        <v>133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8841183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3148395</v>
      </c>
      <c r="AN43">
        <v>0</v>
      </c>
      <c r="AO43">
        <v>0</v>
      </c>
      <c r="AP43">
        <v>0</v>
      </c>
      <c r="AQ43">
        <v>40927</v>
      </c>
      <c r="AR43">
        <v>17375565</v>
      </c>
      <c r="AS43">
        <v>470050</v>
      </c>
      <c r="AT43">
        <v>4151513</v>
      </c>
      <c r="AU43">
        <v>0</v>
      </c>
      <c r="AV43">
        <v>0</v>
      </c>
      <c r="AW43">
        <v>0</v>
      </c>
      <c r="AX43">
        <v>0</v>
      </c>
      <c r="AY43">
        <v>1367232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605010</v>
      </c>
      <c r="BF43">
        <v>0</v>
      </c>
      <c r="BG43">
        <v>236262</v>
      </c>
      <c r="BH43">
        <v>394655</v>
      </c>
      <c r="BI43">
        <v>36630792</v>
      </c>
      <c r="BJ43">
        <v>74330917</v>
      </c>
      <c r="BK43">
        <v>0</v>
      </c>
      <c r="BL43">
        <v>0</v>
      </c>
      <c r="BM43">
        <v>4230148</v>
      </c>
      <c r="BN43">
        <v>55757274</v>
      </c>
      <c r="BO43">
        <v>1715154</v>
      </c>
      <c r="BP43">
        <v>136033493</v>
      </c>
      <c r="BQ43">
        <v>172664285</v>
      </c>
      <c r="BR43">
        <v>-60167939</v>
      </c>
      <c r="BS43">
        <v>-1882149</v>
      </c>
      <c r="BT43">
        <v>-2225741</v>
      </c>
      <c r="BU43">
        <v>-588010</v>
      </c>
      <c r="BV43">
        <v>-64863839</v>
      </c>
      <c r="BW43">
        <v>-10045245</v>
      </c>
      <c r="BX43">
        <v>-9326243</v>
      </c>
      <c r="BY43">
        <v>-941154</v>
      </c>
      <c r="BZ43">
        <v>-20312642</v>
      </c>
      <c r="CA43">
        <v>87487804</v>
      </c>
      <c r="CB43">
        <v>172664285</v>
      </c>
      <c r="CC43">
        <f t="shared" si="0"/>
        <v>33.285649084870101</v>
      </c>
    </row>
    <row r="44" spans="1:81">
      <c r="A44" s="11">
        <v>43</v>
      </c>
      <c r="B44" s="8" t="s">
        <v>134</v>
      </c>
      <c r="C44">
        <v>5485</v>
      </c>
      <c r="D44">
        <v>42865</v>
      </c>
      <c r="E44">
        <v>1736</v>
      </c>
      <c r="F44">
        <v>961</v>
      </c>
      <c r="G44">
        <v>5501111</v>
      </c>
      <c r="H44">
        <v>0</v>
      </c>
      <c r="I44">
        <v>0</v>
      </c>
      <c r="J44">
        <v>1042918</v>
      </c>
      <c r="K44">
        <v>328419</v>
      </c>
      <c r="L44">
        <v>254138</v>
      </c>
      <c r="M44">
        <v>198727</v>
      </c>
      <c r="N44">
        <v>0</v>
      </c>
      <c r="O44">
        <v>0</v>
      </c>
      <c r="P44">
        <v>284355</v>
      </c>
      <c r="Q44">
        <v>62285</v>
      </c>
      <c r="R44">
        <v>21780</v>
      </c>
      <c r="S44">
        <v>527</v>
      </c>
      <c r="T44">
        <v>4929</v>
      </c>
      <c r="U44">
        <v>64520</v>
      </c>
      <c r="V44">
        <v>0</v>
      </c>
      <c r="W44">
        <v>67293</v>
      </c>
      <c r="X44">
        <v>0</v>
      </c>
      <c r="Y44">
        <v>16079</v>
      </c>
      <c r="Z44">
        <v>0</v>
      </c>
      <c r="AA44">
        <v>0</v>
      </c>
      <c r="AB44">
        <v>0</v>
      </c>
      <c r="AC44">
        <v>0</v>
      </c>
      <c r="AD44">
        <v>235427</v>
      </c>
      <c r="AE44">
        <v>384046</v>
      </c>
      <c r="AF44">
        <v>0</v>
      </c>
      <c r="AG44">
        <v>88958</v>
      </c>
      <c r="AH44">
        <v>0</v>
      </c>
      <c r="AI44">
        <v>20581</v>
      </c>
      <c r="AJ44">
        <v>495943</v>
      </c>
      <c r="AK44">
        <v>0</v>
      </c>
      <c r="AL44">
        <v>0</v>
      </c>
      <c r="AM44">
        <v>1606135</v>
      </c>
      <c r="AN44">
        <v>953271</v>
      </c>
      <c r="AO44">
        <v>3384380</v>
      </c>
      <c r="AP44">
        <v>2425686</v>
      </c>
      <c r="AQ44">
        <v>2696168</v>
      </c>
      <c r="AR44">
        <v>68339</v>
      </c>
      <c r="AS44">
        <v>66816170</v>
      </c>
      <c r="AT44">
        <v>4745886</v>
      </c>
      <c r="AU44">
        <v>605614</v>
      </c>
      <c r="AV44">
        <v>0</v>
      </c>
      <c r="AW44">
        <v>11483325</v>
      </c>
      <c r="AX44">
        <v>5979014</v>
      </c>
      <c r="AY44">
        <v>4225478</v>
      </c>
      <c r="AZ44">
        <v>242955</v>
      </c>
      <c r="BA44">
        <v>4198818</v>
      </c>
      <c r="BB44">
        <v>0</v>
      </c>
      <c r="BC44">
        <v>0</v>
      </c>
      <c r="BD44">
        <v>0</v>
      </c>
      <c r="BE44">
        <v>1119138</v>
      </c>
      <c r="BF44">
        <v>772153</v>
      </c>
      <c r="BG44">
        <v>476769</v>
      </c>
      <c r="BH44">
        <v>456103</v>
      </c>
      <c r="BI44">
        <v>121378485</v>
      </c>
      <c r="BJ44">
        <v>22176032</v>
      </c>
      <c r="BK44">
        <v>56810</v>
      </c>
      <c r="BL44">
        <v>17271136</v>
      </c>
      <c r="BM44">
        <v>82632447</v>
      </c>
      <c r="BN44">
        <v>100669375</v>
      </c>
      <c r="BO44">
        <v>75464</v>
      </c>
      <c r="BP44">
        <v>222881264</v>
      </c>
      <c r="BQ44">
        <v>344259749</v>
      </c>
      <c r="BR44">
        <v>-21342735</v>
      </c>
      <c r="BS44">
        <v>-343084</v>
      </c>
      <c r="BT44">
        <v>-1436560</v>
      </c>
      <c r="BU44">
        <v>-599</v>
      </c>
      <c r="BV44">
        <v>-23122978</v>
      </c>
      <c r="BW44">
        <v>-28799344</v>
      </c>
      <c r="BX44">
        <v>-22976201</v>
      </c>
      <c r="BY44">
        <v>-3114669</v>
      </c>
      <c r="BZ44">
        <v>-54890214</v>
      </c>
      <c r="CA44">
        <v>266246557</v>
      </c>
      <c r="CB44">
        <v>344259749</v>
      </c>
      <c r="CC44">
        <f t="shared" si="0"/>
        <v>29.26419347386441</v>
      </c>
    </row>
    <row r="45" spans="1:81">
      <c r="A45" s="11">
        <v>44</v>
      </c>
      <c r="B45" s="8" t="s">
        <v>135</v>
      </c>
      <c r="C45">
        <v>10630</v>
      </c>
      <c r="D45">
        <v>463</v>
      </c>
      <c r="E45">
        <v>92</v>
      </c>
      <c r="F45">
        <v>0</v>
      </c>
      <c r="G45">
        <v>143705</v>
      </c>
      <c r="H45">
        <v>0</v>
      </c>
      <c r="I45">
        <v>5065</v>
      </c>
      <c r="J45">
        <v>65555</v>
      </c>
      <c r="K45">
        <v>476462</v>
      </c>
      <c r="L45">
        <v>75364</v>
      </c>
      <c r="M45">
        <v>72626</v>
      </c>
      <c r="N45">
        <v>961500</v>
      </c>
      <c r="O45">
        <v>83</v>
      </c>
      <c r="P45">
        <v>369678</v>
      </c>
      <c r="Q45">
        <v>1051251</v>
      </c>
      <c r="R45">
        <v>693639</v>
      </c>
      <c r="S45">
        <v>90103</v>
      </c>
      <c r="T45">
        <v>37854</v>
      </c>
      <c r="U45">
        <v>278994</v>
      </c>
      <c r="V45">
        <v>12998</v>
      </c>
      <c r="W45">
        <v>420253</v>
      </c>
      <c r="X45">
        <v>3722</v>
      </c>
      <c r="Y45">
        <v>74562</v>
      </c>
      <c r="Z45">
        <v>10617466</v>
      </c>
      <c r="AA45">
        <v>390953</v>
      </c>
      <c r="AB45">
        <v>665214</v>
      </c>
      <c r="AC45">
        <v>627273</v>
      </c>
      <c r="AD45">
        <v>32271</v>
      </c>
      <c r="AE45">
        <v>945936</v>
      </c>
      <c r="AF45">
        <v>78343</v>
      </c>
      <c r="AG45">
        <v>648199</v>
      </c>
      <c r="AH45">
        <v>949629</v>
      </c>
      <c r="AI45">
        <v>343648</v>
      </c>
      <c r="AJ45">
        <v>193661</v>
      </c>
      <c r="AK45">
        <v>252999</v>
      </c>
      <c r="AL45">
        <v>60081</v>
      </c>
      <c r="AM45">
        <v>532989</v>
      </c>
      <c r="AN45">
        <v>2031721</v>
      </c>
      <c r="AO45">
        <v>18951629</v>
      </c>
      <c r="AP45">
        <v>4955104</v>
      </c>
      <c r="AQ45">
        <v>128116</v>
      </c>
      <c r="AR45">
        <v>3249233</v>
      </c>
      <c r="AS45">
        <v>782316</v>
      </c>
      <c r="AT45">
        <v>497965378</v>
      </c>
      <c r="AU45">
        <v>922507</v>
      </c>
      <c r="AV45">
        <v>296447</v>
      </c>
      <c r="AW45">
        <v>361820</v>
      </c>
      <c r="AX45">
        <v>1608341</v>
      </c>
      <c r="AY45">
        <v>3307461</v>
      </c>
      <c r="AZ45">
        <v>1664735</v>
      </c>
      <c r="BA45">
        <v>1370862</v>
      </c>
      <c r="BB45">
        <v>1207059</v>
      </c>
      <c r="BC45">
        <v>5200859</v>
      </c>
      <c r="BD45">
        <v>573739</v>
      </c>
      <c r="BE45">
        <v>21172129</v>
      </c>
      <c r="BF45">
        <v>75341943</v>
      </c>
      <c r="BG45">
        <v>13709020</v>
      </c>
      <c r="BH45">
        <v>5731952</v>
      </c>
      <c r="BI45">
        <v>681715632</v>
      </c>
      <c r="BJ45">
        <v>212845353</v>
      </c>
      <c r="BK45">
        <v>21933718</v>
      </c>
      <c r="BL45">
        <v>168232534</v>
      </c>
      <c r="BM45">
        <v>244746842</v>
      </c>
      <c r="BN45">
        <v>564184975</v>
      </c>
      <c r="BO45">
        <v>5374352</v>
      </c>
      <c r="BP45">
        <v>1217317774</v>
      </c>
      <c r="BQ45">
        <v>1899033406</v>
      </c>
      <c r="BR45">
        <v>-364884998</v>
      </c>
      <c r="BS45">
        <v>-2854316</v>
      </c>
      <c r="BT45">
        <v>-17835771</v>
      </c>
      <c r="BU45">
        <v>-6422291</v>
      </c>
      <c r="BV45">
        <v>-391997376</v>
      </c>
      <c r="BW45">
        <v>-96610091</v>
      </c>
      <c r="BX45">
        <v>-109460565</v>
      </c>
      <c r="BY45">
        <v>-7589209</v>
      </c>
      <c r="BZ45">
        <v>-213659865</v>
      </c>
      <c r="CA45">
        <v>1293376165</v>
      </c>
      <c r="CB45">
        <v>1899033406</v>
      </c>
      <c r="CC45">
        <f t="shared" si="0"/>
        <v>29.992064657760949</v>
      </c>
    </row>
    <row r="46" spans="1:81">
      <c r="A46" s="11">
        <v>45</v>
      </c>
      <c r="B46" s="8" t="s">
        <v>136</v>
      </c>
      <c r="C46">
        <v>39678</v>
      </c>
      <c r="D46">
        <v>1798</v>
      </c>
      <c r="E46">
        <v>16382</v>
      </c>
      <c r="F46">
        <v>595</v>
      </c>
      <c r="G46">
        <v>2972218</v>
      </c>
      <c r="H46">
        <v>117630</v>
      </c>
      <c r="I46">
        <v>306378</v>
      </c>
      <c r="J46">
        <v>636383</v>
      </c>
      <c r="K46">
        <v>3351599</v>
      </c>
      <c r="L46">
        <v>22855</v>
      </c>
      <c r="M46">
        <v>960016</v>
      </c>
      <c r="N46">
        <v>1960074</v>
      </c>
      <c r="O46">
        <v>4732</v>
      </c>
      <c r="P46">
        <v>2820778</v>
      </c>
      <c r="Q46">
        <v>15240372</v>
      </c>
      <c r="R46">
        <v>14130649</v>
      </c>
      <c r="S46">
        <v>11594641</v>
      </c>
      <c r="T46">
        <v>2367334</v>
      </c>
      <c r="U46">
        <v>15216086</v>
      </c>
      <c r="V46">
        <v>1346367</v>
      </c>
      <c r="W46">
        <v>7883063</v>
      </c>
      <c r="X46">
        <v>111186</v>
      </c>
      <c r="Y46">
        <v>13167223</v>
      </c>
      <c r="Z46">
        <v>7346637</v>
      </c>
      <c r="AA46">
        <v>5747087</v>
      </c>
      <c r="AB46">
        <v>1632622</v>
      </c>
      <c r="AC46">
        <v>69114559</v>
      </c>
      <c r="AD46">
        <v>1082098</v>
      </c>
      <c r="AE46">
        <v>10377361</v>
      </c>
      <c r="AF46">
        <v>26505494</v>
      </c>
      <c r="AG46">
        <v>7336351</v>
      </c>
      <c r="AH46">
        <v>31708797</v>
      </c>
      <c r="AI46">
        <v>10938238</v>
      </c>
      <c r="AJ46">
        <v>11481055</v>
      </c>
      <c r="AK46">
        <v>12138123</v>
      </c>
      <c r="AL46">
        <v>3139207</v>
      </c>
      <c r="AM46">
        <v>8583184</v>
      </c>
      <c r="AN46">
        <v>8989664</v>
      </c>
      <c r="AO46">
        <v>45006251</v>
      </c>
      <c r="AP46">
        <v>36010944</v>
      </c>
      <c r="AQ46">
        <v>2571562</v>
      </c>
      <c r="AR46">
        <v>1117194</v>
      </c>
      <c r="AS46">
        <v>6682382</v>
      </c>
      <c r="AT46">
        <v>15030187</v>
      </c>
      <c r="AU46">
        <v>452468230</v>
      </c>
      <c r="AV46">
        <v>8191830</v>
      </c>
      <c r="AW46">
        <v>5841657</v>
      </c>
      <c r="AX46">
        <v>953730</v>
      </c>
      <c r="AY46">
        <v>65534715</v>
      </c>
      <c r="AZ46">
        <v>72031617</v>
      </c>
      <c r="BA46">
        <v>109690959</v>
      </c>
      <c r="BB46">
        <v>15917648</v>
      </c>
      <c r="BC46">
        <v>21286235</v>
      </c>
      <c r="BD46">
        <v>24293893</v>
      </c>
      <c r="BE46">
        <v>13351247</v>
      </c>
      <c r="BF46">
        <v>42529908</v>
      </c>
      <c r="BG46">
        <v>30150131</v>
      </c>
      <c r="BH46">
        <v>2538385</v>
      </c>
      <c r="BI46">
        <v>1281587219</v>
      </c>
      <c r="BJ46">
        <v>355558350</v>
      </c>
      <c r="BK46">
        <v>51460693</v>
      </c>
      <c r="BL46">
        <v>0</v>
      </c>
      <c r="BM46">
        <v>0</v>
      </c>
      <c r="BN46">
        <v>8557486</v>
      </c>
      <c r="BO46">
        <v>1061</v>
      </c>
      <c r="BP46">
        <v>415577590</v>
      </c>
      <c r="BQ46">
        <v>1697164809</v>
      </c>
      <c r="BR46">
        <v>-132116469</v>
      </c>
      <c r="BS46">
        <v>0</v>
      </c>
      <c r="BT46">
        <v>-10131237</v>
      </c>
      <c r="BU46">
        <v>-760</v>
      </c>
      <c r="BV46">
        <v>-142248466</v>
      </c>
      <c r="BW46">
        <v>-5223352</v>
      </c>
      <c r="BX46">
        <v>-7959250</v>
      </c>
      <c r="BY46">
        <v>-1341292</v>
      </c>
      <c r="BZ46">
        <v>-14523894</v>
      </c>
      <c r="CA46">
        <v>1540392449</v>
      </c>
      <c r="CB46">
        <v>1697164809</v>
      </c>
      <c r="CC46">
        <f t="shared" si="0"/>
        <v>0.50428496717669102</v>
      </c>
    </row>
    <row r="47" spans="1:81">
      <c r="A47" s="11">
        <v>46</v>
      </c>
      <c r="B47" s="8" t="s">
        <v>137</v>
      </c>
      <c r="C47">
        <v>200462</v>
      </c>
      <c r="D47">
        <v>28166</v>
      </c>
      <c r="E47">
        <v>42901</v>
      </c>
      <c r="F47">
        <v>19</v>
      </c>
      <c r="G47">
        <v>1026394</v>
      </c>
      <c r="H47">
        <v>15122</v>
      </c>
      <c r="I47">
        <v>30349</v>
      </c>
      <c r="J47">
        <v>151888</v>
      </c>
      <c r="K47">
        <v>483908</v>
      </c>
      <c r="L47">
        <v>1810</v>
      </c>
      <c r="M47">
        <v>18018</v>
      </c>
      <c r="N47">
        <v>3620</v>
      </c>
      <c r="O47">
        <v>0</v>
      </c>
      <c r="P47">
        <v>65999</v>
      </c>
      <c r="Q47">
        <v>740999</v>
      </c>
      <c r="R47">
        <v>624512</v>
      </c>
      <c r="S47">
        <v>61992</v>
      </c>
      <c r="T47">
        <v>71699</v>
      </c>
      <c r="U47">
        <v>1500502</v>
      </c>
      <c r="V47">
        <v>17019</v>
      </c>
      <c r="W47">
        <v>1716650</v>
      </c>
      <c r="X47">
        <v>3552</v>
      </c>
      <c r="Y47">
        <v>117784</v>
      </c>
      <c r="Z47">
        <v>109091</v>
      </c>
      <c r="AA47">
        <v>240453</v>
      </c>
      <c r="AB47">
        <v>21459</v>
      </c>
      <c r="AC47">
        <v>1042790</v>
      </c>
      <c r="AD47">
        <v>37780</v>
      </c>
      <c r="AE47">
        <v>247997</v>
      </c>
      <c r="AF47">
        <v>86675</v>
      </c>
      <c r="AG47">
        <v>115600</v>
      </c>
      <c r="AH47">
        <v>263757</v>
      </c>
      <c r="AI47">
        <v>261608</v>
      </c>
      <c r="AJ47">
        <v>110675</v>
      </c>
      <c r="AK47">
        <v>21244</v>
      </c>
      <c r="AL47">
        <v>12110</v>
      </c>
      <c r="AM47">
        <v>102616</v>
      </c>
      <c r="AN47">
        <v>114271</v>
      </c>
      <c r="AO47">
        <v>991204</v>
      </c>
      <c r="AP47">
        <v>705358</v>
      </c>
      <c r="AQ47">
        <v>40909</v>
      </c>
      <c r="AR47">
        <v>37821</v>
      </c>
      <c r="AS47">
        <v>83785</v>
      </c>
      <c r="AT47">
        <v>340288</v>
      </c>
      <c r="AU47">
        <v>200866</v>
      </c>
      <c r="AV47">
        <v>2240731</v>
      </c>
      <c r="AW47">
        <v>281073</v>
      </c>
      <c r="AX47">
        <v>59024</v>
      </c>
      <c r="AY47">
        <v>2663435</v>
      </c>
      <c r="AZ47">
        <v>2605395</v>
      </c>
      <c r="BA47">
        <v>429229</v>
      </c>
      <c r="BB47">
        <v>394416</v>
      </c>
      <c r="BC47">
        <v>830719</v>
      </c>
      <c r="BD47">
        <v>1060553</v>
      </c>
      <c r="BE47">
        <v>1217750</v>
      </c>
      <c r="BF47">
        <v>1299285</v>
      </c>
      <c r="BG47">
        <v>1721815</v>
      </c>
      <c r="BH47">
        <v>17504</v>
      </c>
      <c r="BI47">
        <v>26932651</v>
      </c>
      <c r="BJ47">
        <v>36276529</v>
      </c>
      <c r="BK47">
        <v>8054354</v>
      </c>
      <c r="BL47">
        <v>0</v>
      </c>
      <c r="BM47">
        <v>0</v>
      </c>
      <c r="BN47">
        <v>0</v>
      </c>
      <c r="BO47">
        <v>0</v>
      </c>
      <c r="BP47">
        <v>44330883</v>
      </c>
      <c r="BQ47">
        <v>71263534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71263534</v>
      </c>
      <c r="CB47">
        <v>71263534</v>
      </c>
      <c r="CC47">
        <f t="shared" si="0"/>
        <v>0</v>
      </c>
    </row>
    <row r="48" spans="1:81">
      <c r="A48" s="11">
        <v>47</v>
      </c>
      <c r="B48" s="8" t="s">
        <v>138</v>
      </c>
      <c r="C48">
        <v>68970</v>
      </c>
      <c r="D48">
        <v>5270</v>
      </c>
      <c r="E48">
        <v>0</v>
      </c>
      <c r="F48">
        <v>0</v>
      </c>
      <c r="G48">
        <v>64535</v>
      </c>
      <c r="H48">
        <v>0</v>
      </c>
      <c r="I48">
        <v>1481</v>
      </c>
      <c r="J48">
        <v>118811</v>
      </c>
      <c r="K48">
        <v>693608</v>
      </c>
      <c r="L48">
        <v>1486</v>
      </c>
      <c r="M48">
        <v>58869</v>
      </c>
      <c r="N48">
        <v>30188</v>
      </c>
      <c r="O48">
        <v>0</v>
      </c>
      <c r="P48">
        <v>88768</v>
      </c>
      <c r="Q48">
        <v>255680</v>
      </c>
      <c r="R48">
        <v>606241</v>
      </c>
      <c r="S48">
        <v>199855</v>
      </c>
      <c r="T48">
        <v>90784</v>
      </c>
      <c r="U48">
        <v>191347</v>
      </c>
      <c r="V48">
        <v>32709</v>
      </c>
      <c r="W48">
        <v>251228</v>
      </c>
      <c r="X48">
        <v>6298</v>
      </c>
      <c r="Y48">
        <v>110734</v>
      </c>
      <c r="Z48">
        <v>160077</v>
      </c>
      <c r="AA48">
        <v>166994</v>
      </c>
      <c r="AB48">
        <v>76735</v>
      </c>
      <c r="AC48">
        <v>561669</v>
      </c>
      <c r="AD48">
        <v>52615</v>
      </c>
      <c r="AE48">
        <v>378171</v>
      </c>
      <c r="AF48">
        <v>113748</v>
      </c>
      <c r="AG48">
        <v>194454</v>
      </c>
      <c r="AH48">
        <v>216878</v>
      </c>
      <c r="AI48">
        <v>181692</v>
      </c>
      <c r="AJ48">
        <v>246210</v>
      </c>
      <c r="AK48">
        <v>112238</v>
      </c>
      <c r="AL48">
        <v>40946</v>
      </c>
      <c r="AM48">
        <v>385592</v>
      </c>
      <c r="AN48">
        <v>221634</v>
      </c>
      <c r="AO48">
        <v>1082095</v>
      </c>
      <c r="AP48">
        <v>759797</v>
      </c>
      <c r="AQ48">
        <v>66503</v>
      </c>
      <c r="AR48">
        <v>50381</v>
      </c>
      <c r="AS48">
        <v>148979</v>
      </c>
      <c r="AT48">
        <v>373471</v>
      </c>
      <c r="AU48">
        <v>1770619</v>
      </c>
      <c r="AV48">
        <v>0</v>
      </c>
      <c r="AW48">
        <v>173721</v>
      </c>
      <c r="AX48">
        <v>234655</v>
      </c>
      <c r="AY48">
        <v>3434818</v>
      </c>
      <c r="AZ48">
        <v>2375560</v>
      </c>
      <c r="BA48">
        <v>586004</v>
      </c>
      <c r="BB48">
        <v>29513</v>
      </c>
      <c r="BC48">
        <v>1350426</v>
      </c>
      <c r="BD48">
        <v>2103181</v>
      </c>
      <c r="BE48">
        <v>1475534</v>
      </c>
      <c r="BF48">
        <v>4677687</v>
      </c>
      <c r="BG48">
        <v>3232665</v>
      </c>
      <c r="BH48">
        <v>80444</v>
      </c>
      <c r="BI48">
        <v>29992568</v>
      </c>
      <c r="BJ48">
        <v>7177730</v>
      </c>
      <c r="BK48">
        <v>3682908</v>
      </c>
      <c r="BL48">
        <v>571863768</v>
      </c>
      <c r="BM48">
        <v>0</v>
      </c>
      <c r="BN48">
        <v>0</v>
      </c>
      <c r="BO48">
        <v>0</v>
      </c>
      <c r="BP48">
        <v>582724406</v>
      </c>
      <c r="BQ48">
        <v>612716974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-3674</v>
      </c>
      <c r="BZ48">
        <v>-3674</v>
      </c>
      <c r="CA48">
        <v>612713300</v>
      </c>
      <c r="CB48">
        <v>612716974</v>
      </c>
      <c r="CC48">
        <f t="shared" si="0"/>
        <v>0</v>
      </c>
    </row>
    <row r="49" spans="1:81">
      <c r="A49" s="11">
        <v>48</v>
      </c>
      <c r="B49" s="8" t="s">
        <v>139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758113275</v>
      </c>
      <c r="BM49">
        <v>0</v>
      </c>
      <c r="BN49">
        <v>0</v>
      </c>
      <c r="BO49">
        <v>0</v>
      </c>
      <c r="BP49">
        <v>758113275</v>
      </c>
      <c r="BQ49">
        <v>758113275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758113275</v>
      </c>
      <c r="CB49">
        <v>758113275</v>
      </c>
      <c r="CC49">
        <f t="shared" si="0"/>
        <v>0</v>
      </c>
    </row>
    <row r="50" spans="1:81">
      <c r="A50" s="11">
        <v>49</v>
      </c>
      <c r="B50" s="8" t="s">
        <v>140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11026474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11026474</v>
      </c>
      <c r="BQ50">
        <v>11026474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1840342700</v>
      </c>
      <c r="BX50">
        <v>1434957076</v>
      </c>
      <c r="BY50">
        <v>0</v>
      </c>
      <c r="BZ50">
        <v>3275299776</v>
      </c>
      <c r="CA50">
        <v>3286326250</v>
      </c>
      <c r="CB50">
        <v>11026474</v>
      </c>
      <c r="CC50">
        <f t="shared" si="0"/>
        <v>0</v>
      </c>
    </row>
    <row r="51" spans="1:81">
      <c r="A51" s="11">
        <v>50</v>
      </c>
      <c r="B51" s="8" t="s">
        <v>141</v>
      </c>
      <c r="C51">
        <v>0</v>
      </c>
      <c r="D51">
        <v>0</v>
      </c>
      <c r="E51">
        <v>0</v>
      </c>
      <c r="F51">
        <v>0</v>
      </c>
      <c r="G51">
        <v>4789505</v>
      </c>
      <c r="H51">
        <v>0</v>
      </c>
      <c r="I51">
        <v>0</v>
      </c>
      <c r="J51">
        <v>995518</v>
      </c>
      <c r="K51">
        <v>585196</v>
      </c>
      <c r="L51">
        <v>320887</v>
      </c>
      <c r="M51">
        <v>293793</v>
      </c>
      <c r="N51">
        <v>468856</v>
      </c>
      <c r="O51">
        <v>1524</v>
      </c>
      <c r="P51">
        <v>1928020</v>
      </c>
      <c r="Q51">
        <v>430814</v>
      </c>
      <c r="R51">
        <v>1607594</v>
      </c>
      <c r="S51">
        <v>678422</v>
      </c>
      <c r="T51">
        <v>136976</v>
      </c>
      <c r="U51">
        <v>677928</v>
      </c>
      <c r="V51">
        <v>37447</v>
      </c>
      <c r="W51">
        <v>1151470</v>
      </c>
      <c r="X51">
        <v>16990</v>
      </c>
      <c r="Y51">
        <v>223426</v>
      </c>
      <c r="Z51">
        <v>1677548</v>
      </c>
      <c r="AA51">
        <v>240779</v>
      </c>
      <c r="AB51">
        <v>93809</v>
      </c>
      <c r="AC51">
        <v>1233718</v>
      </c>
      <c r="AD51">
        <v>442362</v>
      </c>
      <c r="AE51">
        <v>421317</v>
      </c>
      <c r="AF51">
        <v>449161</v>
      </c>
      <c r="AG51">
        <v>638527</v>
      </c>
      <c r="AH51">
        <v>469863</v>
      </c>
      <c r="AI51">
        <v>265683</v>
      </c>
      <c r="AJ51">
        <v>327475</v>
      </c>
      <c r="AK51">
        <v>304685</v>
      </c>
      <c r="AL51">
        <v>87831</v>
      </c>
      <c r="AM51">
        <v>1050224</v>
      </c>
      <c r="AN51">
        <v>504724</v>
      </c>
      <c r="AO51">
        <v>4119023</v>
      </c>
      <c r="AP51">
        <v>2074471</v>
      </c>
      <c r="AQ51">
        <v>419365</v>
      </c>
      <c r="AR51">
        <v>274804</v>
      </c>
      <c r="AS51">
        <v>788176</v>
      </c>
      <c r="AT51">
        <v>1804474</v>
      </c>
      <c r="AU51">
        <v>1239150</v>
      </c>
      <c r="AV51">
        <v>41242</v>
      </c>
      <c r="AW51">
        <v>1983099</v>
      </c>
      <c r="AX51">
        <v>2020220</v>
      </c>
      <c r="AY51">
        <v>22961164</v>
      </c>
      <c r="AZ51">
        <v>5121675</v>
      </c>
      <c r="BA51">
        <v>6020784</v>
      </c>
      <c r="BB51">
        <v>84419</v>
      </c>
      <c r="BC51">
        <v>5773836</v>
      </c>
      <c r="BD51">
        <v>897658</v>
      </c>
      <c r="BE51">
        <v>48945992</v>
      </c>
      <c r="BF51">
        <v>25080684</v>
      </c>
      <c r="BG51">
        <v>15216137</v>
      </c>
      <c r="BH51">
        <v>4545930</v>
      </c>
      <c r="BI51">
        <v>171964375</v>
      </c>
      <c r="BJ51">
        <v>1015795492</v>
      </c>
      <c r="BK51">
        <v>68138115</v>
      </c>
      <c r="BL51">
        <v>0</v>
      </c>
      <c r="BM51">
        <v>0</v>
      </c>
      <c r="BN51">
        <v>0</v>
      </c>
      <c r="BO51">
        <v>102435752</v>
      </c>
      <c r="BP51">
        <v>1186369359</v>
      </c>
      <c r="BQ51">
        <v>1358333734</v>
      </c>
      <c r="BR51">
        <v>0</v>
      </c>
      <c r="BS51">
        <v>0</v>
      </c>
      <c r="BT51">
        <v>0</v>
      </c>
      <c r="BU51">
        <v>-65700431</v>
      </c>
      <c r="BV51">
        <v>-65700431</v>
      </c>
      <c r="BW51">
        <v>0</v>
      </c>
      <c r="BX51">
        <v>0</v>
      </c>
      <c r="BY51">
        <v>0</v>
      </c>
      <c r="BZ51">
        <v>0</v>
      </c>
      <c r="CA51">
        <v>1292633303</v>
      </c>
      <c r="CB51">
        <v>1358333734</v>
      </c>
      <c r="CC51">
        <f t="shared" si="0"/>
        <v>7.5412801313819093</v>
      </c>
    </row>
    <row r="52" spans="1:81">
      <c r="A52" s="11">
        <v>51</v>
      </c>
      <c r="B52" s="8" t="s">
        <v>142</v>
      </c>
      <c r="C52">
        <v>596343</v>
      </c>
      <c r="D52">
        <v>113104</v>
      </c>
      <c r="E52">
        <v>165683</v>
      </c>
      <c r="F52">
        <v>1414</v>
      </c>
      <c r="G52">
        <v>2826207</v>
      </c>
      <c r="H52">
        <v>94915</v>
      </c>
      <c r="I52">
        <v>711810</v>
      </c>
      <c r="J52">
        <v>580414</v>
      </c>
      <c r="K52">
        <v>740549</v>
      </c>
      <c r="L52">
        <v>74186</v>
      </c>
      <c r="M52">
        <v>50155</v>
      </c>
      <c r="N52">
        <v>2731389</v>
      </c>
      <c r="O52">
        <v>4654</v>
      </c>
      <c r="P52">
        <v>3861545</v>
      </c>
      <c r="Q52">
        <v>630065</v>
      </c>
      <c r="R52">
        <v>4056965</v>
      </c>
      <c r="S52">
        <v>2045017</v>
      </c>
      <c r="T52">
        <v>642914</v>
      </c>
      <c r="U52">
        <v>1228318</v>
      </c>
      <c r="V52">
        <v>55286</v>
      </c>
      <c r="W52">
        <v>3067723</v>
      </c>
      <c r="X52">
        <v>19163</v>
      </c>
      <c r="Y52">
        <v>687077</v>
      </c>
      <c r="Z52">
        <v>1435690</v>
      </c>
      <c r="AA52">
        <v>418455</v>
      </c>
      <c r="AB52">
        <v>68875</v>
      </c>
      <c r="AC52">
        <v>1723082</v>
      </c>
      <c r="AD52">
        <v>921189</v>
      </c>
      <c r="AE52">
        <v>2050405</v>
      </c>
      <c r="AF52">
        <v>1021435</v>
      </c>
      <c r="AG52">
        <v>1476399</v>
      </c>
      <c r="AH52">
        <v>1862346</v>
      </c>
      <c r="AI52">
        <v>588377</v>
      </c>
      <c r="AJ52">
        <v>832192</v>
      </c>
      <c r="AK52">
        <v>870707</v>
      </c>
      <c r="AL52">
        <v>310184</v>
      </c>
      <c r="AM52">
        <v>2685742</v>
      </c>
      <c r="AN52">
        <v>903322</v>
      </c>
      <c r="AO52">
        <v>16075630</v>
      </c>
      <c r="AP52">
        <v>14256507</v>
      </c>
      <c r="AQ52">
        <v>274455</v>
      </c>
      <c r="AR52">
        <v>406070</v>
      </c>
      <c r="AS52">
        <v>869939</v>
      </c>
      <c r="AT52">
        <v>5914012</v>
      </c>
      <c r="AU52">
        <v>1253293</v>
      </c>
      <c r="AV52">
        <v>11795</v>
      </c>
      <c r="AW52">
        <v>16263255</v>
      </c>
      <c r="AX52">
        <v>31982932</v>
      </c>
      <c r="AY52">
        <v>148059984</v>
      </c>
      <c r="AZ52">
        <v>1599032</v>
      </c>
      <c r="BA52">
        <v>104631682</v>
      </c>
      <c r="BB52">
        <v>8636065</v>
      </c>
      <c r="BC52">
        <v>6143918</v>
      </c>
      <c r="BD52">
        <v>1995592</v>
      </c>
      <c r="BE52">
        <v>20185204</v>
      </c>
      <c r="BF52">
        <v>4330491</v>
      </c>
      <c r="BG52">
        <v>2774658</v>
      </c>
      <c r="BH52">
        <v>8719446</v>
      </c>
      <c r="BI52">
        <v>436537256</v>
      </c>
      <c r="BJ52">
        <v>321944518</v>
      </c>
      <c r="BK52">
        <v>19732042</v>
      </c>
      <c r="BL52">
        <v>0</v>
      </c>
      <c r="BM52">
        <v>0</v>
      </c>
      <c r="BN52">
        <v>0</v>
      </c>
      <c r="BO52">
        <v>250913871</v>
      </c>
      <c r="BP52">
        <v>592590431</v>
      </c>
      <c r="BQ52">
        <v>1029127687</v>
      </c>
      <c r="BR52">
        <v>0</v>
      </c>
      <c r="BS52">
        <v>0</v>
      </c>
      <c r="BT52">
        <v>0</v>
      </c>
      <c r="BU52">
        <v>-117143924</v>
      </c>
      <c r="BV52">
        <v>-117143924</v>
      </c>
      <c r="BW52">
        <v>0</v>
      </c>
      <c r="BX52">
        <v>0</v>
      </c>
      <c r="BY52">
        <v>295640484</v>
      </c>
      <c r="BZ52">
        <v>295640484</v>
      </c>
      <c r="CA52">
        <v>1207624247</v>
      </c>
      <c r="CB52">
        <v>1029127687</v>
      </c>
      <c r="CC52">
        <f t="shared" si="0"/>
        <v>24.381218596055515</v>
      </c>
    </row>
    <row r="53" spans="1:81">
      <c r="A53" s="11">
        <v>52</v>
      </c>
      <c r="B53" s="8" t="s">
        <v>143</v>
      </c>
      <c r="C53">
        <v>1220272</v>
      </c>
      <c r="D53">
        <v>142146</v>
      </c>
      <c r="E53">
        <v>243610</v>
      </c>
      <c r="F53">
        <v>211</v>
      </c>
      <c r="G53">
        <v>3193366</v>
      </c>
      <c r="H53">
        <v>13439</v>
      </c>
      <c r="I53">
        <v>696420</v>
      </c>
      <c r="J53">
        <v>848566</v>
      </c>
      <c r="K53">
        <v>301471</v>
      </c>
      <c r="L53">
        <v>18013</v>
      </c>
      <c r="M53">
        <v>39253</v>
      </c>
      <c r="N53">
        <v>244748</v>
      </c>
      <c r="O53">
        <v>1122</v>
      </c>
      <c r="P53">
        <v>264944</v>
      </c>
      <c r="Q53">
        <v>447899</v>
      </c>
      <c r="R53">
        <v>488319</v>
      </c>
      <c r="S53">
        <v>168067</v>
      </c>
      <c r="T53">
        <v>91163</v>
      </c>
      <c r="U53">
        <v>437762</v>
      </c>
      <c r="V53">
        <v>65247</v>
      </c>
      <c r="W53">
        <v>222566</v>
      </c>
      <c r="X53">
        <v>3516</v>
      </c>
      <c r="Y53">
        <v>171017</v>
      </c>
      <c r="Z53">
        <v>418565</v>
      </c>
      <c r="AA53">
        <v>410663</v>
      </c>
      <c r="AB53">
        <v>68918</v>
      </c>
      <c r="AC53">
        <v>757746</v>
      </c>
      <c r="AD53">
        <v>181145</v>
      </c>
      <c r="AE53">
        <v>415311</v>
      </c>
      <c r="AF53">
        <v>344341</v>
      </c>
      <c r="AG53">
        <v>155081</v>
      </c>
      <c r="AH53">
        <v>1134585</v>
      </c>
      <c r="AI53">
        <v>92870</v>
      </c>
      <c r="AJ53">
        <v>754092</v>
      </c>
      <c r="AK53">
        <v>267885</v>
      </c>
      <c r="AL53">
        <v>38128</v>
      </c>
      <c r="AM53">
        <v>678605</v>
      </c>
      <c r="AN53">
        <v>379770</v>
      </c>
      <c r="AO53">
        <v>3605863</v>
      </c>
      <c r="AP53">
        <v>2988081</v>
      </c>
      <c r="AQ53">
        <v>106894</v>
      </c>
      <c r="AR53">
        <v>130471</v>
      </c>
      <c r="AS53">
        <v>222931</v>
      </c>
      <c r="AT53">
        <v>2304959</v>
      </c>
      <c r="AU53">
        <v>2588782</v>
      </c>
      <c r="AV53">
        <v>4574</v>
      </c>
      <c r="AW53">
        <v>313231</v>
      </c>
      <c r="AX53">
        <v>341899</v>
      </c>
      <c r="AY53">
        <v>76910974</v>
      </c>
      <c r="AZ53">
        <v>4502438</v>
      </c>
      <c r="BA53">
        <v>3436299</v>
      </c>
      <c r="BB53">
        <v>88266053</v>
      </c>
      <c r="BC53">
        <v>23845456</v>
      </c>
      <c r="BD53">
        <v>914818</v>
      </c>
      <c r="BE53">
        <v>59111127</v>
      </c>
      <c r="BF53">
        <v>7480931</v>
      </c>
      <c r="BG53">
        <v>17039405</v>
      </c>
      <c r="BH53">
        <v>5973373</v>
      </c>
      <c r="BI53">
        <v>315509401</v>
      </c>
      <c r="BJ53">
        <v>243250169</v>
      </c>
      <c r="BK53">
        <v>53306370</v>
      </c>
      <c r="BL53">
        <v>0</v>
      </c>
      <c r="BM53">
        <v>0</v>
      </c>
      <c r="BN53">
        <v>0</v>
      </c>
      <c r="BO53">
        <v>26928955</v>
      </c>
      <c r="BP53">
        <v>323485494</v>
      </c>
      <c r="BQ53">
        <v>638994895</v>
      </c>
      <c r="BR53">
        <v>0</v>
      </c>
      <c r="BS53">
        <v>0</v>
      </c>
      <c r="BT53">
        <v>0</v>
      </c>
      <c r="BU53">
        <v>-55188867</v>
      </c>
      <c r="BV53">
        <v>-55188867</v>
      </c>
      <c r="BW53">
        <v>0</v>
      </c>
      <c r="BX53">
        <v>0</v>
      </c>
      <c r="BY53">
        <v>0</v>
      </c>
      <c r="BZ53">
        <v>0</v>
      </c>
      <c r="CA53">
        <v>583806028</v>
      </c>
      <c r="CB53">
        <v>638994895</v>
      </c>
      <c r="CC53">
        <f t="shared" si="0"/>
        <v>4.2142676272867563</v>
      </c>
    </row>
    <row r="54" spans="1:81">
      <c r="A54" s="11">
        <v>53</v>
      </c>
      <c r="B54" s="8" t="s">
        <v>144</v>
      </c>
      <c r="C54">
        <v>6761672</v>
      </c>
      <c r="D54">
        <v>1071866</v>
      </c>
      <c r="E54">
        <v>2396903</v>
      </c>
      <c r="F54">
        <v>141951</v>
      </c>
      <c r="G54">
        <v>20344778</v>
      </c>
      <c r="H54">
        <v>3124540</v>
      </c>
      <c r="I54">
        <v>7237899</v>
      </c>
      <c r="J54">
        <v>4194703</v>
      </c>
      <c r="K54">
        <v>6305112</v>
      </c>
      <c r="L54">
        <v>294298</v>
      </c>
      <c r="M54">
        <v>3391993</v>
      </c>
      <c r="N54">
        <v>2067480</v>
      </c>
      <c r="O54">
        <v>5182</v>
      </c>
      <c r="P54">
        <v>2958301</v>
      </c>
      <c r="Q54">
        <v>3774639</v>
      </c>
      <c r="R54">
        <v>8034673</v>
      </c>
      <c r="S54">
        <v>6507222</v>
      </c>
      <c r="T54">
        <v>2572215</v>
      </c>
      <c r="U54">
        <v>2436948</v>
      </c>
      <c r="V54">
        <v>363017</v>
      </c>
      <c r="W54">
        <v>6599057</v>
      </c>
      <c r="X54">
        <v>33589</v>
      </c>
      <c r="Y54">
        <v>3576568</v>
      </c>
      <c r="Z54">
        <v>4914198</v>
      </c>
      <c r="AA54">
        <v>3399780</v>
      </c>
      <c r="AB54">
        <v>777491</v>
      </c>
      <c r="AC54">
        <v>17418531</v>
      </c>
      <c r="AD54">
        <v>1492566</v>
      </c>
      <c r="AE54">
        <v>6249012</v>
      </c>
      <c r="AF54">
        <v>18269912</v>
      </c>
      <c r="AG54">
        <v>3681415</v>
      </c>
      <c r="AH54">
        <v>10490821</v>
      </c>
      <c r="AI54">
        <v>5443802</v>
      </c>
      <c r="AJ54">
        <v>7927810</v>
      </c>
      <c r="AK54">
        <v>4318564</v>
      </c>
      <c r="AL54">
        <v>1576072</v>
      </c>
      <c r="AM54">
        <v>6077310</v>
      </c>
      <c r="AN54">
        <v>4430350</v>
      </c>
      <c r="AO54">
        <v>21017490</v>
      </c>
      <c r="AP54">
        <v>35222209</v>
      </c>
      <c r="AQ54">
        <v>2002589</v>
      </c>
      <c r="AR54">
        <v>996935</v>
      </c>
      <c r="AS54">
        <v>5362687</v>
      </c>
      <c r="AT54">
        <v>19401593</v>
      </c>
      <c r="AU54">
        <v>60970189</v>
      </c>
      <c r="AV54">
        <v>4895112</v>
      </c>
      <c r="AW54">
        <v>9952551</v>
      </c>
      <c r="AX54">
        <v>12583890</v>
      </c>
      <c r="AY54">
        <v>211980182</v>
      </c>
      <c r="AZ54">
        <v>14812191</v>
      </c>
      <c r="BA54">
        <v>43200474</v>
      </c>
      <c r="BB54">
        <v>33197173</v>
      </c>
      <c r="BC54">
        <v>213563295</v>
      </c>
      <c r="BD54">
        <v>60408560</v>
      </c>
      <c r="BE54">
        <v>56303539</v>
      </c>
      <c r="BF54">
        <v>16171678</v>
      </c>
      <c r="BG54">
        <v>10781015</v>
      </c>
      <c r="BH54">
        <v>16613146</v>
      </c>
      <c r="BI54">
        <v>1040098738</v>
      </c>
      <c r="BJ54">
        <v>726376747</v>
      </c>
      <c r="BK54">
        <v>636055</v>
      </c>
      <c r="BL54">
        <v>0</v>
      </c>
      <c r="BM54">
        <v>0</v>
      </c>
      <c r="BN54">
        <v>0</v>
      </c>
      <c r="BO54">
        <v>41559726</v>
      </c>
      <c r="BP54">
        <v>768572528</v>
      </c>
      <c r="BQ54">
        <v>1808671266</v>
      </c>
      <c r="BR54">
        <v>0</v>
      </c>
      <c r="BS54">
        <v>0</v>
      </c>
      <c r="BT54">
        <v>0</v>
      </c>
      <c r="BU54">
        <v>-81709813</v>
      </c>
      <c r="BV54">
        <v>-81709813</v>
      </c>
      <c r="BW54">
        <v>0</v>
      </c>
      <c r="BX54">
        <v>0</v>
      </c>
      <c r="BY54">
        <v>0</v>
      </c>
      <c r="BZ54">
        <v>0</v>
      </c>
      <c r="CA54">
        <v>1726961453</v>
      </c>
      <c r="CB54">
        <v>1808671266</v>
      </c>
      <c r="CC54">
        <f t="shared" si="0"/>
        <v>2.2978042931987397</v>
      </c>
    </row>
    <row r="55" spans="1:81">
      <c r="A55" s="11">
        <v>54</v>
      </c>
      <c r="B55" s="8" t="s">
        <v>145</v>
      </c>
      <c r="C55">
        <v>0</v>
      </c>
      <c r="D55">
        <v>0</v>
      </c>
      <c r="E55">
        <v>0</v>
      </c>
      <c r="F55">
        <v>0</v>
      </c>
      <c r="G55">
        <v>137254</v>
      </c>
      <c r="H55">
        <v>0</v>
      </c>
      <c r="I55">
        <v>3236</v>
      </c>
      <c r="J55">
        <v>46152</v>
      </c>
      <c r="K55">
        <v>0</v>
      </c>
      <c r="L55">
        <v>0</v>
      </c>
      <c r="M55">
        <v>62056</v>
      </c>
      <c r="N55">
        <v>387621</v>
      </c>
      <c r="O55">
        <v>0</v>
      </c>
      <c r="P55">
        <v>139339</v>
      </c>
      <c r="Q55">
        <v>937027</v>
      </c>
      <c r="R55">
        <v>616160</v>
      </c>
      <c r="S55">
        <v>69190</v>
      </c>
      <c r="T55">
        <v>51158</v>
      </c>
      <c r="U55">
        <v>342969</v>
      </c>
      <c r="V55">
        <v>15877</v>
      </c>
      <c r="W55">
        <v>127331</v>
      </c>
      <c r="X55">
        <v>11853</v>
      </c>
      <c r="Y55">
        <v>210976</v>
      </c>
      <c r="Z55">
        <v>408720</v>
      </c>
      <c r="AA55">
        <v>143569</v>
      </c>
      <c r="AB55">
        <v>109412</v>
      </c>
      <c r="AC55">
        <v>464674</v>
      </c>
      <c r="AD55">
        <v>215623</v>
      </c>
      <c r="AE55">
        <v>557323</v>
      </c>
      <c r="AF55">
        <v>1519707</v>
      </c>
      <c r="AG55">
        <v>311791</v>
      </c>
      <c r="AH55">
        <v>42496</v>
      </c>
      <c r="AI55">
        <v>92023</v>
      </c>
      <c r="AJ55">
        <v>104828</v>
      </c>
      <c r="AK55">
        <v>98125</v>
      </c>
      <c r="AL55">
        <v>9333</v>
      </c>
      <c r="AM55">
        <v>138207</v>
      </c>
      <c r="AN55">
        <v>125822</v>
      </c>
      <c r="AO55">
        <v>1520250</v>
      </c>
      <c r="AP55">
        <v>610708</v>
      </c>
      <c r="AQ55">
        <v>81325</v>
      </c>
      <c r="AR55">
        <v>67979</v>
      </c>
      <c r="AS55">
        <v>323688</v>
      </c>
      <c r="AT55">
        <v>1339666</v>
      </c>
      <c r="AU55">
        <v>250482</v>
      </c>
      <c r="AV55">
        <v>2524</v>
      </c>
      <c r="AW55">
        <v>518289</v>
      </c>
      <c r="AX55">
        <v>262562</v>
      </c>
      <c r="AY55">
        <v>25534483</v>
      </c>
      <c r="AZ55">
        <v>7302124</v>
      </c>
      <c r="BA55">
        <v>3731209</v>
      </c>
      <c r="BB55">
        <v>3326505</v>
      </c>
      <c r="BC55">
        <v>22004330</v>
      </c>
      <c r="BD55">
        <v>311667</v>
      </c>
      <c r="BE55">
        <v>15056857</v>
      </c>
      <c r="BF55">
        <v>2746489</v>
      </c>
      <c r="BG55">
        <v>6549195</v>
      </c>
      <c r="BH55">
        <v>469346</v>
      </c>
      <c r="BI55">
        <v>99509530</v>
      </c>
      <c r="BJ55">
        <v>536033494</v>
      </c>
      <c r="BK55">
        <v>42134280</v>
      </c>
      <c r="BL55">
        <v>0</v>
      </c>
      <c r="BM55">
        <v>0</v>
      </c>
      <c r="BN55">
        <v>0</v>
      </c>
      <c r="BO55">
        <v>75641619</v>
      </c>
      <c r="BP55">
        <v>653809393</v>
      </c>
      <c r="BQ55">
        <v>753318923</v>
      </c>
      <c r="BR55">
        <v>0</v>
      </c>
      <c r="BS55">
        <v>0</v>
      </c>
      <c r="BT55">
        <v>0</v>
      </c>
      <c r="BU55">
        <v>-101724443</v>
      </c>
      <c r="BV55">
        <v>-101724443</v>
      </c>
      <c r="BW55">
        <v>0</v>
      </c>
      <c r="BX55">
        <v>0</v>
      </c>
      <c r="BY55">
        <v>0</v>
      </c>
      <c r="BZ55">
        <v>0</v>
      </c>
      <c r="CA55">
        <v>651594480</v>
      </c>
      <c r="CB55">
        <v>753318923</v>
      </c>
      <c r="CC55">
        <f t="shared" si="0"/>
        <v>10.041114950194872</v>
      </c>
    </row>
    <row r="56" spans="1:81">
      <c r="A56" s="11">
        <v>55</v>
      </c>
      <c r="B56" s="8" t="s">
        <v>146</v>
      </c>
      <c r="C56">
        <v>0</v>
      </c>
      <c r="D56">
        <v>0</v>
      </c>
      <c r="E56">
        <v>0</v>
      </c>
      <c r="F56">
        <v>0</v>
      </c>
      <c r="G56">
        <v>2565210</v>
      </c>
      <c r="H56">
        <v>6600</v>
      </c>
      <c r="I56">
        <v>1909564</v>
      </c>
      <c r="J56">
        <v>193379</v>
      </c>
      <c r="K56">
        <v>1014308</v>
      </c>
      <c r="L56">
        <v>205660</v>
      </c>
      <c r="M56">
        <v>1752165</v>
      </c>
      <c r="N56">
        <v>65407201</v>
      </c>
      <c r="O56">
        <v>1838</v>
      </c>
      <c r="P56">
        <v>321933</v>
      </c>
      <c r="Q56">
        <v>5123284</v>
      </c>
      <c r="R56">
        <v>16522492</v>
      </c>
      <c r="S56">
        <v>2121840</v>
      </c>
      <c r="T56">
        <v>4760792</v>
      </c>
      <c r="U56">
        <v>7615910</v>
      </c>
      <c r="V56">
        <v>1107626</v>
      </c>
      <c r="W56">
        <v>16009802</v>
      </c>
      <c r="X56">
        <v>610914</v>
      </c>
      <c r="Y56">
        <v>1655866</v>
      </c>
      <c r="Z56">
        <v>7412918</v>
      </c>
      <c r="AA56">
        <v>5334616</v>
      </c>
      <c r="AB56">
        <v>1498435</v>
      </c>
      <c r="AC56">
        <v>18373459</v>
      </c>
      <c r="AD56">
        <v>1814964</v>
      </c>
      <c r="AE56">
        <v>14675340</v>
      </c>
      <c r="AF56">
        <v>16416748</v>
      </c>
      <c r="AG56">
        <v>4652796</v>
      </c>
      <c r="AH56">
        <v>8972951</v>
      </c>
      <c r="AI56">
        <v>2323811</v>
      </c>
      <c r="AJ56">
        <v>8935184</v>
      </c>
      <c r="AK56">
        <v>1954168</v>
      </c>
      <c r="AL56">
        <v>976092</v>
      </c>
      <c r="AM56">
        <v>5650220</v>
      </c>
      <c r="AN56">
        <v>6742431</v>
      </c>
      <c r="AO56">
        <v>28942831</v>
      </c>
      <c r="AP56">
        <v>30181223</v>
      </c>
      <c r="AQ56">
        <v>606126</v>
      </c>
      <c r="AR56">
        <v>1239822</v>
      </c>
      <c r="AS56">
        <v>4095129</v>
      </c>
      <c r="AT56">
        <v>22175090</v>
      </c>
      <c r="AU56">
        <v>10580519</v>
      </c>
      <c r="AV56">
        <v>1425035</v>
      </c>
      <c r="AW56">
        <v>28780189</v>
      </c>
      <c r="AX56">
        <v>26881004</v>
      </c>
      <c r="AY56">
        <v>121751930</v>
      </c>
      <c r="AZ56">
        <v>20537023</v>
      </c>
      <c r="BA56">
        <v>72991027</v>
      </c>
      <c r="BB56">
        <v>26355917</v>
      </c>
      <c r="BC56">
        <v>110809260</v>
      </c>
      <c r="BD56">
        <v>54880222</v>
      </c>
      <c r="BE56">
        <v>186257543</v>
      </c>
      <c r="BF56">
        <v>37014591</v>
      </c>
      <c r="BG56">
        <v>27951924</v>
      </c>
      <c r="BH56">
        <v>2586399</v>
      </c>
      <c r="BI56">
        <v>1050683321</v>
      </c>
      <c r="BJ56">
        <v>129617731</v>
      </c>
      <c r="BK56">
        <v>145749337</v>
      </c>
      <c r="BL56">
        <v>96174705</v>
      </c>
      <c r="BM56">
        <v>0</v>
      </c>
      <c r="BN56">
        <v>0</v>
      </c>
      <c r="BO56">
        <v>129997742</v>
      </c>
      <c r="BP56">
        <v>501539515</v>
      </c>
      <c r="BQ56">
        <v>1552222836</v>
      </c>
      <c r="BR56">
        <v>0</v>
      </c>
      <c r="BS56">
        <v>0</v>
      </c>
      <c r="BT56">
        <v>0</v>
      </c>
      <c r="BU56">
        <v>-318173520</v>
      </c>
      <c r="BV56">
        <v>-318173520</v>
      </c>
      <c r="BW56">
        <v>0</v>
      </c>
      <c r="BX56">
        <v>0</v>
      </c>
      <c r="BY56">
        <v>0</v>
      </c>
      <c r="BZ56">
        <v>0</v>
      </c>
      <c r="CA56">
        <v>1234049316</v>
      </c>
      <c r="CB56">
        <v>1552222836</v>
      </c>
      <c r="CC56">
        <f t="shared" si="0"/>
        <v>8.3749406969812163</v>
      </c>
    </row>
    <row r="57" spans="1:81">
      <c r="A57" s="11">
        <v>56</v>
      </c>
      <c r="B57" s="8" t="s">
        <v>147</v>
      </c>
      <c r="C57">
        <v>0</v>
      </c>
      <c r="D57">
        <v>0</v>
      </c>
      <c r="E57">
        <v>0</v>
      </c>
      <c r="F57">
        <v>0</v>
      </c>
      <c r="G57">
        <v>1826</v>
      </c>
      <c r="H57">
        <v>0</v>
      </c>
      <c r="I57">
        <v>0</v>
      </c>
      <c r="J57">
        <v>819</v>
      </c>
      <c r="K57">
        <v>596505</v>
      </c>
      <c r="L57">
        <v>3651</v>
      </c>
      <c r="M57">
        <v>0</v>
      </c>
      <c r="N57">
        <v>24033</v>
      </c>
      <c r="O57">
        <v>1367</v>
      </c>
      <c r="P57">
        <v>11263</v>
      </c>
      <c r="Q57">
        <v>709496</v>
      </c>
      <c r="R57">
        <v>408981</v>
      </c>
      <c r="S57">
        <v>281313</v>
      </c>
      <c r="T57">
        <v>153796</v>
      </c>
      <c r="U57">
        <v>265772</v>
      </c>
      <c r="V57">
        <v>22538</v>
      </c>
      <c r="W57">
        <v>238829</v>
      </c>
      <c r="X57">
        <v>15906</v>
      </c>
      <c r="Y57">
        <v>90928</v>
      </c>
      <c r="Z57">
        <v>182325</v>
      </c>
      <c r="AA57">
        <v>279363</v>
      </c>
      <c r="AB57">
        <v>24482</v>
      </c>
      <c r="AC57">
        <v>619258</v>
      </c>
      <c r="AD57">
        <v>60297</v>
      </c>
      <c r="AE57">
        <v>1827969</v>
      </c>
      <c r="AF57">
        <v>224813</v>
      </c>
      <c r="AG57">
        <v>115795</v>
      </c>
      <c r="AH57">
        <v>462624</v>
      </c>
      <c r="AI57">
        <v>232938</v>
      </c>
      <c r="AJ57">
        <v>456505</v>
      </c>
      <c r="AK57">
        <v>93217</v>
      </c>
      <c r="AL57">
        <v>35928</v>
      </c>
      <c r="AM57">
        <v>254240</v>
      </c>
      <c r="AN57">
        <v>467584</v>
      </c>
      <c r="AO57">
        <v>2637052</v>
      </c>
      <c r="AP57">
        <v>3614400</v>
      </c>
      <c r="AQ57">
        <v>20994</v>
      </c>
      <c r="AR57">
        <v>57833</v>
      </c>
      <c r="AS57">
        <v>65926</v>
      </c>
      <c r="AT57">
        <v>236087</v>
      </c>
      <c r="AU57">
        <v>2987591</v>
      </c>
      <c r="AV57">
        <v>220223</v>
      </c>
      <c r="AW57">
        <v>248032</v>
      </c>
      <c r="AX57">
        <v>99671</v>
      </c>
      <c r="AY57">
        <v>1628316</v>
      </c>
      <c r="AZ57">
        <v>2075687</v>
      </c>
      <c r="BA57">
        <v>663908</v>
      </c>
      <c r="BB57">
        <v>30746</v>
      </c>
      <c r="BC57">
        <v>20876103</v>
      </c>
      <c r="BD57">
        <v>3253045</v>
      </c>
      <c r="BE57">
        <v>6517866</v>
      </c>
      <c r="BF57">
        <v>9226374</v>
      </c>
      <c r="BG57">
        <v>1757599</v>
      </c>
      <c r="BH57">
        <v>2811000</v>
      </c>
      <c r="BI57">
        <v>67192814</v>
      </c>
      <c r="BJ57">
        <v>399292025</v>
      </c>
      <c r="BK57">
        <v>2300579496</v>
      </c>
      <c r="BL57">
        <v>116357846</v>
      </c>
      <c r="BM57">
        <v>0</v>
      </c>
      <c r="BN57">
        <v>0</v>
      </c>
      <c r="BO57">
        <v>46839615</v>
      </c>
      <c r="BP57">
        <v>2863068982</v>
      </c>
      <c r="BQ57">
        <v>2930261796</v>
      </c>
      <c r="BR57">
        <v>0</v>
      </c>
      <c r="BS57">
        <v>0</v>
      </c>
      <c r="BT57">
        <v>0</v>
      </c>
      <c r="BU57">
        <v>-86220627</v>
      </c>
      <c r="BV57">
        <v>-86220627</v>
      </c>
      <c r="BW57">
        <v>0</v>
      </c>
      <c r="BX57">
        <v>0</v>
      </c>
      <c r="BY57">
        <v>0</v>
      </c>
      <c r="BZ57">
        <v>0</v>
      </c>
      <c r="CA57">
        <v>2844041169</v>
      </c>
      <c r="CB57">
        <v>2930261796</v>
      </c>
      <c r="CC57">
        <f t="shared" si="0"/>
        <v>1.5984788479971024</v>
      </c>
    </row>
    <row r="58" spans="1:81">
      <c r="A58" s="11">
        <v>57</v>
      </c>
      <c r="B58" s="8" t="s">
        <v>148</v>
      </c>
      <c r="C58">
        <v>7649</v>
      </c>
      <c r="D58">
        <v>17942</v>
      </c>
      <c r="E58">
        <v>0</v>
      </c>
      <c r="F58">
        <v>9427</v>
      </c>
      <c r="G58">
        <v>279364</v>
      </c>
      <c r="H58">
        <v>0</v>
      </c>
      <c r="I58">
        <v>292546</v>
      </c>
      <c r="J58">
        <v>90673</v>
      </c>
      <c r="K58">
        <v>70496</v>
      </c>
      <c r="L58">
        <v>223330</v>
      </c>
      <c r="M58">
        <v>296276</v>
      </c>
      <c r="N58">
        <v>486805</v>
      </c>
      <c r="O58">
        <v>336</v>
      </c>
      <c r="P58">
        <v>156826</v>
      </c>
      <c r="Q58">
        <v>51015</v>
      </c>
      <c r="R58">
        <v>1030642</v>
      </c>
      <c r="S58">
        <v>127838</v>
      </c>
      <c r="T58">
        <v>247264</v>
      </c>
      <c r="U58">
        <v>208565</v>
      </c>
      <c r="V58">
        <v>31053</v>
      </c>
      <c r="W58">
        <v>530144</v>
      </c>
      <c r="X58">
        <v>613500</v>
      </c>
      <c r="Y58">
        <v>261020</v>
      </c>
      <c r="Z58">
        <v>245927</v>
      </c>
      <c r="AA58">
        <v>163777</v>
      </c>
      <c r="AB58">
        <v>135931</v>
      </c>
      <c r="AC58">
        <v>551059</v>
      </c>
      <c r="AD58">
        <v>95452</v>
      </c>
      <c r="AE58">
        <v>1552984</v>
      </c>
      <c r="AF58">
        <v>125244</v>
      </c>
      <c r="AG58">
        <v>365501</v>
      </c>
      <c r="AH58">
        <v>267995</v>
      </c>
      <c r="AI58">
        <v>60121</v>
      </c>
      <c r="AJ58">
        <v>210844</v>
      </c>
      <c r="AK58">
        <v>79165</v>
      </c>
      <c r="AL58">
        <v>177729</v>
      </c>
      <c r="AM58">
        <v>339065</v>
      </c>
      <c r="AN58">
        <v>326439</v>
      </c>
      <c r="AO58">
        <v>9686108</v>
      </c>
      <c r="AP58">
        <v>3158093</v>
      </c>
      <c r="AQ58">
        <v>104314</v>
      </c>
      <c r="AR58">
        <v>73249</v>
      </c>
      <c r="AS58">
        <v>95691</v>
      </c>
      <c r="AT58">
        <v>915066</v>
      </c>
      <c r="AU58">
        <v>4156006</v>
      </c>
      <c r="AV58">
        <v>793616</v>
      </c>
      <c r="AW58">
        <v>509028</v>
      </c>
      <c r="AX58">
        <v>246268</v>
      </c>
      <c r="AY58">
        <v>10431087</v>
      </c>
      <c r="AZ58">
        <v>3970159</v>
      </c>
      <c r="BA58">
        <v>3125205</v>
      </c>
      <c r="BB58">
        <v>3794437</v>
      </c>
      <c r="BC58">
        <v>25117424</v>
      </c>
      <c r="BD58">
        <v>1354877</v>
      </c>
      <c r="BE58">
        <v>113010662</v>
      </c>
      <c r="BF58">
        <v>12883950</v>
      </c>
      <c r="BG58">
        <v>49085675</v>
      </c>
      <c r="BH58">
        <v>4409126</v>
      </c>
      <c r="BI58">
        <v>256649985</v>
      </c>
      <c r="BJ58">
        <v>685137076</v>
      </c>
      <c r="BK58">
        <v>13803365</v>
      </c>
      <c r="BL58">
        <v>0</v>
      </c>
      <c r="BM58">
        <v>0</v>
      </c>
      <c r="BN58">
        <v>0</v>
      </c>
      <c r="BO58">
        <v>43461509</v>
      </c>
      <c r="BP58">
        <v>742401950</v>
      </c>
      <c r="BQ58">
        <v>999051935</v>
      </c>
      <c r="BR58">
        <v>0</v>
      </c>
      <c r="BS58">
        <v>0</v>
      </c>
      <c r="BT58">
        <v>0</v>
      </c>
      <c r="BU58">
        <v>-16876564</v>
      </c>
      <c r="BV58">
        <v>-16876564</v>
      </c>
      <c r="BW58">
        <v>0</v>
      </c>
      <c r="BX58">
        <v>0</v>
      </c>
      <c r="BY58">
        <v>0</v>
      </c>
      <c r="BZ58">
        <v>0</v>
      </c>
      <c r="CA58">
        <v>982175371</v>
      </c>
      <c r="CB58">
        <v>999051935</v>
      </c>
      <c r="CC58">
        <f t="shared" si="0"/>
        <v>4.3502752436989169</v>
      </c>
    </row>
    <row r="59" spans="1:81">
      <c r="A59" s="11">
        <v>58</v>
      </c>
      <c r="B59" s="8" t="s">
        <v>149</v>
      </c>
      <c r="C59">
        <v>911</v>
      </c>
      <c r="D59">
        <v>24576</v>
      </c>
      <c r="E59">
        <v>233140</v>
      </c>
      <c r="F59">
        <v>2212</v>
      </c>
      <c r="G59">
        <v>487518</v>
      </c>
      <c r="H59">
        <v>0</v>
      </c>
      <c r="I59">
        <v>25570</v>
      </c>
      <c r="J59">
        <v>319755</v>
      </c>
      <c r="K59">
        <v>553372</v>
      </c>
      <c r="L59">
        <v>240096</v>
      </c>
      <c r="M59">
        <v>839825</v>
      </c>
      <c r="N59">
        <v>371435</v>
      </c>
      <c r="O59">
        <v>596</v>
      </c>
      <c r="P59">
        <v>181597</v>
      </c>
      <c r="Q59">
        <v>2145383</v>
      </c>
      <c r="R59">
        <v>7092271</v>
      </c>
      <c r="S59">
        <v>1926675</v>
      </c>
      <c r="T59">
        <v>119857</v>
      </c>
      <c r="U59">
        <v>865684</v>
      </c>
      <c r="V59">
        <v>104995</v>
      </c>
      <c r="W59">
        <v>1799732</v>
      </c>
      <c r="X59">
        <v>56212</v>
      </c>
      <c r="Y59">
        <v>890457</v>
      </c>
      <c r="Z59">
        <v>1958628</v>
      </c>
      <c r="AA59">
        <v>885677</v>
      </c>
      <c r="AB59">
        <v>579607</v>
      </c>
      <c r="AC59">
        <v>2023470</v>
      </c>
      <c r="AD59">
        <v>2268</v>
      </c>
      <c r="AE59">
        <v>1501765</v>
      </c>
      <c r="AF59">
        <v>9642608</v>
      </c>
      <c r="AG59">
        <v>717350</v>
      </c>
      <c r="AH59">
        <v>971326</v>
      </c>
      <c r="AI59">
        <v>731092</v>
      </c>
      <c r="AJ59">
        <v>1915720</v>
      </c>
      <c r="AK59">
        <v>991417</v>
      </c>
      <c r="AL59">
        <v>200012</v>
      </c>
      <c r="AM59">
        <v>1078372</v>
      </c>
      <c r="AN59">
        <v>1684338</v>
      </c>
      <c r="AO59">
        <v>3927501</v>
      </c>
      <c r="AP59">
        <v>6080645</v>
      </c>
      <c r="AQ59">
        <v>527589</v>
      </c>
      <c r="AR59">
        <v>224972</v>
      </c>
      <c r="AS59">
        <v>695409</v>
      </c>
      <c r="AT59">
        <v>1948485</v>
      </c>
      <c r="AU59">
        <v>1733282</v>
      </c>
      <c r="AV59">
        <v>906464</v>
      </c>
      <c r="AW59">
        <v>550130</v>
      </c>
      <c r="AX59">
        <v>1740717</v>
      </c>
      <c r="AY59">
        <v>28160918</v>
      </c>
      <c r="AZ59">
        <v>2217831</v>
      </c>
      <c r="BA59">
        <v>4653024</v>
      </c>
      <c r="BB59">
        <v>1434453</v>
      </c>
      <c r="BC59">
        <v>13356205</v>
      </c>
      <c r="BD59">
        <v>1820734</v>
      </c>
      <c r="BE59">
        <v>6982677</v>
      </c>
      <c r="BF59">
        <v>3526403</v>
      </c>
      <c r="BG59">
        <v>8109457</v>
      </c>
      <c r="BH59">
        <v>22840286</v>
      </c>
      <c r="BI59">
        <v>154602701</v>
      </c>
      <c r="BJ59">
        <v>25140695</v>
      </c>
      <c r="BK59">
        <v>35329250</v>
      </c>
      <c r="BL59">
        <v>0</v>
      </c>
      <c r="BM59">
        <v>71440100</v>
      </c>
      <c r="BN59">
        <v>0</v>
      </c>
      <c r="BO59">
        <v>7791194</v>
      </c>
      <c r="BP59">
        <v>139701239</v>
      </c>
      <c r="BQ59">
        <v>294303940</v>
      </c>
      <c r="BR59">
        <v>0</v>
      </c>
      <c r="BS59">
        <v>0</v>
      </c>
      <c r="BT59">
        <v>0</v>
      </c>
      <c r="BU59">
        <v>-21911156</v>
      </c>
      <c r="BV59">
        <v>-21911156</v>
      </c>
      <c r="BW59">
        <v>0</v>
      </c>
      <c r="BX59">
        <v>0</v>
      </c>
      <c r="BY59">
        <v>0</v>
      </c>
      <c r="BZ59">
        <v>0</v>
      </c>
      <c r="CA59">
        <v>272392784</v>
      </c>
      <c r="CB59">
        <v>294303940</v>
      </c>
      <c r="CC59">
        <f t="shared" si="0"/>
        <v>2.647329152304247</v>
      </c>
    </row>
    <row r="60" spans="1:81">
      <c r="A60" s="11">
        <v>190</v>
      </c>
      <c r="B60" s="8" t="s">
        <v>150</v>
      </c>
      <c r="C60">
        <v>106906674</v>
      </c>
      <c r="D60">
        <v>16923776</v>
      </c>
      <c r="E60">
        <v>26099879</v>
      </c>
      <c r="F60">
        <v>2062686</v>
      </c>
      <c r="G60">
        <v>239251631</v>
      </c>
      <c r="H60">
        <v>28326762</v>
      </c>
      <c r="I60">
        <v>50993258</v>
      </c>
      <c r="J60">
        <v>80466542</v>
      </c>
      <c r="K60">
        <v>224589912</v>
      </c>
      <c r="L60">
        <v>6037452</v>
      </c>
      <c r="M60">
        <v>101679877</v>
      </c>
      <c r="N60">
        <v>144695129</v>
      </c>
      <c r="O60">
        <v>101932</v>
      </c>
      <c r="P60">
        <v>54795133</v>
      </c>
      <c r="Q60">
        <v>345592022</v>
      </c>
      <c r="R60">
        <v>610662137</v>
      </c>
      <c r="S60">
        <v>425142761</v>
      </c>
      <c r="T60">
        <v>92812194</v>
      </c>
      <c r="U60">
        <v>214128989</v>
      </c>
      <c r="V60">
        <v>58891734</v>
      </c>
      <c r="W60">
        <v>292450233</v>
      </c>
      <c r="X60">
        <v>10592862</v>
      </c>
      <c r="Y60">
        <v>124948797</v>
      </c>
      <c r="Z60">
        <v>200384361</v>
      </c>
      <c r="AA60">
        <v>140145752</v>
      </c>
      <c r="AB60">
        <v>53246623</v>
      </c>
      <c r="AC60">
        <v>556724292</v>
      </c>
      <c r="AD60">
        <v>52473965</v>
      </c>
      <c r="AE60">
        <v>318116496</v>
      </c>
      <c r="AF60">
        <v>964139721</v>
      </c>
      <c r="AG60">
        <v>273556458</v>
      </c>
      <c r="AH60">
        <v>357430771</v>
      </c>
      <c r="AI60">
        <v>131262408</v>
      </c>
      <c r="AJ60">
        <v>190601782</v>
      </c>
      <c r="AK60">
        <v>199798869</v>
      </c>
      <c r="AL60">
        <v>82274692</v>
      </c>
      <c r="AM60">
        <v>334841045</v>
      </c>
      <c r="AN60">
        <v>402788746</v>
      </c>
      <c r="AO60">
        <v>2641849482</v>
      </c>
      <c r="AP60">
        <v>1568170254</v>
      </c>
      <c r="AQ60">
        <v>66076851</v>
      </c>
      <c r="AR60">
        <v>59496577</v>
      </c>
      <c r="AS60">
        <v>159521558</v>
      </c>
      <c r="AT60">
        <v>950128273</v>
      </c>
      <c r="AU60">
        <v>1054356045</v>
      </c>
      <c r="AV60">
        <v>24539836</v>
      </c>
      <c r="AW60">
        <v>473984576</v>
      </c>
      <c r="AX60">
        <v>471271482</v>
      </c>
      <c r="AY60">
        <v>885263498</v>
      </c>
      <c r="AZ60">
        <v>875765624</v>
      </c>
      <c r="BA60">
        <v>814403852</v>
      </c>
      <c r="BB60">
        <v>220025772</v>
      </c>
      <c r="BC60">
        <v>542128847</v>
      </c>
      <c r="BD60">
        <v>159728075</v>
      </c>
      <c r="BE60">
        <v>774493305</v>
      </c>
      <c r="BF60">
        <v>693426474</v>
      </c>
      <c r="BG60">
        <v>478251118</v>
      </c>
      <c r="BH60">
        <v>135398550</v>
      </c>
      <c r="BI60">
        <v>20564218402</v>
      </c>
      <c r="BJ60">
        <v>8786511895</v>
      </c>
      <c r="BK60">
        <v>2951397062</v>
      </c>
      <c r="BL60">
        <v>3803228016</v>
      </c>
      <c r="BM60">
        <v>859985000</v>
      </c>
      <c r="BN60">
        <v>8568939920</v>
      </c>
      <c r="BO60">
        <v>813739550</v>
      </c>
      <c r="BP60">
        <v>25783801443</v>
      </c>
      <c r="BQ60">
        <v>46348019845</v>
      </c>
      <c r="BR60">
        <v>-8525584600</v>
      </c>
      <c r="BS60">
        <v>-102067001</v>
      </c>
      <c r="BT60">
        <v>-412509295</v>
      </c>
      <c r="BU60">
        <v>-1006557745</v>
      </c>
      <c r="BV60">
        <v>-10046718641</v>
      </c>
      <c r="BW60">
        <v>0</v>
      </c>
      <c r="BX60">
        <v>0</v>
      </c>
      <c r="BY60">
        <v>0</v>
      </c>
      <c r="BZ60">
        <v>0</v>
      </c>
      <c r="CA60">
        <v>36301301204</v>
      </c>
      <c r="CB60">
        <v>46348019845</v>
      </c>
      <c r="CC60">
        <f>(BN60+BO60)/CB60*100</f>
        <v>20.243970511314515</v>
      </c>
    </row>
    <row r="61" spans="1:81">
      <c r="A61" s="11">
        <v>201</v>
      </c>
      <c r="B61" s="8" t="s">
        <v>151</v>
      </c>
      <c r="C61">
        <v>66711643</v>
      </c>
      <c r="D61">
        <v>10628282</v>
      </c>
      <c r="E61">
        <v>18683997</v>
      </c>
      <c r="F61">
        <v>767311</v>
      </c>
      <c r="G61">
        <v>136013312</v>
      </c>
      <c r="H61">
        <v>18783938</v>
      </c>
      <c r="I61">
        <v>64784079</v>
      </c>
      <c r="J61">
        <v>35413750</v>
      </c>
      <c r="K61">
        <v>50686440</v>
      </c>
      <c r="L61">
        <v>6320044</v>
      </c>
      <c r="M61">
        <v>26891695</v>
      </c>
      <c r="N61">
        <v>42087971</v>
      </c>
      <c r="O61">
        <v>22061</v>
      </c>
      <c r="P61">
        <v>19573576</v>
      </c>
      <c r="Q61">
        <v>49425595</v>
      </c>
      <c r="R61">
        <v>39310178</v>
      </c>
      <c r="S61">
        <v>27530408</v>
      </c>
      <c r="T61">
        <v>16567714</v>
      </c>
      <c r="U61">
        <v>25110263</v>
      </c>
      <c r="V61">
        <v>3185990</v>
      </c>
      <c r="W61">
        <v>28569844</v>
      </c>
      <c r="X61">
        <v>2936191</v>
      </c>
      <c r="Y61">
        <v>17141312</v>
      </c>
      <c r="Z61">
        <v>29888490</v>
      </c>
      <c r="AA61">
        <v>16018297</v>
      </c>
      <c r="AB61">
        <v>8521990</v>
      </c>
      <c r="AC61">
        <v>86118488</v>
      </c>
      <c r="AD61">
        <v>5605242</v>
      </c>
      <c r="AE61">
        <v>46699106</v>
      </c>
      <c r="AF61">
        <v>19313941</v>
      </c>
      <c r="AG61">
        <v>23030390</v>
      </c>
      <c r="AH61">
        <v>47442202</v>
      </c>
      <c r="AI61">
        <v>21976498</v>
      </c>
      <c r="AJ61">
        <v>29329386</v>
      </c>
      <c r="AK61">
        <v>18482114</v>
      </c>
      <c r="AL61">
        <v>19138116</v>
      </c>
      <c r="AM61">
        <v>53518694</v>
      </c>
      <c r="AN61">
        <v>52341917</v>
      </c>
      <c r="AO61">
        <v>211962643</v>
      </c>
      <c r="AP61">
        <v>182634401</v>
      </c>
      <c r="AQ61">
        <v>14952073</v>
      </c>
      <c r="AR61">
        <v>9470241</v>
      </c>
      <c r="AS61">
        <v>36677620</v>
      </c>
      <c r="AT61">
        <v>102883422</v>
      </c>
      <c r="AU61">
        <v>124771661</v>
      </c>
      <c r="AV61">
        <v>12984883</v>
      </c>
      <c r="AW61">
        <v>41787909</v>
      </c>
      <c r="AX61">
        <v>92574143</v>
      </c>
      <c r="AY61">
        <v>647824586</v>
      </c>
      <c r="AZ61">
        <v>127021412</v>
      </c>
      <c r="BA61">
        <v>112659098</v>
      </c>
      <c r="BB61">
        <v>111491741</v>
      </c>
      <c r="BC61">
        <v>376967948</v>
      </c>
      <c r="BD61">
        <v>56449574</v>
      </c>
      <c r="BE61">
        <v>157051770</v>
      </c>
      <c r="BF61">
        <v>1568187883</v>
      </c>
      <c r="BG61">
        <v>195459789</v>
      </c>
      <c r="BH61">
        <v>34338703</v>
      </c>
      <c r="BI61">
        <v>5402721965</v>
      </c>
      <c r="CC61" t="e">
        <f t="shared" si="0"/>
        <v>#DIV/0!</v>
      </c>
    </row>
    <row r="62" spans="1:81">
      <c r="A62" s="11">
        <v>202</v>
      </c>
      <c r="B62" s="8" t="s">
        <v>152</v>
      </c>
      <c r="C62">
        <v>103830453</v>
      </c>
      <c r="D62">
        <v>12857217</v>
      </c>
      <c r="E62">
        <v>26105667</v>
      </c>
      <c r="F62">
        <v>1495111</v>
      </c>
      <c r="G62">
        <v>236904462</v>
      </c>
      <c r="H62">
        <v>28074623</v>
      </c>
      <c r="I62">
        <v>97839571</v>
      </c>
      <c r="J62">
        <v>74033448</v>
      </c>
      <c r="K62">
        <v>118896569</v>
      </c>
      <c r="L62">
        <v>9645342</v>
      </c>
      <c r="M62">
        <v>50955088</v>
      </c>
      <c r="N62">
        <v>73605379</v>
      </c>
      <c r="O62">
        <v>46442</v>
      </c>
      <c r="P62">
        <v>40933335</v>
      </c>
      <c r="Q62">
        <v>101568841</v>
      </c>
      <c r="R62">
        <v>65093679</v>
      </c>
      <c r="S62">
        <v>42181828</v>
      </c>
      <c r="T62">
        <v>26116643</v>
      </c>
      <c r="U62">
        <v>41579323</v>
      </c>
      <c r="V62">
        <v>5546964</v>
      </c>
      <c r="W62">
        <v>55224412</v>
      </c>
      <c r="X62">
        <v>5869258</v>
      </c>
      <c r="Y62">
        <v>25551965</v>
      </c>
      <c r="Z62">
        <v>37597366</v>
      </c>
      <c r="AA62">
        <v>26432469</v>
      </c>
      <c r="AB62">
        <v>9746331</v>
      </c>
      <c r="AC62">
        <v>113625088</v>
      </c>
      <c r="AD62">
        <v>7866354</v>
      </c>
      <c r="AE62">
        <v>66058854</v>
      </c>
      <c r="AF62">
        <v>17259410</v>
      </c>
      <c r="AG62">
        <v>37332756</v>
      </c>
      <c r="AH62">
        <v>54828558</v>
      </c>
      <c r="AI62">
        <v>34399811</v>
      </c>
      <c r="AJ62">
        <v>34035645</v>
      </c>
      <c r="AK62">
        <v>26131144</v>
      </c>
      <c r="AL62">
        <v>24360395</v>
      </c>
      <c r="AM62">
        <v>83521995</v>
      </c>
      <c r="AN62">
        <v>70657723</v>
      </c>
      <c r="AO62">
        <v>320472134</v>
      </c>
      <c r="AP62">
        <v>207807404</v>
      </c>
      <c r="AQ62">
        <v>22816474</v>
      </c>
      <c r="AR62">
        <v>11479631</v>
      </c>
      <c r="AS62">
        <v>48466444</v>
      </c>
      <c r="AT62">
        <v>151097808</v>
      </c>
      <c r="AU62">
        <v>160731710</v>
      </c>
      <c r="AV62">
        <v>15125897</v>
      </c>
      <c r="AW62">
        <v>53817134</v>
      </c>
      <c r="AX62">
        <v>117461623</v>
      </c>
      <c r="AY62">
        <v>1316903123</v>
      </c>
      <c r="AZ62">
        <v>151103069</v>
      </c>
      <c r="BA62">
        <v>137626748</v>
      </c>
      <c r="BB62">
        <v>134587008</v>
      </c>
      <c r="BC62">
        <v>568994615</v>
      </c>
      <c r="BD62">
        <v>100405038</v>
      </c>
      <c r="BE62">
        <v>200100257</v>
      </c>
      <c r="BF62">
        <v>178554120</v>
      </c>
      <c r="BG62">
        <v>172036260</v>
      </c>
      <c r="BH62">
        <v>66417821</v>
      </c>
      <c r="BI62">
        <v>6023813837</v>
      </c>
      <c r="CC62" t="e">
        <f t="shared" si="0"/>
        <v>#DIV/0!</v>
      </c>
    </row>
    <row r="63" spans="1:81">
      <c r="A63" s="11">
        <v>203</v>
      </c>
      <c r="B63" s="8" t="s">
        <v>153</v>
      </c>
      <c r="C63">
        <v>23207172</v>
      </c>
      <c r="D63">
        <v>1477950</v>
      </c>
      <c r="E63">
        <v>3073928</v>
      </c>
      <c r="F63">
        <v>55352</v>
      </c>
      <c r="G63">
        <v>33149151</v>
      </c>
      <c r="H63">
        <v>7826419</v>
      </c>
      <c r="I63">
        <v>7305765</v>
      </c>
      <c r="J63">
        <v>8717527</v>
      </c>
      <c r="K63">
        <v>19729403</v>
      </c>
      <c r="L63">
        <v>1414583</v>
      </c>
      <c r="M63">
        <v>20353707</v>
      </c>
      <c r="N63">
        <v>64631360</v>
      </c>
      <c r="O63">
        <v>13759</v>
      </c>
      <c r="P63">
        <v>10081721</v>
      </c>
      <c r="Q63">
        <v>26345577</v>
      </c>
      <c r="R63">
        <v>33751869</v>
      </c>
      <c r="S63">
        <v>18849197</v>
      </c>
      <c r="T63">
        <v>16007977</v>
      </c>
      <c r="U63">
        <v>16841816</v>
      </c>
      <c r="V63">
        <v>2177845</v>
      </c>
      <c r="W63">
        <v>29391696</v>
      </c>
      <c r="X63">
        <v>1342188</v>
      </c>
      <c r="Y63">
        <v>16210599</v>
      </c>
      <c r="Z63">
        <v>15295478</v>
      </c>
      <c r="AA63">
        <v>13748888</v>
      </c>
      <c r="AB63">
        <v>5121897</v>
      </c>
      <c r="AC63">
        <v>58052753</v>
      </c>
      <c r="AD63">
        <v>2782923</v>
      </c>
      <c r="AE63">
        <v>28547955</v>
      </c>
      <c r="AF63">
        <v>57550155</v>
      </c>
      <c r="AG63">
        <v>23223244</v>
      </c>
      <c r="AH63">
        <v>30645892</v>
      </c>
      <c r="AI63">
        <v>14237400</v>
      </c>
      <c r="AJ63">
        <v>21217832</v>
      </c>
      <c r="AK63">
        <v>9025763</v>
      </c>
      <c r="AL63">
        <v>7725868</v>
      </c>
      <c r="AM63">
        <v>24961642</v>
      </c>
      <c r="AN63">
        <v>33787543</v>
      </c>
      <c r="AO63">
        <v>153620165</v>
      </c>
      <c r="AP63">
        <v>108764737</v>
      </c>
      <c r="AQ63">
        <v>6793652</v>
      </c>
      <c r="AR63">
        <v>4893238</v>
      </c>
      <c r="AS63">
        <v>15956666</v>
      </c>
      <c r="AT63">
        <v>61092259</v>
      </c>
      <c r="AU63">
        <v>167999545</v>
      </c>
      <c r="AV63">
        <v>16099776</v>
      </c>
      <c r="AW63">
        <v>34180226</v>
      </c>
      <c r="AX63">
        <v>65629867</v>
      </c>
      <c r="AY63">
        <v>351052090</v>
      </c>
      <c r="AZ63">
        <v>99217482</v>
      </c>
      <c r="BA63">
        <v>117734997</v>
      </c>
      <c r="BB63">
        <v>105107866</v>
      </c>
      <c r="BC63">
        <v>135087385</v>
      </c>
      <c r="BD63">
        <v>316387538</v>
      </c>
      <c r="BE63">
        <v>73000455</v>
      </c>
      <c r="BF63">
        <v>394879485</v>
      </c>
      <c r="BG63">
        <v>74676300</v>
      </c>
      <c r="BH63">
        <v>30542477</v>
      </c>
      <c r="BI63">
        <v>3040598000</v>
      </c>
      <c r="CC63" t="e">
        <f t="shared" si="0"/>
        <v>#DIV/0!</v>
      </c>
    </row>
    <row r="64" spans="1:81">
      <c r="A64" s="11">
        <v>204</v>
      </c>
      <c r="B64" s="8" t="s">
        <v>154</v>
      </c>
      <c r="C64">
        <v>149515</v>
      </c>
      <c r="D64">
        <v>20830</v>
      </c>
      <c r="E64">
        <v>36782</v>
      </c>
      <c r="F64">
        <v>2178</v>
      </c>
      <c r="G64">
        <v>320915</v>
      </c>
      <c r="H64">
        <v>-15206341</v>
      </c>
      <c r="I64">
        <v>119730</v>
      </c>
      <c r="J64">
        <v>98778</v>
      </c>
      <c r="K64">
        <v>677778</v>
      </c>
      <c r="L64">
        <v>617367</v>
      </c>
      <c r="M64">
        <v>126253</v>
      </c>
      <c r="N64">
        <v>41381827</v>
      </c>
      <c r="O64">
        <v>4753</v>
      </c>
      <c r="P64">
        <v>3236017</v>
      </c>
      <c r="Q64">
        <v>5776573</v>
      </c>
      <c r="R64">
        <v>22090987</v>
      </c>
      <c r="S64">
        <v>13128977</v>
      </c>
      <c r="T64">
        <v>-1373182</v>
      </c>
      <c r="U64">
        <v>6513021</v>
      </c>
      <c r="V64">
        <v>1506350</v>
      </c>
      <c r="W64">
        <v>152310138</v>
      </c>
      <c r="X64">
        <v>29375406</v>
      </c>
      <c r="Y64">
        <v>3967570</v>
      </c>
      <c r="Z64">
        <v>8664710</v>
      </c>
      <c r="AA64">
        <v>4237165</v>
      </c>
      <c r="AB64">
        <v>1678479</v>
      </c>
      <c r="AC64">
        <v>20642223</v>
      </c>
      <c r="AD64">
        <v>1511548</v>
      </c>
      <c r="AE64">
        <v>13334411</v>
      </c>
      <c r="AF64">
        <v>204210841</v>
      </c>
      <c r="AG64">
        <v>8217988</v>
      </c>
      <c r="AH64">
        <v>10581774</v>
      </c>
      <c r="AI64">
        <v>4356519</v>
      </c>
      <c r="AJ64">
        <v>6449318</v>
      </c>
      <c r="AK64">
        <v>8315757</v>
      </c>
      <c r="AL64">
        <v>4924091</v>
      </c>
      <c r="AM64">
        <v>13275908</v>
      </c>
      <c r="AN64">
        <v>15140477</v>
      </c>
      <c r="AO64">
        <v>79347221</v>
      </c>
      <c r="AP64">
        <v>115825059</v>
      </c>
      <c r="AQ64">
        <v>2387607</v>
      </c>
      <c r="AR64">
        <v>2148117</v>
      </c>
      <c r="AS64">
        <v>5624269</v>
      </c>
      <c r="AT64">
        <v>28174403</v>
      </c>
      <c r="AU64">
        <v>32533488</v>
      </c>
      <c r="AV64">
        <v>2513142</v>
      </c>
      <c r="AW64">
        <v>8943455</v>
      </c>
      <c r="AX64">
        <v>11176160</v>
      </c>
      <c r="AY64">
        <v>85282953</v>
      </c>
      <c r="AZ64">
        <v>39525716</v>
      </c>
      <c r="BA64">
        <v>25199552</v>
      </c>
      <c r="BB64">
        <v>12593641</v>
      </c>
      <c r="BC64">
        <v>103782658</v>
      </c>
      <c r="BD64">
        <v>18624255</v>
      </c>
      <c r="BE64">
        <v>29403529</v>
      </c>
      <c r="BF64">
        <v>8993207</v>
      </c>
      <c r="BG64">
        <v>61751904</v>
      </c>
      <c r="BH64">
        <v>5695233</v>
      </c>
      <c r="BI64">
        <v>1269949000</v>
      </c>
      <c r="CC64" t="e">
        <f t="shared" si="0"/>
        <v>#DIV/0!</v>
      </c>
    </row>
    <row r="65" spans="1:81">
      <c r="A65" s="11">
        <v>209</v>
      </c>
      <c r="B65" s="8" t="s">
        <v>155</v>
      </c>
      <c r="C65">
        <v>193898783</v>
      </c>
      <c r="D65">
        <v>24984279</v>
      </c>
      <c r="E65">
        <v>47900374</v>
      </c>
      <c r="F65">
        <v>2319952</v>
      </c>
      <c r="G65">
        <v>406387840</v>
      </c>
      <c r="H65">
        <v>39478639</v>
      </c>
      <c r="I65">
        <v>170049145</v>
      </c>
      <c r="J65">
        <v>118263503</v>
      </c>
      <c r="K65">
        <v>189990190</v>
      </c>
      <c r="L65">
        <v>17997336</v>
      </c>
      <c r="M65">
        <v>98326743</v>
      </c>
      <c r="N65">
        <v>221706537</v>
      </c>
      <c r="O65">
        <v>87015</v>
      </c>
      <c r="P65">
        <v>73824649</v>
      </c>
      <c r="Q65">
        <v>183116586</v>
      </c>
      <c r="R65">
        <v>160246713</v>
      </c>
      <c r="S65">
        <v>101690410</v>
      </c>
      <c r="T65">
        <v>57319152</v>
      </c>
      <c r="U65">
        <v>90044423</v>
      </c>
      <c r="V65">
        <v>12417149</v>
      </c>
      <c r="W65">
        <v>265496090</v>
      </c>
      <c r="X65">
        <v>39523043</v>
      </c>
      <c r="Y65">
        <v>62871446</v>
      </c>
      <c r="Z65">
        <v>91446044</v>
      </c>
      <c r="AA65">
        <v>60436819</v>
      </c>
      <c r="AB65">
        <v>25068697</v>
      </c>
      <c r="AC65">
        <v>278438552</v>
      </c>
      <c r="AD65">
        <v>17766067</v>
      </c>
      <c r="AE65">
        <v>154640326</v>
      </c>
      <c r="AF65">
        <v>298334347</v>
      </c>
      <c r="AG65">
        <v>91804378</v>
      </c>
      <c r="AH65">
        <v>143498426</v>
      </c>
      <c r="AI65">
        <v>74970228</v>
      </c>
      <c r="AJ65">
        <v>91032181</v>
      </c>
      <c r="AK65">
        <v>61954778</v>
      </c>
      <c r="AL65">
        <v>56148470</v>
      </c>
      <c r="AM65">
        <v>175278239</v>
      </c>
      <c r="AN65">
        <v>171927660</v>
      </c>
      <c r="AO65">
        <v>765402163</v>
      </c>
      <c r="AP65">
        <v>615031601</v>
      </c>
      <c r="AQ65">
        <v>46949806</v>
      </c>
      <c r="AR65">
        <v>27991227</v>
      </c>
      <c r="AS65">
        <v>106724999</v>
      </c>
      <c r="AT65">
        <v>343247892</v>
      </c>
      <c r="AU65">
        <v>486036404</v>
      </c>
      <c r="AV65">
        <v>46723698</v>
      </c>
      <c r="AW65">
        <v>138728724</v>
      </c>
      <c r="AX65">
        <v>286841793</v>
      </c>
      <c r="AY65">
        <v>2401062752</v>
      </c>
      <c r="AZ65">
        <v>416867679</v>
      </c>
      <c r="BA65">
        <v>393220395</v>
      </c>
      <c r="BB65">
        <v>363780256</v>
      </c>
      <c r="BC65">
        <v>1184832606</v>
      </c>
      <c r="BD65">
        <v>491866405</v>
      </c>
      <c r="BE65">
        <v>459556011</v>
      </c>
      <c r="BF65">
        <v>2150614695</v>
      </c>
      <c r="BG65">
        <v>503924253</v>
      </c>
      <c r="BH65">
        <v>136994234</v>
      </c>
      <c r="BI65">
        <v>15737082802</v>
      </c>
      <c r="CC65" t="e">
        <f t="shared" si="0"/>
        <v>#DIV/0!</v>
      </c>
    </row>
    <row r="66" spans="1:81">
      <c r="A66" s="11">
        <v>210</v>
      </c>
      <c r="B66" s="8" t="s">
        <v>156</v>
      </c>
      <c r="C66">
        <v>300805457</v>
      </c>
      <c r="D66">
        <v>41908055</v>
      </c>
      <c r="E66">
        <v>74000253</v>
      </c>
      <c r="F66">
        <v>4382638</v>
      </c>
      <c r="G66">
        <v>645639471</v>
      </c>
      <c r="H66">
        <v>67805401</v>
      </c>
      <c r="I66">
        <v>221042403</v>
      </c>
      <c r="J66">
        <v>198730045</v>
      </c>
      <c r="K66">
        <v>414580102</v>
      </c>
      <c r="L66">
        <v>24034788</v>
      </c>
      <c r="M66">
        <v>200006620</v>
      </c>
      <c r="N66">
        <v>366401666</v>
      </c>
      <c r="O66">
        <v>188947</v>
      </c>
      <c r="P66">
        <v>128619782</v>
      </c>
      <c r="Q66">
        <v>528708608</v>
      </c>
      <c r="R66">
        <v>770908850</v>
      </c>
      <c r="S66">
        <v>526833171</v>
      </c>
      <c r="T66">
        <v>150131346</v>
      </c>
      <c r="U66">
        <v>304173412</v>
      </c>
      <c r="V66">
        <v>71308883</v>
      </c>
      <c r="W66">
        <v>557946323</v>
      </c>
      <c r="X66">
        <v>50115905</v>
      </c>
      <c r="Y66">
        <v>187820243</v>
      </c>
      <c r="Z66">
        <v>291830405</v>
      </c>
      <c r="AA66">
        <v>200582571</v>
      </c>
      <c r="AB66">
        <v>78315320</v>
      </c>
      <c r="AC66">
        <v>835162844</v>
      </c>
      <c r="AD66">
        <v>70240032</v>
      </c>
      <c r="AE66">
        <v>472756822</v>
      </c>
      <c r="AF66">
        <v>1262474068</v>
      </c>
      <c r="AG66">
        <v>365360836</v>
      </c>
      <c r="AH66">
        <v>500929197</v>
      </c>
      <c r="AI66">
        <v>206232636</v>
      </c>
      <c r="AJ66">
        <v>281633963</v>
      </c>
      <c r="AK66">
        <v>261753647</v>
      </c>
      <c r="AL66">
        <v>138423162</v>
      </c>
      <c r="AM66">
        <v>510119284</v>
      </c>
      <c r="AN66">
        <v>574716406</v>
      </c>
      <c r="AO66">
        <v>3407251645</v>
      </c>
      <c r="AP66">
        <v>2183201855</v>
      </c>
      <c r="AQ66">
        <v>113026657</v>
      </c>
      <c r="AR66">
        <v>87487804</v>
      </c>
      <c r="AS66">
        <v>266246557</v>
      </c>
      <c r="AT66">
        <v>1293376165</v>
      </c>
      <c r="AU66">
        <v>1540392449</v>
      </c>
      <c r="AV66">
        <v>71263534</v>
      </c>
      <c r="AW66">
        <v>612713300</v>
      </c>
      <c r="AX66">
        <v>758113275</v>
      </c>
      <c r="AY66">
        <v>3286326250</v>
      </c>
      <c r="AZ66">
        <v>1292633303</v>
      </c>
      <c r="BA66">
        <v>1207624247</v>
      </c>
      <c r="BB66">
        <v>583806028</v>
      </c>
      <c r="BC66">
        <v>1726961453</v>
      </c>
      <c r="BD66">
        <v>651594480</v>
      </c>
      <c r="BE66">
        <v>1234049316</v>
      </c>
      <c r="BF66">
        <v>2844041169</v>
      </c>
      <c r="BG66">
        <v>982175371</v>
      </c>
      <c r="BH66">
        <v>272392784</v>
      </c>
      <c r="BI66">
        <v>36301301204</v>
      </c>
      <c r="CC66" t="e">
        <f t="shared" si="0"/>
        <v>#DIV/0!</v>
      </c>
    </row>
    <row r="67" spans="1:81">
      <c r="A67" s="12" t="s">
        <v>179</v>
      </c>
      <c r="B67" s="10"/>
      <c r="C67" s="10">
        <v>902416371</v>
      </c>
      <c r="D67" s="10">
        <v>125724165</v>
      </c>
      <c r="E67" s="10">
        <v>222000759</v>
      </c>
      <c r="F67" s="10">
        <v>13147914</v>
      </c>
      <c r="G67" s="10">
        <v>1936918413</v>
      </c>
      <c r="H67" s="10">
        <v>203416203</v>
      </c>
      <c r="I67" s="10">
        <v>663127209</v>
      </c>
      <c r="J67" s="10">
        <v>596190135</v>
      </c>
      <c r="K67" s="10">
        <v>1243740306</v>
      </c>
      <c r="L67" s="10">
        <v>72104364</v>
      </c>
      <c r="M67" s="10">
        <v>600019860</v>
      </c>
      <c r="N67" s="10">
        <v>1099204998</v>
      </c>
      <c r="O67" s="10">
        <v>566841</v>
      </c>
      <c r="P67" s="10">
        <v>385859346</v>
      </c>
      <c r="Q67" s="10">
        <v>1586125824</v>
      </c>
      <c r="R67" s="10">
        <v>2312726550</v>
      </c>
      <c r="S67" s="10">
        <v>1580499513</v>
      </c>
      <c r="T67" s="10">
        <v>450394038</v>
      </c>
      <c r="U67" s="10">
        <v>912520236</v>
      </c>
      <c r="V67" s="10">
        <v>213926649</v>
      </c>
      <c r="W67" s="10">
        <v>1673838969</v>
      </c>
      <c r="X67" s="10">
        <v>150347715</v>
      </c>
      <c r="Y67" s="10">
        <v>563460729</v>
      </c>
      <c r="Z67" s="10">
        <v>875491215</v>
      </c>
      <c r="AA67" s="10">
        <v>601747713</v>
      </c>
      <c r="AB67" s="10">
        <v>234945960</v>
      </c>
      <c r="AC67" s="10">
        <v>2505488532</v>
      </c>
      <c r="AD67" s="10">
        <v>210720096</v>
      </c>
      <c r="AE67" s="10">
        <v>1418270466</v>
      </c>
      <c r="AF67" s="10">
        <v>3787422204</v>
      </c>
      <c r="AG67" s="10">
        <v>1096082508</v>
      </c>
      <c r="AH67" s="10">
        <v>1502787591</v>
      </c>
      <c r="AI67" s="10">
        <v>618697908</v>
      </c>
      <c r="AJ67" s="10">
        <v>844901889</v>
      </c>
      <c r="AK67" s="10">
        <v>785260941</v>
      </c>
      <c r="AL67" s="10">
        <v>415269486</v>
      </c>
      <c r="AM67" s="10">
        <v>1530357852</v>
      </c>
      <c r="AN67" s="10">
        <v>1724149218</v>
      </c>
      <c r="AO67" s="10">
        <v>10221754935</v>
      </c>
      <c r="AP67" s="10">
        <v>6549605565</v>
      </c>
      <c r="AQ67" s="10">
        <v>339079971</v>
      </c>
      <c r="AR67" s="10">
        <v>262463412</v>
      </c>
      <c r="AS67" s="10">
        <v>798739671</v>
      </c>
      <c r="AT67" s="10">
        <v>3880128495</v>
      </c>
      <c r="AU67" s="10">
        <v>4621177347</v>
      </c>
      <c r="AV67" s="10">
        <v>213790602</v>
      </c>
      <c r="AW67" s="10">
        <v>1838139900</v>
      </c>
      <c r="AX67" s="10">
        <v>2274339825</v>
      </c>
      <c r="AY67" s="10">
        <v>9858978750</v>
      </c>
      <c r="AZ67" s="10">
        <v>3877899909</v>
      </c>
      <c r="BA67" s="10">
        <v>3622872741</v>
      </c>
      <c r="BB67" s="10">
        <v>1751418084</v>
      </c>
      <c r="BC67" s="10">
        <v>5180884359</v>
      </c>
      <c r="BD67" s="10">
        <v>1954783440</v>
      </c>
      <c r="BE67" s="10">
        <v>3702147948</v>
      </c>
      <c r="BF67" s="10">
        <v>8532123507</v>
      </c>
      <c r="BG67" s="10">
        <v>2946526113</v>
      </c>
      <c r="BH67" s="10">
        <v>817178352</v>
      </c>
      <c r="BI67" s="10">
        <v>108903903612</v>
      </c>
      <c r="BJ67" s="10">
        <v>17573023790</v>
      </c>
      <c r="BK67" s="10">
        <v>5902794124</v>
      </c>
      <c r="BL67" s="10">
        <v>7606456032</v>
      </c>
      <c r="BM67" s="10">
        <v>1719970000</v>
      </c>
      <c r="BN67" s="10">
        <v>17137879840</v>
      </c>
      <c r="BO67" s="10">
        <v>1627479100</v>
      </c>
      <c r="BP67" s="10">
        <v>51567602886</v>
      </c>
      <c r="BQ67" s="10">
        <v>92696039690</v>
      </c>
      <c r="BR67" s="10">
        <v>-17051169200</v>
      </c>
      <c r="BS67" s="10">
        <v>-204134002</v>
      </c>
      <c r="BT67" s="10">
        <v>-825018590</v>
      </c>
      <c r="BU67" s="10">
        <v>-2013115490</v>
      </c>
      <c r="BV67" s="10">
        <v>-20093437282</v>
      </c>
      <c r="BW67" s="10">
        <v>0</v>
      </c>
      <c r="BX67" s="10">
        <v>0</v>
      </c>
      <c r="BY67" s="10">
        <v>0</v>
      </c>
      <c r="BZ67" s="10">
        <v>0</v>
      </c>
      <c r="CA67" s="10">
        <v>72602602408</v>
      </c>
      <c r="CB67" s="10">
        <v>92696039690</v>
      </c>
      <c r="CC67">
        <f t="shared" ref="CC67" si="1">(BN67+BO67)/CB67*100</f>
        <v>20.243970511314515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CA64-4C53-4BB4-AFD2-99DBF18BF2F8}">
  <dimension ref="B2:D60"/>
  <sheetViews>
    <sheetView workbookViewId="0">
      <selection activeCell="B13" sqref="B13:D13"/>
    </sheetView>
  </sheetViews>
  <sheetFormatPr defaultRowHeight="15"/>
  <cols>
    <col min="3" max="3" width="10.85546875" bestFit="1" customWidth="1"/>
    <col min="4" max="4" width="10.7109375" customWidth="1"/>
    <col min="9" max="9" width="9" customWidth="1"/>
  </cols>
  <sheetData>
    <row r="2" spans="2:4">
      <c r="C2" t="s">
        <v>200</v>
      </c>
      <c r="D2" t="s">
        <v>201</v>
      </c>
    </row>
    <row r="3" spans="2:4">
      <c r="B3" s="8" t="s">
        <v>92</v>
      </c>
      <c r="C3" s="15">
        <v>314114660</v>
      </c>
      <c r="D3" s="15">
        <v>15619</v>
      </c>
    </row>
    <row r="4" spans="2:4">
      <c r="B4" s="8" t="s">
        <v>93</v>
      </c>
      <c r="C4" s="15">
        <v>60227026</v>
      </c>
      <c r="D4" s="15">
        <v>3543545</v>
      </c>
    </row>
    <row r="5" spans="2:4">
      <c r="B5" s="8" t="s">
        <v>94</v>
      </c>
      <c r="C5" s="15">
        <v>76818426</v>
      </c>
      <c r="D5" s="15">
        <v>0</v>
      </c>
    </row>
    <row r="6" spans="2:4">
      <c r="B6" s="8" t="s">
        <v>95</v>
      </c>
      <c r="C6" s="15">
        <v>50605970</v>
      </c>
      <c r="D6" s="15">
        <v>2149301</v>
      </c>
    </row>
    <row r="7" spans="2:4">
      <c r="B7" s="8" t="s">
        <v>96</v>
      </c>
      <c r="C7" s="15">
        <v>969181190</v>
      </c>
      <c r="D7" s="15">
        <v>168290140</v>
      </c>
    </row>
    <row r="8" spans="2:4">
      <c r="B8" s="8" t="s">
        <v>97</v>
      </c>
      <c r="C8" s="15">
        <v>73397766</v>
      </c>
      <c r="D8" s="15">
        <v>96</v>
      </c>
    </row>
    <row r="9" spans="2:4">
      <c r="B9" s="8" t="s">
        <v>98</v>
      </c>
      <c r="C9" s="15">
        <v>235773619</v>
      </c>
      <c r="D9" s="15">
        <v>52033737</v>
      </c>
    </row>
    <row r="10" spans="2:4">
      <c r="B10" s="8" t="s">
        <v>99</v>
      </c>
      <c r="C10" s="15">
        <v>278736828</v>
      </c>
      <c r="D10" s="15">
        <v>27642715</v>
      </c>
    </row>
    <row r="11" spans="2:4">
      <c r="B11" s="8" t="s">
        <v>100</v>
      </c>
      <c r="C11" s="15">
        <v>464109557</v>
      </c>
      <c r="D11" s="15">
        <v>15461511</v>
      </c>
    </row>
    <row r="12" spans="2:4">
      <c r="B12" s="8" t="s">
        <v>101</v>
      </c>
      <c r="C12" s="15">
        <v>33164828</v>
      </c>
      <c r="D12" s="15">
        <v>9694480</v>
      </c>
    </row>
    <row r="13" spans="2:4">
      <c r="B13" s="8" t="s">
        <v>102</v>
      </c>
      <c r="C13" s="15">
        <v>279317969</v>
      </c>
      <c r="D13" s="15">
        <v>4047601</v>
      </c>
    </row>
    <row r="14" spans="2:4">
      <c r="B14" s="8" t="s">
        <v>103</v>
      </c>
      <c r="C14" s="15">
        <v>1382442221</v>
      </c>
      <c r="D14" s="15">
        <v>15399283</v>
      </c>
    </row>
    <row r="15" spans="2:4">
      <c r="B15" s="8" t="s">
        <v>104</v>
      </c>
      <c r="C15" s="15">
        <v>21099117</v>
      </c>
      <c r="D15" s="15">
        <v>4337404</v>
      </c>
    </row>
    <row r="16" spans="2:4">
      <c r="B16" s="8" t="s">
        <v>105</v>
      </c>
      <c r="C16" s="15">
        <v>171200786</v>
      </c>
      <c r="D16" s="15">
        <v>20257280</v>
      </c>
    </row>
    <row r="17" spans="2:4">
      <c r="B17" s="8" t="s">
        <v>106</v>
      </c>
      <c r="C17" s="15">
        <v>565111080</v>
      </c>
      <c r="D17" s="15">
        <v>1414190</v>
      </c>
    </row>
    <row r="18" spans="2:4">
      <c r="B18" s="8" t="s">
        <v>107</v>
      </c>
      <c r="C18" s="15">
        <v>1125490532</v>
      </c>
      <c r="D18" s="15">
        <v>459399571</v>
      </c>
    </row>
    <row r="19" spans="2:4">
      <c r="B19" s="8" t="s">
        <v>108</v>
      </c>
      <c r="C19" s="15">
        <v>648884751</v>
      </c>
      <c r="D19" s="15">
        <v>224555111</v>
      </c>
    </row>
    <row r="20" spans="2:4">
      <c r="B20" s="8" t="s">
        <v>109</v>
      </c>
      <c r="C20" s="15">
        <v>176821558</v>
      </c>
      <c r="D20" s="15">
        <v>60233732</v>
      </c>
    </row>
    <row r="21" spans="2:4">
      <c r="B21" s="8" t="s">
        <v>110</v>
      </c>
      <c r="C21" s="15">
        <v>449556715</v>
      </c>
      <c r="D21" s="15">
        <v>157536234</v>
      </c>
    </row>
    <row r="22" spans="2:4">
      <c r="B22" s="8" t="s">
        <v>111</v>
      </c>
      <c r="C22" s="15">
        <v>114752442</v>
      </c>
      <c r="D22" s="15">
        <v>61682867</v>
      </c>
    </row>
    <row r="23" spans="2:4">
      <c r="B23" s="8" t="s">
        <v>112</v>
      </c>
      <c r="C23" s="15">
        <v>671594046</v>
      </c>
      <c r="D23" s="15">
        <v>58205915</v>
      </c>
    </row>
    <row r="24" spans="2:4">
      <c r="B24" s="8" t="s">
        <v>113</v>
      </c>
      <c r="C24" s="15">
        <v>78889014</v>
      </c>
      <c r="D24" s="15">
        <v>7708264</v>
      </c>
    </row>
    <row r="25" spans="2:4">
      <c r="B25" s="8" t="s">
        <v>114</v>
      </c>
      <c r="C25" s="15">
        <v>310797091</v>
      </c>
      <c r="D25" s="15">
        <v>92983370</v>
      </c>
    </row>
    <row r="26" spans="2:4">
      <c r="B26" s="8" t="s">
        <v>115</v>
      </c>
      <c r="C26" s="15">
        <v>450664857</v>
      </c>
      <c r="D26" s="15">
        <v>135999195</v>
      </c>
    </row>
    <row r="27" spans="2:4">
      <c r="B27" s="8" t="s">
        <v>116</v>
      </c>
      <c r="C27" s="15">
        <v>363003408</v>
      </c>
      <c r="D27" s="15">
        <v>75008971</v>
      </c>
    </row>
    <row r="28" spans="2:4">
      <c r="B28" s="8" t="s">
        <v>117</v>
      </c>
      <c r="C28" s="15">
        <v>167420709</v>
      </c>
      <c r="D28" s="15">
        <v>18045840</v>
      </c>
    </row>
    <row r="29" spans="2:4">
      <c r="B29" s="8" t="s">
        <v>118</v>
      </c>
      <c r="C29" s="15">
        <v>1676868384</v>
      </c>
      <c r="D29" s="15">
        <v>720480163</v>
      </c>
    </row>
    <row r="30" spans="2:4">
      <c r="B30" s="8" t="s">
        <v>119</v>
      </c>
      <c r="C30" s="15">
        <v>227652074</v>
      </c>
      <c r="D30" s="15">
        <v>20334810</v>
      </c>
    </row>
    <row r="31" spans="2:4">
      <c r="B31" s="8" t="s">
        <v>120</v>
      </c>
      <c r="C31" s="15">
        <v>1091115403</v>
      </c>
      <c r="D31" s="15">
        <v>178770471</v>
      </c>
    </row>
    <row r="32" spans="2:4">
      <c r="B32" s="8" t="s">
        <v>121</v>
      </c>
      <c r="C32" s="15">
        <v>1729939893</v>
      </c>
      <c r="D32" s="15">
        <v>317098558</v>
      </c>
    </row>
    <row r="33" spans="2:4">
      <c r="B33" s="8" t="s">
        <v>122</v>
      </c>
      <c r="C33" s="15">
        <v>506144746</v>
      </c>
      <c r="D33" s="15">
        <v>410804902</v>
      </c>
    </row>
    <row r="34" spans="2:4">
      <c r="B34" s="8" t="s">
        <v>123</v>
      </c>
      <c r="C34" s="15">
        <v>727085374</v>
      </c>
      <c r="D34" s="15">
        <v>183794525</v>
      </c>
    </row>
    <row r="35" spans="2:4">
      <c r="B35" s="8" t="s">
        <v>124</v>
      </c>
      <c r="C35" s="15">
        <v>237126133</v>
      </c>
      <c r="D35" s="15">
        <v>7783723</v>
      </c>
    </row>
    <row r="36" spans="2:4">
      <c r="B36" s="8" t="s">
        <v>125</v>
      </c>
      <c r="C36" s="15">
        <v>412214399</v>
      </c>
      <c r="D36" s="15">
        <v>76814686</v>
      </c>
    </row>
    <row r="37" spans="2:4">
      <c r="B37" s="8" t="s">
        <v>126</v>
      </c>
      <c r="C37" s="15">
        <v>946395279</v>
      </c>
      <c r="D37" s="15">
        <v>90213821</v>
      </c>
    </row>
    <row r="38" spans="2:4">
      <c r="B38" s="8" t="s">
        <v>127</v>
      </c>
      <c r="C38" s="15">
        <v>880644663</v>
      </c>
      <c r="D38" s="15">
        <v>218017435</v>
      </c>
    </row>
    <row r="39" spans="2:4">
      <c r="B39" s="8" t="s">
        <v>128</v>
      </c>
      <c r="C39" s="15">
        <v>941671386</v>
      </c>
      <c r="D39" s="15">
        <v>309842992</v>
      </c>
    </row>
    <row r="40" spans="2:4">
      <c r="B40" s="8" t="s">
        <v>129</v>
      </c>
      <c r="C40" s="15">
        <v>1305168018</v>
      </c>
      <c r="D40" s="15">
        <v>472823393</v>
      </c>
    </row>
    <row r="41" spans="2:4">
      <c r="B41" s="8" t="s">
        <v>130</v>
      </c>
      <c r="C41" s="15">
        <v>6032701958</v>
      </c>
      <c r="D41" s="15">
        <v>2176524229</v>
      </c>
    </row>
    <row r="42" spans="2:4">
      <c r="B42" s="8" t="s">
        <v>131</v>
      </c>
      <c r="C42" s="15">
        <v>2977430413</v>
      </c>
      <c r="D42" s="15">
        <v>1027702174</v>
      </c>
    </row>
    <row r="43" spans="2:4">
      <c r="B43" s="8" t="s">
        <v>132</v>
      </c>
      <c r="C43" s="15">
        <v>192156038</v>
      </c>
      <c r="D43" s="15">
        <v>34122492</v>
      </c>
    </row>
    <row r="44" spans="2:4">
      <c r="B44" s="8" t="s">
        <v>133</v>
      </c>
      <c r="C44" s="15">
        <v>172664285</v>
      </c>
      <c r="D44" s="15">
        <v>57472428</v>
      </c>
    </row>
    <row r="45" spans="2:4">
      <c r="B45" s="8" t="s">
        <v>134</v>
      </c>
      <c r="C45" s="15">
        <v>344259749</v>
      </c>
      <c r="D45" s="15">
        <v>100744839</v>
      </c>
    </row>
    <row r="46" spans="2:4">
      <c r="B46" s="8" t="s">
        <v>135</v>
      </c>
      <c r="C46" s="15">
        <v>1899033406</v>
      </c>
      <c r="D46" s="15">
        <v>569559327</v>
      </c>
    </row>
    <row r="47" spans="2:4">
      <c r="B47" s="8" t="s">
        <v>136</v>
      </c>
      <c r="C47" s="15">
        <v>1697164809</v>
      </c>
      <c r="D47" s="15">
        <v>8558547</v>
      </c>
    </row>
    <row r="48" spans="2:4">
      <c r="B48" s="8" t="s">
        <v>137</v>
      </c>
      <c r="C48" s="15">
        <v>71263534</v>
      </c>
      <c r="D48" s="15">
        <v>0</v>
      </c>
    </row>
    <row r="49" spans="2:4">
      <c r="B49" s="8" t="s">
        <v>138</v>
      </c>
      <c r="C49" s="15">
        <v>612716974</v>
      </c>
      <c r="D49" s="15">
        <v>0</v>
      </c>
    </row>
    <row r="50" spans="2:4">
      <c r="B50" s="8" t="s">
        <v>139</v>
      </c>
      <c r="C50" s="15">
        <v>758113275</v>
      </c>
      <c r="D50" s="15">
        <v>0</v>
      </c>
    </row>
    <row r="51" spans="2:4">
      <c r="B51" s="8" t="s">
        <v>140</v>
      </c>
      <c r="C51" s="15">
        <v>11026474</v>
      </c>
      <c r="D51" s="15">
        <v>0</v>
      </c>
    </row>
    <row r="52" spans="2:4">
      <c r="B52" s="8" t="s">
        <v>141</v>
      </c>
      <c r="C52" s="15">
        <v>1358333734</v>
      </c>
      <c r="D52" s="15">
        <v>102435752</v>
      </c>
    </row>
    <row r="53" spans="2:4">
      <c r="B53" s="8" t="s">
        <v>142</v>
      </c>
      <c r="C53" s="15">
        <v>1029127687</v>
      </c>
      <c r="D53" s="15">
        <v>250913871</v>
      </c>
    </row>
    <row r="54" spans="2:4">
      <c r="B54" s="8" t="s">
        <v>143</v>
      </c>
      <c r="C54" s="15">
        <v>638994895</v>
      </c>
      <c r="D54" s="15">
        <v>26928955</v>
      </c>
    </row>
    <row r="55" spans="2:4">
      <c r="B55" s="8" t="s">
        <v>144</v>
      </c>
      <c r="C55" s="15">
        <v>1808671266</v>
      </c>
      <c r="D55" s="15">
        <v>41559726</v>
      </c>
    </row>
    <row r="56" spans="2:4">
      <c r="B56" s="8" t="s">
        <v>145</v>
      </c>
      <c r="C56" s="15">
        <v>753318923</v>
      </c>
      <c r="D56" s="15">
        <v>75641619</v>
      </c>
    </row>
    <row r="57" spans="2:4">
      <c r="B57" s="8" t="s">
        <v>146</v>
      </c>
      <c r="C57" s="15">
        <v>1552222836</v>
      </c>
      <c r="D57" s="15">
        <v>129997742</v>
      </c>
    </row>
    <row r="58" spans="2:4">
      <c r="B58" s="8" t="s">
        <v>147</v>
      </c>
      <c r="C58" s="15">
        <v>2930261796</v>
      </c>
      <c r="D58" s="15">
        <v>46839615</v>
      </c>
    </row>
    <row r="59" spans="2:4">
      <c r="B59" s="8" t="s">
        <v>148</v>
      </c>
      <c r="C59" s="15">
        <v>999051935</v>
      </c>
      <c r="D59" s="15">
        <v>43461509</v>
      </c>
    </row>
    <row r="60" spans="2:4">
      <c r="B60" s="8" t="s">
        <v>149</v>
      </c>
      <c r="C60" s="15">
        <v>294303940</v>
      </c>
      <c r="D60" s="15">
        <v>7791194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A237-BB8D-40BF-B23D-A7B14C8119F3}">
  <dimension ref="A1:K89"/>
  <sheetViews>
    <sheetView tabSelected="1" topLeftCell="B19" workbookViewId="0">
      <selection activeCell="C61" sqref="C61"/>
    </sheetView>
  </sheetViews>
  <sheetFormatPr defaultRowHeight="15"/>
  <cols>
    <col min="2" max="2" width="32" bestFit="1" customWidth="1"/>
    <col min="4" max="4" width="9.28515625" customWidth="1"/>
    <col min="8" max="8" width="9.140625" bestFit="1" customWidth="1"/>
    <col min="10" max="10" width="32" bestFit="1" customWidth="1"/>
    <col min="11" max="11" width="17.7109375" bestFit="1" customWidth="1"/>
  </cols>
  <sheetData>
    <row r="1" spans="1:11">
      <c r="C1" s="16" t="s">
        <v>182</v>
      </c>
      <c r="D1" s="16"/>
    </row>
    <row r="2" spans="1:11">
      <c r="C2">
        <v>1990</v>
      </c>
      <c r="D2">
        <v>2021</v>
      </c>
      <c r="E2" t="s">
        <v>185</v>
      </c>
      <c r="G2" t="s">
        <v>183</v>
      </c>
      <c r="H2" t="s">
        <v>185</v>
      </c>
      <c r="K2" t="s">
        <v>183</v>
      </c>
    </row>
    <row r="3" spans="1:11">
      <c r="A3" s="11">
        <v>1</v>
      </c>
      <c r="B3" s="8" t="s">
        <v>92</v>
      </c>
      <c r="C3" s="13">
        <f>[1]Sheet3!CD3</f>
        <v>0</v>
      </c>
      <c r="D3" s="13">
        <f>proc!CC2</f>
        <v>4.9723881082150067E-3</v>
      </c>
      <c r="E3">
        <v>0.67773048568306105</v>
      </c>
      <c r="F3" t="str">
        <f>B3</f>
        <v>Paddy</v>
      </c>
      <c r="G3" s="13">
        <f t="shared" ref="G3:G34" si="0">D3-C3</f>
        <v>4.9723881082150067E-3</v>
      </c>
      <c r="H3" s="14">
        <f>(proc!CB2/proc!$CB$60)*100</f>
        <v>0.67773048568306105</v>
      </c>
      <c r="J3" t="s">
        <v>111</v>
      </c>
      <c r="K3">
        <v>43.204525542092277</v>
      </c>
    </row>
    <row r="4" spans="1:11">
      <c r="A4" s="11">
        <v>2</v>
      </c>
      <c r="B4" s="8" t="s">
        <v>93</v>
      </c>
      <c r="C4" s="13">
        <f>[1]Sheet3!CD4</f>
        <v>34.731173568151966</v>
      </c>
      <c r="D4" s="13">
        <f>proc!CC3</f>
        <v>5.8836459897588167</v>
      </c>
      <c r="E4">
        <v>0.12994519766198223</v>
      </c>
      <c r="F4" t="str">
        <f t="shared" ref="F4:F59" si="1">B4</f>
        <v>Maize</v>
      </c>
      <c r="G4" s="13">
        <f t="shared" si="0"/>
        <v>-28.847527578393148</v>
      </c>
      <c r="H4" s="14">
        <f>(proc!CB3/proc!$CB$60)*100</f>
        <v>0.12994519766198223</v>
      </c>
      <c r="J4" t="s">
        <v>118</v>
      </c>
      <c r="K4">
        <v>39.416439365738157</v>
      </c>
    </row>
    <row r="5" spans="1:11">
      <c r="A5" s="11">
        <v>3</v>
      </c>
      <c r="B5" s="8" t="s">
        <v>94</v>
      </c>
      <c r="C5" s="13">
        <f>[1]Sheet3!CD5</f>
        <v>2.1530531177431613</v>
      </c>
      <c r="D5" s="13">
        <f>proc!CC4</f>
        <v>0</v>
      </c>
      <c r="E5">
        <v>0.16574262774742282</v>
      </c>
      <c r="F5" t="str">
        <f t="shared" si="1"/>
        <v>Cassava</v>
      </c>
      <c r="G5" s="13">
        <f t="shared" si="0"/>
        <v>-2.1530531177431613</v>
      </c>
      <c r="H5" s="14">
        <f>(proc!CB4/proc!$CB$60)*100</f>
        <v>0.16574262774742282</v>
      </c>
      <c r="J5" t="s">
        <v>129</v>
      </c>
      <c r="K5">
        <v>34.137210752119714</v>
      </c>
    </row>
    <row r="6" spans="1:11">
      <c r="A6" s="11">
        <v>4</v>
      </c>
      <c r="B6" s="8" t="s">
        <v>95</v>
      </c>
      <c r="C6" s="13">
        <f>[1]Sheet3!CD6</f>
        <v>24.478939547772512</v>
      </c>
      <c r="D6" s="13">
        <f>proc!CC5</f>
        <v>4.2471293406686996</v>
      </c>
      <c r="E6">
        <v>0.10918690845744804</v>
      </c>
      <c r="F6" t="str">
        <f t="shared" si="1"/>
        <v>Beans and Nuts</v>
      </c>
      <c r="G6" s="13">
        <f t="shared" si="0"/>
        <v>-20.231810207103813</v>
      </c>
      <c r="H6" s="14">
        <f>(proc!CB5/proc!$CB$60)*100</f>
        <v>0.10918690845744804</v>
      </c>
      <c r="J6" t="s">
        <v>131</v>
      </c>
      <c r="K6">
        <v>33.311404675235437</v>
      </c>
    </row>
    <row r="7" spans="1:11">
      <c r="A7" s="11">
        <v>5</v>
      </c>
      <c r="B7" s="8" t="s">
        <v>96</v>
      </c>
      <c r="C7" s="13">
        <f>[1]Sheet3!CD7</f>
        <v>2.9093712214354568</v>
      </c>
      <c r="D7" s="13">
        <f>proc!CC6</f>
        <v>17.364156644435084</v>
      </c>
      <c r="E7">
        <v>2.0910951389966548</v>
      </c>
      <c r="F7" t="str">
        <f t="shared" si="1"/>
        <v>Vegetables and Fruits</v>
      </c>
      <c r="G7" s="13">
        <f t="shared" si="0"/>
        <v>14.454785422999628</v>
      </c>
      <c r="H7" s="14">
        <f>(proc!CB6/proc!$CB$60)*100</f>
        <v>2.0910951389966548</v>
      </c>
      <c r="J7" t="s">
        <v>122</v>
      </c>
      <c r="K7">
        <v>28.886017775853908</v>
      </c>
    </row>
    <row r="8" spans="1:11">
      <c r="A8" s="11">
        <v>6</v>
      </c>
      <c r="B8" s="8" t="s">
        <v>97</v>
      </c>
      <c r="C8" s="13">
        <f>[1]Sheet3!CD8</f>
        <v>3.3944754330417172E-4</v>
      </c>
      <c r="D8" s="13">
        <f>proc!CC7</f>
        <v>1.3079417158282447E-4</v>
      </c>
      <c r="E8">
        <v>0.1583622477194527</v>
      </c>
      <c r="F8" t="str">
        <f t="shared" si="1"/>
        <v>Sugarcane</v>
      </c>
      <c r="G8" s="13">
        <f t="shared" si="0"/>
        <v>-2.0865337172134725E-4</v>
      </c>
      <c r="H8" s="14">
        <f>(proc!CB7/proc!$CB$60)*100</f>
        <v>0.1583622477194527</v>
      </c>
      <c r="J8" t="s">
        <v>101</v>
      </c>
      <c r="K8">
        <v>27.114906456328217</v>
      </c>
    </row>
    <row r="9" spans="1:11">
      <c r="A9" s="11">
        <v>7</v>
      </c>
      <c r="B9" s="8" t="s">
        <v>98</v>
      </c>
      <c r="C9" s="13">
        <f>[1]Sheet3!CD9</f>
        <v>6.2934438430912341</v>
      </c>
      <c r="D9" s="13">
        <f>proc!CC8</f>
        <v>22.069363493970883</v>
      </c>
      <c r="E9">
        <v>0.50870267983074391</v>
      </c>
      <c r="F9" t="str">
        <f t="shared" si="1"/>
        <v>Rubber (Latex)</v>
      </c>
      <c r="G9" s="13">
        <f t="shared" si="0"/>
        <v>15.775919650879649</v>
      </c>
      <c r="H9" s="14">
        <f>(proc!CB8/proc!$CB$60)*100</f>
        <v>0.50870267983074391</v>
      </c>
      <c r="J9" t="s">
        <v>114</v>
      </c>
      <c r="K9">
        <v>18.470099010060963</v>
      </c>
    </row>
    <row r="10" spans="1:11">
      <c r="A10" s="11">
        <v>8</v>
      </c>
      <c r="B10" s="8" t="s">
        <v>99</v>
      </c>
      <c r="C10" s="13">
        <f>[1]Sheet3!CD10</f>
        <v>7.57806934328626</v>
      </c>
      <c r="D10" s="13">
        <f>proc!CC9</f>
        <v>9.9171376808521341</v>
      </c>
      <c r="E10">
        <v>0.60139964756244046</v>
      </c>
      <c r="F10" t="str">
        <f t="shared" si="1"/>
        <v>Other Crops</v>
      </c>
      <c r="G10" s="13">
        <f t="shared" si="0"/>
        <v>2.3390683375658741</v>
      </c>
      <c r="H10" s="14">
        <f>(proc!CB9/proc!$CB$60)*100</f>
        <v>0.60139964756244046</v>
      </c>
      <c r="J10" t="s">
        <v>134</v>
      </c>
      <c r="K10">
        <v>18.429415340481164</v>
      </c>
    </row>
    <row r="11" spans="1:11">
      <c r="A11" s="11">
        <v>9</v>
      </c>
      <c r="B11" s="8" t="s">
        <v>100</v>
      </c>
      <c r="C11" s="13">
        <f>[1]Sheet3!CD11</f>
        <v>0.96855177373514345</v>
      </c>
      <c r="D11" s="13">
        <f>proc!CC10</f>
        <v>3.331435598944152</v>
      </c>
      <c r="E11">
        <v>1.0013578973861337</v>
      </c>
      <c r="F11" t="str">
        <f t="shared" si="1"/>
        <v>Livestock</v>
      </c>
      <c r="G11" s="13">
        <f t="shared" si="0"/>
        <v>2.3628838252090087</v>
      </c>
      <c r="H11" s="14">
        <f>(proc!CB10/proc!$CB$60)*100</f>
        <v>1.0013578973861337</v>
      </c>
      <c r="J11" t="s">
        <v>116</v>
      </c>
      <c r="K11">
        <v>17.159079426348306</v>
      </c>
    </row>
    <row r="12" spans="1:11">
      <c r="A12" s="11">
        <v>10</v>
      </c>
      <c r="B12" s="8" t="s">
        <v>101</v>
      </c>
      <c r="C12" s="13">
        <f>[1]Sheet3!CD12</f>
        <v>2.1163019793072695</v>
      </c>
      <c r="D12" s="13">
        <f>proc!CC11</f>
        <v>29.231208435635487</v>
      </c>
      <c r="E12">
        <v>7.1556083972760712E-2</v>
      </c>
      <c r="F12" t="str">
        <f t="shared" si="1"/>
        <v>Forestry</v>
      </c>
      <c r="G12" s="13">
        <f t="shared" si="0"/>
        <v>27.114906456328217</v>
      </c>
      <c r="H12" s="14">
        <f>(proc!CB11/proc!$CB$60)*100</f>
        <v>7.1556083972760712E-2</v>
      </c>
      <c r="J12" t="s">
        <v>127</v>
      </c>
      <c r="K12">
        <v>17.113699219501761</v>
      </c>
    </row>
    <row r="13" spans="1:11">
      <c r="A13" s="11">
        <v>11</v>
      </c>
      <c r="B13" s="8" t="s">
        <v>102</v>
      </c>
      <c r="C13" s="13">
        <f>[1]Sheet3!CD13</f>
        <v>1.3100587014742797</v>
      </c>
      <c r="D13" s="13">
        <f>proc!CC12</f>
        <v>1.4491015434814365</v>
      </c>
      <c r="E13">
        <v>0.60265351126998068</v>
      </c>
      <c r="F13" t="str">
        <f t="shared" si="1"/>
        <v>Fishery</v>
      </c>
      <c r="G13" s="13">
        <f t="shared" si="0"/>
        <v>0.13904284200715677</v>
      </c>
      <c r="H13" s="14">
        <f>(proc!CB12/proc!$CB$60)*100</f>
        <v>0.60265351126998068</v>
      </c>
      <c r="J13" t="s">
        <v>121</v>
      </c>
      <c r="K13">
        <v>15.885994725515083</v>
      </c>
    </row>
    <row r="14" spans="1:11">
      <c r="A14" s="11">
        <v>12</v>
      </c>
      <c r="B14" s="8" t="s">
        <v>103</v>
      </c>
      <c r="C14" s="13">
        <f>[1]Sheet3!CD14</f>
        <v>4.0154678781849489</v>
      </c>
      <c r="D14" s="13">
        <f>proc!CC13</f>
        <v>1.1139187422141095</v>
      </c>
      <c r="E14">
        <v>2.9827427916516203</v>
      </c>
      <c r="F14" t="str">
        <f t="shared" si="1"/>
        <v>Crude Oil and Coal</v>
      </c>
      <c r="G14" s="13">
        <f t="shared" si="0"/>
        <v>-2.9015491359708392</v>
      </c>
      <c r="H14" s="14">
        <f>(proc!CB13/proc!$CB$60)*100</f>
        <v>2.9827427916516203</v>
      </c>
      <c r="J14" t="s">
        <v>98</v>
      </c>
      <c r="K14">
        <v>15.775919650879649</v>
      </c>
    </row>
    <row r="15" spans="1:11">
      <c r="A15" s="11">
        <v>13</v>
      </c>
      <c r="B15" s="8" t="s">
        <v>104</v>
      </c>
      <c r="C15" s="13">
        <f>[1]Sheet3!CD15</f>
        <v>6.5789454856666625</v>
      </c>
      <c r="D15" s="13">
        <f>proc!CC14</f>
        <v>20.557277349568704</v>
      </c>
      <c r="E15">
        <v>4.5523232859917231E-2</v>
      </c>
      <c r="F15" t="str">
        <f t="shared" si="1"/>
        <v>Metal Ore</v>
      </c>
      <c r="G15" s="13">
        <f t="shared" si="0"/>
        <v>13.978331863902042</v>
      </c>
      <c r="H15" s="14">
        <f>(proc!CB14/proc!$CB$60)*100</f>
        <v>4.5523232859917231E-2</v>
      </c>
      <c r="J15" t="s">
        <v>132</v>
      </c>
      <c r="K15">
        <v>15.761670304465538</v>
      </c>
    </row>
    <row r="16" spans="1:11">
      <c r="A16" s="11">
        <v>14</v>
      </c>
      <c r="B16" s="8" t="s">
        <v>105</v>
      </c>
      <c r="C16" s="13">
        <f>[1]Sheet3!CD16</f>
        <v>6.9213351691226128</v>
      </c>
      <c r="D16" s="13">
        <f>proc!CC15</f>
        <v>11.832469040183028</v>
      </c>
      <c r="E16">
        <v>0.36938101470686463</v>
      </c>
      <c r="F16" t="str">
        <f t="shared" si="1"/>
        <v>Non-Metal Ore</v>
      </c>
      <c r="G16" s="13">
        <f t="shared" si="0"/>
        <v>4.9111338710604153</v>
      </c>
      <c r="H16" s="14">
        <f>(proc!CB15/proc!$CB$60)*100</f>
        <v>0.36938101470686463</v>
      </c>
      <c r="J16" t="s">
        <v>110</v>
      </c>
      <c r="K16">
        <v>15.651382557546988</v>
      </c>
    </row>
    <row r="17" spans="1:11">
      <c r="A17" s="11">
        <v>15</v>
      </c>
      <c r="B17" s="8" t="s">
        <v>106</v>
      </c>
      <c r="C17" s="13">
        <f>[1]Sheet3!CD17</f>
        <v>10.231141092796744</v>
      </c>
      <c r="D17" s="13">
        <f>proc!CC16</f>
        <v>0.25024991546794662</v>
      </c>
      <c r="E17">
        <v>1.2192777207955818</v>
      </c>
      <c r="F17" t="str">
        <f t="shared" si="1"/>
        <v>Slaughtering</v>
      </c>
      <c r="G17" s="13">
        <f t="shared" si="0"/>
        <v>-9.9808911773287967</v>
      </c>
      <c r="H17" s="14">
        <f>(proc!CB16/proc!$CB$60)*100</f>
        <v>1.2192777207955818</v>
      </c>
      <c r="J17" t="s">
        <v>96</v>
      </c>
      <c r="K17">
        <v>14.454785422999628</v>
      </c>
    </row>
    <row r="18" spans="1:11">
      <c r="A18" s="11">
        <v>16</v>
      </c>
      <c r="B18" s="8" t="s">
        <v>107</v>
      </c>
      <c r="C18" s="13">
        <f>[1]Sheet3!CD18</f>
        <v>51.27128258267696</v>
      </c>
      <c r="D18" s="13">
        <f>proc!CC17</f>
        <v>40.817719735380237</v>
      </c>
      <c r="E18">
        <v>2.4283465307988066</v>
      </c>
      <c r="F18" t="str">
        <f t="shared" si="1"/>
        <v>Processing and Presering of Foods</v>
      </c>
      <c r="G18" s="13">
        <f t="shared" si="0"/>
        <v>-10.453562847296723</v>
      </c>
      <c r="H18" s="14">
        <f>(proc!CB17/proc!$CB$60)*100</f>
        <v>2.4283465307988066</v>
      </c>
      <c r="J18" t="s">
        <v>104</v>
      </c>
      <c r="K18">
        <v>13.978331863902042</v>
      </c>
    </row>
    <row r="19" spans="1:11">
      <c r="A19" s="11">
        <v>17</v>
      </c>
      <c r="B19" s="8" t="s">
        <v>108</v>
      </c>
      <c r="C19" s="13">
        <f>[1]Sheet3!CD19</f>
        <v>39.916209834776424</v>
      </c>
      <c r="D19" s="13">
        <f>proc!CC18</f>
        <v>34.606316553738829</v>
      </c>
      <c r="E19">
        <v>1.4000269119803646</v>
      </c>
      <c r="F19" t="str">
        <f t="shared" si="1"/>
        <v>Rice and Other Grain Milling</v>
      </c>
      <c r="G19" s="13">
        <f t="shared" si="0"/>
        <v>-5.3098932810375956</v>
      </c>
      <c r="H19" s="14">
        <f>(proc!CB18/proc!$CB$60)*100</f>
        <v>1.4000269119803646</v>
      </c>
      <c r="J19" t="s">
        <v>128</v>
      </c>
      <c r="K19">
        <v>13.701530030720065</v>
      </c>
    </row>
    <row r="20" spans="1:11">
      <c r="A20" s="11">
        <v>18</v>
      </c>
      <c r="B20" s="8" t="s">
        <v>109</v>
      </c>
      <c r="C20" s="13">
        <f>[1]Sheet3!CD20</f>
        <v>47.041507804922084</v>
      </c>
      <c r="D20" s="13">
        <f>proc!CC19</f>
        <v>34.064699282878166</v>
      </c>
      <c r="E20">
        <v>0.38150833323912847</v>
      </c>
      <c r="F20" t="str">
        <f t="shared" si="1"/>
        <v>Sugar Refineries</v>
      </c>
      <c r="G20" s="13">
        <f t="shared" si="0"/>
        <v>-12.976808522043918</v>
      </c>
      <c r="H20" s="14">
        <f>(proc!CB19/proc!$CB$60)*100</f>
        <v>0.38150833323912847</v>
      </c>
      <c r="J20" t="s">
        <v>120</v>
      </c>
      <c r="K20">
        <v>11.708000502155286</v>
      </c>
    </row>
    <row r="21" spans="1:11">
      <c r="A21" s="11">
        <v>19</v>
      </c>
      <c r="B21" s="8" t="s">
        <v>110</v>
      </c>
      <c r="C21" s="13">
        <f>[1]Sheet3!CD21</f>
        <v>19.391189101070104</v>
      </c>
      <c r="D21" s="13">
        <f>proc!CC20</f>
        <v>35.042571658617092</v>
      </c>
      <c r="E21">
        <v>0.9699588385942618</v>
      </c>
      <c r="F21" t="str">
        <f t="shared" si="1"/>
        <v>Other Foods</v>
      </c>
      <c r="G21" s="13">
        <f t="shared" si="0"/>
        <v>15.651382557546988</v>
      </c>
      <c r="H21" s="14">
        <f>(proc!CB20/proc!$CB$60)*100</f>
        <v>0.9699588385942618</v>
      </c>
      <c r="J21" t="s">
        <v>119</v>
      </c>
      <c r="K21">
        <v>7.7133859698431486</v>
      </c>
    </row>
    <row r="22" spans="1:11">
      <c r="A22" s="11">
        <v>20</v>
      </c>
      <c r="B22" s="8" t="s">
        <v>111</v>
      </c>
      <c r="C22" s="13">
        <f>[1]Sheet3!CD22</f>
        <v>10.548462999972905</v>
      </c>
      <c r="D22" s="13">
        <f>proc!CC21</f>
        <v>53.752988542065182</v>
      </c>
      <c r="E22">
        <v>0.24758866157337991</v>
      </c>
      <c r="F22" t="str">
        <f t="shared" si="1"/>
        <v>Animal Food</v>
      </c>
      <c r="G22" s="13">
        <f t="shared" si="0"/>
        <v>43.204525542092277</v>
      </c>
      <c r="H22" s="14">
        <f>(proc!CB21/proc!$CB$60)*100</f>
        <v>0.24758866157337991</v>
      </c>
      <c r="J22" t="s">
        <v>126</v>
      </c>
      <c r="K22">
        <v>6.7538613074707836</v>
      </c>
    </row>
    <row r="23" spans="1:11">
      <c r="A23" s="11">
        <v>21</v>
      </c>
      <c r="B23" s="8" t="s">
        <v>112</v>
      </c>
      <c r="C23" s="13">
        <f>[1]Sheet3!CD23</f>
        <v>3.0134325404676154</v>
      </c>
      <c r="D23" s="13">
        <f>proc!CC22</f>
        <v>8.6668301106409746</v>
      </c>
      <c r="E23">
        <v>1.4490242479527444</v>
      </c>
      <c r="F23" t="str">
        <f t="shared" si="1"/>
        <v>Beverages</v>
      </c>
      <c r="G23" s="13">
        <f t="shared" si="0"/>
        <v>5.6533975701733592</v>
      </c>
      <c r="H23" s="14">
        <f>(proc!CB22/proc!$CB$60)*100</f>
        <v>1.4490242479527444</v>
      </c>
      <c r="J23" t="s">
        <v>130</v>
      </c>
      <c r="K23">
        <v>6.6053797033981176</v>
      </c>
    </row>
    <row r="24" spans="1:11">
      <c r="A24" s="11">
        <v>22</v>
      </c>
      <c r="B24" s="8" t="s">
        <v>113</v>
      </c>
      <c r="C24" s="13">
        <f>[1]Sheet3!CD24</f>
        <v>8.9342360896639921</v>
      </c>
      <c r="D24" s="13">
        <f>proc!CC23</f>
        <v>9.7710233772220807</v>
      </c>
      <c r="E24">
        <v>0.17021010663201075</v>
      </c>
      <c r="F24" t="str">
        <f t="shared" si="1"/>
        <v>Tobacco Processing and Products</v>
      </c>
      <c r="G24" s="13">
        <f t="shared" si="0"/>
        <v>0.83678728755808862</v>
      </c>
      <c r="H24" s="14">
        <f>(proc!CB23/proc!$CB$60)*100</f>
        <v>0.17021010663201075</v>
      </c>
      <c r="J24" t="s">
        <v>125</v>
      </c>
      <c r="K24">
        <v>6.3564193121291872</v>
      </c>
    </row>
    <row r="25" spans="1:11">
      <c r="A25" s="11">
        <v>23</v>
      </c>
      <c r="B25" s="8" t="s">
        <v>114</v>
      </c>
      <c r="C25" s="13">
        <f>[1]Sheet3!CD25</f>
        <v>11.447610226155792</v>
      </c>
      <c r="D25" s="13">
        <f>proc!CC24</f>
        <v>29.917709236216755</v>
      </c>
      <c r="E25">
        <v>0.67057253371209258</v>
      </c>
      <c r="F25" t="str">
        <f t="shared" si="1"/>
        <v>Spinning, Weaving and Bleaching</v>
      </c>
      <c r="G25" s="13">
        <f t="shared" si="0"/>
        <v>18.470099010060963</v>
      </c>
      <c r="H25" s="14">
        <f>(proc!CB24/proc!$CB$60)*100</f>
        <v>0.67057253371209258</v>
      </c>
      <c r="J25" t="s">
        <v>112</v>
      </c>
      <c r="K25">
        <v>5.6533975701733592</v>
      </c>
    </row>
    <row r="26" spans="1:11">
      <c r="A26" s="11">
        <v>24</v>
      </c>
      <c r="B26" s="8" t="s">
        <v>115</v>
      </c>
      <c r="C26" s="13">
        <f>[1]Sheet3!CD26</f>
        <v>40.80278977916975</v>
      </c>
      <c r="D26" s="13">
        <f>proc!CC25</f>
        <v>30.177457347201138</v>
      </c>
      <c r="E26">
        <v>0.97234975411493763</v>
      </c>
      <c r="F26" t="str">
        <f t="shared" si="1"/>
        <v>Textile Products</v>
      </c>
      <c r="G26" s="13">
        <f t="shared" si="0"/>
        <v>-10.625332431968612</v>
      </c>
      <c r="H26" s="14">
        <f>(proc!CB25/proc!$CB$60)*100</f>
        <v>0.97234975411493763</v>
      </c>
      <c r="J26" t="s">
        <v>145</v>
      </c>
      <c r="K26">
        <v>5.0439301570096493</v>
      </c>
    </row>
    <row r="27" spans="1:11">
      <c r="A27" s="11">
        <v>25</v>
      </c>
      <c r="B27" s="8" t="s">
        <v>116</v>
      </c>
      <c r="C27" s="13">
        <f>[1]Sheet3!CD27</f>
        <v>3.5043549511052534</v>
      </c>
      <c r="D27" s="13">
        <f>proc!CC26</f>
        <v>20.663434377453559</v>
      </c>
      <c r="E27">
        <v>0.78321233401983326</v>
      </c>
      <c r="F27" t="str">
        <f t="shared" si="1"/>
        <v>Paper and Paper Products</v>
      </c>
      <c r="G27" s="13">
        <f t="shared" si="0"/>
        <v>17.159079426348306</v>
      </c>
      <c r="H27" s="14">
        <f>(proc!CB26/proc!$CB$60)*100</f>
        <v>0.78321233401983326</v>
      </c>
      <c r="J27" t="s">
        <v>105</v>
      </c>
      <c r="K27">
        <v>4.9111338710604153</v>
      </c>
    </row>
    <row r="28" spans="1:11">
      <c r="A28" s="11">
        <v>26</v>
      </c>
      <c r="B28" s="8" t="s">
        <v>117</v>
      </c>
      <c r="C28" s="13">
        <f>[1]Sheet3!CD28</f>
        <v>6.4652134489647146</v>
      </c>
      <c r="D28" s="13">
        <f>proc!CC27</f>
        <v>10.778738250355874</v>
      </c>
      <c r="E28">
        <v>0.36122516034104368</v>
      </c>
      <c r="F28" t="str">
        <f t="shared" si="1"/>
        <v>Printing and Publishing</v>
      </c>
      <c r="G28" s="13">
        <f t="shared" si="0"/>
        <v>4.3135248013911589</v>
      </c>
      <c r="H28" s="14">
        <f>(proc!CB27/proc!$CB$60)*100</f>
        <v>0.36122516034104368</v>
      </c>
      <c r="J28" t="s">
        <v>117</v>
      </c>
      <c r="K28">
        <v>4.3135248013911589</v>
      </c>
    </row>
    <row r="29" spans="1:11">
      <c r="A29" s="11">
        <v>27</v>
      </c>
      <c r="B29" s="8" t="s">
        <v>118</v>
      </c>
      <c r="C29" s="13">
        <f>[1]Sheet3!CD29</f>
        <v>3.5493753561881611</v>
      </c>
      <c r="D29" s="13">
        <f>proc!CC28</f>
        <v>42.965814721926321</v>
      </c>
      <c r="E29">
        <v>3.617993583345934</v>
      </c>
      <c r="F29" t="str">
        <f t="shared" si="1"/>
        <v>Basic Chemical Products</v>
      </c>
      <c r="G29" s="13">
        <f t="shared" si="0"/>
        <v>39.416439365738157</v>
      </c>
      <c r="H29" s="14">
        <f>(proc!CB28/proc!$CB$60)*100</f>
        <v>3.617993583345934</v>
      </c>
      <c r="J29" t="s">
        <v>124</v>
      </c>
      <c r="K29">
        <v>3.1699888843215138</v>
      </c>
    </row>
    <row r="30" spans="1:11">
      <c r="A30" s="11">
        <v>28</v>
      </c>
      <c r="B30" s="8" t="s">
        <v>119</v>
      </c>
      <c r="C30" s="13">
        <f>[1]Sheet3!CD30</f>
        <v>1.2190211208122168</v>
      </c>
      <c r="D30" s="13">
        <f>proc!CC29</f>
        <v>8.9324070906553654</v>
      </c>
      <c r="E30">
        <v>0.49117971978377628</v>
      </c>
      <c r="F30" t="str">
        <f t="shared" si="1"/>
        <v>Fertilizer and Pesticides</v>
      </c>
      <c r="G30" s="13">
        <f t="shared" si="0"/>
        <v>7.7133859698431486</v>
      </c>
      <c r="H30" s="14">
        <f>(proc!CB29/proc!$CB$60)*100</f>
        <v>0.49117971978377628</v>
      </c>
      <c r="J30" t="s">
        <v>123</v>
      </c>
      <c r="K30">
        <v>2.875594039680994</v>
      </c>
    </row>
    <row r="31" spans="1:11">
      <c r="A31" s="11">
        <v>29</v>
      </c>
      <c r="B31" s="8" t="s">
        <v>120</v>
      </c>
      <c r="C31" s="13">
        <f>[1]Sheet3!CD31</f>
        <v>4.6761941035183332</v>
      </c>
      <c r="D31" s="13">
        <f>proc!CC30</f>
        <v>16.384194605673621</v>
      </c>
      <c r="E31">
        <v>2.354179114121763</v>
      </c>
      <c r="F31" t="str">
        <f t="shared" si="1"/>
        <v>Other Chemical Products</v>
      </c>
      <c r="G31" s="13">
        <f t="shared" si="0"/>
        <v>11.708000502155286</v>
      </c>
      <c r="H31" s="14">
        <f>(proc!CB30/proc!$CB$60)*100</f>
        <v>2.354179114121763</v>
      </c>
      <c r="J31" t="s">
        <v>100</v>
      </c>
      <c r="K31">
        <v>2.3628838252090087</v>
      </c>
    </row>
    <row r="32" spans="1:11">
      <c r="A32" s="11">
        <v>30</v>
      </c>
      <c r="B32" s="8" t="s">
        <v>121</v>
      </c>
      <c r="C32" s="13">
        <f>[1]Sheet3!CD32</f>
        <v>2.4440385480744986</v>
      </c>
      <c r="D32" s="13">
        <f>proc!CC31</f>
        <v>18.330033273589581</v>
      </c>
      <c r="E32">
        <v>3.7325001128103752</v>
      </c>
      <c r="F32" t="str">
        <f t="shared" si="1"/>
        <v>Petroleum Refineries</v>
      </c>
      <c r="G32" s="13">
        <f t="shared" si="0"/>
        <v>15.885994725515083</v>
      </c>
      <c r="H32" s="14">
        <f>(proc!CB31/proc!$CB$60)*100</f>
        <v>3.7325001128103752</v>
      </c>
      <c r="J32" t="s">
        <v>99</v>
      </c>
      <c r="K32">
        <v>2.3390683375658741</v>
      </c>
    </row>
    <row r="33" spans="1:11">
      <c r="A33" s="11">
        <v>31</v>
      </c>
      <c r="B33" s="8" t="s">
        <v>122</v>
      </c>
      <c r="C33" s="13">
        <f>[1]Sheet3!CD33</f>
        <v>52.277504170494616</v>
      </c>
      <c r="D33" s="13">
        <f>proc!CC32</f>
        <v>81.163521946348524</v>
      </c>
      <c r="E33">
        <v>1.0920525789293296</v>
      </c>
      <c r="F33" t="str">
        <f t="shared" si="1"/>
        <v>Rubber Products</v>
      </c>
      <c r="G33" s="13">
        <f t="shared" si="0"/>
        <v>28.886017775853908</v>
      </c>
      <c r="H33" s="14">
        <f>(proc!CB32/proc!$CB$60)*100</f>
        <v>1.0920525789293296</v>
      </c>
      <c r="J33" t="s">
        <v>144</v>
      </c>
      <c r="K33">
        <v>1.8665362152428322</v>
      </c>
    </row>
    <row r="34" spans="1:11">
      <c r="A34" s="11">
        <v>32</v>
      </c>
      <c r="B34" s="8" t="s">
        <v>123</v>
      </c>
      <c r="C34" s="13">
        <f>[1]Sheet3!CD34</f>
        <v>22.402665099114444</v>
      </c>
      <c r="D34" s="13">
        <f>proc!CC33</f>
        <v>25.278259138795438</v>
      </c>
      <c r="E34">
        <v>1.5687517534331892</v>
      </c>
      <c r="F34" t="str">
        <f t="shared" si="1"/>
        <v>Plastic Wares</v>
      </c>
      <c r="G34" s="13">
        <f t="shared" si="0"/>
        <v>2.875594039680994</v>
      </c>
      <c r="H34" s="14">
        <f>(proc!CB33/proc!$CB$60)*100</f>
        <v>1.5687517534331892</v>
      </c>
      <c r="J34" t="s">
        <v>147</v>
      </c>
      <c r="K34">
        <v>1.5180418309209744</v>
      </c>
    </row>
    <row r="35" spans="1:11">
      <c r="A35" s="11">
        <v>33</v>
      </c>
      <c r="B35" s="8" t="s">
        <v>124</v>
      </c>
      <c r="C35" s="13">
        <f>[1]Sheet3!CD35</f>
        <v>0.11253544208834731</v>
      </c>
      <c r="D35" s="13">
        <f>proc!CC34</f>
        <v>3.2825243264098609</v>
      </c>
      <c r="E35">
        <v>0.51162084980763434</v>
      </c>
      <c r="F35" t="str">
        <f t="shared" si="1"/>
        <v>Cement and Concrete Products</v>
      </c>
      <c r="G35" s="13">
        <f t="shared" ref="G35:G59" si="2">D35-C35</f>
        <v>3.1699888843215138</v>
      </c>
      <c r="H35" s="14">
        <f>(proc!CB34/proc!$CB$60)*100</f>
        <v>0.51162084980763434</v>
      </c>
      <c r="J35" t="s">
        <v>113</v>
      </c>
      <c r="K35">
        <v>0.83678728755808862</v>
      </c>
    </row>
    <row r="36" spans="1:11">
      <c r="A36" s="11">
        <v>34</v>
      </c>
      <c r="B36" s="8" t="s">
        <v>125</v>
      </c>
      <c r="C36" s="13">
        <f>[1]Sheet3!CD36</f>
        <v>12.278224743572515</v>
      </c>
      <c r="D36" s="13">
        <f>proc!CC35</f>
        <v>18.634644055701703</v>
      </c>
      <c r="E36">
        <v>0.88938945046315598</v>
      </c>
      <c r="F36" t="str">
        <f t="shared" si="1"/>
        <v>Other Non-metallic Products</v>
      </c>
      <c r="G36" s="13">
        <f t="shared" si="2"/>
        <v>6.3564193121291872</v>
      </c>
      <c r="H36" s="14">
        <f>(proc!CB35/proc!$CB$60)*100</f>
        <v>0.88938945046315598</v>
      </c>
      <c r="J36" t="s">
        <v>102</v>
      </c>
      <c r="K36">
        <v>0.13904284200715677</v>
      </c>
    </row>
    <row r="37" spans="1:11">
      <c r="A37" s="11">
        <v>35</v>
      </c>
      <c r="B37" s="8" t="s">
        <v>126</v>
      </c>
      <c r="C37" s="13">
        <f>[1]Sheet3!CD37</f>
        <v>2.7785003813283846</v>
      </c>
      <c r="D37" s="13">
        <f>proc!CC36</f>
        <v>9.5323616887991687</v>
      </c>
      <c r="E37">
        <v>2.0419324971487356</v>
      </c>
      <c r="F37" t="str">
        <f t="shared" si="1"/>
        <v>Iron and Steel</v>
      </c>
      <c r="G37" s="13">
        <f t="shared" si="2"/>
        <v>6.7538613074707836</v>
      </c>
      <c r="H37" s="14">
        <f>(proc!CB36/proc!$CB$60)*100</f>
        <v>2.0419324971487356</v>
      </c>
      <c r="J37" t="s">
        <v>136</v>
      </c>
      <c r="K37">
        <v>0.11425369315113776</v>
      </c>
    </row>
    <row r="38" spans="1:11">
      <c r="A38" s="11">
        <v>36</v>
      </c>
      <c r="B38" s="8" t="s">
        <v>127</v>
      </c>
      <c r="C38" s="13">
        <f>[1]Sheet3!CD38</f>
        <v>7.6428733414790564</v>
      </c>
      <c r="D38" s="13">
        <f>proc!CC37</f>
        <v>24.756572560980818</v>
      </c>
      <c r="E38">
        <v>1.9000696598152584</v>
      </c>
      <c r="F38" t="str">
        <f t="shared" si="1"/>
        <v>Non-ferrous Metal</v>
      </c>
      <c r="G38" s="13">
        <f t="shared" si="2"/>
        <v>17.113699219501761</v>
      </c>
      <c r="H38" s="14">
        <f>(proc!CB37/proc!$CB$60)*100</f>
        <v>1.9000696598152584</v>
      </c>
      <c r="J38" t="s">
        <v>92</v>
      </c>
      <c r="K38">
        <v>4.9723881082150067E-3</v>
      </c>
    </row>
    <row r="39" spans="1:11">
      <c r="A39" s="11">
        <v>37</v>
      </c>
      <c r="B39" s="8" t="s">
        <v>128</v>
      </c>
      <c r="C39" s="13">
        <f>[1]Sheet3!CD39</f>
        <v>19.20198563371364</v>
      </c>
      <c r="D39" s="13">
        <f>proc!CC38</f>
        <v>32.903515664433705</v>
      </c>
      <c r="E39">
        <v>2.0317402753110003</v>
      </c>
      <c r="F39" t="str">
        <f t="shared" si="1"/>
        <v>Fabricated Metal Products</v>
      </c>
      <c r="G39" s="13">
        <f t="shared" si="2"/>
        <v>13.701530030720065</v>
      </c>
      <c r="H39" s="14">
        <f>(proc!CB38/proc!$CB$60)*100</f>
        <v>2.0317402753110003</v>
      </c>
      <c r="J39" t="s">
        <v>138</v>
      </c>
      <c r="K39">
        <v>0</v>
      </c>
    </row>
    <row r="40" spans="1:11">
      <c r="A40" s="11">
        <v>38</v>
      </c>
      <c r="B40" s="8" t="s">
        <v>129</v>
      </c>
      <c r="C40" s="13">
        <f>[1]Sheet3!CD40</f>
        <v>2.0898026652439983</v>
      </c>
      <c r="D40" s="13">
        <f>proc!CC39</f>
        <v>36.227013417363715</v>
      </c>
      <c r="E40">
        <v>2.8160167842441295</v>
      </c>
      <c r="F40" t="str">
        <f t="shared" si="1"/>
        <v>Industrial Machinery</v>
      </c>
      <c r="G40" s="13">
        <f t="shared" si="2"/>
        <v>34.137210752119714</v>
      </c>
      <c r="H40" s="14">
        <f>(proc!CB39/proc!$CB$60)*100</f>
        <v>2.8160167842441295</v>
      </c>
      <c r="J40" t="s">
        <v>139</v>
      </c>
      <c r="K40">
        <v>0</v>
      </c>
    </row>
    <row r="41" spans="1:11">
      <c r="A41" s="11">
        <v>39</v>
      </c>
      <c r="B41" s="8" t="s">
        <v>130</v>
      </c>
      <c r="C41" s="13">
        <f>[1]Sheet3!CD41</f>
        <v>29.473383082383119</v>
      </c>
      <c r="D41" s="13">
        <f>proc!CC40</f>
        <v>36.078762785781237</v>
      </c>
      <c r="E41">
        <v>13.016094275817924</v>
      </c>
      <c r="F41" t="str">
        <f t="shared" si="1"/>
        <v>Electrical Machinery and Apparatus</v>
      </c>
      <c r="G41" s="13">
        <f t="shared" si="2"/>
        <v>6.6053797033981176</v>
      </c>
      <c r="H41" s="14">
        <f>(proc!CB40/proc!$CB$60)*100</f>
        <v>13.016094275817924</v>
      </c>
      <c r="J41" t="s">
        <v>140</v>
      </c>
      <c r="K41">
        <v>0</v>
      </c>
    </row>
    <row r="42" spans="1:11">
      <c r="A42" s="11">
        <v>40</v>
      </c>
      <c r="B42" s="8" t="s">
        <v>131</v>
      </c>
      <c r="C42" s="13">
        <f>[1]Sheet3!CD42</f>
        <v>1.2050081857626262</v>
      </c>
      <c r="D42" s="13">
        <f>proc!CC41</f>
        <v>34.516412860998066</v>
      </c>
      <c r="E42">
        <v>6.4240725341822849</v>
      </c>
      <c r="F42" t="str">
        <f t="shared" si="1"/>
        <v>Motor Vehicles and Repairing</v>
      </c>
      <c r="G42" s="13">
        <f t="shared" si="2"/>
        <v>33.311404675235437</v>
      </c>
      <c r="H42" s="14">
        <f>(proc!CB41/proc!$CB$60)*100</f>
        <v>6.4240725341822849</v>
      </c>
      <c r="J42" t="s">
        <v>97</v>
      </c>
      <c r="K42">
        <v>-2.0865337172134725E-4</v>
      </c>
    </row>
    <row r="43" spans="1:11">
      <c r="A43" s="11">
        <v>41</v>
      </c>
      <c r="B43" s="8" t="s">
        <v>132</v>
      </c>
      <c r="C43" s="13">
        <f>[1]Sheet3!CD43</f>
        <v>1.99602930006107</v>
      </c>
      <c r="D43" s="13">
        <f>proc!CC42</f>
        <v>17.757699604526607</v>
      </c>
      <c r="E43">
        <v>0.41459384595635468</v>
      </c>
      <c r="F43" t="str">
        <f t="shared" si="1"/>
        <v>Other Transportation Equipment</v>
      </c>
      <c r="G43" s="13">
        <f t="shared" si="2"/>
        <v>15.761670304465538</v>
      </c>
      <c r="H43" s="14">
        <f>(proc!CB42/proc!$CB$60)*100</f>
        <v>0.41459384595635468</v>
      </c>
      <c r="J43" t="s">
        <v>148</v>
      </c>
      <c r="K43">
        <v>-0.23482652738658061</v>
      </c>
    </row>
    <row r="44" spans="1:11">
      <c r="A44" s="11">
        <v>42</v>
      </c>
      <c r="B44" s="8" t="s">
        <v>133</v>
      </c>
      <c r="C44" s="13">
        <f>[1]Sheet3!CD44</f>
        <v>37.233462394400767</v>
      </c>
      <c r="D44" s="13">
        <f>proc!CC43</f>
        <v>33.285649084870101</v>
      </c>
      <c r="E44">
        <v>0.37253864475210569</v>
      </c>
      <c r="F44" t="str">
        <f t="shared" si="1"/>
        <v>Leather Products</v>
      </c>
      <c r="G44" s="13">
        <f t="shared" si="2"/>
        <v>-3.947813309530666</v>
      </c>
      <c r="H44" s="14">
        <f>(proc!CB43/proc!$CB$60)*100</f>
        <v>0.37253864475210569</v>
      </c>
      <c r="J44" t="s">
        <v>137</v>
      </c>
      <c r="K44">
        <v>-0.24991502193527354</v>
      </c>
    </row>
    <row r="45" spans="1:11">
      <c r="A45" s="11">
        <v>43</v>
      </c>
      <c r="B45" s="8" t="s">
        <v>134</v>
      </c>
      <c r="C45" s="13">
        <f>[1]Sheet3!CD45</f>
        <v>10.834778133383244</v>
      </c>
      <c r="D45" s="13">
        <f>proc!CC44</f>
        <v>29.26419347386441</v>
      </c>
      <c r="E45">
        <v>0.74277121255944778</v>
      </c>
      <c r="F45" t="str">
        <f t="shared" si="1"/>
        <v>Saw Mills and Wood Products</v>
      </c>
      <c r="G45" s="13">
        <f t="shared" si="2"/>
        <v>18.429415340481164</v>
      </c>
      <c r="H45" s="14">
        <f>(proc!CB44/proc!$CB$60)*100</f>
        <v>0.74277121255944778</v>
      </c>
      <c r="J45" t="s">
        <v>135</v>
      </c>
      <c r="K45">
        <v>-0.31316124341581286</v>
      </c>
    </row>
    <row r="46" spans="1:11">
      <c r="A46" s="11">
        <v>44</v>
      </c>
      <c r="B46" s="8" t="s">
        <v>135</v>
      </c>
      <c r="C46" s="13">
        <f>[1]Sheet3!CD46</f>
        <v>30.305225901176762</v>
      </c>
      <c r="D46" s="13">
        <f>proc!CC45</f>
        <v>29.992064657760949</v>
      </c>
      <c r="E46">
        <v>4.0973344974626071</v>
      </c>
      <c r="F46" t="str">
        <f t="shared" si="1"/>
        <v>Other Manufacturing Products</v>
      </c>
      <c r="G46" s="13">
        <f t="shared" si="2"/>
        <v>-0.31316124341581286</v>
      </c>
      <c r="H46" s="14">
        <f>(proc!CB45/proc!$CB$60)*100</f>
        <v>4.0973344974626071</v>
      </c>
      <c r="J46" t="s">
        <v>142</v>
      </c>
      <c r="K46">
        <v>-1.0224713207787772</v>
      </c>
    </row>
    <row r="47" spans="1:11">
      <c r="A47" s="11">
        <v>45</v>
      </c>
      <c r="B47" s="8" t="s">
        <v>136</v>
      </c>
      <c r="C47" s="13">
        <f>[1]Sheet3!CD47</f>
        <v>0.39003127402555327</v>
      </c>
      <c r="D47" s="13">
        <f>proc!CC46</f>
        <v>0.50428496717669102</v>
      </c>
      <c r="E47">
        <v>3.6617849363916015</v>
      </c>
      <c r="F47" t="str">
        <f t="shared" si="1"/>
        <v>Electricity and Gas</v>
      </c>
      <c r="G47" s="13">
        <f t="shared" si="2"/>
        <v>0.11425369315113776</v>
      </c>
      <c r="H47" s="14">
        <f>(proc!CB46/proc!$CB$60)*100</f>
        <v>3.6617849363916015</v>
      </c>
      <c r="J47" t="s">
        <v>94</v>
      </c>
      <c r="K47">
        <v>-2.1530531177431613</v>
      </c>
    </row>
    <row r="48" spans="1:11">
      <c r="A48" s="11">
        <v>46</v>
      </c>
      <c r="B48" s="8" t="s">
        <v>137</v>
      </c>
      <c r="C48" s="13">
        <f>[1]Sheet3!CD48</f>
        <v>0.24991502193527354</v>
      </c>
      <c r="D48" s="13">
        <f>proc!CC47</f>
        <v>0</v>
      </c>
      <c r="E48">
        <v>0.15375745121004963</v>
      </c>
      <c r="F48" t="str">
        <f t="shared" si="1"/>
        <v>Water Works and Supply</v>
      </c>
      <c r="G48" s="13">
        <f t="shared" si="2"/>
        <v>-0.24991502193527354</v>
      </c>
      <c r="H48" s="14">
        <f>(proc!CB47/proc!$CB$60)*100</f>
        <v>0.15375745121004963</v>
      </c>
      <c r="J48" t="s">
        <v>103</v>
      </c>
      <c r="K48">
        <v>-2.9015491359708392</v>
      </c>
    </row>
    <row r="49" spans="1:11">
      <c r="A49" s="11">
        <v>47</v>
      </c>
      <c r="B49" s="8" t="s">
        <v>138</v>
      </c>
      <c r="C49" s="13">
        <f>[1]Sheet3!CD49</f>
        <v>0</v>
      </c>
      <c r="D49" s="13">
        <f>proc!CC48</f>
        <v>0</v>
      </c>
      <c r="E49">
        <v>1.3219916968385859</v>
      </c>
      <c r="F49" t="str">
        <f t="shared" si="1"/>
        <v>Building Construction</v>
      </c>
      <c r="G49" s="13">
        <f t="shared" si="2"/>
        <v>0</v>
      </c>
      <c r="H49" s="14">
        <f>(proc!CB48/proc!$CB$60)*100</f>
        <v>1.3219916968385859</v>
      </c>
      <c r="J49" t="s">
        <v>143</v>
      </c>
      <c r="K49">
        <v>-3.1905721082035337</v>
      </c>
    </row>
    <row r="50" spans="1:11">
      <c r="A50" s="11">
        <v>48</v>
      </c>
      <c r="B50" s="8" t="s">
        <v>139</v>
      </c>
      <c r="C50" s="13">
        <f>[1]Sheet3!CD50</f>
        <v>0</v>
      </c>
      <c r="D50" s="13">
        <f>proc!CC49</f>
        <v>0</v>
      </c>
      <c r="E50">
        <v>1.6356972261929004</v>
      </c>
      <c r="F50" t="str">
        <f t="shared" si="1"/>
        <v>Public Works and Other Construction</v>
      </c>
      <c r="G50" s="13">
        <f t="shared" si="2"/>
        <v>0</v>
      </c>
      <c r="H50" s="14">
        <f>(proc!CB49/proc!$CB$60)*100</f>
        <v>1.6356972261929004</v>
      </c>
      <c r="J50" t="s">
        <v>146</v>
      </c>
      <c r="K50">
        <v>-3.6041273014580533</v>
      </c>
    </row>
    <row r="51" spans="1:11">
      <c r="A51" s="11">
        <v>49</v>
      </c>
      <c r="B51" s="8" t="s">
        <v>140</v>
      </c>
      <c r="C51" s="13">
        <f>[1]Sheet3!CD51</f>
        <v>0</v>
      </c>
      <c r="D51" s="13">
        <f>proc!CC50</f>
        <v>0</v>
      </c>
      <c r="E51">
        <v>2.379060429523297E-2</v>
      </c>
      <c r="F51" t="str">
        <f t="shared" si="1"/>
        <v>Trade</v>
      </c>
      <c r="G51" s="13">
        <f t="shared" si="2"/>
        <v>0</v>
      </c>
      <c r="H51" s="14">
        <f>(proc!CB50/proc!$CB$60)*100</f>
        <v>2.379060429523297E-2</v>
      </c>
      <c r="J51" t="s">
        <v>133</v>
      </c>
      <c r="K51">
        <v>-3.947813309530666</v>
      </c>
    </row>
    <row r="52" spans="1:11">
      <c r="A52" s="11">
        <v>50</v>
      </c>
      <c r="B52" s="8" t="s">
        <v>141</v>
      </c>
      <c r="C52" s="13">
        <f>[1]Sheet3!CD52</f>
        <v>19.171881812059517</v>
      </c>
      <c r="D52" s="13">
        <f>proc!CC51</f>
        <v>7.5412801313819093</v>
      </c>
      <c r="E52">
        <v>2.9307265737406394</v>
      </c>
      <c r="F52" t="str">
        <f t="shared" si="1"/>
        <v>Restaurants and Hotels</v>
      </c>
      <c r="G52" s="13">
        <f t="shared" si="2"/>
        <v>-11.630601680677607</v>
      </c>
      <c r="H52" s="14">
        <f>(proc!CB51/proc!$CB$60)*100</f>
        <v>2.9307265737406394</v>
      </c>
      <c r="J52" t="s">
        <v>108</v>
      </c>
      <c r="K52">
        <v>-5.3098932810375956</v>
      </c>
    </row>
    <row r="53" spans="1:11">
      <c r="A53" s="11">
        <v>51</v>
      </c>
      <c r="B53" s="8" t="s">
        <v>142</v>
      </c>
      <c r="C53" s="13">
        <f>[1]Sheet3!CD53</f>
        <v>25.403689916834292</v>
      </c>
      <c r="D53" s="13">
        <f>proc!CC52</f>
        <v>24.381218596055515</v>
      </c>
      <c r="E53">
        <v>2.2204350702396227</v>
      </c>
      <c r="F53" t="str">
        <f t="shared" si="1"/>
        <v>Transportation</v>
      </c>
      <c r="G53" s="13">
        <f t="shared" si="2"/>
        <v>-1.0224713207787772</v>
      </c>
      <c r="H53" s="14">
        <f>(proc!CB52/proc!$CB$60)*100</f>
        <v>2.2204350702396227</v>
      </c>
      <c r="J53" t="s">
        <v>106</v>
      </c>
      <c r="K53">
        <v>-9.9808911773287967</v>
      </c>
    </row>
    <row r="54" spans="1:11">
      <c r="A54" s="11">
        <v>52</v>
      </c>
      <c r="B54" s="8" t="s">
        <v>143</v>
      </c>
      <c r="C54" s="13">
        <f>[1]Sheet3!CD54</f>
        <v>7.40483973549029</v>
      </c>
      <c r="D54" s="13">
        <f>proc!CC53</f>
        <v>4.2142676272867563</v>
      </c>
      <c r="E54">
        <v>1.3786886627238175</v>
      </c>
      <c r="F54" t="str">
        <f t="shared" si="1"/>
        <v>Communication</v>
      </c>
      <c r="G54" s="13">
        <f t="shared" si="2"/>
        <v>-3.1905721082035337</v>
      </c>
      <c r="H54" s="14">
        <f>(proc!CB53/proc!$CB$60)*100</f>
        <v>1.3786886627238175</v>
      </c>
      <c r="J54" t="s">
        <v>107</v>
      </c>
      <c r="K54">
        <v>-10.453562847296723</v>
      </c>
    </row>
    <row r="55" spans="1:11">
      <c r="A55" s="11">
        <v>53</v>
      </c>
      <c r="B55" s="8" t="s">
        <v>144</v>
      </c>
      <c r="C55" s="13">
        <f>[1]Sheet3!CD55</f>
        <v>0.43126807795590744</v>
      </c>
      <c r="D55" s="13">
        <f>proc!CC54</f>
        <v>2.2978042931987397</v>
      </c>
      <c r="E55">
        <v>3.9023700948792928</v>
      </c>
      <c r="F55" t="str">
        <f t="shared" si="1"/>
        <v>Banking and Insurance</v>
      </c>
      <c r="G55" s="13">
        <f t="shared" si="2"/>
        <v>1.8665362152428322</v>
      </c>
      <c r="H55" s="14">
        <f>(proc!CB54/proc!$CB$60)*100</f>
        <v>3.9023700948792928</v>
      </c>
      <c r="J55" t="s">
        <v>115</v>
      </c>
      <c r="K55">
        <v>-10.625332431968612</v>
      </c>
    </row>
    <row r="56" spans="1:11">
      <c r="A56" s="11">
        <v>54</v>
      </c>
      <c r="B56" s="8" t="s">
        <v>145</v>
      </c>
      <c r="C56" s="13">
        <f>[1]Sheet3!CD56</f>
        <v>4.9971847931852231</v>
      </c>
      <c r="D56" s="13">
        <f>proc!CC55</f>
        <v>10.041114950194872</v>
      </c>
      <c r="E56">
        <v>1.6253529827580488</v>
      </c>
      <c r="F56" t="str">
        <f t="shared" si="1"/>
        <v>Real Estate</v>
      </c>
      <c r="G56" s="13">
        <f t="shared" si="2"/>
        <v>5.0439301570096493</v>
      </c>
      <c r="H56" s="14">
        <f>(proc!CB55/proc!$CB$60)*100</f>
        <v>1.6253529827580488</v>
      </c>
      <c r="J56" t="s">
        <v>141</v>
      </c>
      <c r="K56">
        <v>-11.630601680677607</v>
      </c>
    </row>
    <row r="57" spans="1:11">
      <c r="A57" s="11">
        <v>55</v>
      </c>
      <c r="B57" s="8" t="s">
        <v>146</v>
      </c>
      <c r="C57" s="13">
        <f>[1]Sheet3!CD57</f>
        <v>11.97906799843927</v>
      </c>
      <c r="D57" s="13">
        <f>proc!CC56</f>
        <v>8.3749406969812163</v>
      </c>
      <c r="E57">
        <v>3.3490596603501994</v>
      </c>
      <c r="F57" t="str">
        <f t="shared" si="1"/>
        <v>Business Services</v>
      </c>
      <c r="G57" s="13">
        <f t="shared" si="2"/>
        <v>-3.6041273014580533</v>
      </c>
      <c r="H57" s="14">
        <f>(proc!CB56/proc!$CB$60)*100</f>
        <v>3.3490596603501994</v>
      </c>
      <c r="J57" t="s">
        <v>109</v>
      </c>
      <c r="K57">
        <v>-12.976808522043918</v>
      </c>
    </row>
    <row r="58" spans="1:11">
      <c r="A58" s="11">
        <v>56</v>
      </c>
      <c r="B58" s="8" t="s">
        <v>147</v>
      </c>
      <c r="C58" s="13">
        <f>[1]Sheet3!CD58</f>
        <v>8.0437017076127854E-2</v>
      </c>
      <c r="D58" s="13">
        <f>proc!CC57</f>
        <v>1.5984788479971024</v>
      </c>
      <c r="E58">
        <v>6.3223020223939841</v>
      </c>
      <c r="F58" t="str">
        <f t="shared" si="1"/>
        <v>Public Services</v>
      </c>
      <c r="G58" s="13">
        <f t="shared" si="2"/>
        <v>1.5180418309209744</v>
      </c>
      <c r="H58" s="14">
        <f>(proc!CB57/proc!$CB$60)*100</f>
        <v>6.3223020223939841</v>
      </c>
      <c r="J58" t="s">
        <v>95</v>
      </c>
      <c r="K58">
        <v>-20.231810207103813</v>
      </c>
    </row>
    <row r="59" spans="1:11">
      <c r="A59" s="11">
        <v>57</v>
      </c>
      <c r="B59" s="8" t="s">
        <v>148</v>
      </c>
      <c r="C59" s="13">
        <f>[1]Sheet3!CD59</f>
        <v>4.5851017710854975</v>
      </c>
      <c r="D59" s="13">
        <f>proc!CC58</f>
        <v>4.3502752436989169</v>
      </c>
      <c r="E59">
        <v>2.1555439441449562</v>
      </c>
      <c r="F59" t="str">
        <f t="shared" si="1"/>
        <v>Other Services</v>
      </c>
      <c r="G59" s="13">
        <f t="shared" si="2"/>
        <v>-0.23482652738658061</v>
      </c>
      <c r="H59" s="14">
        <f>(proc!CB58/proc!$CB$60)*100</f>
        <v>2.1555439441449562</v>
      </c>
      <c r="J59" t="s">
        <v>93</v>
      </c>
      <c r="K59">
        <v>-28.847527578393148</v>
      </c>
    </row>
    <row r="60" spans="1:11">
      <c r="C60" s="13"/>
      <c r="D60" s="13"/>
    </row>
    <row r="61" spans="1:11">
      <c r="B61" s="8" t="s">
        <v>184</v>
      </c>
      <c r="C61" s="13">
        <f>[1]Sheet3!CD61</f>
        <v>13.31883139981349</v>
      </c>
      <c r="D61" s="13">
        <f>proc!CC60</f>
        <v>20.243970511314515</v>
      </c>
    </row>
    <row r="68" spans="2:6">
      <c r="C68" t="s">
        <v>182</v>
      </c>
    </row>
    <row r="69" spans="2:6">
      <c r="C69">
        <v>1990</v>
      </c>
      <c r="D69">
        <v>2021</v>
      </c>
      <c r="E69" t="s">
        <v>185</v>
      </c>
    </row>
    <row r="70" spans="2:6">
      <c r="B70" t="s">
        <v>186</v>
      </c>
      <c r="C70" s="13">
        <v>29.473383082383119</v>
      </c>
      <c r="D70" s="13">
        <v>36.078762785781237</v>
      </c>
      <c r="E70" s="13">
        <v>13.016094275817924</v>
      </c>
      <c r="F70" s="13">
        <v>0.2</v>
      </c>
    </row>
    <row r="71" spans="2:6">
      <c r="B71" t="s">
        <v>187</v>
      </c>
      <c r="C71" s="13">
        <v>1.2050081857626262</v>
      </c>
      <c r="D71" s="13">
        <v>34.516412860998066</v>
      </c>
      <c r="E71" s="13">
        <v>6.4240725341822849</v>
      </c>
      <c r="F71" s="13">
        <v>0.2</v>
      </c>
    </row>
    <row r="72" spans="2:6">
      <c r="C72" s="13"/>
      <c r="D72" s="13"/>
      <c r="E72" s="13"/>
      <c r="F72" s="13"/>
    </row>
    <row r="73" spans="2:6">
      <c r="C73" s="13"/>
      <c r="D73" s="13"/>
      <c r="E73" s="13"/>
      <c r="F73" s="13"/>
    </row>
    <row r="74" spans="2:6">
      <c r="B74" t="s">
        <v>188</v>
      </c>
      <c r="C74" s="13">
        <v>0.43126807795590744</v>
      </c>
      <c r="D74" s="13">
        <v>2.2978042931987397</v>
      </c>
      <c r="E74" s="13">
        <v>3.9023700948792928</v>
      </c>
      <c r="F74" s="13">
        <v>0.2</v>
      </c>
    </row>
    <row r="75" spans="2:6">
      <c r="B75" t="s">
        <v>189</v>
      </c>
      <c r="C75" s="13">
        <v>2.4440385480744986</v>
      </c>
      <c r="D75" s="13">
        <v>18.330033273589581</v>
      </c>
      <c r="E75" s="13">
        <v>3.7325001128103752</v>
      </c>
      <c r="F75" s="13">
        <v>0.2</v>
      </c>
    </row>
    <row r="76" spans="2:6">
      <c r="C76" s="13"/>
      <c r="D76" s="13"/>
      <c r="E76" s="13"/>
      <c r="F76" s="13"/>
    </row>
    <row r="77" spans="2:6">
      <c r="B77" t="s">
        <v>190</v>
      </c>
      <c r="C77" s="13">
        <v>3.5493753561881611</v>
      </c>
      <c r="D77" s="13">
        <v>42.965814721926321</v>
      </c>
      <c r="E77" s="13">
        <v>3.617993583345934</v>
      </c>
      <c r="F77" s="13">
        <v>0.2</v>
      </c>
    </row>
    <row r="78" spans="2:6">
      <c r="B78" t="s">
        <v>191</v>
      </c>
      <c r="C78" s="13">
        <v>11.97906799843927</v>
      </c>
      <c r="D78" s="13">
        <v>8.3749406969812163</v>
      </c>
      <c r="E78" s="13">
        <v>3.3490596603501994</v>
      </c>
      <c r="F78" s="13">
        <v>0.2</v>
      </c>
    </row>
    <row r="79" spans="2:6">
      <c r="C79" s="13"/>
      <c r="D79" s="13"/>
      <c r="E79" s="13"/>
      <c r="F79" s="13"/>
    </row>
    <row r="80" spans="2:6">
      <c r="B80" t="s">
        <v>192</v>
      </c>
      <c r="C80" s="13">
        <v>19.171881812059517</v>
      </c>
      <c r="D80" s="13">
        <v>7.5412801313819093</v>
      </c>
      <c r="E80" s="13">
        <v>2.9307265737406394</v>
      </c>
      <c r="F80" s="13">
        <v>0.2</v>
      </c>
    </row>
    <row r="81" spans="2:6">
      <c r="B81" t="s">
        <v>193</v>
      </c>
      <c r="C81" s="13">
        <v>2.0898026652439983</v>
      </c>
      <c r="D81" s="13">
        <v>36.227013417363715</v>
      </c>
      <c r="E81" s="13">
        <v>2.8160167842441295</v>
      </c>
      <c r="F81" s="13">
        <v>0.2</v>
      </c>
    </row>
    <row r="82" spans="2:6">
      <c r="B82" t="s">
        <v>194</v>
      </c>
      <c r="C82" s="13">
        <v>51.27128258267696</v>
      </c>
      <c r="D82" s="13">
        <v>40.817719735380237</v>
      </c>
      <c r="E82" s="13">
        <v>2.4283465307988066</v>
      </c>
      <c r="F82" s="13">
        <v>0.2</v>
      </c>
    </row>
    <row r="83" spans="2:6">
      <c r="B83" t="s">
        <v>195</v>
      </c>
      <c r="C83" s="13">
        <v>4.6761941035183332</v>
      </c>
      <c r="D83" s="13">
        <v>16.384194605673621</v>
      </c>
      <c r="E83" s="13">
        <v>2.354179114121763</v>
      </c>
      <c r="F83" s="13">
        <v>0.2</v>
      </c>
    </row>
    <row r="84" spans="2:6">
      <c r="B84" t="s">
        <v>196</v>
      </c>
      <c r="C84" s="13">
        <v>25.403689916834292</v>
      </c>
      <c r="D84" s="13">
        <v>24.381218596055515</v>
      </c>
      <c r="E84" s="13">
        <v>2.2204350702396227</v>
      </c>
      <c r="F84" s="13">
        <v>0.2</v>
      </c>
    </row>
    <row r="85" spans="2:6">
      <c r="C85" s="13"/>
      <c r="D85" s="13"/>
      <c r="E85" s="13"/>
      <c r="F85" s="13"/>
    </row>
    <row r="86" spans="2:6">
      <c r="B86" t="s">
        <v>197</v>
      </c>
      <c r="C86" s="13">
        <v>2.9093712214354568</v>
      </c>
      <c r="D86" s="13">
        <v>17.364156644435084</v>
      </c>
      <c r="E86" s="13">
        <v>2.0910951389966548</v>
      </c>
      <c r="F86" s="13">
        <v>0.2</v>
      </c>
    </row>
    <row r="87" spans="2:6">
      <c r="B87" t="s">
        <v>126</v>
      </c>
      <c r="C87" s="13">
        <v>2.7785003813283846</v>
      </c>
      <c r="D87" s="13">
        <v>9.5323616887991687</v>
      </c>
      <c r="E87" s="13">
        <v>2.0419324971487356</v>
      </c>
      <c r="F87" s="13">
        <v>0.2</v>
      </c>
    </row>
    <row r="88" spans="2:6">
      <c r="B88" t="s">
        <v>198</v>
      </c>
      <c r="C88" s="13">
        <v>19.20198563371364</v>
      </c>
      <c r="D88" s="13">
        <v>32.903515664433705</v>
      </c>
      <c r="E88" s="13">
        <v>2.0317402753110003</v>
      </c>
      <c r="F88" s="13">
        <v>0.2</v>
      </c>
    </row>
    <row r="89" spans="2:6">
      <c r="B89" t="s">
        <v>199</v>
      </c>
      <c r="C89" s="13">
        <v>7.6428733414790564</v>
      </c>
      <c r="D89" s="13">
        <v>24.756572560980818</v>
      </c>
      <c r="E89" s="13">
        <v>1.9000696598152584</v>
      </c>
      <c r="F89" s="13">
        <v>0.2</v>
      </c>
    </row>
  </sheetData>
  <autoFilter ref="B69:E126" xr:uid="{8498A237-BB8D-40BF-B23D-A7B14C8119F3}">
    <sortState xmlns:xlrd2="http://schemas.microsoft.com/office/spreadsheetml/2017/richdata2" ref="B70:E126">
      <sortCondition descending="1" ref="E69:E126"/>
    </sortState>
  </autoFilter>
  <mergeCells count="1">
    <mergeCell ref="C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02DD-8FC5-4377-9E65-31685ADDEC5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EB6-9909-479B-9B41-8F8F745AA7BB}">
  <dimension ref="A1:S4958"/>
  <sheetViews>
    <sheetView topLeftCell="A2" workbookViewId="0">
      <selection activeCell="A2" sqref="A2:I4958"/>
    </sheetView>
  </sheetViews>
  <sheetFormatPr defaultColWidth="9" defaultRowHeight="15"/>
  <cols>
    <col min="1" max="16384" width="9" style="6"/>
  </cols>
  <sheetData>
    <row r="1" spans="1:19">
      <c r="A1" s="6" t="s">
        <v>0</v>
      </c>
      <c r="R1" s="6">
        <v>1</v>
      </c>
      <c r="S1" s="6" t="s">
        <v>92</v>
      </c>
    </row>
    <row r="2" spans="1:19">
      <c r="A2" s="6" t="s">
        <v>1</v>
      </c>
      <c r="B2" s="6" t="s">
        <v>175</v>
      </c>
      <c r="C2" s="6" t="s">
        <v>2</v>
      </c>
      <c r="D2" s="6" t="s">
        <v>176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R2" s="6">
        <v>2</v>
      </c>
      <c r="S2" s="6" t="s">
        <v>93</v>
      </c>
    </row>
    <row r="3" spans="1:19">
      <c r="A3" s="6">
        <v>1</v>
      </c>
      <c r="B3" s="6" t="str">
        <f>VLOOKUP(A3,R:S,2,0)</f>
        <v>Paddy</v>
      </c>
      <c r="C3" s="6">
        <v>1</v>
      </c>
      <c r="D3" s="6" t="str">
        <f>VLOOKUP(C3,R:S,2,0)</f>
        <v>Paddy</v>
      </c>
      <c r="E3" s="6">
        <v>23826912</v>
      </c>
      <c r="F3" s="6">
        <v>0</v>
      </c>
      <c r="G3" s="6">
        <v>0</v>
      </c>
      <c r="H3" s="6">
        <v>119524</v>
      </c>
      <c r="I3" s="6">
        <v>5</v>
      </c>
      <c r="R3" s="6">
        <v>3</v>
      </c>
      <c r="S3" s="6" t="s">
        <v>94</v>
      </c>
    </row>
    <row r="4" spans="1:19">
      <c r="A4" s="6">
        <v>2</v>
      </c>
      <c r="B4" s="6" t="str">
        <f t="shared" ref="B4:B67" si="0">VLOOKUP(A4,R:S,2,0)</f>
        <v>Maize</v>
      </c>
      <c r="C4" s="6">
        <v>1</v>
      </c>
      <c r="D4" s="6" t="str">
        <f t="shared" ref="D4:D67" si="1">VLOOKUP(C4,R:S,2,0)</f>
        <v>Paddy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R4" s="6">
        <v>4</v>
      </c>
      <c r="S4" s="6" t="s">
        <v>95</v>
      </c>
    </row>
    <row r="5" spans="1:19">
      <c r="A5" s="6">
        <v>3</v>
      </c>
      <c r="B5" s="6" t="str">
        <f t="shared" si="0"/>
        <v>Cassava</v>
      </c>
      <c r="C5" s="6">
        <v>1</v>
      </c>
      <c r="D5" s="6" t="str">
        <f t="shared" si="1"/>
        <v>Paddy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R5" s="6">
        <v>5</v>
      </c>
      <c r="S5" s="6" t="s">
        <v>96</v>
      </c>
    </row>
    <row r="6" spans="1:19">
      <c r="A6" s="6">
        <v>4</v>
      </c>
      <c r="B6" s="6" t="str">
        <f t="shared" si="0"/>
        <v>Beans and Nuts</v>
      </c>
      <c r="C6" s="6">
        <v>1</v>
      </c>
      <c r="D6" s="6" t="str">
        <f t="shared" si="1"/>
        <v>Paddy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R6" s="6">
        <v>6</v>
      </c>
      <c r="S6" s="6" t="s">
        <v>97</v>
      </c>
    </row>
    <row r="7" spans="1:19">
      <c r="A7" s="6">
        <v>5</v>
      </c>
      <c r="B7" s="6" t="str">
        <f t="shared" si="0"/>
        <v>Vegetables and Fruits</v>
      </c>
      <c r="C7" s="6">
        <v>1</v>
      </c>
      <c r="D7" s="6" t="str">
        <f t="shared" si="1"/>
        <v>Paddy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R7" s="6">
        <v>7</v>
      </c>
      <c r="S7" s="6" t="s">
        <v>98</v>
      </c>
    </row>
    <row r="8" spans="1:19">
      <c r="A8" s="6">
        <v>6</v>
      </c>
      <c r="B8" s="6" t="str">
        <f t="shared" si="0"/>
        <v>Sugarcane</v>
      </c>
      <c r="C8" s="6">
        <v>1</v>
      </c>
      <c r="D8" s="6" t="str">
        <f t="shared" si="1"/>
        <v>Paddy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R8" s="6">
        <v>8</v>
      </c>
      <c r="S8" s="6" t="s">
        <v>99</v>
      </c>
    </row>
    <row r="9" spans="1:19">
      <c r="A9" s="6">
        <v>7</v>
      </c>
      <c r="B9" s="6" t="str">
        <f t="shared" si="0"/>
        <v>Rubber (Latex)</v>
      </c>
      <c r="C9" s="6">
        <v>1</v>
      </c>
      <c r="D9" s="6" t="str">
        <f t="shared" si="1"/>
        <v>Paddy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R9" s="6">
        <v>9</v>
      </c>
      <c r="S9" s="6" t="s">
        <v>100</v>
      </c>
    </row>
    <row r="10" spans="1:19">
      <c r="A10" s="6">
        <v>8</v>
      </c>
      <c r="B10" s="6" t="str">
        <f t="shared" si="0"/>
        <v>Other Crops</v>
      </c>
      <c r="C10" s="6">
        <v>1</v>
      </c>
      <c r="D10" s="6" t="str">
        <f t="shared" si="1"/>
        <v>Paddy</v>
      </c>
      <c r="E10" s="6">
        <v>16110576</v>
      </c>
      <c r="F10" s="6">
        <v>0</v>
      </c>
      <c r="G10" s="6">
        <v>0</v>
      </c>
      <c r="H10" s="6">
        <v>0</v>
      </c>
      <c r="I10" s="6">
        <v>0</v>
      </c>
      <c r="R10" s="6">
        <v>10</v>
      </c>
      <c r="S10" s="6" t="s">
        <v>101</v>
      </c>
    </row>
    <row r="11" spans="1:19">
      <c r="A11" s="6">
        <v>9</v>
      </c>
      <c r="B11" s="6" t="str">
        <f t="shared" si="0"/>
        <v>Livestock</v>
      </c>
      <c r="C11" s="6">
        <v>1</v>
      </c>
      <c r="D11" s="6" t="str">
        <f t="shared" si="1"/>
        <v>Paddy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R11" s="6">
        <v>11</v>
      </c>
      <c r="S11" s="6" t="s">
        <v>102</v>
      </c>
    </row>
    <row r="12" spans="1:19">
      <c r="A12" s="6">
        <v>10</v>
      </c>
      <c r="B12" s="6" t="str">
        <f t="shared" si="0"/>
        <v>Forestry</v>
      </c>
      <c r="C12" s="6">
        <v>1</v>
      </c>
      <c r="D12" s="6" t="str">
        <f t="shared" si="1"/>
        <v>Paddy</v>
      </c>
      <c r="E12" s="6">
        <v>4505</v>
      </c>
      <c r="F12" s="6">
        <v>19</v>
      </c>
      <c r="G12" s="6">
        <v>63</v>
      </c>
      <c r="H12" s="6">
        <v>97</v>
      </c>
      <c r="I12" s="6">
        <v>0</v>
      </c>
      <c r="R12" s="6">
        <v>12</v>
      </c>
      <c r="S12" s="6" t="s">
        <v>103</v>
      </c>
    </row>
    <row r="13" spans="1:19">
      <c r="A13" s="6">
        <v>11</v>
      </c>
      <c r="B13" s="6" t="str">
        <f t="shared" si="0"/>
        <v>Fishery</v>
      </c>
      <c r="C13" s="6">
        <v>1</v>
      </c>
      <c r="D13" s="6" t="str">
        <f t="shared" si="1"/>
        <v>Paddy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R13" s="6">
        <v>13</v>
      </c>
      <c r="S13" s="6" t="s">
        <v>104</v>
      </c>
    </row>
    <row r="14" spans="1:19">
      <c r="A14" s="6">
        <v>12</v>
      </c>
      <c r="B14" s="6" t="str">
        <f t="shared" si="0"/>
        <v>Crude Oil and Coal</v>
      </c>
      <c r="C14" s="6">
        <v>1</v>
      </c>
      <c r="D14" s="6" t="str">
        <f t="shared" si="1"/>
        <v>Paddy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R14" s="6">
        <v>14</v>
      </c>
      <c r="S14" s="6" t="s">
        <v>105</v>
      </c>
    </row>
    <row r="15" spans="1:19">
      <c r="A15" s="6">
        <v>13</v>
      </c>
      <c r="B15" s="6" t="str">
        <f t="shared" si="0"/>
        <v>Metal Ore</v>
      </c>
      <c r="C15" s="6">
        <v>1</v>
      </c>
      <c r="D15" s="6" t="str">
        <f t="shared" si="1"/>
        <v>Paddy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R15" s="6">
        <v>15</v>
      </c>
      <c r="S15" s="6" t="s">
        <v>106</v>
      </c>
    </row>
    <row r="16" spans="1:19">
      <c r="A16" s="6">
        <v>14</v>
      </c>
      <c r="B16" s="6" t="str">
        <f t="shared" si="0"/>
        <v>Non-Metal Ore</v>
      </c>
      <c r="C16" s="6">
        <v>1</v>
      </c>
      <c r="D16" s="6" t="str">
        <f t="shared" si="1"/>
        <v>Paddy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R16" s="6">
        <v>16</v>
      </c>
      <c r="S16" s="6" t="s">
        <v>107</v>
      </c>
    </row>
    <row r="17" spans="1:19">
      <c r="A17" s="6">
        <v>15</v>
      </c>
      <c r="B17" s="6" t="str">
        <f t="shared" si="0"/>
        <v>Slaughtering</v>
      </c>
      <c r="C17" s="6">
        <v>1</v>
      </c>
      <c r="D17" s="6" t="str">
        <f t="shared" si="1"/>
        <v>Paddy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R17" s="6">
        <v>17</v>
      </c>
      <c r="S17" s="6" t="s">
        <v>108</v>
      </c>
    </row>
    <row r="18" spans="1:19">
      <c r="A18" s="6">
        <v>16</v>
      </c>
      <c r="B18" s="6" t="str">
        <f t="shared" si="0"/>
        <v>Processing and Presering of Foods</v>
      </c>
      <c r="C18" s="6">
        <v>1</v>
      </c>
      <c r="D18" s="6" t="str">
        <f t="shared" si="1"/>
        <v>Paddy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R18" s="6">
        <v>18</v>
      </c>
      <c r="S18" s="6" t="s">
        <v>109</v>
      </c>
    </row>
    <row r="19" spans="1:19">
      <c r="A19" s="6">
        <v>17</v>
      </c>
      <c r="B19" s="6" t="str">
        <f t="shared" si="0"/>
        <v>Rice and Other Grain Milling</v>
      </c>
      <c r="C19" s="6">
        <v>1</v>
      </c>
      <c r="D19" s="6" t="str">
        <f t="shared" si="1"/>
        <v>Paddy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R19" s="6">
        <v>19</v>
      </c>
      <c r="S19" s="6" t="s">
        <v>110</v>
      </c>
    </row>
    <row r="20" spans="1:19">
      <c r="A20" s="6">
        <v>18</v>
      </c>
      <c r="B20" s="6" t="str">
        <f t="shared" si="0"/>
        <v>Sugar Refineries</v>
      </c>
      <c r="C20" s="6">
        <v>1</v>
      </c>
      <c r="D20" s="6" t="str">
        <f t="shared" si="1"/>
        <v>Paddy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R20" s="6">
        <v>20</v>
      </c>
      <c r="S20" s="6" t="s">
        <v>111</v>
      </c>
    </row>
    <row r="21" spans="1:19">
      <c r="A21" s="6">
        <v>19</v>
      </c>
      <c r="B21" s="6" t="str">
        <f t="shared" si="0"/>
        <v>Other Foods</v>
      </c>
      <c r="C21" s="6">
        <v>1</v>
      </c>
      <c r="D21" s="6" t="str">
        <f t="shared" si="1"/>
        <v>Paddy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R21" s="6">
        <v>21</v>
      </c>
      <c r="S21" s="6" t="s">
        <v>112</v>
      </c>
    </row>
    <row r="22" spans="1:19">
      <c r="A22" s="6">
        <v>20</v>
      </c>
      <c r="B22" s="6" t="str">
        <f t="shared" si="0"/>
        <v>Animal Food</v>
      </c>
      <c r="C22" s="6">
        <v>1</v>
      </c>
      <c r="D22" s="6" t="str">
        <f t="shared" si="1"/>
        <v>Paddy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R22" s="6">
        <v>22</v>
      </c>
      <c r="S22" s="6" t="s">
        <v>113</v>
      </c>
    </row>
    <row r="23" spans="1:19">
      <c r="A23" s="6">
        <v>21</v>
      </c>
      <c r="B23" s="6" t="str">
        <f t="shared" si="0"/>
        <v>Beverages</v>
      </c>
      <c r="C23" s="6">
        <v>1</v>
      </c>
      <c r="D23" s="6" t="str">
        <f t="shared" si="1"/>
        <v>Paddy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R23" s="6">
        <v>23</v>
      </c>
      <c r="S23" s="6" t="s">
        <v>114</v>
      </c>
    </row>
    <row r="24" spans="1:19">
      <c r="A24" s="6">
        <v>22</v>
      </c>
      <c r="B24" s="6" t="str">
        <f t="shared" si="0"/>
        <v>Tobacco Processing and Products</v>
      </c>
      <c r="C24" s="6">
        <v>1</v>
      </c>
      <c r="D24" s="6" t="str">
        <f t="shared" si="1"/>
        <v>Paddy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R24" s="6">
        <v>24</v>
      </c>
      <c r="S24" s="6" t="s">
        <v>115</v>
      </c>
    </row>
    <row r="25" spans="1:19">
      <c r="A25" s="6">
        <v>23</v>
      </c>
      <c r="B25" s="6" t="str">
        <f t="shared" si="0"/>
        <v>Spinning, Weaving and Bleaching</v>
      </c>
      <c r="C25" s="6">
        <v>1</v>
      </c>
      <c r="D25" s="6" t="str">
        <f t="shared" si="1"/>
        <v>Paddy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R25" s="6">
        <v>25</v>
      </c>
      <c r="S25" s="6" t="s">
        <v>116</v>
      </c>
    </row>
    <row r="26" spans="1:19">
      <c r="A26" s="6">
        <v>24</v>
      </c>
      <c r="B26" s="6" t="str">
        <f t="shared" si="0"/>
        <v>Textile Products</v>
      </c>
      <c r="C26" s="6">
        <v>1</v>
      </c>
      <c r="D26" s="6" t="str">
        <f t="shared" si="1"/>
        <v>Paddy</v>
      </c>
      <c r="E26" s="6">
        <v>30174</v>
      </c>
      <c r="F26" s="6">
        <v>3268</v>
      </c>
      <c r="G26" s="6">
        <v>507</v>
      </c>
      <c r="H26" s="6">
        <v>184</v>
      </c>
      <c r="I26" s="6">
        <v>0</v>
      </c>
      <c r="R26" s="6">
        <v>26</v>
      </c>
      <c r="S26" s="6" t="s">
        <v>117</v>
      </c>
    </row>
    <row r="27" spans="1:19">
      <c r="A27" s="6">
        <v>25</v>
      </c>
      <c r="B27" s="6" t="str">
        <f t="shared" si="0"/>
        <v>Paper and Paper Products</v>
      </c>
      <c r="C27" s="6">
        <v>1</v>
      </c>
      <c r="D27" s="6" t="str">
        <f t="shared" si="1"/>
        <v>Paddy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R27" s="6">
        <v>27</v>
      </c>
      <c r="S27" s="6" t="s">
        <v>118</v>
      </c>
    </row>
    <row r="28" spans="1:19">
      <c r="A28" s="6">
        <v>26</v>
      </c>
      <c r="B28" s="6" t="str">
        <f t="shared" si="0"/>
        <v>Printing and Publishing</v>
      </c>
      <c r="C28" s="6">
        <v>1</v>
      </c>
      <c r="D28" s="6" t="str">
        <f t="shared" si="1"/>
        <v>Paddy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R28" s="6">
        <v>28</v>
      </c>
      <c r="S28" s="6" t="s">
        <v>119</v>
      </c>
    </row>
    <row r="29" spans="1:19">
      <c r="A29" s="6">
        <v>27</v>
      </c>
      <c r="B29" s="6" t="str">
        <f t="shared" si="0"/>
        <v>Basic Chemical Products</v>
      </c>
      <c r="C29" s="6">
        <v>1</v>
      </c>
      <c r="D29" s="6" t="str">
        <f t="shared" si="1"/>
        <v>Paddy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R29" s="6">
        <v>29</v>
      </c>
      <c r="S29" s="6" t="s">
        <v>120</v>
      </c>
    </row>
    <row r="30" spans="1:19">
      <c r="A30" s="6">
        <v>28</v>
      </c>
      <c r="B30" s="6" t="str">
        <f t="shared" si="0"/>
        <v>Fertilizer and Pesticides</v>
      </c>
      <c r="C30" s="6">
        <v>1</v>
      </c>
      <c r="D30" s="6" t="str">
        <f t="shared" si="1"/>
        <v>Paddy</v>
      </c>
      <c r="E30" s="6">
        <v>43078118</v>
      </c>
      <c r="F30" s="6">
        <v>3655127</v>
      </c>
      <c r="G30" s="6">
        <v>2729612</v>
      </c>
      <c r="H30" s="6">
        <v>1325438</v>
      </c>
      <c r="I30" s="6">
        <v>24777541</v>
      </c>
      <c r="R30" s="6">
        <v>30</v>
      </c>
      <c r="S30" s="6" t="s">
        <v>121</v>
      </c>
    </row>
    <row r="31" spans="1:19">
      <c r="A31" s="6">
        <v>29</v>
      </c>
      <c r="B31" s="6" t="str">
        <f t="shared" si="0"/>
        <v>Other Chemical Products</v>
      </c>
      <c r="C31" s="6">
        <v>1</v>
      </c>
      <c r="D31" s="6" t="str">
        <f t="shared" si="1"/>
        <v>Paddy</v>
      </c>
      <c r="E31" s="6">
        <v>32700</v>
      </c>
      <c r="F31" s="6">
        <v>2839</v>
      </c>
      <c r="G31" s="6">
        <v>3913</v>
      </c>
      <c r="H31" s="6">
        <v>208</v>
      </c>
      <c r="I31" s="6">
        <v>0</v>
      </c>
      <c r="R31" s="6">
        <v>31</v>
      </c>
      <c r="S31" s="6" t="s">
        <v>122</v>
      </c>
    </row>
    <row r="32" spans="1:19">
      <c r="A32" s="6">
        <v>30</v>
      </c>
      <c r="B32" s="6" t="str">
        <f t="shared" si="0"/>
        <v>Petroleum Refineries</v>
      </c>
      <c r="C32" s="6">
        <v>1</v>
      </c>
      <c r="D32" s="6" t="str">
        <f t="shared" si="1"/>
        <v>Paddy</v>
      </c>
      <c r="E32" s="6">
        <v>10090789</v>
      </c>
      <c r="F32" s="6">
        <v>400746</v>
      </c>
      <c r="G32" s="6">
        <v>363558</v>
      </c>
      <c r="H32" s="6">
        <v>92828</v>
      </c>
      <c r="I32" s="6">
        <v>1964873</v>
      </c>
      <c r="R32" s="6">
        <v>32</v>
      </c>
      <c r="S32" s="6" t="s">
        <v>123</v>
      </c>
    </row>
    <row r="33" spans="1:19">
      <c r="A33" s="6">
        <v>31</v>
      </c>
      <c r="B33" s="6" t="str">
        <f t="shared" si="0"/>
        <v>Rubber Products</v>
      </c>
      <c r="C33" s="6">
        <v>1</v>
      </c>
      <c r="D33" s="6" t="str">
        <f t="shared" si="1"/>
        <v>Paddy</v>
      </c>
      <c r="E33" s="6">
        <v>8953</v>
      </c>
      <c r="F33" s="6">
        <v>1698</v>
      </c>
      <c r="G33" s="6">
        <v>1304</v>
      </c>
      <c r="H33" s="6">
        <v>236</v>
      </c>
      <c r="I33" s="6">
        <v>0</v>
      </c>
      <c r="R33" s="6">
        <v>33</v>
      </c>
      <c r="S33" s="6" t="s">
        <v>124</v>
      </c>
    </row>
    <row r="34" spans="1:19">
      <c r="A34" s="6">
        <v>32</v>
      </c>
      <c r="B34" s="6" t="str">
        <f t="shared" si="0"/>
        <v>Plastic Wares</v>
      </c>
      <c r="C34" s="6">
        <v>1</v>
      </c>
      <c r="D34" s="6" t="str">
        <f t="shared" si="1"/>
        <v>Paddy</v>
      </c>
      <c r="E34" s="6">
        <v>423548</v>
      </c>
      <c r="F34" s="6">
        <v>9127</v>
      </c>
      <c r="G34" s="6">
        <v>23654</v>
      </c>
      <c r="H34" s="6">
        <v>3032</v>
      </c>
      <c r="I34" s="6">
        <v>104099</v>
      </c>
      <c r="R34" s="6">
        <v>34</v>
      </c>
      <c r="S34" s="6" t="s">
        <v>125</v>
      </c>
    </row>
    <row r="35" spans="1:19">
      <c r="A35" s="6">
        <v>33</v>
      </c>
      <c r="B35" s="6" t="str">
        <f t="shared" si="0"/>
        <v>Cement and Concrete Products</v>
      </c>
      <c r="C35" s="6">
        <v>1</v>
      </c>
      <c r="D35" s="6" t="str">
        <f t="shared" si="1"/>
        <v>Paddy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R35" s="6">
        <v>35</v>
      </c>
      <c r="S35" s="6" t="s">
        <v>126</v>
      </c>
    </row>
    <row r="36" spans="1:19">
      <c r="A36" s="6">
        <v>34</v>
      </c>
      <c r="B36" s="6" t="str">
        <f t="shared" si="0"/>
        <v>Other Non-metallic Products</v>
      </c>
      <c r="C36" s="6">
        <v>1</v>
      </c>
      <c r="D36" s="6" t="str">
        <f t="shared" si="1"/>
        <v>Paddy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R36" s="6">
        <v>36</v>
      </c>
      <c r="S36" s="6" t="s">
        <v>127</v>
      </c>
    </row>
    <row r="37" spans="1:19">
      <c r="A37" s="6">
        <v>35</v>
      </c>
      <c r="B37" s="6" t="str">
        <f t="shared" si="0"/>
        <v>Iron and Steel</v>
      </c>
      <c r="C37" s="6">
        <v>1</v>
      </c>
      <c r="D37" s="6" t="str">
        <f t="shared" si="1"/>
        <v>Paddy</v>
      </c>
      <c r="E37" s="6">
        <v>2318</v>
      </c>
      <c r="F37" s="6">
        <v>98</v>
      </c>
      <c r="G37" s="6">
        <v>110</v>
      </c>
      <c r="H37" s="6">
        <v>28</v>
      </c>
      <c r="I37" s="6">
        <v>600</v>
      </c>
      <c r="R37" s="6">
        <v>37</v>
      </c>
      <c r="S37" s="6" t="s">
        <v>128</v>
      </c>
    </row>
    <row r="38" spans="1:19">
      <c r="A38" s="6">
        <v>36</v>
      </c>
      <c r="B38" s="6" t="str">
        <f t="shared" si="0"/>
        <v>Non-ferrous Metal</v>
      </c>
      <c r="C38" s="6">
        <v>1</v>
      </c>
      <c r="D38" s="6" t="str">
        <f t="shared" si="1"/>
        <v>Paddy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R38" s="6">
        <v>38</v>
      </c>
      <c r="S38" s="6" t="s">
        <v>129</v>
      </c>
    </row>
    <row r="39" spans="1:19">
      <c r="A39" s="6">
        <v>37</v>
      </c>
      <c r="B39" s="6" t="str">
        <f t="shared" si="0"/>
        <v>Fabricated Metal Products</v>
      </c>
      <c r="C39" s="6">
        <v>1</v>
      </c>
      <c r="D39" s="6" t="str">
        <f t="shared" si="1"/>
        <v>Paddy</v>
      </c>
      <c r="E39" s="6">
        <v>2231216</v>
      </c>
      <c r="F39" s="6">
        <v>73468</v>
      </c>
      <c r="G39" s="6">
        <v>160204</v>
      </c>
      <c r="H39" s="6">
        <v>13587</v>
      </c>
      <c r="I39" s="6">
        <v>729139</v>
      </c>
      <c r="R39" s="6">
        <v>39</v>
      </c>
      <c r="S39" s="6" t="s">
        <v>130</v>
      </c>
    </row>
    <row r="40" spans="1:19">
      <c r="A40" s="6">
        <v>38</v>
      </c>
      <c r="B40" s="6" t="str">
        <f t="shared" si="0"/>
        <v>Industrial Machinery</v>
      </c>
      <c r="C40" s="6">
        <v>1</v>
      </c>
      <c r="D40" s="6" t="str">
        <f t="shared" si="1"/>
        <v>Paddy</v>
      </c>
      <c r="E40" s="6">
        <v>1758200</v>
      </c>
      <c r="F40" s="6">
        <v>97064</v>
      </c>
      <c r="G40" s="6">
        <v>190008</v>
      </c>
      <c r="H40" s="6">
        <v>15533</v>
      </c>
      <c r="I40" s="6">
        <v>0</v>
      </c>
      <c r="R40" s="6">
        <v>40</v>
      </c>
      <c r="S40" s="6" t="s">
        <v>131</v>
      </c>
    </row>
    <row r="41" spans="1:19">
      <c r="A41" s="6">
        <v>39</v>
      </c>
      <c r="B41" s="6" t="str">
        <f t="shared" si="0"/>
        <v>Electrical Machinery and Apparatus</v>
      </c>
      <c r="C41" s="6">
        <v>1</v>
      </c>
      <c r="D41" s="6" t="str">
        <f t="shared" si="1"/>
        <v>Paddy</v>
      </c>
      <c r="E41" s="6">
        <v>22873</v>
      </c>
      <c r="F41" s="6">
        <v>1304</v>
      </c>
      <c r="G41" s="6">
        <v>1493</v>
      </c>
      <c r="H41" s="6">
        <v>213</v>
      </c>
      <c r="I41" s="6">
        <v>0</v>
      </c>
      <c r="R41" s="6">
        <v>41</v>
      </c>
      <c r="S41" s="6" t="s">
        <v>132</v>
      </c>
    </row>
    <row r="42" spans="1:19">
      <c r="A42" s="6">
        <v>40</v>
      </c>
      <c r="B42" s="6" t="str">
        <f t="shared" si="0"/>
        <v>Motor Vehicles and Repairing</v>
      </c>
      <c r="C42" s="6">
        <v>1</v>
      </c>
      <c r="D42" s="6" t="str">
        <f t="shared" si="1"/>
        <v>Paddy</v>
      </c>
      <c r="E42" s="6">
        <v>373720</v>
      </c>
      <c r="F42" s="6">
        <v>0</v>
      </c>
      <c r="G42" s="6">
        <v>0</v>
      </c>
      <c r="H42" s="6">
        <v>0</v>
      </c>
      <c r="I42" s="6">
        <v>0</v>
      </c>
      <c r="R42" s="6">
        <v>42</v>
      </c>
      <c r="S42" s="6" t="s">
        <v>133</v>
      </c>
    </row>
    <row r="43" spans="1:19">
      <c r="A43" s="6">
        <v>41</v>
      </c>
      <c r="B43" s="6" t="str">
        <f t="shared" si="0"/>
        <v>Other Transportation Equipment</v>
      </c>
      <c r="C43" s="6">
        <v>1</v>
      </c>
      <c r="D43" s="6" t="str">
        <f t="shared" si="1"/>
        <v>Paddy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R43" s="6">
        <v>43</v>
      </c>
      <c r="S43" s="6" t="s">
        <v>134</v>
      </c>
    </row>
    <row r="44" spans="1:19">
      <c r="A44" s="6">
        <v>42</v>
      </c>
      <c r="B44" s="6" t="str">
        <f t="shared" si="0"/>
        <v>Leather Products</v>
      </c>
      <c r="C44" s="6">
        <v>1</v>
      </c>
      <c r="D44" s="6" t="str">
        <f t="shared" si="1"/>
        <v>Paddy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R44" s="6">
        <v>44</v>
      </c>
      <c r="S44" s="6" t="s">
        <v>135</v>
      </c>
    </row>
    <row r="45" spans="1:19">
      <c r="A45" s="6">
        <v>43</v>
      </c>
      <c r="B45" s="6" t="str">
        <f t="shared" si="0"/>
        <v>Saw Mills and Wood Products</v>
      </c>
      <c r="C45" s="6">
        <v>1</v>
      </c>
      <c r="D45" s="6" t="str">
        <f t="shared" si="1"/>
        <v>Paddy</v>
      </c>
      <c r="E45" s="6">
        <v>5485</v>
      </c>
      <c r="F45" s="6">
        <v>684</v>
      </c>
      <c r="G45" s="6">
        <v>1020</v>
      </c>
      <c r="H45" s="6">
        <v>65</v>
      </c>
      <c r="I45" s="6">
        <v>0</v>
      </c>
      <c r="R45" s="6">
        <v>45</v>
      </c>
      <c r="S45" s="6" t="s">
        <v>136</v>
      </c>
    </row>
    <row r="46" spans="1:19">
      <c r="A46" s="6">
        <v>44</v>
      </c>
      <c r="B46" s="6" t="str">
        <f t="shared" si="0"/>
        <v>Other Manufacturing Products</v>
      </c>
      <c r="C46" s="6">
        <v>1</v>
      </c>
      <c r="D46" s="6" t="str">
        <f t="shared" si="1"/>
        <v>Paddy</v>
      </c>
      <c r="E46" s="6">
        <v>10630</v>
      </c>
      <c r="F46" s="6">
        <v>940</v>
      </c>
      <c r="G46" s="6">
        <v>830</v>
      </c>
      <c r="H46" s="6">
        <v>126</v>
      </c>
      <c r="I46" s="6">
        <v>0</v>
      </c>
      <c r="R46" s="6">
        <v>46</v>
      </c>
      <c r="S46" s="6" t="s">
        <v>137</v>
      </c>
    </row>
    <row r="47" spans="1:19">
      <c r="A47" s="6">
        <v>45</v>
      </c>
      <c r="B47" s="6" t="str">
        <f t="shared" si="0"/>
        <v>Electricity and Gas</v>
      </c>
      <c r="C47" s="6">
        <v>1</v>
      </c>
      <c r="D47" s="6" t="str">
        <f t="shared" si="1"/>
        <v>Paddy</v>
      </c>
      <c r="E47" s="6">
        <v>39678</v>
      </c>
      <c r="F47" s="6">
        <v>0</v>
      </c>
      <c r="G47" s="6">
        <v>0</v>
      </c>
      <c r="H47" s="6">
        <v>0</v>
      </c>
      <c r="I47" s="6">
        <v>0</v>
      </c>
      <c r="R47" s="6">
        <v>47</v>
      </c>
      <c r="S47" s="6" t="s">
        <v>138</v>
      </c>
    </row>
    <row r="48" spans="1:19">
      <c r="A48" s="6">
        <v>46</v>
      </c>
      <c r="B48" s="6" t="str">
        <f t="shared" si="0"/>
        <v>Water Works and Supply</v>
      </c>
      <c r="C48" s="6">
        <v>1</v>
      </c>
      <c r="D48" s="6" t="str">
        <f t="shared" si="1"/>
        <v>Paddy</v>
      </c>
      <c r="E48" s="6">
        <v>200462</v>
      </c>
      <c r="F48" s="6">
        <v>0</v>
      </c>
      <c r="G48" s="6">
        <v>0</v>
      </c>
      <c r="H48" s="6">
        <v>0</v>
      </c>
      <c r="I48" s="6">
        <v>0</v>
      </c>
      <c r="R48" s="6">
        <v>48</v>
      </c>
      <c r="S48" s="6" t="s">
        <v>139</v>
      </c>
    </row>
    <row r="49" spans="1:19">
      <c r="A49" s="6">
        <v>47</v>
      </c>
      <c r="B49" s="6" t="str">
        <f t="shared" si="0"/>
        <v>Building Construction</v>
      </c>
      <c r="C49" s="6">
        <v>1</v>
      </c>
      <c r="D49" s="6" t="str">
        <f t="shared" si="1"/>
        <v>Paddy</v>
      </c>
      <c r="E49" s="6">
        <v>68970</v>
      </c>
      <c r="F49" s="6">
        <v>0</v>
      </c>
      <c r="G49" s="6">
        <v>0</v>
      </c>
      <c r="H49" s="6">
        <v>0</v>
      </c>
      <c r="I49" s="6">
        <v>0</v>
      </c>
      <c r="R49" s="6">
        <v>49</v>
      </c>
      <c r="S49" s="6" t="s">
        <v>140</v>
      </c>
    </row>
    <row r="50" spans="1:19">
      <c r="A50" s="6">
        <v>48</v>
      </c>
      <c r="B50" s="6" t="str">
        <f t="shared" si="0"/>
        <v>Public Works and Other Construction</v>
      </c>
      <c r="C50" s="6">
        <v>1</v>
      </c>
      <c r="D50" s="6" t="str">
        <f t="shared" si="1"/>
        <v>Paddy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R50" s="6">
        <v>50</v>
      </c>
      <c r="S50" s="6" t="s">
        <v>141</v>
      </c>
    </row>
    <row r="51" spans="1:19">
      <c r="A51" s="6">
        <v>49</v>
      </c>
      <c r="B51" s="6" t="str">
        <f t="shared" si="0"/>
        <v>Trade</v>
      </c>
      <c r="C51" s="6">
        <v>1</v>
      </c>
      <c r="D51" s="6" t="str">
        <f t="shared" si="1"/>
        <v>Paddy</v>
      </c>
      <c r="E51" s="6">
        <v>0</v>
      </c>
      <c r="F51" s="6">
        <v>-4246382</v>
      </c>
      <c r="G51" s="6">
        <v>-3476276</v>
      </c>
      <c r="H51" s="6">
        <v>0</v>
      </c>
      <c r="I51" s="6">
        <v>0</v>
      </c>
      <c r="R51" s="6">
        <v>51</v>
      </c>
      <c r="S51" s="6" t="s">
        <v>142</v>
      </c>
    </row>
    <row r="52" spans="1:19">
      <c r="A52" s="6">
        <v>50</v>
      </c>
      <c r="B52" s="6" t="str">
        <f t="shared" si="0"/>
        <v>Restaurants and Hotels</v>
      </c>
      <c r="C52" s="6">
        <v>1</v>
      </c>
      <c r="D52" s="6" t="str">
        <f t="shared" si="1"/>
        <v>Paddy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R52" s="6">
        <v>52</v>
      </c>
      <c r="S52" s="6" t="s">
        <v>143</v>
      </c>
    </row>
    <row r="53" spans="1:19">
      <c r="A53" s="6">
        <v>51</v>
      </c>
      <c r="B53" s="6" t="str">
        <f t="shared" si="0"/>
        <v>Transportation</v>
      </c>
      <c r="C53" s="6">
        <v>1</v>
      </c>
      <c r="D53" s="6" t="str">
        <f t="shared" si="1"/>
        <v>Paddy</v>
      </c>
      <c r="E53" s="6">
        <v>596343</v>
      </c>
      <c r="F53" s="6">
        <v>0</v>
      </c>
      <c r="G53" s="6">
        <v>0</v>
      </c>
      <c r="H53" s="6">
        <v>-1571099</v>
      </c>
      <c r="I53" s="6">
        <v>0</v>
      </c>
      <c r="R53" s="6">
        <v>53</v>
      </c>
      <c r="S53" s="6" t="s">
        <v>144</v>
      </c>
    </row>
    <row r="54" spans="1:19">
      <c r="A54" s="6">
        <v>52</v>
      </c>
      <c r="B54" s="6" t="str">
        <f t="shared" si="0"/>
        <v>Communication</v>
      </c>
      <c r="C54" s="6">
        <v>1</v>
      </c>
      <c r="D54" s="6" t="str">
        <f t="shared" si="1"/>
        <v>Paddy</v>
      </c>
      <c r="E54" s="6">
        <v>1220272</v>
      </c>
      <c r="F54" s="6">
        <v>0</v>
      </c>
      <c r="G54" s="6">
        <v>0</v>
      </c>
      <c r="H54" s="6">
        <v>0</v>
      </c>
      <c r="I54" s="6">
        <v>0</v>
      </c>
      <c r="R54" s="6">
        <v>54</v>
      </c>
      <c r="S54" s="6" t="s">
        <v>145</v>
      </c>
    </row>
    <row r="55" spans="1:19">
      <c r="A55" s="6">
        <v>53</v>
      </c>
      <c r="B55" s="6" t="str">
        <f t="shared" si="0"/>
        <v>Banking and Insurance</v>
      </c>
      <c r="C55" s="6">
        <v>1</v>
      </c>
      <c r="D55" s="6" t="str">
        <f t="shared" si="1"/>
        <v>Paddy</v>
      </c>
      <c r="E55" s="6">
        <v>6761672</v>
      </c>
      <c r="F55" s="6">
        <v>0</v>
      </c>
      <c r="G55" s="6">
        <v>0</v>
      </c>
      <c r="H55" s="6">
        <v>0</v>
      </c>
      <c r="I55" s="6">
        <v>0</v>
      </c>
      <c r="R55" s="6">
        <v>55</v>
      </c>
      <c r="S55" s="6" t="s">
        <v>146</v>
      </c>
    </row>
    <row r="56" spans="1:19">
      <c r="A56" s="6">
        <v>54</v>
      </c>
      <c r="B56" s="6" t="str">
        <f t="shared" si="0"/>
        <v>Real Estate</v>
      </c>
      <c r="C56" s="6">
        <v>1</v>
      </c>
      <c r="D56" s="6" t="str">
        <f t="shared" si="1"/>
        <v>Paddy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R56" s="6">
        <v>56</v>
      </c>
      <c r="S56" s="6" t="s">
        <v>147</v>
      </c>
    </row>
    <row r="57" spans="1:19">
      <c r="A57" s="6">
        <v>55</v>
      </c>
      <c r="B57" s="6" t="str">
        <f t="shared" si="0"/>
        <v>Business Services</v>
      </c>
      <c r="C57" s="6">
        <v>1</v>
      </c>
      <c r="D57" s="6" t="str">
        <f t="shared" si="1"/>
        <v>Paddy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R57" s="6">
        <v>57</v>
      </c>
      <c r="S57" s="6" t="s">
        <v>148</v>
      </c>
    </row>
    <row r="58" spans="1:19">
      <c r="A58" s="6">
        <v>56</v>
      </c>
      <c r="B58" s="6" t="str">
        <f t="shared" si="0"/>
        <v>Public Services</v>
      </c>
      <c r="C58" s="6">
        <v>1</v>
      </c>
      <c r="D58" s="6" t="str">
        <f t="shared" si="1"/>
        <v>Paddy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R58" s="6">
        <v>58</v>
      </c>
      <c r="S58" s="6" t="s">
        <v>149</v>
      </c>
    </row>
    <row r="59" spans="1:19">
      <c r="A59" s="6">
        <v>57</v>
      </c>
      <c r="B59" s="6" t="str">
        <f t="shared" si="0"/>
        <v>Other Services</v>
      </c>
      <c r="C59" s="6">
        <v>1</v>
      </c>
      <c r="D59" s="6" t="str">
        <f t="shared" si="1"/>
        <v>Paddy</v>
      </c>
      <c r="E59" s="6">
        <v>7649</v>
      </c>
      <c r="F59" s="6">
        <v>0</v>
      </c>
      <c r="G59" s="6">
        <v>0</v>
      </c>
      <c r="H59" s="6">
        <v>0</v>
      </c>
      <c r="I59" s="6">
        <v>0</v>
      </c>
      <c r="R59" s="6">
        <v>190</v>
      </c>
      <c r="S59" s="6" t="s">
        <v>150</v>
      </c>
    </row>
    <row r="60" spans="1:19">
      <c r="A60" s="6">
        <v>58</v>
      </c>
      <c r="B60" s="6" t="str">
        <f t="shared" si="0"/>
        <v>Unclassified</v>
      </c>
      <c r="C60" s="6">
        <v>1</v>
      </c>
      <c r="D60" s="6" t="str">
        <f t="shared" si="1"/>
        <v>Paddy</v>
      </c>
      <c r="E60" s="6">
        <v>911</v>
      </c>
      <c r="F60" s="6">
        <v>0</v>
      </c>
      <c r="G60" s="6">
        <v>0</v>
      </c>
      <c r="H60" s="6">
        <v>0</v>
      </c>
      <c r="I60" s="6">
        <v>77</v>
      </c>
      <c r="R60" s="6">
        <v>201</v>
      </c>
      <c r="S60" s="6" t="s">
        <v>151</v>
      </c>
    </row>
    <row r="61" spans="1:19">
      <c r="A61" s="6">
        <v>190</v>
      </c>
      <c r="B61" s="6" t="str">
        <f t="shared" si="0"/>
        <v>Total Intermedite Transaction</v>
      </c>
      <c r="C61" s="6">
        <v>1</v>
      </c>
      <c r="D61" s="6" t="str">
        <f t="shared" si="1"/>
        <v>Paddy</v>
      </c>
      <c r="E61" s="6">
        <v>106906674</v>
      </c>
      <c r="F61" s="6">
        <v>0</v>
      </c>
      <c r="G61" s="6">
        <v>0</v>
      </c>
      <c r="H61" s="6">
        <v>0</v>
      </c>
      <c r="I61" s="6">
        <v>27576334</v>
      </c>
      <c r="R61" s="6">
        <v>202</v>
      </c>
      <c r="S61" s="6" t="s">
        <v>152</v>
      </c>
    </row>
    <row r="62" spans="1:19">
      <c r="A62" s="6">
        <v>201</v>
      </c>
      <c r="B62" s="6" t="str">
        <f t="shared" si="0"/>
        <v>Wages and Salaries</v>
      </c>
      <c r="C62" s="6">
        <v>1</v>
      </c>
      <c r="D62" s="6" t="str">
        <f t="shared" si="1"/>
        <v>Paddy</v>
      </c>
      <c r="E62" s="6">
        <v>66711643</v>
      </c>
      <c r="F62" s="6">
        <v>0</v>
      </c>
      <c r="G62" s="6">
        <v>0</v>
      </c>
      <c r="H62" s="6">
        <v>0</v>
      </c>
      <c r="I62" s="6">
        <v>0</v>
      </c>
      <c r="R62" s="6">
        <v>203</v>
      </c>
      <c r="S62" s="6" t="s">
        <v>153</v>
      </c>
    </row>
    <row r="63" spans="1:19">
      <c r="A63" s="6">
        <v>202</v>
      </c>
      <c r="B63" s="6" t="str">
        <f t="shared" si="0"/>
        <v>Operating Surplus</v>
      </c>
      <c r="C63" s="6">
        <v>1</v>
      </c>
      <c r="D63" s="6" t="str">
        <f t="shared" si="1"/>
        <v>Paddy</v>
      </c>
      <c r="E63" s="6">
        <v>103830453</v>
      </c>
      <c r="F63" s="6">
        <v>0</v>
      </c>
      <c r="G63" s="6">
        <v>0</v>
      </c>
      <c r="H63" s="6">
        <v>0</v>
      </c>
      <c r="I63" s="6">
        <v>0</v>
      </c>
      <c r="R63" s="6">
        <v>204</v>
      </c>
      <c r="S63" s="6" t="s">
        <v>154</v>
      </c>
    </row>
    <row r="64" spans="1:19">
      <c r="A64" s="6">
        <v>203</v>
      </c>
      <c r="B64" s="6" t="str">
        <f t="shared" si="0"/>
        <v>Depreciation</v>
      </c>
      <c r="C64" s="6">
        <v>1</v>
      </c>
      <c r="D64" s="6" t="str">
        <f t="shared" si="1"/>
        <v>Paddy</v>
      </c>
      <c r="E64" s="6">
        <v>23207172</v>
      </c>
      <c r="F64" s="6">
        <v>0</v>
      </c>
      <c r="G64" s="6">
        <v>0</v>
      </c>
      <c r="H64" s="6">
        <v>0</v>
      </c>
      <c r="I64" s="6">
        <v>0</v>
      </c>
      <c r="R64" s="6">
        <v>209</v>
      </c>
      <c r="S64" s="6" t="s">
        <v>155</v>
      </c>
    </row>
    <row r="65" spans="1:19">
      <c r="A65" s="6">
        <v>204</v>
      </c>
      <c r="B65" s="6" t="str">
        <f t="shared" si="0"/>
        <v>Indirect Taxes less Subsidies</v>
      </c>
      <c r="C65" s="6">
        <v>1</v>
      </c>
      <c r="D65" s="6" t="str">
        <f t="shared" si="1"/>
        <v>Paddy</v>
      </c>
      <c r="E65" s="6">
        <v>149515</v>
      </c>
      <c r="F65" s="6">
        <v>0</v>
      </c>
      <c r="G65" s="6">
        <v>0</v>
      </c>
      <c r="H65" s="6">
        <v>0</v>
      </c>
      <c r="I65" s="6">
        <v>0</v>
      </c>
      <c r="R65" s="6">
        <v>210</v>
      </c>
      <c r="S65" s="6" t="s">
        <v>156</v>
      </c>
    </row>
    <row r="66" spans="1:19">
      <c r="A66" s="6">
        <v>209</v>
      </c>
      <c r="B66" s="6" t="str">
        <f t="shared" si="0"/>
        <v>Total Value Added</v>
      </c>
      <c r="C66" s="6">
        <v>1</v>
      </c>
      <c r="D66" s="6" t="str">
        <f t="shared" si="1"/>
        <v>Paddy</v>
      </c>
      <c r="E66" s="6">
        <v>193898783</v>
      </c>
      <c r="F66" s="6">
        <v>0</v>
      </c>
      <c r="G66" s="6">
        <v>0</v>
      </c>
      <c r="H66" s="6">
        <v>0</v>
      </c>
      <c r="I66" s="6">
        <v>0</v>
      </c>
      <c r="R66" s="6">
        <v>301</v>
      </c>
      <c r="S66" s="6" t="s">
        <v>157</v>
      </c>
    </row>
    <row r="67" spans="1:19">
      <c r="A67" s="6">
        <v>210</v>
      </c>
      <c r="B67" s="6" t="str">
        <f t="shared" si="0"/>
        <v>Control Total</v>
      </c>
      <c r="C67" s="6">
        <v>1</v>
      </c>
      <c r="D67" s="6" t="str">
        <f t="shared" si="1"/>
        <v>Paddy</v>
      </c>
      <c r="E67" s="6">
        <v>300805457</v>
      </c>
      <c r="F67" s="6">
        <v>0</v>
      </c>
      <c r="G67" s="6">
        <v>0</v>
      </c>
      <c r="H67" s="6">
        <v>0</v>
      </c>
      <c r="I67" s="6">
        <v>0</v>
      </c>
      <c r="R67" s="6">
        <v>302</v>
      </c>
      <c r="S67" s="6" t="s">
        <v>158</v>
      </c>
    </row>
    <row r="68" spans="1:19">
      <c r="A68" s="6">
        <v>1</v>
      </c>
      <c r="B68" s="6" t="str">
        <f t="shared" ref="B68:B131" si="2">VLOOKUP(A68,R:S,2,0)</f>
        <v>Paddy</v>
      </c>
      <c r="C68" s="6">
        <v>2</v>
      </c>
      <c r="D68" s="6" t="str">
        <f t="shared" ref="D68:D131" si="3">VLOOKUP(C68,R:S,2,0)</f>
        <v>Maize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R68" s="6">
        <v>303</v>
      </c>
      <c r="S68" s="6" t="s">
        <v>159</v>
      </c>
    </row>
    <row r="69" spans="1:19">
      <c r="A69" s="6">
        <v>2</v>
      </c>
      <c r="B69" s="6" t="str">
        <f t="shared" si="2"/>
        <v>Maize</v>
      </c>
      <c r="C69" s="6">
        <v>2</v>
      </c>
      <c r="D69" s="6" t="str">
        <f t="shared" si="3"/>
        <v>Maize</v>
      </c>
      <c r="E69" s="6">
        <v>5865215</v>
      </c>
      <c r="F69" s="6">
        <v>118417</v>
      </c>
      <c r="G69" s="6">
        <v>7623</v>
      </c>
      <c r="H69" s="6">
        <v>48251</v>
      </c>
      <c r="I69" s="6">
        <v>183307</v>
      </c>
      <c r="R69" s="6">
        <v>304</v>
      </c>
      <c r="S69" s="6" t="s">
        <v>160</v>
      </c>
    </row>
    <row r="70" spans="1:19">
      <c r="A70" s="6">
        <v>3</v>
      </c>
      <c r="B70" s="6" t="str">
        <f t="shared" si="2"/>
        <v>Cassava</v>
      </c>
      <c r="C70" s="6">
        <v>2</v>
      </c>
      <c r="D70" s="6" t="str">
        <f t="shared" si="3"/>
        <v>Maize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R70" s="6">
        <v>305</v>
      </c>
      <c r="S70" s="6" t="s">
        <v>161</v>
      </c>
    </row>
    <row r="71" spans="1:19">
      <c r="A71" s="6">
        <v>4</v>
      </c>
      <c r="B71" s="6" t="str">
        <f t="shared" si="2"/>
        <v>Beans and Nuts</v>
      </c>
      <c r="C71" s="6">
        <v>2</v>
      </c>
      <c r="D71" s="6" t="str">
        <f t="shared" si="3"/>
        <v>Maize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R71" s="6">
        <v>306</v>
      </c>
      <c r="S71" s="6" t="s">
        <v>162</v>
      </c>
    </row>
    <row r="72" spans="1:19">
      <c r="A72" s="6">
        <v>5</v>
      </c>
      <c r="B72" s="6" t="str">
        <f t="shared" si="2"/>
        <v>Vegetables and Fruits</v>
      </c>
      <c r="C72" s="6">
        <v>2</v>
      </c>
      <c r="D72" s="6" t="str">
        <f t="shared" si="3"/>
        <v>Maize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R72" s="6">
        <v>309</v>
      </c>
      <c r="S72" s="6" t="s">
        <v>163</v>
      </c>
    </row>
    <row r="73" spans="1:19">
      <c r="A73" s="6">
        <v>6</v>
      </c>
      <c r="B73" s="6" t="str">
        <f t="shared" si="2"/>
        <v>Sugarcane</v>
      </c>
      <c r="C73" s="6">
        <v>2</v>
      </c>
      <c r="D73" s="6" t="str">
        <f t="shared" si="3"/>
        <v>Maize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R73" s="6">
        <v>310</v>
      </c>
      <c r="S73" s="6" t="s">
        <v>164</v>
      </c>
    </row>
    <row r="74" spans="1:19">
      <c r="A74" s="6">
        <v>7</v>
      </c>
      <c r="B74" s="6" t="str">
        <f t="shared" si="2"/>
        <v>Rubber (Latex)</v>
      </c>
      <c r="C74" s="6">
        <v>2</v>
      </c>
      <c r="D74" s="6" t="str">
        <f t="shared" si="3"/>
        <v>Maize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R74" s="6">
        <v>401</v>
      </c>
      <c r="S74" s="6" t="s">
        <v>165</v>
      </c>
    </row>
    <row r="75" spans="1:19">
      <c r="A75" s="6">
        <v>8</v>
      </c>
      <c r="B75" s="6" t="str">
        <f t="shared" si="2"/>
        <v>Other Crops</v>
      </c>
      <c r="C75" s="6">
        <v>2</v>
      </c>
      <c r="D75" s="6" t="str">
        <f t="shared" si="3"/>
        <v>Maize</v>
      </c>
      <c r="E75" s="6">
        <v>829269</v>
      </c>
      <c r="F75" s="6">
        <v>0</v>
      </c>
      <c r="G75" s="6">
        <v>0</v>
      </c>
      <c r="H75" s="6">
        <v>0</v>
      </c>
      <c r="I75" s="6">
        <v>0</v>
      </c>
      <c r="R75" s="6">
        <v>402</v>
      </c>
      <c r="S75" s="6" t="s">
        <v>166</v>
      </c>
    </row>
    <row r="76" spans="1:19">
      <c r="A76" s="6">
        <v>9</v>
      </c>
      <c r="B76" s="6" t="str">
        <f t="shared" si="2"/>
        <v>Livestock</v>
      </c>
      <c r="C76" s="6">
        <v>2</v>
      </c>
      <c r="D76" s="6" t="str">
        <f t="shared" si="3"/>
        <v>Maize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R76" s="6">
        <v>403</v>
      </c>
      <c r="S76" s="6" t="s">
        <v>167</v>
      </c>
    </row>
    <row r="77" spans="1:19">
      <c r="A77" s="6">
        <v>10</v>
      </c>
      <c r="B77" s="6" t="str">
        <f t="shared" si="2"/>
        <v>Forestry</v>
      </c>
      <c r="C77" s="6">
        <v>2</v>
      </c>
      <c r="D77" s="6" t="str">
        <f t="shared" si="3"/>
        <v>Maize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R77" s="6">
        <v>404</v>
      </c>
      <c r="S77" s="6" t="s">
        <v>168</v>
      </c>
    </row>
    <row r="78" spans="1:19">
      <c r="A78" s="6">
        <v>11</v>
      </c>
      <c r="B78" s="6" t="str">
        <f t="shared" si="2"/>
        <v>Fishery</v>
      </c>
      <c r="C78" s="6">
        <v>2</v>
      </c>
      <c r="D78" s="6" t="str">
        <f t="shared" si="3"/>
        <v>Maize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R78" s="6">
        <v>409</v>
      </c>
      <c r="S78" s="6" t="s">
        <v>169</v>
      </c>
    </row>
    <row r="79" spans="1:19">
      <c r="A79" s="6">
        <v>12</v>
      </c>
      <c r="B79" s="6" t="str">
        <f t="shared" si="2"/>
        <v>Crude Oil and Coal</v>
      </c>
      <c r="C79" s="6">
        <v>2</v>
      </c>
      <c r="D79" s="6" t="str">
        <f t="shared" si="3"/>
        <v>Maize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R79" s="6">
        <v>501</v>
      </c>
      <c r="S79" s="6" t="s">
        <v>170</v>
      </c>
    </row>
    <row r="80" spans="1:19">
      <c r="A80" s="6">
        <v>13</v>
      </c>
      <c r="B80" s="6" t="str">
        <f t="shared" si="2"/>
        <v>Metal Ore</v>
      </c>
      <c r="C80" s="6">
        <v>2</v>
      </c>
      <c r="D80" s="6" t="str">
        <f t="shared" si="3"/>
        <v>Maize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R80" s="6">
        <v>502</v>
      </c>
      <c r="S80" s="6" t="s">
        <v>171</v>
      </c>
    </row>
    <row r="81" spans="1:19">
      <c r="A81" s="6">
        <v>14</v>
      </c>
      <c r="B81" s="6" t="str">
        <f t="shared" si="2"/>
        <v>Non-Metal Ore</v>
      </c>
      <c r="C81" s="6">
        <v>2</v>
      </c>
      <c r="D81" s="6" t="str">
        <f t="shared" si="3"/>
        <v>Maize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R81" s="6">
        <v>503</v>
      </c>
      <c r="S81" s="6" t="s">
        <v>172</v>
      </c>
    </row>
    <row r="82" spans="1:19">
      <c r="A82" s="6">
        <v>15</v>
      </c>
      <c r="B82" s="6" t="str">
        <f t="shared" si="2"/>
        <v>Slaughtering</v>
      </c>
      <c r="C82" s="6">
        <v>2</v>
      </c>
      <c r="D82" s="6" t="str">
        <f t="shared" si="3"/>
        <v>Maize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R82" s="6">
        <v>509</v>
      </c>
      <c r="S82" s="6" t="s">
        <v>173</v>
      </c>
    </row>
    <row r="83" spans="1:19">
      <c r="A83" s="6">
        <v>16</v>
      </c>
      <c r="B83" s="6" t="str">
        <f t="shared" si="2"/>
        <v>Processing and Presering of Foods</v>
      </c>
      <c r="C83" s="6">
        <v>2</v>
      </c>
      <c r="D83" s="6" t="str">
        <f t="shared" si="3"/>
        <v>Maize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R83" s="6">
        <v>600</v>
      </c>
      <c r="S83" s="6" t="s">
        <v>156</v>
      </c>
    </row>
    <row r="84" spans="1:19">
      <c r="A84" s="6">
        <v>17</v>
      </c>
      <c r="B84" s="6" t="str">
        <f t="shared" si="2"/>
        <v>Rice and Other Grain Milling</v>
      </c>
      <c r="C84" s="6">
        <v>2</v>
      </c>
      <c r="D84" s="6" t="str">
        <f t="shared" si="3"/>
        <v>Maize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R84" s="6">
        <v>700</v>
      </c>
      <c r="S84" s="6" t="s">
        <v>174</v>
      </c>
    </row>
    <row r="85" spans="1:19">
      <c r="A85" s="6">
        <v>18</v>
      </c>
      <c r="B85" s="6" t="str">
        <f t="shared" si="2"/>
        <v>Sugar Refineries</v>
      </c>
      <c r="C85" s="6">
        <v>2</v>
      </c>
      <c r="D85" s="6" t="str">
        <f t="shared" si="3"/>
        <v>Maize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9">
      <c r="A86" s="6">
        <v>19</v>
      </c>
      <c r="B86" s="6" t="str">
        <f t="shared" si="2"/>
        <v>Other Foods</v>
      </c>
      <c r="C86" s="6">
        <v>2</v>
      </c>
      <c r="D86" s="6" t="str">
        <f t="shared" si="3"/>
        <v>Maize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</row>
    <row r="87" spans="1:19">
      <c r="A87" s="6">
        <v>20</v>
      </c>
      <c r="B87" s="6" t="str">
        <f t="shared" si="2"/>
        <v>Animal Food</v>
      </c>
      <c r="C87" s="6">
        <v>2</v>
      </c>
      <c r="D87" s="6" t="str">
        <f t="shared" si="3"/>
        <v>Maize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</row>
    <row r="88" spans="1:19">
      <c r="A88" s="6">
        <v>21</v>
      </c>
      <c r="B88" s="6" t="str">
        <f t="shared" si="2"/>
        <v>Beverages</v>
      </c>
      <c r="C88" s="6">
        <v>2</v>
      </c>
      <c r="D88" s="6" t="str">
        <f t="shared" si="3"/>
        <v>Maize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</row>
    <row r="89" spans="1:19">
      <c r="A89" s="6">
        <v>22</v>
      </c>
      <c r="B89" s="6" t="str">
        <f t="shared" si="2"/>
        <v>Tobacco Processing and Products</v>
      </c>
      <c r="C89" s="6">
        <v>2</v>
      </c>
      <c r="D89" s="6" t="str">
        <f t="shared" si="3"/>
        <v>Maize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19">
      <c r="A90" s="6">
        <v>23</v>
      </c>
      <c r="B90" s="6" t="str">
        <f t="shared" si="2"/>
        <v>Spinning, Weaving and Bleaching</v>
      </c>
      <c r="C90" s="6">
        <v>2</v>
      </c>
      <c r="D90" s="6" t="str">
        <f t="shared" si="3"/>
        <v>Maize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19">
      <c r="A91" s="6">
        <v>24</v>
      </c>
      <c r="B91" s="6" t="str">
        <f t="shared" si="2"/>
        <v>Textile Products</v>
      </c>
      <c r="C91" s="6">
        <v>2</v>
      </c>
      <c r="D91" s="6" t="str">
        <f t="shared" si="3"/>
        <v>Maize</v>
      </c>
      <c r="E91" s="6">
        <v>208864</v>
      </c>
      <c r="F91" s="6">
        <v>40304</v>
      </c>
      <c r="G91" s="6">
        <v>4800</v>
      </c>
      <c r="H91" s="6">
        <v>1843</v>
      </c>
      <c r="I91" s="6">
        <v>0</v>
      </c>
    </row>
    <row r="92" spans="1:19">
      <c r="A92" s="6">
        <v>25</v>
      </c>
      <c r="B92" s="6" t="str">
        <f t="shared" si="2"/>
        <v>Paper and Paper Products</v>
      </c>
      <c r="C92" s="6">
        <v>2</v>
      </c>
      <c r="D92" s="6" t="str">
        <f t="shared" si="3"/>
        <v>Maize</v>
      </c>
      <c r="E92" s="6">
        <v>554</v>
      </c>
      <c r="F92" s="6">
        <v>22</v>
      </c>
      <c r="G92" s="6">
        <v>16</v>
      </c>
      <c r="H92" s="6">
        <v>5</v>
      </c>
      <c r="I92" s="6">
        <v>0</v>
      </c>
    </row>
    <row r="93" spans="1:19">
      <c r="A93" s="6">
        <v>26</v>
      </c>
      <c r="B93" s="6" t="str">
        <f t="shared" si="2"/>
        <v>Printing and Publishing</v>
      </c>
      <c r="C93" s="6">
        <v>2</v>
      </c>
      <c r="D93" s="6" t="str">
        <f t="shared" si="3"/>
        <v>Maize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</row>
    <row r="94" spans="1:19">
      <c r="A94" s="6">
        <v>27</v>
      </c>
      <c r="B94" s="6" t="str">
        <f t="shared" si="2"/>
        <v>Basic Chemical Products</v>
      </c>
      <c r="C94" s="6">
        <v>2</v>
      </c>
      <c r="D94" s="6" t="str">
        <f t="shared" si="3"/>
        <v>Maize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</row>
    <row r="95" spans="1:19">
      <c r="A95" s="6">
        <v>28</v>
      </c>
      <c r="B95" s="6" t="str">
        <f t="shared" si="2"/>
        <v>Fertilizer and Pesticides</v>
      </c>
      <c r="C95" s="6">
        <v>2</v>
      </c>
      <c r="D95" s="6" t="str">
        <f t="shared" si="3"/>
        <v>Maize</v>
      </c>
      <c r="E95" s="6">
        <v>6761322</v>
      </c>
      <c r="F95" s="6">
        <v>768586</v>
      </c>
      <c r="G95" s="6">
        <v>727783</v>
      </c>
      <c r="H95" s="6">
        <v>290677</v>
      </c>
      <c r="I95" s="6">
        <v>3881156</v>
      </c>
    </row>
    <row r="96" spans="1:19">
      <c r="A96" s="6">
        <v>29</v>
      </c>
      <c r="B96" s="6" t="str">
        <f t="shared" si="2"/>
        <v>Other Chemical Products</v>
      </c>
      <c r="C96" s="6">
        <v>2</v>
      </c>
      <c r="D96" s="6" t="str">
        <f t="shared" si="3"/>
        <v>Maize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</row>
    <row r="97" spans="1:9">
      <c r="A97" s="6">
        <v>30</v>
      </c>
      <c r="B97" s="6" t="str">
        <f t="shared" si="2"/>
        <v>Petroleum Refineries</v>
      </c>
      <c r="C97" s="6">
        <v>2</v>
      </c>
      <c r="D97" s="6" t="str">
        <f t="shared" si="3"/>
        <v>Maize</v>
      </c>
      <c r="E97" s="6">
        <v>873484</v>
      </c>
      <c r="F97" s="6">
        <v>67102</v>
      </c>
      <c r="G97" s="6">
        <v>89490</v>
      </c>
      <c r="H97" s="6">
        <v>8932</v>
      </c>
      <c r="I97" s="6">
        <v>155366</v>
      </c>
    </row>
    <row r="98" spans="1:9">
      <c r="A98" s="6">
        <v>31</v>
      </c>
      <c r="B98" s="6" t="str">
        <f t="shared" si="2"/>
        <v>Rubber Products</v>
      </c>
      <c r="C98" s="6">
        <v>2</v>
      </c>
      <c r="D98" s="6" t="str">
        <f t="shared" si="3"/>
        <v>Maize</v>
      </c>
      <c r="E98" s="6">
        <v>273</v>
      </c>
      <c r="F98" s="6">
        <v>38</v>
      </c>
      <c r="G98" s="6">
        <v>40</v>
      </c>
      <c r="H98" s="6">
        <v>7</v>
      </c>
      <c r="I98" s="6">
        <v>0</v>
      </c>
    </row>
    <row r="99" spans="1:9">
      <c r="A99" s="6">
        <v>32</v>
      </c>
      <c r="B99" s="6" t="str">
        <f t="shared" si="2"/>
        <v>Plastic Wares</v>
      </c>
      <c r="C99" s="6">
        <v>2</v>
      </c>
      <c r="D99" s="6" t="str">
        <f t="shared" si="3"/>
        <v>Maize</v>
      </c>
      <c r="E99" s="6">
        <v>18420</v>
      </c>
      <c r="F99" s="6">
        <v>449</v>
      </c>
      <c r="G99" s="6">
        <v>1059</v>
      </c>
      <c r="H99" s="6">
        <v>135</v>
      </c>
      <c r="I99" s="6">
        <v>4545</v>
      </c>
    </row>
    <row r="100" spans="1:9">
      <c r="A100" s="6">
        <v>33</v>
      </c>
      <c r="B100" s="6" t="str">
        <f t="shared" si="2"/>
        <v>Cement and Concrete Products</v>
      </c>
      <c r="C100" s="6">
        <v>2</v>
      </c>
      <c r="D100" s="6" t="str">
        <f t="shared" si="3"/>
        <v>Maize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</row>
    <row r="101" spans="1:9">
      <c r="A101" s="6">
        <v>34</v>
      </c>
      <c r="B101" s="6" t="str">
        <f t="shared" si="2"/>
        <v>Other Non-metallic Products</v>
      </c>
      <c r="C101" s="6">
        <v>2</v>
      </c>
      <c r="D101" s="6" t="str">
        <f t="shared" si="3"/>
        <v>Maize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</row>
    <row r="102" spans="1:9">
      <c r="A102" s="6">
        <v>35</v>
      </c>
      <c r="B102" s="6" t="str">
        <f t="shared" si="2"/>
        <v>Iron and Steel</v>
      </c>
      <c r="C102" s="6">
        <v>2</v>
      </c>
      <c r="D102" s="6" t="str">
        <f t="shared" si="3"/>
        <v>Maize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</row>
    <row r="103" spans="1:9">
      <c r="A103" s="6">
        <v>36</v>
      </c>
      <c r="B103" s="6" t="str">
        <f t="shared" si="2"/>
        <v>Non-ferrous Metal</v>
      </c>
      <c r="C103" s="6">
        <v>2</v>
      </c>
      <c r="D103" s="6" t="str">
        <f t="shared" si="3"/>
        <v>Maize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</row>
    <row r="104" spans="1:9">
      <c r="A104" s="6">
        <v>37</v>
      </c>
      <c r="B104" s="6" t="str">
        <f t="shared" si="2"/>
        <v>Fabricated Metal Products</v>
      </c>
      <c r="C104" s="6">
        <v>2</v>
      </c>
      <c r="D104" s="6" t="str">
        <f t="shared" si="3"/>
        <v>Maize</v>
      </c>
      <c r="E104" s="6">
        <v>262041</v>
      </c>
      <c r="F104" s="6">
        <v>17111</v>
      </c>
      <c r="G104" s="6">
        <v>27927</v>
      </c>
      <c r="H104" s="6">
        <v>2009</v>
      </c>
      <c r="I104" s="6">
        <v>32161</v>
      </c>
    </row>
    <row r="105" spans="1:9">
      <c r="A105" s="6">
        <v>38</v>
      </c>
      <c r="B105" s="6" t="str">
        <f t="shared" si="2"/>
        <v>Industrial Machinery</v>
      </c>
      <c r="C105" s="6">
        <v>2</v>
      </c>
      <c r="D105" s="6" t="str">
        <f t="shared" si="3"/>
        <v>Maize</v>
      </c>
      <c r="E105" s="6">
        <v>541261</v>
      </c>
      <c r="F105" s="6">
        <v>42953</v>
      </c>
      <c r="G105" s="6">
        <v>55710</v>
      </c>
      <c r="H105" s="6">
        <v>4412</v>
      </c>
      <c r="I105" s="6">
        <v>0</v>
      </c>
    </row>
    <row r="106" spans="1:9">
      <c r="A106" s="6">
        <v>39</v>
      </c>
      <c r="B106" s="6" t="str">
        <f t="shared" si="2"/>
        <v>Electrical Machinery and Apparatus</v>
      </c>
      <c r="C106" s="6">
        <v>2</v>
      </c>
      <c r="D106" s="6" t="str">
        <f t="shared" si="3"/>
        <v>Maize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</row>
    <row r="107" spans="1:9">
      <c r="A107" s="6">
        <v>40</v>
      </c>
      <c r="B107" s="6" t="str">
        <f t="shared" si="2"/>
        <v>Motor Vehicles and Repairing</v>
      </c>
      <c r="C107" s="6">
        <v>2</v>
      </c>
      <c r="D107" s="6" t="str">
        <f t="shared" si="3"/>
        <v>Maize</v>
      </c>
      <c r="E107" s="6">
        <v>114877</v>
      </c>
      <c r="F107" s="6">
        <v>0</v>
      </c>
      <c r="G107" s="6">
        <v>0</v>
      </c>
      <c r="H107" s="6">
        <v>0</v>
      </c>
      <c r="I107" s="6">
        <v>0</v>
      </c>
    </row>
    <row r="108" spans="1:9">
      <c r="A108" s="6">
        <v>41</v>
      </c>
      <c r="B108" s="6" t="str">
        <f t="shared" si="2"/>
        <v>Other Transportation Equipment</v>
      </c>
      <c r="C108" s="6">
        <v>2</v>
      </c>
      <c r="D108" s="6" t="str">
        <f t="shared" si="3"/>
        <v>Maize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</row>
    <row r="109" spans="1:9">
      <c r="A109" s="6">
        <v>42</v>
      </c>
      <c r="B109" s="6" t="str">
        <f t="shared" si="2"/>
        <v>Leather Products</v>
      </c>
      <c r="C109" s="6">
        <v>2</v>
      </c>
      <c r="D109" s="6" t="str">
        <f t="shared" si="3"/>
        <v>Maize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</row>
    <row r="110" spans="1:9">
      <c r="A110" s="6">
        <v>43</v>
      </c>
      <c r="B110" s="6" t="str">
        <f t="shared" si="2"/>
        <v>Saw Mills and Wood Products</v>
      </c>
      <c r="C110" s="6">
        <v>2</v>
      </c>
      <c r="D110" s="6" t="str">
        <f t="shared" si="3"/>
        <v>Maize</v>
      </c>
      <c r="E110" s="6">
        <v>42865</v>
      </c>
      <c r="F110" s="6">
        <v>5615</v>
      </c>
      <c r="G110" s="6">
        <v>3978</v>
      </c>
      <c r="H110" s="6">
        <v>328</v>
      </c>
      <c r="I110" s="6">
        <v>0</v>
      </c>
    </row>
    <row r="111" spans="1:9">
      <c r="A111" s="6">
        <v>44</v>
      </c>
      <c r="B111" s="6" t="str">
        <f t="shared" si="2"/>
        <v>Other Manufacturing Products</v>
      </c>
      <c r="C111" s="6">
        <v>2</v>
      </c>
      <c r="D111" s="6" t="str">
        <f t="shared" si="3"/>
        <v>Maize</v>
      </c>
      <c r="E111" s="6">
        <v>463</v>
      </c>
      <c r="F111" s="6">
        <v>43</v>
      </c>
      <c r="G111" s="6">
        <v>38</v>
      </c>
      <c r="H111" s="6">
        <v>5</v>
      </c>
      <c r="I111" s="6">
        <v>0</v>
      </c>
    </row>
    <row r="112" spans="1:9">
      <c r="A112" s="6">
        <v>45</v>
      </c>
      <c r="B112" s="6" t="str">
        <f t="shared" si="2"/>
        <v>Electricity and Gas</v>
      </c>
      <c r="C112" s="6">
        <v>2</v>
      </c>
      <c r="D112" s="6" t="str">
        <f t="shared" si="3"/>
        <v>Maize</v>
      </c>
      <c r="E112" s="6">
        <v>1798</v>
      </c>
      <c r="F112" s="6">
        <v>0</v>
      </c>
      <c r="G112" s="6">
        <v>0</v>
      </c>
      <c r="H112" s="6">
        <v>0</v>
      </c>
      <c r="I112" s="6">
        <v>0</v>
      </c>
    </row>
    <row r="113" spans="1:9">
      <c r="A113" s="6">
        <v>46</v>
      </c>
      <c r="B113" s="6" t="str">
        <f t="shared" si="2"/>
        <v>Water Works and Supply</v>
      </c>
      <c r="C113" s="6">
        <v>2</v>
      </c>
      <c r="D113" s="6" t="str">
        <f t="shared" si="3"/>
        <v>Maize</v>
      </c>
      <c r="E113" s="6">
        <v>28166</v>
      </c>
      <c r="F113" s="6">
        <v>0</v>
      </c>
      <c r="G113" s="6">
        <v>0</v>
      </c>
      <c r="H113" s="6">
        <v>0</v>
      </c>
      <c r="I113" s="6">
        <v>0</v>
      </c>
    </row>
    <row r="114" spans="1:9">
      <c r="A114" s="6">
        <v>47</v>
      </c>
      <c r="B114" s="6" t="str">
        <f t="shared" si="2"/>
        <v>Building Construction</v>
      </c>
      <c r="C114" s="6">
        <v>2</v>
      </c>
      <c r="D114" s="6" t="str">
        <f t="shared" si="3"/>
        <v>Maize</v>
      </c>
      <c r="E114" s="6">
        <v>5270</v>
      </c>
      <c r="F114" s="6">
        <v>0</v>
      </c>
      <c r="G114" s="6">
        <v>0</v>
      </c>
      <c r="H114" s="6">
        <v>0</v>
      </c>
      <c r="I114" s="6">
        <v>0</v>
      </c>
    </row>
    <row r="115" spans="1:9">
      <c r="A115" s="6">
        <v>48</v>
      </c>
      <c r="B115" s="6" t="str">
        <f t="shared" si="2"/>
        <v>Public Works and Other Construction</v>
      </c>
      <c r="C115" s="6">
        <v>2</v>
      </c>
      <c r="D115" s="6" t="str">
        <f t="shared" si="3"/>
        <v>Maize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</row>
    <row r="116" spans="1:9">
      <c r="A116" s="6">
        <v>49</v>
      </c>
      <c r="B116" s="6" t="str">
        <f t="shared" si="2"/>
        <v>Trade</v>
      </c>
      <c r="C116" s="6">
        <v>2</v>
      </c>
      <c r="D116" s="6" t="str">
        <f t="shared" si="3"/>
        <v>Maize</v>
      </c>
      <c r="E116" s="6">
        <v>0</v>
      </c>
      <c r="F116" s="6">
        <v>-1060640</v>
      </c>
      <c r="G116" s="6">
        <v>-918464</v>
      </c>
      <c r="H116" s="6">
        <v>0</v>
      </c>
      <c r="I116" s="6">
        <v>0</v>
      </c>
    </row>
    <row r="117" spans="1:9">
      <c r="A117" s="6">
        <v>50</v>
      </c>
      <c r="B117" s="6" t="str">
        <f t="shared" si="2"/>
        <v>Restaurants and Hotels</v>
      </c>
      <c r="C117" s="6">
        <v>2</v>
      </c>
      <c r="D117" s="6" t="str">
        <f t="shared" si="3"/>
        <v>Maize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</row>
    <row r="118" spans="1:9">
      <c r="A118" s="6">
        <v>51</v>
      </c>
      <c r="B118" s="6" t="str">
        <f t="shared" si="2"/>
        <v>Transportation</v>
      </c>
      <c r="C118" s="6">
        <v>2</v>
      </c>
      <c r="D118" s="6" t="str">
        <f t="shared" si="3"/>
        <v>Maize</v>
      </c>
      <c r="E118" s="6">
        <v>113104</v>
      </c>
      <c r="F118" s="6">
        <v>0</v>
      </c>
      <c r="G118" s="6">
        <v>0</v>
      </c>
      <c r="H118" s="6">
        <v>-356604</v>
      </c>
      <c r="I118" s="6">
        <v>0</v>
      </c>
    </row>
    <row r="119" spans="1:9">
      <c r="A119" s="6">
        <v>52</v>
      </c>
      <c r="B119" s="6" t="str">
        <f t="shared" si="2"/>
        <v>Communication</v>
      </c>
      <c r="C119" s="6">
        <v>2</v>
      </c>
      <c r="D119" s="6" t="str">
        <f t="shared" si="3"/>
        <v>Maize</v>
      </c>
      <c r="E119" s="6">
        <v>142146</v>
      </c>
      <c r="F119" s="6">
        <v>0</v>
      </c>
      <c r="G119" s="6">
        <v>0</v>
      </c>
      <c r="H119" s="6">
        <v>0</v>
      </c>
      <c r="I119" s="6">
        <v>0</v>
      </c>
    </row>
    <row r="120" spans="1:9">
      <c r="A120" s="6">
        <v>53</v>
      </c>
      <c r="B120" s="6" t="str">
        <f t="shared" si="2"/>
        <v>Banking and Insurance</v>
      </c>
      <c r="C120" s="6">
        <v>2</v>
      </c>
      <c r="D120" s="6" t="str">
        <f t="shared" si="3"/>
        <v>Maize</v>
      </c>
      <c r="E120" s="6">
        <v>1071866</v>
      </c>
      <c r="F120" s="6">
        <v>0</v>
      </c>
      <c r="G120" s="6">
        <v>0</v>
      </c>
      <c r="H120" s="6">
        <v>0</v>
      </c>
      <c r="I120" s="6">
        <v>0</v>
      </c>
    </row>
    <row r="121" spans="1:9">
      <c r="A121" s="6">
        <v>54</v>
      </c>
      <c r="B121" s="6" t="str">
        <f t="shared" si="2"/>
        <v>Real Estate</v>
      </c>
      <c r="C121" s="6">
        <v>2</v>
      </c>
      <c r="D121" s="6" t="str">
        <f t="shared" si="3"/>
        <v>Maize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</row>
    <row r="122" spans="1:9">
      <c r="A122" s="6">
        <v>55</v>
      </c>
      <c r="B122" s="6" t="str">
        <f t="shared" si="2"/>
        <v>Business Services</v>
      </c>
      <c r="C122" s="6">
        <v>2</v>
      </c>
      <c r="D122" s="6" t="str">
        <f t="shared" si="3"/>
        <v>Maize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</row>
    <row r="123" spans="1:9">
      <c r="A123" s="6">
        <v>56</v>
      </c>
      <c r="B123" s="6" t="str">
        <f t="shared" si="2"/>
        <v>Public Services</v>
      </c>
      <c r="C123" s="6">
        <v>2</v>
      </c>
      <c r="D123" s="6" t="str">
        <f t="shared" si="3"/>
        <v>Maize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</row>
    <row r="124" spans="1:9">
      <c r="A124" s="6">
        <v>57</v>
      </c>
      <c r="B124" s="6" t="str">
        <f t="shared" si="2"/>
        <v>Other Services</v>
      </c>
      <c r="C124" s="6">
        <v>2</v>
      </c>
      <c r="D124" s="6" t="str">
        <f t="shared" si="3"/>
        <v>Maize</v>
      </c>
      <c r="E124" s="6">
        <v>17942</v>
      </c>
      <c r="F124" s="6">
        <v>0</v>
      </c>
      <c r="G124" s="6">
        <v>0</v>
      </c>
      <c r="H124" s="6">
        <v>0</v>
      </c>
      <c r="I124" s="6">
        <v>0</v>
      </c>
    </row>
    <row r="125" spans="1:9">
      <c r="A125" s="6">
        <v>58</v>
      </c>
      <c r="B125" s="6" t="str">
        <f t="shared" si="2"/>
        <v>Unclassified</v>
      </c>
      <c r="C125" s="6">
        <v>2</v>
      </c>
      <c r="D125" s="6" t="str">
        <f t="shared" si="3"/>
        <v>Maize</v>
      </c>
      <c r="E125" s="6">
        <v>24576</v>
      </c>
      <c r="F125" s="6">
        <v>0</v>
      </c>
      <c r="G125" s="6">
        <v>0</v>
      </c>
      <c r="H125" s="6">
        <v>0</v>
      </c>
      <c r="I125" s="6">
        <v>2321</v>
      </c>
    </row>
    <row r="126" spans="1:9">
      <c r="A126" s="6">
        <v>190</v>
      </c>
      <c r="B126" s="6" t="str">
        <f t="shared" si="2"/>
        <v>Total Intermedite Transaction</v>
      </c>
      <c r="C126" s="6">
        <v>2</v>
      </c>
      <c r="D126" s="6" t="str">
        <f t="shared" si="3"/>
        <v>Maize</v>
      </c>
      <c r="E126" s="6">
        <v>16923776</v>
      </c>
      <c r="F126" s="6">
        <v>0</v>
      </c>
      <c r="G126" s="6">
        <v>0</v>
      </c>
      <c r="H126" s="6">
        <v>0</v>
      </c>
      <c r="I126" s="6">
        <v>4258856</v>
      </c>
    </row>
    <row r="127" spans="1:9">
      <c r="A127" s="6">
        <v>201</v>
      </c>
      <c r="B127" s="6" t="str">
        <f t="shared" si="2"/>
        <v>Wages and Salaries</v>
      </c>
      <c r="C127" s="6">
        <v>2</v>
      </c>
      <c r="D127" s="6" t="str">
        <f t="shared" si="3"/>
        <v>Maize</v>
      </c>
      <c r="E127" s="6">
        <v>10628282</v>
      </c>
      <c r="F127" s="6">
        <v>0</v>
      </c>
      <c r="G127" s="6">
        <v>0</v>
      </c>
      <c r="H127" s="6">
        <v>0</v>
      </c>
      <c r="I127" s="6">
        <v>0</v>
      </c>
    </row>
    <row r="128" spans="1:9">
      <c r="A128" s="6">
        <v>202</v>
      </c>
      <c r="B128" s="6" t="str">
        <f t="shared" si="2"/>
        <v>Operating Surplus</v>
      </c>
      <c r="C128" s="6">
        <v>2</v>
      </c>
      <c r="D128" s="6" t="str">
        <f t="shared" si="3"/>
        <v>Maize</v>
      </c>
      <c r="E128" s="6">
        <v>12857217</v>
      </c>
      <c r="F128" s="6">
        <v>0</v>
      </c>
      <c r="G128" s="6">
        <v>0</v>
      </c>
      <c r="H128" s="6">
        <v>0</v>
      </c>
      <c r="I128" s="6">
        <v>0</v>
      </c>
    </row>
    <row r="129" spans="1:9">
      <c r="A129" s="6">
        <v>203</v>
      </c>
      <c r="B129" s="6" t="str">
        <f t="shared" si="2"/>
        <v>Depreciation</v>
      </c>
      <c r="C129" s="6">
        <v>2</v>
      </c>
      <c r="D129" s="6" t="str">
        <f t="shared" si="3"/>
        <v>Maize</v>
      </c>
      <c r="E129" s="6">
        <v>1477950</v>
      </c>
      <c r="F129" s="6">
        <v>0</v>
      </c>
      <c r="G129" s="6">
        <v>0</v>
      </c>
      <c r="H129" s="6">
        <v>0</v>
      </c>
      <c r="I129" s="6">
        <v>0</v>
      </c>
    </row>
    <row r="130" spans="1:9">
      <c r="A130" s="6">
        <v>204</v>
      </c>
      <c r="B130" s="6" t="str">
        <f t="shared" si="2"/>
        <v>Indirect Taxes less Subsidies</v>
      </c>
      <c r="C130" s="6">
        <v>2</v>
      </c>
      <c r="D130" s="6" t="str">
        <f t="shared" si="3"/>
        <v>Maize</v>
      </c>
      <c r="E130" s="6">
        <v>20830</v>
      </c>
      <c r="F130" s="6">
        <v>0</v>
      </c>
      <c r="G130" s="6">
        <v>0</v>
      </c>
      <c r="H130" s="6">
        <v>0</v>
      </c>
      <c r="I130" s="6">
        <v>0</v>
      </c>
    </row>
    <row r="131" spans="1:9">
      <c r="A131" s="6">
        <v>209</v>
      </c>
      <c r="B131" s="6" t="str">
        <f t="shared" si="2"/>
        <v>Total Value Added</v>
      </c>
      <c r="C131" s="6">
        <v>2</v>
      </c>
      <c r="D131" s="6" t="str">
        <f t="shared" si="3"/>
        <v>Maize</v>
      </c>
      <c r="E131" s="6">
        <v>24984279</v>
      </c>
      <c r="F131" s="6">
        <v>0</v>
      </c>
      <c r="G131" s="6">
        <v>0</v>
      </c>
      <c r="H131" s="6">
        <v>0</v>
      </c>
      <c r="I131" s="6">
        <v>0</v>
      </c>
    </row>
    <row r="132" spans="1:9">
      <c r="A132" s="6">
        <v>210</v>
      </c>
      <c r="B132" s="6" t="str">
        <f t="shared" ref="B132:B195" si="4">VLOOKUP(A132,R:S,2,0)</f>
        <v>Control Total</v>
      </c>
      <c r="C132" s="6">
        <v>2</v>
      </c>
      <c r="D132" s="6" t="str">
        <f t="shared" ref="D132:D195" si="5">VLOOKUP(C132,R:S,2,0)</f>
        <v>Maize</v>
      </c>
      <c r="E132" s="6">
        <v>41908055</v>
      </c>
      <c r="F132" s="6">
        <v>0</v>
      </c>
      <c r="G132" s="6">
        <v>0</v>
      </c>
      <c r="H132" s="6">
        <v>0</v>
      </c>
      <c r="I132" s="6">
        <v>0</v>
      </c>
    </row>
    <row r="133" spans="1:9">
      <c r="A133" s="6">
        <v>1</v>
      </c>
      <c r="B133" s="6" t="str">
        <f t="shared" si="4"/>
        <v>Paddy</v>
      </c>
      <c r="C133" s="6">
        <v>3</v>
      </c>
      <c r="D133" s="6" t="str">
        <f t="shared" si="5"/>
        <v>Cassava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</row>
    <row r="134" spans="1:9">
      <c r="A134" s="6">
        <v>2</v>
      </c>
      <c r="B134" s="6" t="str">
        <f t="shared" si="4"/>
        <v>Maize</v>
      </c>
      <c r="C134" s="6">
        <v>3</v>
      </c>
      <c r="D134" s="6" t="str">
        <f t="shared" si="5"/>
        <v>Cassava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</row>
    <row r="135" spans="1:9">
      <c r="A135" s="6">
        <v>3</v>
      </c>
      <c r="B135" s="6" t="str">
        <f t="shared" si="4"/>
        <v>Cassava</v>
      </c>
      <c r="C135" s="6">
        <v>3</v>
      </c>
      <c r="D135" s="6" t="str">
        <f t="shared" si="5"/>
        <v>Cassava</v>
      </c>
      <c r="E135" s="6">
        <v>7591967</v>
      </c>
      <c r="F135" s="6">
        <v>153367</v>
      </c>
      <c r="G135" s="6">
        <v>0</v>
      </c>
      <c r="H135" s="6">
        <v>34103</v>
      </c>
      <c r="I135" s="6">
        <v>0</v>
      </c>
    </row>
    <row r="136" spans="1:9">
      <c r="A136" s="6">
        <v>4</v>
      </c>
      <c r="B136" s="6" t="str">
        <f t="shared" si="4"/>
        <v>Beans and Nuts</v>
      </c>
      <c r="C136" s="6">
        <v>3</v>
      </c>
      <c r="D136" s="6" t="str">
        <f t="shared" si="5"/>
        <v>Cassava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</row>
    <row r="137" spans="1:9">
      <c r="A137" s="6">
        <v>5</v>
      </c>
      <c r="B137" s="6" t="str">
        <f t="shared" si="4"/>
        <v>Vegetables and Fruits</v>
      </c>
      <c r="C137" s="6">
        <v>3</v>
      </c>
      <c r="D137" s="6" t="str">
        <f t="shared" si="5"/>
        <v>Cassava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</row>
    <row r="138" spans="1:9">
      <c r="A138" s="6">
        <v>6</v>
      </c>
      <c r="B138" s="6" t="str">
        <f t="shared" si="4"/>
        <v>Sugarcane</v>
      </c>
      <c r="C138" s="6">
        <v>3</v>
      </c>
      <c r="D138" s="6" t="str">
        <f t="shared" si="5"/>
        <v>Cassava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</row>
    <row r="139" spans="1:9">
      <c r="A139" s="6">
        <v>7</v>
      </c>
      <c r="B139" s="6" t="str">
        <f t="shared" si="4"/>
        <v>Rubber (Latex)</v>
      </c>
      <c r="C139" s="6">
        <v>3</v>
      </c>
      <c r="D139" s="6" t="str">
        <f t="shared" si="5"/>
        <v>Cassava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</row>
    <row r="140" spans="1:9">
      <c r="A140" s="6">
        <v>8</v>
      </c>
      <c r="B140" s="6" t="str">
        <f t="shared" si="4"/>
        <v>Other Crops</v>
      </c>
      <c r="C140" s="6">
        <v>3</v>
      </c>
      <c r="D140" s="6" t="str">
        <f t="shared" si="5"/>
        <v>Cassava</v>
      </c>
      <c r="E140" s="6">
        <v>1504441</v>
      </c>
      <c r="F140" s="6">
        <v>0</v>
      </c>
      <c r="G140" s="6">
        <v>0</v>
      </c>
      <c r="H140" s="6">
        <v>0</v>
      </c>
      <c r="I140" s="6">
        <v>0</v>
      </c>
    </row>
    <row r="141" spans="1:9">
      <c r="A141" s="6">
        <v>9</v>
      </c>
      <c r="B141" s="6" t="str">
        <f t="shared" si="4"/>
        <v>Livestock</v>
      </c>
      <c r="C141" s="6">
        <v>3</v>
      </c>
      <c r="D141" s="6" t="str">
        <f t="shared" si="5"/>
        <v>Cassava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</row>
    <row r="142" spans="1:9">
      <c r="A142" s="6">
        <v>10</v>
      </c>
      <c r="B142" s="6" t="str">
        <f t="shared" si="4"/>
        <v>Forestry</v>
      </c>
      <c r="C142" s="6">
        <v>3</v>
      </c>
      <c r="D142" s="6" t="str">
        <f t="shared" si="5"/>
        <v>Cassava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</row>
    <row r="143" spans="1:9">
      <c r="A143" s="6">
        <v>11</v>
      </c>
      <c r="B143" s="6" t="str">
        <f t="shared" si="4"/>
        <v>Fishery</v>
      </c>
      <c r="C143" s="6">
        <v>3</v>
      </c>
      <c r="D143" s="6" t="str">
        <f t="shared" si="5"/>
        <v>Cassava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</row>
    <row r="144" spans="1:9">
      <c r="A144" s="6">
        <v>12</v>
      </c>
      <c r="B144" s="6" t="str">
        <f t="shared" si="4"/>
        <v>Crude Oil and Coal</v>
      </c>
      <c r="C144" s="6">
        <v>3</v>
      </c>
      <c r="D144" s="6" t="str">
        <f t="shared" si="5"/>
        <v>Cassava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</row>
    <row r="145" spans="1:9">
      <c r="A145" s="6">
        <v>13</v>
      </c>
      <c r="B145" s="6" t="str">
        <f t="shared" si="4"/>
        <v>Metal Ore</v>
      </c>
      <c r="C145" s="6">
        <v>3</v>
      </c>
      <c r="D145" s="6" t="str">
        <f t="shared" si="5"/>
        <v>Cassava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</row>
    <row r="146" spans="1:9">
      <c r="A146" s="6">
        <v>14</v>
      </c>
      <c r="B146" s="6" t="str">
        <f t="shared" si="4"/>
        <v>Non-Metal Ore</v>
      </c>
      <c r="C146" s="6">
        <v>3</v>
      </c>
      <c r="D146" s="6" t="str">
        <f t="shared" si="5"/>
        <v>Cassava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</row>
    <row r="147" spans="1:9">
      <c r="A147" s="6">
        <v>15</v>
      </c>
      <c r="B147" s="6" t="str">
        <f t="shared" si="4"/>
        <v>Slaughtering</v>
      </c>
      <c r="C147" s="6">
        <v>3</v>
      </c>
      <c r="D147" s="6" t="str">
        <f t="shared" si="5"/>
        <v>Cassava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</row>
    <row r="148" spans="1:9">
      <c r="A148" s="6">
        <v>16</v>
      </c>
      <c r="B148" s="6" t="str">
        <f t="shared" si="4"/>
        <v>Processing and Presering of Foods</v>
      </c>
      <c r="C148" s="6">
        <v>3</v>
      </c>
      <c r="D148" s="6" t="str">
        <f t="shared" si="5"/>
        <v>Cassava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</row>
    <row r="149" spans="1:9">
      <c r="A149" s="6">
        <v>17</v>
      </c>
      <c r="B149" s="6" t="str">
        <f t="shared" si="4"/>
        <v>Rice and Other Grain Milling</v>
      </c>
      <c r="C149" s="6">
        <v>3</v>
      </c>
      <c r="D149" s="6" t="str">
        <f t="shared" si="5"/>
        <v>Cassava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</row>
    <row r="150" spans="1:9">
      <c r="A150" s="6">
        <v>18</v>
      </c>
      <c r="B150" s="6" t="str">
        <f t="shared" si="4"/>
        <v>Sugar Refineries</v>
      </c>
      <c r="C150" s="6">
        <v>3</v>
      </c>
      <c r="D150" s="6" t="str">
        <f t="shared" si="5"/>
        <v>Cassava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</row>
    <row r="151" spans="1:9">
      <c r="A151" s="6">
        <v>19</v>
      </c>
      <c r="B151" s="6" t="str">
        <f t="shared" si="4"/>
        <v>Other Foods</v>
      </c>
      <c r="C151" s="6">
        <v>3</v>
      </c>
      <c r="D151" s="6" t="str">
        <f t="shared" si="5"/>
        <v>Cassava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</row>
    <row r="152" spans="1:9">
      <c r="A152" s="6">
        <v>20</v>
      </c>
      <c r="B152" s="6" t="str">
        <f t="shared" si="4"/>
        <v>Animal Food</v>
      </c>
      <c r="C152" s="6">
        <v>3</v>
      </c>
      <c r="D152" s="6" t="str">
        <f t="shared" si="5"/>
        <v>Cassava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</row>
    <row r="153" spans="1:9">
      <c r="A153" s="6">
        <v>21</v>
      </c>
      <c r="B153" s="6" t="str">
        <f t="shared" si="4"/>
        <v>Beverages</v>
      </c>
      <c r="C153" s="6">
        <v>3</v>
      </c>
      <c r="D153" s="6" t="str">
        <f t="shared" si="5"/>
        <v>Cassava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</row>
    <row r="154" spans="1:9">
      <c r="A154" s="6">
        <v>22</v>
      </c>
      <c r="B154" s="6" t="str">
        <f t="shared" si="4"/>
        <v>Tobacco Processing and Products</v>
      </c>
      <c r="C154" s="6">
        <v>3</v>
      </c>
      <c r="D154" s="6" t="str">
        <f t="shared" si="5"/>
        <v>Cassava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</row>
    <row r="155" spans="1:9">
      <c r="A155" s="6">
        <v>23</v>
      </c>
      <c r="B155" s="6" t="str">
        <f t="shared" si="4"/>
        <v>Spinning, Weaving and Bleaching</v>
      </c>
      <c r="C155" s="6">
        <v>3</v>
      </c>
      <c r="D155" s="6" t="str">
        <f t="shared" si="5"/>
        <v>Cassava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</row>
    <row r="156" spans="1:9">
      <c r="A156" s="6">
        <v>24</v>
      </c>
      <c r="B156" s="6" t="str">
        <f t="shared" si="4"/>
        <v>Textile Products</v>
      </c>
      <c r="C156" s="6">
        <v>3</v>
      </c>
      <c r="D156" s="6" t="str">
        <f t="shared" si="5"/>
        <v>Cassava</v>
      </c>
      <c r="E156" s="6">
        <v>951</v>
      </c>
      <c r="F156" s="6">
        <v>61</v>
      </c>
      <c r="G156" s="6">
        <v>0</v>
      </c>
      <c r="H156" s="6">
        <v>0</v>
      </c>
      <c r="I156" s="6">
        <v>0</v>
      </c>
    </row>
    <row r="157" spans="1:9">
      <c r="A157" s="6">
        <v>25</v>
      </c>
      <c r="B157" s="6" t="str">
        <f t="shared" si="4"/>
        <v>Paper and Paper Products</v>
      </c>
      <c r="C157" s="6">
        <v>3</v>
      </c>
      <c r="D157" s="6" t="str">
        <f t="shared" si="5"/>
        <v>Cassava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</row>
    <row r="158" spans="1:9">
      <c r="A158" s="6">
        <v>26</v>
      </c>
      <c r="B158" s="6" t="str">
        <f t="shared" si="4"/>
        <v>Printing and Publishing</v>
      </c>
      <c r="C158" s="6">
        <v>3</v>
      </c>
      <c r="D158" s="6" t="str">
        <f t="shared" si="5"/>
        <v>Cassava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</row>
    <row r="159" spans="1:9">
      <c r="A159" s="6">
        <v>27</v>
      </c>
      <c r="B159" s="6" t="str">
        <f t="shared" si="4"/>
        <v>Basic Chemical Products</v>
      </c>
      <c r="C159" s="6">
        <v>3</v>
      </c>
      <c r="D159" s="6" t="str">
        <f t="shared" si="5"/>
        <v>Cassava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</row>
    <row r="160" spans="1:9">
      <c r="A160" s="6">
        <v>28</v>
      </c>
      <c r="B160" s="6" t="str">
        <f t="shared" si="4"/>
        <v>Fertilizer and Pesticides</v>
      </c>
      <c r="C160" s="6">
        <v>3</v>
      </c>
      <c r="D160" s="6" t="str">
        <f t="shared" si="5"/>
        <v>Cassava</v>
      </c>
      <c r="E160" s="6">
        <v>10990700</v>
      </c>
      <c r="F160" s="6">
        <v>974697</v>
      </c>
      <c r="G160" s="6">
        <v>555455</v>
      </c>
      <c r="H160" s="6">
        <v>440456</v>
      </c>
      <c r="I160" s="6">
        <v>5872805</v>
      </c>
    </row>
    <row r="161" spans="1:9">
      <c r="A161" s="6">
        <v>29</v>
      </c>
      <c r="B161" s="6" t="str">
        <f t="shared" si="4"/>
        <v>Other Chemical Products</v>
      </c>
      <c r="C161" s="6">
        <v>3</v>
      </c>
      <c r="D161" s="6" t="str">
        <f t="shared" si="5"/>
        <v>Cassava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</row>
    <row r="162" spans="1:9">
      <c r="A162" s="6">
        <v>30</v>
      </c>
      <c r="B162" s="6" t="str">
        <f t="shared" si="4"/>
        <v>Petroleum Refineries</v>
      </c>
      <c r="C162" s="6">
        <v>3</v>
      </c>
      <c r="D162" s="6" t="str">
        <f t="shared" si="5"/>
        <v>Cassava</v>
      </c>
      <c r="E162" s="6">
        <v>1902746</v>
      </c>
      <c r="F162" s="6">
        <v>193502</v>
      </c>
      <c r="G162" s="6">
        <v>203435</v>
      </c>
      <c r="H162" s="6">
        <v>24694</v>
      </c>
      <c r="I162" s="6">
        <v>263369</v>
      </c>
    </row>
    <row r="163" spans="1:9">
      <c r="A163" s="6">
        <v>31</v>
      </c>
      <c r="B163" s="6" t="str">
        <f t="shared" si="4"/>
        <v>Rubber Products</v>
      </c>
      <c r="C163" s="6">
        <v>3</v>
      </c>
      <c r="D163" s="6" t="str">
        <f t="shared" si="5"/>
        <v>Cassava</v>
      </c>
      <c r="E163" s="6">
        <v>971</v>
      </c>
      <c r="F163" s="6">
        <v>92</v>
      </c>
      <c r="G163" s="6">
        <v>162</v>
      </c>
      <c r="H163" s="6">
        <v>26</v>
      </c>
      <c r="I163" s="6">
        <v>0</v>
      </c>
    </row>
    <row r="164" spans="1:9">
      <c r="A164" s="6">
        <v>32</v>
      </c>
      <c r="B164" s="6" t="str">
        <f t="shared" si="4"/>
        <v>Plastic Wares</v>
      </c>
      <c r="C164" s="6">
        <v>3</v>
      </c>
      <c r="D164" s="6" t="str">
        <f t="shared" si="5"/>
        <v>Cassava</v>
      </c>
      <c r="E164" s="6">
        <v>21200</v>
      </c>
      <c r="F164" s="6">
        <v>426</v>
      </c>
      <c r="G164" s="6">
        <v>730</v>
      </c>
      <c r="H164" s="6">
        <v>159</v>
      </c>
      <c r="I164" s="6">
        <v>5209</v>
      </c>
    </row>
    <row r="165" spans="1:9">
      <c r="A165" s="6">
        <v>33</v>
      </c>
      <c r="B165" s="6" t="str">
        <f t="shared" si="4"/>
        <v>Cement and Concrete Products</v>
      </c>
      <c r="C165" s="6">
        <v>3</v>
      </c>
      <c r="D165" s="6" t="str">
        <f t="shared" si="5"/>
        <v>Cassava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</row>
    <row r="166" spans="1:9">
      <c r="A166" s="6">
        <v>34</v>
      </c>
      <c r="B166" s="6" t="str">
        <f t="shared" si="4"/>
        <v>Other Non-metallic Products</v>
      </c>
      <c r="C166" s="6">
        <v>3</v>
      </c>
      <c r="D166" s="6" t="str">
        <f t="shared" si="5"/>
        <v>Cassava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</row>
    <row r="167" spans="1:9">
      <c r="A167" s="6">
        <v>35</v>
      </c>
      <c r="B167" s="6" t="str">
        <f t="shared" si="4"/>
        <v>Iron and Steel</v>
      </c>
      <c r="C167" s="6">
        <v>3</v>
      </c>
      <c r="D167" s="6" t="str">
        <f t="shared" si="5"/>
        <v>Cassava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</row>
    <row r="168" spans="1:9">
      <c r="A168" s="6">
        <v>36</v>
      </c>
      <c r="B168" s="6" t="str">
        <f t="shared" si="4"/>
        <v>Non-ferrous Metal</v>
      </c>
      <c r="C168" s="6">
        <v>3</v>
      </c>
      <c r="D168" s="6" t="str">
        <f t="shared" si="5"/>
        <v>Cassava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</row>
    <row r="169" spans="1:9">
      <c r="A169" s="6">
        <v>37</v>
      </c>
      <c r="B169" s="6" t="str">
        <f t="shared" si="4"/>
        <v>Fabricated Metal Products</v>
      </c>
      <c r="C169" s="6">
        <v>3</v>
      </c>
      <c r="D169" s="6" t="str">
        <f t="shared" si="5"/>
        <v>Cassava</v>
      </c>
      <c r="E169" s="6">
        <v>881555</v>
      </c>
      <c r="F169" s="6">
        <v>16212</v>
      </c>
      <c r="G169" s="6">
        <v>42683</v>
      </c>
      <c r="H169" s="6">
        <v>4700</v>
      </c>
      <c r="I169" s="6">
        <v>172936</v>
      </c>
    </row>
    <row r="170" spans="1:9">
      <c r="A170" s="6">
        <v>38</v>
      </c>
      <c r="B170" s="6" t="str">
        <f t="shared" si="4"/>
        <v>Industrial Machinery</v>
      </c>
      <c r="C170" s="6">
        <v>3</v>
      </c>
      <c r="D170" s="6" t="str">
        <f t="shared" si="5"/>
        <v>Cassava</v>
      </c>
      <c r="E170" s="6">
        <v>65512</v>
      </c>
      <c r="F170" s="6">
        <v>3699</v>
      </c>
      <c r="G170" s="6">
        <v>6025</v>
      </c>
      <c r="H170" s="6">
        <v>657</v>
      </c>
      <c r="I170" s="6">
        <v>0</v>
      </c>
    </row>
    <row r="171" spans="1:9">
      <c r="A171" s="6">
        <v>39</v>
      </c>
      <c r="B171" s="6" t="str">
        <f t="shared" si="4"/>
        <v>Electrical Machinery and Apparatus</v>
      </c>
      <c r="C171" s="6">
        <v>3</v>
      </c>
      <c r="D171" s="6" t="str">
        <f t="shared" si="5"/>
        <v>Cassava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</row>
    <row r="172" spans="1:9">
      <c r="A172" s="6">
        <v>40</v>
      </c>
      <c r="B172" s="6" t="str">
        <f t="shared" si="4"/>
        <v>Motor Vehicles and Repairing</v>
      </c>
      <c r="C172" s="6">
        <v>3</v>
      </c>
      <c r="D172" s="6" t="str">
        <f t="shared" si="5"/>
        <v>Cassava</v>
      </c>
      <c r="E172" s="6">
        <v>39389</v>
      </c>
      <c r="F172" s="6">
        <v>0</v>
      </c>
      <c r="G172" s="6">
        <v>0</v>
      </c>
      <c r="H172" s="6">
        <v>0</v>
      </c>
      <c r="I172" s="6">
        <v>0</v>
      </c>
    </row>
    <row r="173" spans="1:9">
      <c r="A173" s="6">
        <v>41</v>
      </c>
      <c r="B173" s="6" t="str">
        <f t="shared" si="4"/>
        <v>Other Transportation Equipment</v>
      </c>
      <c r="C173" s="6">
        <v>3</v>
      </c>
      <c r="D173" s="6" t="str">
        <f t="shared" si="5"/>
        <v>Cassava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</row>
    <row r="174" spans="1:9">
      <c r="A174" s="6">
        <v>42</v>
      </c>
      <c r="B174" s="6" t="str">
        <f t="shared" si="4"/>
        <v>Leather Products</v>
      </c>
      <c r="C174" s="6">
        <v>3</v>
      </c>
      <c r="D174" s="6" t="str">
        <f t="shared" si="5"/>
        <v>Cassava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</row>
    <row r="175" spans="1:9">
      <c r="A175" s="6">
        <v>43</v>
      </c>
      <c r="B175" s="6" t="str">
        <f t="shared" si="4"/>
        <v>Saw Mills and Wood Products</v>
      </c>
      <c r="C175" s="6">
        <v>3</v>
      </c>
      <c r="D175" s="6" t="str">
        <f t="shared" si="5"/>
        <v>Cassava</v>
      </c>
      <c r="E175" s="6">
        <v>1736</v>
      </c>
      <c r="F175" s="6">
        <v>121</v>
      </c>
      <c r="G175" s="6">
        <v>105</v>
      </c>
      <c r="H175" s="6">
        <v>16</v>
      </c>
      <c r="I175" s="6">
        <v>0</v>
      </c>
    </row>
    <row r="176" spans="1:9">
      <c r="A176" s="6">
        <v>44</v>
      </c>
      <c r="B176" s="6" t="str">
        <f t="shared" si="4"/>
        <v>Other Manufacturing Products</v>
      </c>
      <c r="C176" s="6">
        <v>3</v>
      </c>
      <c r="D176" s="6" t="str">
        <f t="shared" si="5"/>
        <v>Cassava</v>
      </c>
      <c r="E176" s="6">
        <v>92</v>
      </c>
      <c r="F176" s="6">
        <v>9</v>
      </c>
      <c r="G176" s="6">
        <v>8</v>
      </c>
      <c r="H176" s="6">
        <v>1</v>
      </c>
      <c r="I176" s="6">
        <v>0</v>
      </c>
    </row>
    <row r="177" spans="1:9">
      <c r="A177" s="6">
        <v>45</v>
      </c>
      <c r="B177" s="6" t="str">
        <f t="shared" si="4"/>
        <v>Electricity and Gas</v>
      </c>
      <c r="C177" s="6">
        <v>3</v>
      </c>
      <c r="D177" s="6" t="str">
        <f t="shared" si="5"/>
        <v>Cassava</v>
      </c>
      <c r="E177" s="6">
        <v>16382</v>
      </c>
      <c r="F177" s="6">
        <v>0</v>
      </c>
      <c r="G177" s="6">
        <v>0</v>
      </c>
      <c r="H177" s="6">
        <v>0</v>
      </c>
      <c r="I177" s="6">
        <v>0</v>
      </c>
    </row>
    <row r="178" spans="1:9">
      <c r="A178" s="6">
        <v>46</v>
      </c>
      <c r="B178" s="6" t="str">
        <f t="shared" si="4"/>
        <v>Water Works and Supply</v>
      </c>
      <c r="C178" s="6">
        <v>3</v>
      </c>
      <c r="D178" s="6" t="str">
        <f t="shared" si="5"/>
        <v>Cassava</v>
      </c>
      <c r="E178" s="6">
        <v>42901</v>
      </c>
      <c r="F178" s="6">
        <v>0</v>
      </c>
      <c r="G178" s="6">
        <v>0</v>
      </c>
      <c r="H178" s="6">
        <v>0</v>
      </c>
      <c r="I178" s="6">
        <v>0</v>
      </c>
    </row>
    <row r="179" spans="1:9">
      <c r="A179" s="6">
        <v>47</v>
      </c>
      <c r="B179" s="6" t="str">
        <f t="shared" si="4"/>
        <v>Building Construction</v>
      </c>
      <c r="C179" s="6">
        <v>3</v>
      </c>
      <c r="D179" s="6" t="str">
        <f t="shared" si="5"/>
        <v>Cassava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</row>
    <row r="180" spans="1:9">
      <c r="A180" s="6">
        <v>48</v>
      </c>
      <c r="B180" s="6" t="str">
        <f t="shared" si="4"/>
        <v>Public Works and Other Construction</v>
      </c>
      <c r="C180" s="6">
        <v>3</v>
      </c>
      <c r="D180" s="6" t="str">
        <f t="shared" si="5"/>
        <v>Cassava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</row>
    <row r="181" spans="1:9">
      <c r="A181" s="6">
        <v>49</v>
      </c>
      <c r="B181" s="6" t="str">
        <f t="shared" si="4"/>
        <v>Trade</v>
      </c>
      <c r="C181" s="6">
        <v>3</v>
      </c>
      <c r="D181" s="6" t="str">
        <f t="shared" si="5"/>
        <v>Cassava</v>
      </c>
      <c r="E181" s="6">
        <v>0</v>
      </c>
      <c r="F181" s="6">
        <v>-1342186</v>
      </c>
      <c r="G181" s="6">
        <v>-808603</v>
      </c>
      <c r="H181" s="6">
        <v>0</v>
      </c>
      <c r="I181" s="6">
        <v>0</v>
      </c>
    </row>
    <row r="182" spans="1:9">
      <c r="A182" s="6">
        <v>50</v>
      </c>
      <c r="B182" s="6" t="str">
        <f t="shared" si="4"/>
        <v>Restaurants and Hotels</v>
      </c>
      <c r="C182" s="6">
        <v>3</v>
      </c>
      <c r="D182" s="6" t="str">
        <f t="shared" si="5"/>
        <v>Cassava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</row>
    <row r="183" spans="1:9">
      <c r="A183" s="6">
        <v>51</v>
      </c>
      <c r="B183" s="6" t="str">
        <f t="shared" si="4"/>
        <v>Transportation</v>
      </c>
      <c r="C183" s="6">
        <v>3</v>
      </c>
      <c r="D183" s="6" t="str">
        <f t="shared" si="5"/>
        <v>Cassava</v>
      </c>
      <c r="E183" s="6">
        <v>165683</v>
      </c>
      <c r="F183" s="6">
        <v>0</v>
      </c>
      <c r="G183" s="6">
        <v>0</v>
      </c>
      <c r="H183" s="6">
        <v>-504812</v>
      </c>
      <c r="I183" s="6">
        <v>0</v>
      </c>
    </row>
    <row r="184" spans="1:9">
      <c r="A184" s="6">
        <v>52</v>
      </c>
      <c r="B184" s="6" t="str">
        <f t="shared" si="4"/>
        <v>Communication</v>
      </c>
      <c r="C184" s="6">
        <v>3</v>
      </c>
      <c r="D184" s="6" t="str">
        <f t="shared" si="5"/>
        <v>Cassava</v>
      </c>
      <c r="E184" s="6">
        <v>243610</v>
      </c>
      <c r="F184" s="6">
        <v>0</v>
      </c>
      <c r="G184" s="6">
        <v>0</v>
      </c>
      <c r="H184" s="6">
        <v>0</v>
      </c>
      <c r="I184" s="6">
        <v>0</v>
      </c>
    </row>
    <row r="185" spans="1:9">
      <c r="A185" s="6">
        <v>53</v>
      </c>
      <c r="B185" s="6" t="str">
        <f t="shared" si="4"/>
        <v>Banking and Insurance</v>
      </c>
      <c r="C185" s="6">
        <v>3</v>
      </c>
      <c r="D185" s="6" t="str">
        <f t="shared" si="5"/>
        <v>Cassava</v>
      </c>
      <c r="E185" s="6">
        <v>2396903</v>
      </c>
      <c r="F185" s="6">
        <v>0</v>
      </c>
      <c r="G185" s="6">
        <v>0</v>
      </c>
      <c r="H185" s="6">
        <v>0</v>
      </c>
      <c r="I185" s="6">
        <v>0</v>
      </c>
    </row>
    <row r="186" spans="1:9">
      <c r="A186" s="6">
        <v>54</v>
      </c>
      <c r="B186" s="6" t="str">
        <f t="shared" si="4"/>
        <v>Real Estate</v>
      </c>
      <c r="C186" s="6">
        <v>3</v>
      </c>
      <c r="D186" s="6" t="str">
        <f t="shared" si="5"/>
        <v>Cassava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</row>
    <row r="187" spans="1:9">
      <c r="A187" s="6">
        <v>55</v>
      </c>
      <c r="B187" s="6" t="str">
        <f t="shared" si="4"/>
        <v>Business Services</v>
      </c>
      <c r="C187" s="6">
        <v>3</v>
      </c>
      <c r="D187" s="6" t="str">
        <f t="shared" si="5"/>
        <v>Cassava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</row>
    <row r="188" spans="1:9">
      <c r="A188" s="6">
        <v>56</v>
      </c>
      <c r="B188" s="6" t="str">
        <f t="shared" si="4"/>
        <v>Public Services</v>
      </c>
      <c r="C188" s="6">
        <v>3</v>
      </c>
      <c r="D188" s="6" t="str">
        <f t="shared" si="5"/>
        <v>Cassava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</row>
    <row r="189" spans="1:9">
      <c r="A189" s="6">
        <v>57</v>
      </c>
      <c r="B189" s="6" t="str">
        <f t="shared" si="4"/>
        <v>Other Services</v>
      </c>
      <c r="C189" s="6">
        <v>3</v>
      </c>
      <c r="D189" s="6" t="str">
        <f t="shared" si="5"/>
        <v>Cassava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</row>
    <row r="190" spans="1:9">
      <c r="A190" s="6">
        <v>58</v>
      </c>
      <c r="B190" s="6" t="str">
        <f t="shared" si="4"/>
        <v>Unclassified</v>
      </c>
      <c r="C190" s="6">
        <v>3</v>
      </c>
      <c r="D190" s="6" t="str">
        <f t="shared" si="5"/>
        <v>Cassava</v>
      </c>
      <c r="E190" s="6">
        <v>233140</v>
      </c>
      <c r="F190" s="6">
        <v>0</v>
      </c>
      <c r="G190" s="6">
        <v>0</v>
      </c>
      <c r="H190" s="6">
        <v>0</v>
      </c>
      <c r="I190" s="6">
        <v>28654</v>
      </c>
    </row>
    <row r="191" spans="1:9">
      <c r="A191" s="6">
        <v>190</v>
      </c>
      <c r="B191" s="6" t="str">
        <f t="shared" si="4"/>
        <v>Total Intermedite Transaction</v>
      </c>
      <c r="C191" s="6">
        <v>3</v>
      </c>
      <c r="D191" s="6" t="str">
        <f t="shared" si="5"/>
        <v>Cassava</v>
      </c>
      <c r="E191" s="6">
        <v>26099879</v>
      </c>
      <c r="F191" s="6">
        <v>0</v>
      </c>
      <c r="G191" s="6">
        <v>0</v>
      </c>
      <c r="H191" s="6">
        <v>0</v>
      </c>
      <c r="I191" s="6">
        <v>6342973</v>
      </c>
    </row>
    <row r="192" spans="1:9">
      <c r="A192" s="6">
        <v>201</v>
      </c>
      <c r="B192" s="6" t="str">
        <f t="shared" si="4"/>
        <v>Wages and Salaries</v>
      </c>
      <c r="C192" s="6">
        <v>3</v>
      </c>
      <c r="D192" s="6" t="str">
        <f t="shared" si="5"/>
        <v>Cassava</v>
      </c>
      <c r="E192" s="6">
        <v>18683997</v>
      </c>
      <c r="F192" s="6">
        <v>0</v>
      </c>
      <c r="G192" s="6">
        <v>0</v>
      </c>
      <c r="H192" s="6">
        <v>0</v>
      </c>
      <c r="I192" s="6">
        <v>0</v>
      </c>
    </row>
    <row r="193" spans="1:9">
      <c r="A193" s="6">
        <v>202</v>
      </c>
      <c r="B193" s="6" t="str">
        <f t="shared" si="4"/>
        <v>Operating Surplus</v>
      </c>
      <c r="C193" s="6">
        <v>3</v>
      </c>
      <c r="D193" s="6" t="str">
        <f t="shared" si="5"/>
        <v>Cassava</v>
      </c>
      <c r="E193" s="6">
        <v>26105667</v>
      </c>
      <c r="F193" s="6">
        <v>0</v>
      </c>
      <c r="G193" s="6">
        <v>0</v>
      </c>
      <c r="H193" s="6">
        <v>0</v>
      </c>
      <c r="I193" s="6">
        <v>0</v>
      </c>
    </row>
    <row r="194" spans="1:9">
      <c r="A194" s="6">
        <v>203</v>
      </c>
      <c r="B194" s="6" t="str">
        <f t="shared" si="4"/>
        <v>Depreciation</v>
      </c>
      <c r="C194" s="6">
        <v>3</v>
      </c>
      <c r="D194" s="6" t="str">
        <f t="shared" si="5"/>
        <v>Cassava</v>
      </c>
      <c r="E194" s="6">
        <v>3073928</v>
      </c>
      <c r="F194" s="6">
        <v>0</v>
      </c>
      <c r="G194" s="6">
        <v>0</v>
      </c>
      <c r="H194" s="6">
        <v>0</v>
      </c>
      <c r="I194" s="6">
        <v>0</v>
      </c>
    </row>
    <row r="195" spans="1:9">
      <c r="A195" s="6">
        <v>204</v>
      </c>
      <c r="B195" s="6" t="str">
        <f t="shared" si="4"/>
        <v>Indirect Taxes less Subsidies</v>
      </c>
      <c r="C195" s="6">
        <v>3</v>
      </c>
      <c r="D195" s="6" t="str">
        <f t="shared" si="5"/>
        <v>Cassava</v>
      </c>
      <c r="E195" s="6">
        <v>36782</v>
      </c>
      <c r="F195" s="6">
        <v>0</v>
      </c>
      <c r="G195" s="6">
        <v>0</v>
      </c>
      <c r="H195" s="6">
        <v>0</v>
      </c>
      <c r="I195" s="6">
        <v>0</v>
      </c>
    </row>
    <row r="196" spans="1:9">
      <c r="A196" s="6">
        <v>209</v>
      </c>
      <c r="B196" s="6" t="str">
        <f t="shared" ref="B196:B259" si="6">VLOOKUP(A196,R:S,2,0)</f>
        <v>Total Value Added</v>
      </c>
      <c r="C196" s="6">
        <v>3</v>
      </c>
      <c r="D196" s="6" t="str">
        <f t="shared" ref="D196:D259" si="7">VLOOKUP(C196,R:S,2,0)</f>
        <v>Cassava</v>
      </c>
      <c r="E196" s="6">
        <v>47900374</v>
      </c>
      <c r="F196" s="6">
        <v>0</v>
      </c>
      <c r="G196" s="6">
        <v>0</v>
      </c>
      <c r="H196" s="6">
        <v>0</v>
      </c>
      <c r="I196" s="6">
        <v>0</v>
      </c>
    </row>
    <row r="197" spans="1:9">
      <c r="A197" s="6">
        <v>210</v>
      </c>
      <c r="B197" s="6" t="str">
        <f t="shared" si="6"/>
        <v>Control Total</v>
      </c>
      <c r="C197" s="6">
        <v>3</v>
      </c>
      <c r="D197" s="6" t="str">
        <f t="shared" si="7"/>
        <v>Cassava</v>
      </c>
      <c r="E197" s="6">
        <v>74000253</v>
      </c>
      <c r="F197" s="6">
        <v>0</v>
      </c>
      <c r="G197" s="6">
        <v>0</v>
      </c>
      <c r="H197" s="6">
        <v>0</v>
      </c>
      <c r="I197" s="6">
        <v>0</v>
      </c>
    </row>
    <row r="198" spans="1:9">
      <c r="A198" s="6">
        <v>1</v>
      </c>
      <c r="B198" s="6" t="str">
        <f t="shared" si="6"/>
        <v>Paddy</v>
      </c>
      <c r="C198" s="6">
        <v>4</v>
      </c>
      <c r="D198" s="6" t="str">
        <f t="shared" si="7"/>
        <v>Beans and Nuts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</row>
    <row r="199" spans="1:9">
      <c r="A199" s="6">
        <v>2</v>
      </c>
      <c r="B199" s="6" t="str">
        <f t="shared" si="6"/>
        <v>Maize</v>
      </c>
      <c r="C199" s="6">
        <v>4</v>
      </c>
      <c r="D199" s="6" t="str">
        <f t="shared" si="7"/>
        <v>Beans and Nuts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</row>
    <row r="200" spans="1:9">
      <c r="A200" s="6">
        <v>3</v>
      </c>
      <c r="B200" s="6" t="str">
        <f t="shared" si="6"/>
        <v>Cassava</v>
      </c>
      <c r="C200" s="6">
        <v>4</v>
      </c>
      <c r="D200" s="6" t="str">
        <f t="shared" si="7"/>
        <v>Beans and Nuts</v>
      </c>
      <c r="E200" s="6">
        <v>3728</v>
      </c>
      <c r="F200" s="6">
        <v>26</v>
      </c>
      <c r="G200" s="6">
        <v>0</v>
      </c>
      <c r="H200" s="6">
        <v>0</v>
      </c>
      <c r="I200" s="6">
        <v>0</v>
      </c>
    </row>
    <row r="201" spans="1:9">
      <c r="A201" s="6">
        <v>4</v>
      </c>
      <c r="B201" s="6" t="str">
        <f t="shared" si="6"/>
        <v>Beans and Nuts</v>
      </c>
      <c r="C201" s="6">
        <v>4</v>
      </c>
      <c r="D201" s="6" t="str">
        <f t="shared" si="7"/>
        <v>Beans and Nuts</v>
      </c>
      <c r="E201" s="6">
        <v>654864</v>
      </c>
      <c r="F201" s="6">
        <v>14362</v>
      </c>
      <c r="G201" s="6">
        <v>11527</v>
      </c>
      <c r="H201" s="6">
        <v>953</v>
      </c>
      <c r="I201" s="6">
        <v>530687</v>
      </c>
    </row>
    <row r="202" spans="1:9">
      <c r="A202" s="6">
        <v>5</v>
      </c>
      <c r="B202" s="6" t="str">
        <f t="shared" si="6"/>
        <v>Vegetables and Fruits</v>
      </c>
      <c r="C202" s="6">
        <v>4</v>
      </c>
      <c r="D202" s="6" t="str">
        <f t="shared" si="7"/>
        <v>Beans and Nuts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</row>
    <row r="203" spans="1:9">
      <c r="A203" s="6">
        <v>6</v>
      </c>
      <c r="B203" s="6" t="str">
        <f t="shared" si="6"/>
        <v>Sugarcane</v>
      </c>
      <c r="C203" s="6">
        <v>4</v>
      </c>
      <c r="D203" s="6" t="str">
        <f t="shared" si="7"/>
        <v>Beans and Nuts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</row>
    <row r="204" spans="1:9">
      <c r="A204" s="6">
        <v>7</v>
      </c>
      <c r="B204" s="6" t="str">
        <f t="shared" si="6"/>
        <v>Rubber (Latex)</v>
      </c>
      <c r="C204" s="6">
        <v>4</v>
      </c>
      <c r="D204" s="6" t="str">
        <f t="shared" si="7"/>
        <v>Beans and Nuts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</row>
    <row r="205" spans="1:9">
      <c r="A205" s="6">
        <v>8</v>
      </c>
      <c r="B205" s="6" t="str">
        <f t="shared" si="6"/>
        <v>Other Crops</v>
      </c>
      <c r="C205" s="6">
        <v>4</v>
      </c>
      <c r="D205" s="6" t="str">
        <f t="shared" si="7"/>
        <v>Beans and Nuts</v>
      </c>
      <c r="E205" s="6">
        <v>357001</v>
      </c>
      <c r="F205" s="6">
        <v>0</v>
      </c>
      <c r="G205" s="6">
        <v>0</v>
      </c>
      <c r="H205" s="6">
        <v>0</v>
      </c>
      <c r="I205" s="6">
        <v>0</v>
      </c>
    </row>
    <row r="206" spans="1:9">
      <c r="A206" s="6">
        <v>9</v>
      </c>
      <c r="B206" s="6" t="str">
        <f t="shared" si="6"/>
        <v>Livestock</v>
      </c>
      <c r="C206" s="6">
        <v>4</v>
      </c>
      <c r="D206" s="6" t="str">
        <f t="shared" si="7"/>
        <v>Beans and Nuts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</row>
    <row r="207" spans="1:9">
      <c r="A207" s="6">
        <v>10</v>
      </c>
      <c r="B207" s="6" t="str">
        <f t="shared" si="6"/>
        <v>Forestry</v>
      </c>
      <c r="C207" s="6">
        <v>4</v>
      </c>
      <c r="D207" s="6" t="str">
        <f t="shared" si="7"/>
        <v>Beans and Nuts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</row>
    <row r="208" spans="1:9">
      <c r="A208" s="6">
        <v>11</v>
      </c>
      <c r="B208" s="6" t="str">
        <f t="shared" si="6"/>
        <v>Fishery</v>
      </c>
      <c r="C208" s="6">
        <v>4</v>
      </c>
      <c r="D208" s="6" t="str">
        <f t="shared" si="7"/>
        <v>Beans and Nuts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</row>
    <row r="209" spans="1:9">
      <c r="A209" s="6">
        <v>12</v>
      </c>
      <c r="B209" s="6" t="str">
        <f t="shared" si="6"/>
        <v>Crude Oil and Coal</v>
      </c>
      <c r="C209" s="6">
        <v>4</v>
      </c>
      <c r="D209" s="6" t="str">
        <f t="shared" si="7"/>
        <v>Beans and Nuts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</row>
    <row r="210" spans="1:9">
      <c r="A210" s="6">
        <v>13</v>
      </c>
      <c r="B210" s="6" t="str">
        <f t="shared" si="6"/>
        <v>Metal Ore</v>
      </c>
      <c r="C210" s="6">
        <v>4</v>
      </c>
      <c r="D210" s="6" t="str">
        <f t="shared" si="7"/>
        <v>Beans and Nuts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</row>
    <row r="211" spans="1:9">
      <c r="A211" s="6">
        <v>14</v>
      </c>
      <c r="B211" s="6" t="str">
        <f t="shared" si="6"/>
        <v>Non-Metal Ore</v>
      </c>
      <c r="C211" s="6">
        <v>4</v>
      </c>
      <c r="D211" s="6" t="str">
        <f t="shared" si="7"/>
        <v>Beans and Nuts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</row>
    <row r="212" spans="1:9">
      <c r="A212" s="6">
        <v>15</v>
      </c>
      <c r="B212" s="6" t="str">
        <f t="shared" si="6"/>
        <v>Slaughtering</v>
      </c>
      <c r="C212" s="6">
        <v>4</v>
      </c>
      <c r="D212" s="6" t="str">
        <f t="shared" si="7"/>
        <v>Beans and Nuts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</row>
    <row r="213" spans="1:9">
      <c r="A213" s="6">
        <v>16</v>
      </c>
      <c r="B213" s="6" t="str">
        <f t="shared" si="6"/>
        <v>Processing and Presering of Foods</v>
      </c>
      <c r="C213" s="6">
        <v>4</v>
      </c>
      <c r="D213" s="6" t="str">
        <f t="shared" si="7"/>
        <v>Beans and Nuts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</row>
    <row r="214" spans="1:9">
      <c r="A214" s="6">
        <v>17</v>
      </c>
      <c r="B214" s="6" t="str">
        <f t="shared" si="6"/>
        <v>Rice and Other Grain Milling</v>
      </c>
      <c r="C214" s="6">
        <v>4</v>
      </c>
      <c r="D214" s="6" t="str">
        <f t="shared" si="7"/>
        <v>Beans and Nuts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</row>
    <row r="215" spans="1:9">
      <c r="A215" s="6">
        <v>18</v>
      </c>
      <c r="B215" s="6" t="str">
        <f t="shared" si="6"/>
        <v>Sugar Refineries</v>
      </c>
      <c r="C215" s="6">
        <v>4</v>
      </c>
      <c r="D215" s="6" t="str">
        <f t="shared" si="7"/>
        <v>Beans and Nuts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</row>
    <row r="216" spans="1:9">
      <c r="A216" s="6">
        <v>19</v>
      </c>
      <c r="B216" s="6" t="str">
        <f t="shared" si="6"/>
        <v>Other Foods</v>
      </c>
      <c r="C216" s="6">
        <v>4</v>
      </c>
      <c r="D216" s="6" t="str">
        <f t="shared" si="7"/>
        <v>Beans and Nuts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</row>
    <row r="217" spans="1:9">
      <c r="A217" s="6">
        <v>20</v>
      </c>
      <c r="B217" s="6" t="str">
        <f t="shared" si="6"/>
        <v>Animal Food</v>
      </c>
      <c r="C217" s="6">
        <v>4</v>
      </c>
      <c r="D217" s="6" t="str">
        <f t="shared" si="7"/>
        <v>Beans and Nuts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</row>
    <row r="218" spans="1:9">
      <c r="A218" s="6">
        <v>21</v>
      </c>
      <c r="B218" s="6" t="str">
        <f t="shared" si="6"/>
        <v>Beverages</v>
      </c>
      <c r="C218" s="6">
        <v>4</v>
      </c>
      <c r="D218" s="6" t="str">
        <f t="shared" si="7"/>
        <v>Beans and Nuts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</row>
    <row r="219" spans="1:9">
      <c r="A219" s="6">
        <v>22</v>
      </c>
      <c r="B219" s="6" t="str">
        <f t="shared" si="6"/>
        <v>Tobacco Processing and Products</v>
      </c>
      <c r="C219" s="6">
        <v>4</v>
      </c>
      <c r="D219" s="6" t="str">
        <f t="shared" si="7"/>
        <v>Beans and Nuts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</row>
    <row r="220" spans="1:9">
      <c r="A220" s="6">
        <v>23</v>
      </c>
      <c r="B220" s="6" t="str">
        <f t="shared" si="6"/>
        <v>Spinning, Weaving and Bleaching</v>
      </c>
      <c r="C220" s="6">
        <v>4</v>
      </c>
      <c r="D220" s="6" t="str">
        <f t="shared" si="7"/>
        <v>Beans and Nuts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</row>
    <row r="221" spans="1:9">
      <c r="A221" s="6">
        <v>24</v>
      </c>
      <c r="B221" s="6" t="str">
        <f t="shared" si="6"/>
        <v>Textile Products</v>
      </c>
      <c r="C221" s="6">
        <v>4</v>
      </c>
      <c r="D221" s="6" t="str">
        <f t="shared" si="7"/>
        <v>Beans and Nuts</v>
      </c>
      <c r="E221" s="6">
        <v>12637</v>
      </c>
      <c r="F221" s="6">
        <v>1348</v>
      </c>
      <c r="G221" s="6">
        <v>192</v>
      </c>
      <c r="H221" s="6">
        <v>74</v>
      </c>
      <c r="I221" s="6">
        <v>0</v>
      </c>
    </row>
    <row r="222" spans="1:9">
      <c r="A222" s="6">
        <v>25</v>
      </c>
      <c r="B222" s="6" t="str">
        <f t="shared" si="6"/>
        <v>Paper and Paper Products</v>
      </c>
      <c r="C222" s="6">
        <v>4</v>
      </c>
      <c r="D222" s="6" t="str">
        <f t="shared" si="7"/>
        <v>Beans and Nuts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</row>
    <row r="223" spans="1:9">
      <c r="A223" s="6">
        <v>26</v>
      </c>
      <c r="B223" s="6" t="str">
        <f t="shared" si="6"/>
        <v>Printing and Publishing</v>
      </c>
      <c r="C223" s="6">
        <v>4</v>
      </c>
      <c r="D223" s="6" t="str">
        <f t="shared" si="7"/>
        <v>Beans and Nuts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</row>
    <row r="224" spans="1:9">
      <c r="A224" s="6">
        <v>27</v>
      </c>
      <c r="B224" s="6" t="str">
        <f t="shared" si="6"/>
        <v>Basic Chemical Products</v>
      </c>
      <c r="C224" s="6">
        <v>4</v>
      </c>
      <c r="D224" s="6" t="str">
        <f t="shared" si="7"/>
        <v>Beans and Nuts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</row>
    <row r="225" spans="1:9">
      <c r="A225" s="6">
        <v>28</v>
      </c>
      <c r="B225" s="6" t="str">
        <f t="shared" si="6"/>
        <v>Fertilizer and Pesticides</v>
      </c>
      <c r="C225" s="6">
        <v>4</v>
      </c>
      <c r="D225" s="6" t="str">
        <f t="shared" si="7"/>
        <v>Beans and Nuts</v>
      </c>
      <c r="E225" s="6">
        <v>599773</v>
      </c>
      <c r="F225" s="6">
        <v>70313</v>
      </c>
      <c r="G225" s="6">
        <v>69143</v>
      </c>
      <c r="H225" s="6">
        <v>24662</v>
      </c>
      <c r="I225" s="6">
        <v>0</v>
      </c>
    </row>
    <row r="226" spans="1:9">
      <c r="A226" s="6">
        <v>29</v>
      </c>
      <c r="B226" s="6" t="str">
        <f t="shared" si="6"/>
        <v>Other Chemical Products</v>
      </c>
      <c r="C226" s="6">
        <v>4</v>
      </c>
      <c r="D226" s="6" t="str">
        <f t="shared" si="7"/>
        <v>Beans and Nuts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</row>
    <row r="227" spans="1:9">
      <c r="A227" s="6">
        <v>30</v>
      </c>
      <c r="B227" s="6" t="str">
        <f t="shared" si="6"/>
        <v>Petroleum Refineries</v>
      </c>
      <c r="C227" s="6">
        <v>4</v>
      </c>
      <c r="D227" s="6" t="str">
        <f t="shared" si="7"/>
        <v>Beans and Nuts</v>
      </c>
      <c r="E227" s="6">
        <v>164317</v>
      </c>
      <c r="F227" s="6">
        <v>8467</v>
      </c>
      <c r="G227" s="6">
        <v>10192</v>
      </c>
      <c r="H227" s="6">
        <v>1395</v>
      </c>
      <c r="I227" s="6">
        <v>28503</v>
      </c>
    </row>
    <row r="228" spans="1:9">
      <c r="A228" s="6">
        <v>31</v>
      </c>
      <c r="B228" s="6" t="str">
        <f t="shared" si="6"/>
        <v>Rubber Products</v>
      </c>
      <c r="C228" s="6">
        <v>4</v>
      </c>
      <c r="D228" s="6" t="str">
        <f t="shared" si="7"/>
        <v>Beans and Nuts</v>
      </c>
      <c r="E228" s="6">
        <v>64</v>
      </c>
      <c r="F228" s="6">
        <v>5</v>
      </c>
      <c r="G228" s="6">
        <v>5</v>
      </c>
      <c r="H228" s="6">
        <v>2</v>
      </c>
      <c r="I228" s="6">
        <v>0</v>
      </c>
    </row>
    <row r="229" spans="1:9">
      <c r="A229" s="6">
        <v>32</v>
      </c>
      <c r="B229" s="6" t="str">
        <f t="shared" si="6"/>
        <v>Plastic Wares</v>
      </c>
      <c r="C229" s="6">
        <v>4</v>
      </c>
      <c r="D229" s="6" t="str">
        <f t="shared" si="7"/>
        <v>Beans and Nuts</v>
      </c>
      <c r="E229" s="6">
        <v>2824</v>
      </c>
      <c r="F229" s="6">
        <v>57</v>
      </c>
      <c r="G229" s="6">
        <v>93</v>
      </c>
      <c r="H229" s="6">
        <v>20</v>
      </c>
      <c r="I229" s="6">
        <v>691</v>
      </c>
    </row>
    <row r="230" spans="1:9">
      <c r="A230" s="6">
        <v>33</v>
      </c>
      <c r="B230" s="6" t="str">
        <f t="shared" si="6"/>
        <v>Cement and Concrete Products</v>
      </c>
      <c r="C230" s="6">
        <v>4</v>
      </c>
      <c r="D230" s="6" t="str">
        <f t="shared" si="7"/>
        <v>Beans and Nuts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</row>
    <row r="231" spans="1:9">
      <c r="A231" s="6">
        <v>34</v>
      </c>
      <c r="B231" s="6" t="str">
        <f t="shared" si="6"/>
        <v>Other Non-metallic Products</v>
      </c>
      <c r="C231" s="6">
        <v>4</v>
      </c>
      <c r="D231" s="6" t="str">
        <f t="shared" si="7"/>
        <v>Beans and Nuts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</row>
    <row r="232" spans="1:9">
      <c r="A232" s="6">
        <v>35</v>
      </c>
      <c r="B232" s="6" t="str">
        <f t="shared" si="6"/>
        <v>Iron and Steel</v>
      </c>
      <c r="C232" s="6">
        <v>4</v>
      </c>
      <c r="D232" s="6" t="str">
        <f t="shared" si="7"/>
        <v>Beans and Nuts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</row>
    <row r="233" spans="1:9">
      <c r="A233" s="6">
        <v>36</v>
      </c>
      <c r="B233" s="6" t="str">
        <f t="shared" si="6"/>
        <v>Non-ferrous Metal</v>
      </c>
      <c r="C233" s="6">
        <v>4</v>
      </c>
      <c r="D233" s="6" t="str">
        <f t="shared" si="7"/>
        <v>Beans and Nuts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</row>
    <row r="234" spans="1:9">
      <c r="A234" s="6">
        <v>37</v>
      </c>
      <c r="B234" s="6" t="str">
        <f t="shared" si="6"/>
        <v>Fabricated Metal Products</v>
      </c>
      <c r="C234" s="6">
        <v>4</v>
      </c>
      <c r="D234" s="6" t="str">
        <f t="shared" si="7"/>
        <v>Beans and Nuts</v>
      </c>
      <c r="E234" s="6">
        <v>66510</v>
      </c>
      <c r="F234" s="6">
        <v>3252</v>
      </c>
      <c r="G234" s="6">
        <v>5397</v>
      </c>
      <c r="H234" s="6">
        <v>441</v>
      </c>
      <c r="I234" s="6">
        <v>181</v>
      </c>
    </row>
    <row r="235" spans="1:9">
      <c r="A235" s="6">
        <v>38</v>
      </c>
      <c r="B235" s="6" t="str">
        <f t="shared" si="6"/>
        <v>Industrial Machinery</v>
      </c>
      <c r="C235" s="6">
        <v>4</v>
      </c>
      <c r="D235" s="6" t="str">
        <f t="shared" si="7"/>
        <v>Beans and Nuts</v>
      </c>
      <c r="E235" s="6">
        <v>29778</v>
      </c>
      <c r="F235" s="6">
        <v>2884</v>
      </c>
      <c r="G235" s="6">
        <v>2832</v>
      </c>
      <c r="H235" s="6">
        <v>278</v>
      </c>
      <c r="I235" s="6">
        <v>0</v>
      </c>
    </row>
    <row r="236" spans="1:9">
      <c r="A236" s="6">
        <v>39</v>
      </c>
      <c r="B236" s="6" t="str">
        <f t="shared" si="6"/>
        <v>Electrical Machinery and Apparatus</v>
      </c>
      <c r="C236" s="6">
        <v>4</v>
      </c>
      <c r="D236" s="6" t="str">
        <f t="shared" si="7"/>
        <v>Beans and Nuts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</row>
    <row r="237" spans="1:9">
      <c r="A237" s="6">
        <v>40</v>
      </c>
      <c r="B237" s="6" t="str">
        <f t="shared" si="6"/>
        <v>Motor Vehicles and Repairing</v>
      </c>
      <c r="C237" s="6">
        <v>4</v>
      </c>
      <c r="D237" s="6" t="str">
        <f t="shared" si="7"/>
        <v>Beans and Nuts</v>
      </c>
      <c r="E237" s="6">
        <v>14400</v>
      </c>
      <c r="F237" s="6">
        <v>0</v>
      </c>
      <c r="G237" s="6">
        <v>0</v>
      </c>
      <c r="H237" s="6">
        <v>0</v>
      </c>
      <c r="I237" s="6">
        <v>0</v>
      </c>
    </row>
    <row r="238" spans="1:9">
      <c r="A238" s="6">
        <v>41</v>
      </c>
      <c r="B238" s="6" t="str">
        <f t="shared" si="6"/>
        <v>Other Transportation Equipment</v>
      </c>
      <c r="C238" s="6">
        <v>4</v>
      </c>
      <c r="D238" s="6" t="str">
        <f t="shared" si="7"/>
        <v>Beans and Nuts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</row>
    <row r="239" spans="1:9">
      <c r="A239" s="6">
        <v>42</v>
      </c>
      <c r="B239" s="6" t="str">
        <f t="shared" si="6"/>
        <v>Leather Products</v>
      </c>
      <c r="C239" s="6">
        <v>4</v>
      </c>
      <c r="D239" s="6" t="str">
        <f t="shared" si="7"/>
        <v>Beans and Nuts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</row>
    <row r="240" spans="1:9">
      <c r="A240" s="6">
        <v>43</v>
      </c>
      <c r="B240" s="6" t="str">
        <f t="shared" si="6"/>
        <v>Saw Mills and Wood Products</v>
      </c>
      <c r="C240" s="6">
        <v>4</v>
      </c>
      <c r="D240" s="6" t="str">
        <f t="shared" si="7"/>
        <v>Beans and Nuts</v>
      </c>
      <c r="E240" s="6">
        <v>961</v>
      </c>
      <c r="F240" s="6">
        <v>92</v>
      </c>
      <c r="G240" s="6">
        <v>61</v>
      </c>
      <c r="H240" s="6">
        <v>6</v>
      </c>
      <c r="I240" s="6">
        <v>0</v>
      </c>
    </row>
    <row r="241" spans="1:9">
      <c r="A241" s="6">
        <v>44</v>
      </c>
      <c r="B241" s="6" t="str">
        <f t="shared" si="6"/>
        <v>Other Manufacturing Products</v>
      </c>
      <c r="C241" s="6">
        <v>4</v>
      </c>
      <c r="D241" s="6" t="str">
        <f t="shared" si="7"/>
        <v>Beans and Nuts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</row>
    <row r="242" spans="1:9">
      <c r="A242" s="6">
        <v>45</v>
      </c>
      <c r="B242" s="6" t="str">
        <f t="shared" si="6"/>
        <v>Electricity and Gas</v>
      </c>
      <c r="C242" s="6">
        <v>4</v>
      </c>
      <c r="D242" s="6" t="str">
        <f t="shared" si="7"/>
        <v>Beans and Nuts</v>
      </c>
      <c r="E242" s="6">
        <v>595</v>
      </c>
      <c r="F242" s="6">
        <v>0</v>
      </c>
      <c r="G242" s="6">
        <v>0</v>
      </c>
      <c r="H242" s="6">
        <v>0</v>
      </c>
      <c r="I242" s="6">
        <v>0</v>
      </c>
    </row>
    <row r="243" spans="1:9">
      <c r="A243" s="6">
        <v>46</v>
      </c>
      <c r="B243" s="6" t="str">
        <f t="shared" si="6"/>
        <v>Water Works and Supply</v>
      </c>
      <c r="C243" s="6">
        <v>4</v>
      </c>
      <c r="D243" s="6" t="str">
        <f t="shared" si="7"/>
        <v>Beans and Nuts</v>
      </c>
      <c r="E243" s="6">
        <v>19</v>
      </c>
      <c r="F243" s="6">
        <v>0</v>
      </c>
      <c r="G243" s="6">
        <v>0</v>
      </c>
      <c r="H243" s="6">
        <v>0</v>
      </c>
      <c r="I243" s="6">
        <v>0</v>
      </c>
    </row>
    <row r="244" spans="1:9">
      <c r="A244" s="6">
        <v>47</v>
      </c>
      <c r="B244" s="6" t="str">
        <f t="shared" si="6"/>
        <v>Building Construction</v>
      </c>
      <c r="C244" s="6">
        <v>4</v>
      </c>
      <c r="D244" s="6" t="str">
        <f t="shared" si="7"/>
        <v>Beans and Nuts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</row>
    <row r="245" spans="1:9">
      <c r="A245" s="6">
        <v>48</v>
      </c>
      <c r="B245" s="6" t="str">
        <f t="shared" si="6"/>
        <v>Public Works and Other Construction</v>
      </c>
      <c r="C245" s="6">
        <v>4</v>
      </c>
      <c r="D245" s="6" t="str">
        <f t="shared" si="7"/>
        <v>Beans and Nuts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</row>
    <row r="246" spans="1:9">
      <c r="A246" s="6">
        <v>49</v>
      </c>
      <c r="B246" s="6" t="str">
        <f t="shared" si="6"/>
        <v>Trade</v>
      </c>
      <c r="C246" s="6">
        <v>4</v>
      </c>
      <c r="D246" s="6" t="str">
        <f t="shared" si="7"/>
        <v>Beans and Nuts</v>
      </c>
      <c r="E246" s="6">
        <v>0</v>
      </c>
      <c r="F246" s="6">
        <v>-100806</v>
      </c>
      <c r="G246" s="6">
        <v>-99442</v>
      </c>
      <c r="H246" s="6">
        <v>0</v>
      </c>
      <c r="I246" s="6">
        <v>0</v>
      </c>
    </row>
    <row r="247" spans="1:9">
      <c r="A247" s="6">
        <v>50</v>
      </c>
      <c r="B247" s="6" t="str">
        <f t="shared" si="6"/>
        <v>Restaurants and Hotels</v>
      </c>
      <c r="C247" s="6">
        <v>4</v>
      </c>
      <c r="D247" s="6" t="str">
        <f t="shared" si="7"/>
        <v>Beans and Nuts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</row>
    <row r="248" spans="1:9">
      <c r="A248" s="6">
        <v>51</v>
      </c>
      <c r="B248" s="6" t="str">
        <f t="shared" si="6"/>
        <v>Transportation</v>
      </c>
      <c r="C248" s="6">
        <v>4</v>
      </c>
      <c r="D248" s="6" t="str">
        <f t="shared" si="7"/>
        <v>Beans and Nuts</v>
      </c>
      <c r="E248" s="6">
        <v>1414</v>
      </c>
      <c r="F248" s="6">
        <v>0</v>
      </c>
      <c r="G248" s="6">
        <v>0</v>
      </c>
      <c r="H248" s="6">
        <v>-27831</v>
      </c>
      <c r="I248" s="6">
        <v>0</v>
      </c>
    </row>
    <row r="249" spans="1:9">
      <c r="A249" s="6">
        <v>52</v>
      </c>
      <c r="B249" s="6" t="str">
        <f t="shared" si="6"/>
        <v>Communication</v>
      </c>
      <c r="C249" s="6">
        <v>4</v>
      </c>
      <c r="D249" s="6" t="str">
        <f t="shared" si="7"/>
        <v>Beans and Nuts</v>
      </c>
      <c r="E249" s="6">
        <v>211</v>
      </c>
      <c r="F249" s="6">
        <v>0</v>
      </c>
      <c r="G249" s="6">
        <v>0</v>
      </c>
      <c r="H249" s="6">
        <v>0</v>
      </c>
      <c r="I249" s="6">
        <v>0</v>
      </c>
    </row>
    <row r="250" spans="1:9">
      <c r="A250" s="6">
        <v>53</v>
      </c>
      <c r="B250" s="6" t="str">
        <f t="shared" si="6"/>
        <v>Banking and Insurance</v>
      </c>
      <c r="C250" s="6">
        <v>4</v>
      </c>
      <c r="D250" s="6" t="str">
        <f t="shared" si="7"/>
        <v>Beans and Nuts</v>
      </c>
      <c r="E250" s="6">
        <v>141951</v>
      </c>
      <c r="F250" s="6">
        <v>0</v>
      </c>
      <c r="G250" s="6">
        <v>0</v>
      </c>
      <c r="H250" s="6">
        <v>0</v>
      </c>
      <c r="I250" s="6">
        <v>0</v>
      </c>
    </row>
    <row r="251" spans="1:9">
      <c r="A251" s="6">
        <v>54</v>
      </c>
      <c r="B251" s="6" t="str">
        <f t="shared" si="6"/>
        <v>Real Estate</v>
      </c>
      <c r="C251" s="6">
        <v>4</v>
      </c>
      <c r="D251" s="6" t="str">
        <f t="shared" si="7"/>
        <v>Beans and Nuts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</row>
    <row r="252" spans="1:9">
      <c r="A252" s="6">
        <v>55</v>
      </c>
      <c r="B252" s="6" t="str">
        <f t="shared" si="6"/>
        <v>Business Services</v>
      </c>
      <c r="C252" s="6">
        <v>4</v>
      </c>
      <c r="D252" s="6" t="str">
        <f t="shared" si="7"/>
        <v>Beans and Nuts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</row>
    <row r="253" spans="1:9">
      <c r="A253" s="6">
        <v>56</v>
      </c>
      <c r="B253" s="6" t="str">
        <f t="shared" si="6"/>
        <v>Public Services</v>
      </c>
      <c r="C253" s="6">
        <v>4</v>
      </c>
      <c r="D253" s="6" t="str">
        <f t="shared" si="7"/>
        <v>Beans and Nuts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</row>
    <row r="254" spans="1:9">
      <c r="A254" s="6">
        <v>57</v>
      </c>
      <c r="B254" s="6" t="str">
        <f t="shared" si="6"/>
        <v>Other Services</v>
      </c>
      <c r="C254" s="6">
        <v>4</v>
      </c>
      <c r="D254" s="6" t="str">
        <f t="shared" si="7"/>
        <v>Beans and Nuts</v>
      </c>
      <c r="E254" s="6">
        <v>9427</v>
      </c>
      <c r="F254" s="6">
        <v>0</v>
      </c>
      <c r="G254" s="6">
        <v>0</v>
      </c>
      <c r="H254" s="6">
        <v>0</v>
      </c>
      <c r="I254" s="6">
        <v>0</v>
      </c>
    </row>
    <row r="255" spans="1:9">
      <c r="A255" s="6">
        <v>58</v>
      </c>
      <c r="B255" s="6" t="str">
        <f t="shared" si="6"/>
        <v>Unclassified</v>
      </c>
      <c r="C255" s="6">
        <v>4</v>
      </c>
      <c r="D255" s="6" t="str">
        <f t="shared" si="7"/>
        <v>Beans and Nuts</v>
      </c>
      <c r="E255" s="6">
        <v>2212</v>
      </c>
      <c r="F255" s="6">
        <v>0</v>
      </c>
      <c r="G255" s="6">
        <v>0</v>
      </c>
      <c r="H255" s="6">
        <v>0</v>
      </c>
      <c r="I255" s="6">
        <v>221</v>
      </c>
    </row>
    <row r="256" spans="1:9">
      <c r="A256" s="6">
        <v>190</v>
      </c>
      <c r="B256" s="6" t="str">
        <f t="shared" si="6"/>
        <v>Total Intermedite Transaction</v>
      </c>
      <c r="C256" s="6">
        <v>4</v>
      </c>
      <c r="D256" s="6" t="str">
        <f t="shared" si="7"/>
        <v>Beans and Nuts</v>
      </c>
      <c r="E256" s="6">
        <v>2062686</v>
      </c>
      <c r="F256" s="6">
        <v>0</v>
      </c>
      <c r="G256" s="6">
        <v>0</v>
      </c>
      <c r="H256" s="6">
        <v>0</v>
      </c>
      <c r="I256" s="6">
        <v>560283</v>
      </c>
    </row>
    <row r="257" spans="1:9">
      <c r="A257" s="6">
        <v>201</v>
      </c>
      <c r="B257" s="6" t="str">
        <f t="shared" si="6"/>
        <v>Wages and Salaries</v>
      </c>
      <c r="C257" s="6">
        <v>4</v>
      </c>
      <c r="D257" s="6" t="str">
        <f t="shared" si="7"/>
        <v>Beans and Nuts</v>
      </c>
      <c r="E257" s="6">
        <v>767311</v>
      </c>
      <c r="F257" s="6">
        <v>0</v>
      </c>
      <c r="G257" s="6">
        <v>0</v>
      </c>
      <c r="H257" s="6">
        <v>0</v>
      </c>
      <c r="I257" s="6">
        <v>0</v>
      </c>
    </row>
    <row r="258" spans="1:9">
      <c r="A258" s="6">
        <v>202</v>
      </c>
      <c r="B258" s="6" t="str">
        <f t="shared" si="6"/>
        <v>Operating Surplus</v>
      </c>
      <c r="C258" s="6">
        <v>4</v>
      </c>
      <c r="D258" s="6" t="str">
        <f t="shared" si="7"/>
        <v>Beans and Nuts</v>
      </c>
      <c r="E258" s="6">
        <v>1495111</v>
      </c>
      <c r="F258" s="6">
        <v>0</v>
      </c>
      <c r="G258" s="6">
        <v>0</v>
      </c>
      <c r="H258" s="6">
        <v>0</v>
      </c>
      <c r="I258" s="6">
        <v>0</v>
      </c>
    </row>
    <row r="259" spans="1:9">
      <c r="A259" s="6">
        <v>203</v>
      </c>
      <c r="B259" s="6" t="str">
        <f t="shared" si="6"/>
        <v>Depreciation</v>
      </c>
      <c r="C259" s="6">
        <v>4</v>
      </c>
      <c r="D259" s="6" t="str">
        <f t="shared" si="7"/>
        <v>Beans and Nuts</v>
      </c>
      <c r="E259" s="6">
        <v>55352</v>
      </c>
      <c r="F259" s="6">
        <v>0</v>
      </c>
      <c r="G259" s="6">
        <v>0</v>
      </c>
      <c r="H259" s="6">
        <v>0</v>
      </c>
      <c r="I259" s="6">
        <v>0</v>
      </c>
    </row>
    <row r="260" spans="1:9">
      <c r="A260" s="6">
        <v>204</v>
      </c>
      <c r="B260" s="6" t="str">
        <f t="shared" ref="B260:B323" si="8">VLOOKUP(A260,R:S,2,0)</f>
        <v>Indirect Taxes less Subsidies</v>
      </c>
      <c r="C260" s="6">
        <v>4</v>
      </c>
      <c r="D260" s="6" t="str">
        <f t="shared" ref="D260:D323" si="9">VLOOKUP(C260,R:S,2,0)</f>
        <v>Beans and Nuts</v>
      </c>
      <c r="E260" s="6">
        <v>2178</v>
      </c>
      <c r="F260" s="6">
        <v>0</v>
      </c>
      <c r="G260" s="6">
        <v>0</v>
      </c>
      <c r="H260" s="6">
        <v>0</v>
      </c>
      <c r="I260" s="6">
        <v>0</v>
      </c>
    </row>
    <row r="261" spans="1:9">
      <c r="A261" s="6">
        <v>209</v>
      </c>
      <c r="B261" s="6" t="str">
        <f t="shared" si="8"/>
        <v>Total Value Added</v>
      </c>
      <c r="C261" s="6">
        <v>4</v>
      </c>
      <c r="D261" s="6" t="str">
        <f t="shared" si="9"/>
        <v>Beans and Nuts</v>
      </c>
      <c r="E261" s="6">
        <v>2319952</v>
      </c>
      <c r="F261" s="6">
        <v>0</v>
      </c>
      <c r="G261" s="6">
        <v>0</v>
      </c>
      <c r="H261" s="6">
        <v>0</v>
      </c>
      <c r="I261" s="6">
        <v>0</v>
      </c>
    </row>
    <row r="262" spans="1:9">
      <c r="A262" s="6">
        <v>210</v>
      </c>
      <c r="B262" s="6" t="str">
        <f t="shared" si="8"/>
        <v>Control Total</v>
      </c>
      <c r="C262" s="6">
        <v>4</v>
      </c>
      <c r="D262" s="6" t="str">
        <f t="shared" si="9"/>
        <v>Beans and Nuts</v>
      </c>
      <c r="E262" s="6">
        <v>4382638</v>
      </c>
      <c r="F262" s="6">
        <v>0</v>
      </c>
      <c r="G262" s="6">
        <v>0</v>
      </c>
      <c r="H262" s="6">
        <v>0</v>
      </c>
      <c r="I262" s="6">
        <v>0</v>
      </c>
    </row>
    <row r="263" spans="1:9">
      <c r="A263" s="6">
        <v>1</v>
      </c>
      <c r="B263" s="6" t="str">
        <f t="shared" si="8"/>
        <v>Paddy</v>
      </c>
      <c r="C263" s="6">
        <v>5</v>
      </c>
      <c r="D263" s="6" t="str">
        <f t="shared" si="9"/>
        <v>Vegetables and Fruits</v>
      </c>
      <c r="E263" s="6">
        <v>3226116</v>
      </c>
      <c r="F263" s="6">
        <v>0</v>
      </c>
      <c r="G263" s="6">
        <v>0</v>
      </c>
      <c r="H263" s="6">
        <v>17913</v>
      </c>
      <c r="I263" s="6">
        <v>0</v>
      </c>
    </row>
    <row r="264" spans="1:9">
      <c r="A264" s="6">
        <v>2</v>
      </c>
      <c r="B264" s="6" t="str">
        <f t="shared" si="8"/>
        <v>Maize</v>
      </c>
      <c r="C264" s="6">
        <v>5</v>
      </c>
      <c r="D264" s="6" t="str">
        <f t="shared" si="9"/>
        <v>Vegetables and Fruits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</row>
    <row r="265" spans="1:9">
      <c r="A265" s="6">
        <v>3</v>
      </c>
      <c r="B265" s="6" t="str">
        <f t="shared" si="8"/>
        <v>Cassava</v>
      </c>
      <c r="C265" s="6">
        <v>5</v>
      </c>
      <c r="D265" s="6" t="str">
        <f t="shared" si="9"/>
        <v>Vegetables and Fruits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</row>
    <row r="266" spans="1:9">
      <c r="A266" s="6">
        <v>4</v>
      </c>
      <c r="B266" s="6" t="str">
        <f t="shared" si="8"/>
        <v>Beans and Nuts</v>
      </c>
      <c r="C266" s="6">
        <v>5</v>
      </c>
      <c r="D266" s="6" t="str">
        <f t="shared" si="9"/>
        <v>Vegetables and Fruits</v>
      </c>
      <c r="E266" s="6">
        <v>3018992</v>
      </c>
      <c r="F266" s="6">
        <v>72512</v>
      </c>
      <c r="G266" s="6">
        <v>109042</v>
      </c>
      <c r="H266" s="6">
        <v>4381</v>
      </c>
      <c r="I266" s="6">
        <v>2154577</v>
      </c>
    </row>
    <row r="267" spans="1:9">
      <c r="A267" s="6">
        <v>5</v>
      </c>
      <c r="B267" s="6" t="str">
        <f t="shared" si="8"/>
        <v>Vegetables and Fruits</v>
      </c>
      <c r="C267" s="6">
        <v>5</v>
      </c>
      <c r="D267" s="6" t="str">
        <f t="shared" si="9"/>
        <v>Vegetables and Fruits</v>
      </c>
      <c r="E267" s="6">
        <v>260340</v>
      </c>
      <c r="F267" s="6">
        <v>22337</v>
      </c>
      <c r="G267" s="6">
        <v>0</v>
      </c>
      <c r="H267" s="6">
        <v>0</v>
      </c>
      <c r="I267" s="6">
        <v>0</v>
      </c>
    </row>
    <row r="268" spans="1:9">
      <c r="A268" s="6">
        <v>6</v>
      </c>
      <c r="B268" s="6" t="str">
        <f t="shared" si="8"/>
        <v>Sugarcane</v>
      </c>
      <c r="C268" s="6">
        <v>5</v>
      </c>
      <c r="D268" s="6" t="str">
        <f t="shared" si="9"/>
        <v>Vegetables and Fruits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</row>
    <row r="269" spans="1:9">
      <c r="A269" s="6">
        <v>7</v>
      </c>
      <c r="B269" s="6" t="str">
        <f t="shared" si="8"/>
        <v>Rubber (Latex)</v>
      </c>
      <c r="C269" s="6">
        <v>5</v>
      </c>
      <c r="D269" s="6" t="str">
        <f t="shared" si="9"/>
        <v>Vegetables and Fruits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</row>
    <row r="270" spans="1:9">
      <c r="A270" s="6">
        <v>8</v>
      </c>
      <c r="B270" s="6" t="str">
        <f t="shared" si="8"/>
        <v>Other Crops</v>
      </c>
      <c r="C270" s="6">
        <v>5</v>
      </c>
      <c r="D270" s="6" t="str">
        <f t="shared" si="9"/>
        <v>Vegetables and Fruits</v>
      </c>
      <c r="E270" s="6">
        <v>50313291</v>
      </c>
      <c r="F270" s="6">
        <v>2628181</v>
      </c>
      <c r="G270" s="6">
        <v>4887213</v>
      </c>
      <c r="H270" s="6">
        <v>589156</v>
      </c>
      <c r="I270" s="6">
        <v>2814845</v>
      </c>
    </row>
    <row r="271" spans="1:9">
      <c r="A271" s="6">
        <v>9</v>
      </c>
      <c r="B271" s="6" t="str">
        <f t="shared" si="8"/>
        <v>Livestock</v>
      </c>
      <c r="C271" s="6">
        <v>5</v>
      </c>
      <c r="D271" s="6" t="str">
        <f t="shared" si="9"/>
        <v>Vegetables and Fruits</v>
      </c>
      <c r="E271" s="6">
        <v>649482</v>
      </c>
      <c r="F271" s="6">
        <v>23922</v>
      </c>
      <c r="G271" s="6">
        <v>0</v>
      </c>
      <c r="H271" s="6">
        <v>1847</v>
      </c>
      <c r="I271" s="6">
        <v>0</v>
      </c>
    </row>
    <row r="272" spans="1:9">
      <c r="A272" s="6">
        <v>10</v>
      </c>
      <c r="B272" s="6" t="str">
        <f t="shared" si="8"/>
        <v>Forestry</v>
      </c>
      <c r="C272" s="6">
        <v>5</v>
      </c>
      <c r="D272" s="6" t="str">
        <f t="shared" si="9"/>
        <v>Vegetables and Fruits</v>
      </c>
      <c r="E272" s="6">
        <v>95611</v>
      </c>
      <c r="F272" s="6">
        <v>8294</v>
      </c>
      <c r="G272" s="6">
        <v>12200</v>
      </c>
      <c r="H272" s="6">
        <v>2453</v>
      </c>
      <c r="I272" s="6">
        <v>0</v>
      </c>
    </row>
    <row r="273" spans="1:9">
      <c r="A273" s="6">
        <v>11</v>
      </c>
      <c r="B273" s="6" t="str">
        <f t="shared" si="8"/>
        <v>Fishery</v>
      </c>
      <c r="C273" s="6">
        <v>5</v>
      </c>
      <c r="D273" s="6" t="str">
        <f t="shared" si="9"/>
        <v>Vegetables and Fruits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</row>
    <row r="274" spans="1:9">
      <c r="A274" s="6">
        <v>12</v>
      </c>
      <c r="B274" s="6" t="str">
        <f t="shared" si="8"/>
        <v>Crude Oil and Coal</v>
      </c>
      <c r="C274" s="6">
        <v>5</v>
      </c>
      <c r="D274" s="6" t="str">
        <f t="shared" si="9"/>
        <v>Vegetables and Fruits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</row>
    <row r="275" spans="1:9">
      <c r="A275" s="6">
        <v>13</v>
      </c>
      <c r="B275" s="6" t="str">
        <f t="shared" si="8"/>
        <v>Metal Ore</v>
      </c>
      <c r="C275" s="6">
        <v>5</v>
      </c>
      <c r="D275" s="6" t="str">
        <f t="shared" si="9"/>
        <v>Vegetables and Fruits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</row>
    <row r="276" spans="1:9">
      <c r="A276" s="6">
        <v>14</v>
      </c>
      <c r="B276" s="6" t="str">
        <f t="shared" si="8"/>
        <v>Non-Metal Ore</v>
      </c>
      <c r="C276" s="6">
        <v>5</v>
      </c>
      <c r="D276" s="6" t="str">
        <f t="shared" si="9"/>
        <v>Vegetables and Fruits</v>
      </c>
      <c r="E276" s="6">
        <v>190889</v>
      </c>
      <c r="F276" s="6">
        <v>8734</v>
      </c>
      <c r="G276" s="6">
        <v>670</v>
      </c>
      <c r="H276" s="6">
        <v>12504</v>
      </c>
      <c r="I276" s="6">
        <v>0</v>
      </c>
    </row>
    <row r="277" spans="1:9">
      <c r="A277" s="6">
        <v>15</v>
      </c>
      <c r="B277" s="6" t="str">
        <f t="shared" si="8"/>
        <v>Slaughtering</v>
      </c>
      <c r="C277" s="6">
        <v>5</v>
      </c>
      <c r="D277" s="6" t="str">
        <f t="shared" si="9"/>
        <v>Vegetables and Fruits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</row>
    <row r="278" spans="1:9">
      <c r="A278" s="6">
        <v>16</v>
      </c>
      <c r="B278" s="6" t="str">
        <f t="shared" si="8"/>
        <v>Processing and Presering of Foods</v>
      </c>
      <c r="C278" s="6">
        <v>5</v>
      </c>
      <c r="D278" s="6" t="str">
        <f t="shared" si="9"/>
        <v>Vegetables and Fruits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</row>
    <row r="279" spans="1:9">
      <c r="A279" s="6">
        <v>17</v>
      </c>
      <c r="B279" s="6" t="str">
        <f t="shared" si="8"/>
        <v>Rice and Other Grain Milling</v>
      </c>
      <c r="C279" s="6">
        <v>5</v>
      </c>
      <c r="D279" s="6" t="str">
        <f t="shared" si="9"/>
        <v>Vegetables and Fruits</v>
      </c>
      <c r="E279" s="6">
        <v>383515</v>
      </c>
      <c r="F279" s="6">
        <v>11109</v>
      </c>
      <c r="G279" s="6">
        <v>13168</v>
      </c>
      <c r="H279" s="6">
        <v>7517</v>
      </c>
      <c r="I279" s="6">
        <v>0</v>
      </c>
    </row>
    <row r="280" spans="1:9">
      <c r="A280" s="6">
        <v>18</v>
      </c>
      <c r="B280" s="6" t="str">
        <f t="shared" si="8"/>
        <v>Sugar Refineries</v>
      </c>
      <c r="C280" s="6">
        <v>5</v>
      </c>
      <c r="D280" s="6" t="str">
        <f t="shared" si="9"/>
        <v>Vegetables and Fruits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</row>
    <row r="281" spans="1:9">
      <c r="A281" s="6">
        <v>19</v>
      </c>
      <c r="B281" s="6" t="str">
        <f t="shared" si="8"/>
        <v>Other Foods</v>
      </c>
      <c r="C281" s="6">
        <v>5</v>
      </c>
      <c r="D281" s="6" t="str">
        <f t="shared" si="9"/>
        <v>Vegetables and Fruits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</row>
    <row r="282" spans="1:9">
      <c r="A282" s="6">
        <v>20</v>
      </c>
      <c r="B282" s="6" t="str">
        <f t="shared" si="8"/>
        <v>Animal Food</v>
      </c>
      <c r="C282" s="6">
        <v>5</v>
      </c>
      <c r="D282" s="6" t="str">
        <f t="shared" si="9"/>
        <v>Vegetables and Fruits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</row>
    <row r="283" spans="1:9">
      <c r="A283" s="6">
        <v>21</v>
      </c>
      <c r="B283" s="6" t="str">
        <f t="shared" si="8"/>
        <v>Beverages</v>
      </c>
      <c r="C283" s="6">
        <v>5</v>
      </c>
      <c r="D283" s="6" t="str">
        <f t="shared" si="9"/>
        <v>Vegetables and Fruits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</row>
    <row r="284" spans="1:9">
      <c r="A284" s="6">
        <v>22</v>
      </c>
      <c r="B284" s="6" t="str">
        <f t="shared" si="8"/>
        <v>Tobacco Processing and Products</v>
      </c>
      <c r="C284" s="6">
        <v>5</v>
      </c>
      <c r="D284" s="6" t="str">
        <f t="shared" si="9"/>
        <v>Vegetables and Fruits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</row>
    <row r="285" spans="1:9">
      <c r="A285" s="6">
        <v>23</v>
      </c>
      <c r="B285" s="6" t="str">
        <f t="shared" si="8"/>
        <v>Spinning, Weaving and Bleaching</v>
      </c>
      <c r="C285" s="6">
        <v>5</v>
      </c>
      <c r="D285" s="6" t="str">
        <f t="shared" si="9"/>
        <v>Vegetables and Fruits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</row>
    <row r="286" spans="1:9">
      <c r="A286" s="6">
        <v>24</v>
      </c>
      <c r="B286" s="6" t="str">
        <f t="shared" si="8"/>
        <v>Textile Products</v>
      </c>
      <c r="C286" s="6">
        <v>5</v>
      </c>
      <c r="D286" s="6" t="str">
        <f t="shared" si="9"/>
        <v>Vegetables and Fruits</v>
      </c>
      <c r="E286" s="6">
        <v>230080</v>
      </c>
      <c r="F286" s="6">
        <v>11737</v>
      </c>
      <c r="G286" s="6">
        <v>2226</v>
      </c>
      <c r="H286" s="6">
        <v>901</v>
      </c>
      <c r="I286" s="6">
        <v>0</v>
      </c>
    </row>
    <row r="287" spans="1:9">
      <c r="A287" s="6">
        <v>25</v>
      </c>
      <c r="B287" s="6" t="str">
        <f t="shared" si="8"/>
        <v>Paper and Paper Products</v>
      </c>
      <c r="C287" s="6">
        <v>5</v>
      </c>
      <c r="D287" s="6" t="str">
        <f t="shared" si="9"/>
        <v>Vegetables and Fruits</v>
      </c>
      <c r="E287" s="6">
        <v>452221</v>
      </c>
      <c r="F287" s="6">
        <v>15384</v>
      </c>
      <c r="G287" s="6">
        <v>11439</v>
      </c>
      <c r="H287" s="6">
        <v>3974</v>
      </c>
      <c r="I287" s="6">
        <v>0</v>
      </c>
    </row>
    <row r="288" spans="1:9">
      <c r="A288" s="6">
        <v>26</v>
      </c>
      <c r="B288" s="6" t="str">
        <f t="shared" si="8"/>
        <v>Printing and Publishing</v>
      </c>
      <c r="C288" s="6">
        <v>5</v>
      </c>
      <c r="D288" s="6" t="str">
        <f t="shared" si="9"/>
        <v>Vegetables and Fruits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</row>
    <row r="289" spans="1:9">
      <c r="A289" s="6">
        <v>27</v>
      </c>
      <c r="B289" s="6" t="str">
        <f t="shared" si="8"/>
        <v>Basic Chemical Products</v>
      </c>
      <c r="C289" s="6">
        <v>5</v>
      </c>
      <c r="D289" s="6" t="str">
        <f t="shared" si="9"/>
        <v>Vegetables and Fruits</v>
      </c>
      <c r="E289" s="6">
        <v>1092982</v>
      </c>
      <c r="F289" s="6">
        <v>75988</v>
      </c>
      <c r="G289" s="6">
        <v>32159</v>
      </c>
      <c r="H289" s="6">
        <v>19048</v>
      </c>
      <c r="I289" s="6">
        <v>599745</v>
      </c>
    </row>
    <row r="290" spans="1:9">
      <c r="A290" s="6">
        <v>28</v>
      </c>
      <c r="B290" s="6" t="str">
        <f t="shared" si="8"/>
        <v>Fertilizer and Pesticides</v>
      </c>
      <c r="C290" s="6">
        <v>5</v>
      </c>
      <c r="D290" s="6" t="str">
        <f t="shared" si="9"/>
        <v>Vegetables and Fruits</v>
      </c>
      <c r="E290" s="6">
        <v>90687025</v>
      </c>
      <c r="F290" s="6">
        <v>11673662</v>
      </c>
      <c r="G290" s="6">
        <v>9518842</v>
      </c>
      <c r="H290" s="6">
        <v>3003197</v>
      </c>
      <c r="I290" s="6">
        <v>43103998</v>
      </c>
    </row>
    <row r="291" spans="1:9">
      <c r="A291" s="6">
        <v>29</v>
      </c>
      <c r="B291" s="6" t="str">
        <f t="shared" si="8"/>
        <v>Other Chemical Products</v>
      </c>
      <c r="C291" s="6">
        <v>5</v>
      </c>
      <c r="D291" s="6" t="str">
        <f t="shared" si="9"/>
        <v>Vegetables and Fruits</v>
      </c>
      <c r="E291" s="6">
        <v>830553</v>
      </c>
      <c r="F291" s="6">
        <v>84422</v>
      </c>
      <c r="G291" s="6">
        <v>105038</v>
      </c>
      <c r="H291" s="6">
        <v>5481</v>
      </c>
      <c r="I291" s="6">
        <v>0</v>
      </c>
    </row>
    <row r="292" spans="1:9">
      <c r="A292" s="6">
        <v>30</v>
      </c>
      <c r="B292" s="6" t="str">
        <f t="shared" si="8"/>
        <v>Petroleum Refineries</v>
      </c>
      <c r="C292" s="6">
        <v>5</v>
      </c>
      <c r="D292" s="6" t="str">
        <f t="shared" si="9"/>
        <v>Vegetables and Fruits</v>
      </c>
      <c r="E292" s="6">
        <v>15368361</v>
      </c>
      <c r="F292" s="6">
        <v>790314</v>
      </c>
      <c r="G292" s="6">
        <v>758482</v>
      </c>
      <c r="H292" s="6">
        <v>153029</v>
      </c>
      <c r="I292" s="6">
        <v>2844176</v>
      </c>
    </row>
    <row r="293" spans="1:9">
      <c r="A293" s="6">
        <v>31</v>
      </c>
      <c r="B293" s="6" t="str">
        <f t="shared" si="8"/>
        <v>Rubber Products</v>
      </c>
      <c r="C293" s="6">
        <v>5</v>
      </c>
      <c r="D293" s="6" t="str">
        <f t="shared" si="9"/>
        <v>Vegetables and Fruits</v>
      </c>
      <c r="E293" s="6">
        <v>540882</v>
      </c>
      <c r="F293" s="6">
        <v>37162</v>
      </c>
      <c r="G293" s="6">
        <v>45984</v>
      </c>
      <c r="H293" s="6">
        <v>13345</v>
      </c>
      <c r="I293" s="6">
        <v>0</v>
      </c>
    </row>
    <row r="294" spans="1:9">
      <c r="A294" s="6">
        <v>32</v>
      </c>
      <c r="B294" s="6" t="str">
        <f t="shared" si="8"/>
        <v>Plastic Wares</v>
      </c>
      <c r="C294" s="6">
        <v>5</v>
      </c>
      <c r="D294" s="6" t="str">
        <f t="shared" si="9"/>
        <v>Vegetables and Fruits</v>
      </c>
      <c r="E294" s="6">
        <v>9345097</v>
      </c>
      <c r="F294" s="6">
        <v>224909</v>
      </c>
      <c r="G294" s="6">
        <v>478667</v>
      </c>
      <c r="H294" s="6">
        <v>67738</v>
      </c>
      <c r="I294" s="6">
        <v>3859425</v>
      </c>
    </row>
    <row r="295" spans="1:9">
      <c r="A295" s="6">
        <v>33</v>
      </c>
      <c r="B295" s="6" t="str">
        <f t="shared" si="8"/>
        <v>Cement and Concrete Products</v>
      </c>
      <c r="C295" s="6">
        <v>5</v>
      </c>
      <c r="D295" s="6" t="str">
        <f t="shared" si="9"/>
        <v>Vegetables and Fruits</v>
      </c>
      <c r="E295" s="6">
        <v>389002</v>
      </c>
      <c r="F295" s="6">
        <v>26455</v>
      </c>
      <c r="G295" s="6">
        <v>15422</v>
      </c>
      <c r="H295" s="6">
        <v>5543</v>
      </c>
      <c r="I295" s="6">
        <v>0</v>
      </c>
    </row>
    <row r="296" spans="1:9">
      <c r="A296" s="6">
        <v>34</v>
      </c>
      <c r="B296" s="6" t="str">
        <f t="shared" si="8"/>
        <v>Other Non-metallic Products</v>
      </c>
      <c r="C296" s="6">
        <v>5</v>
      </c>
      <c r="D296" s="6" t="str">
        <f t="shared" si="9"/>
        <v>Vegetables and Fruits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</row>
    <row r="297" spans="1:9">
      <c r="A297" s="6">
        <v>35</v>
      </c>
      <c r="B297" s="6" t="str">
        <f t="shared" si="8"/>
        <v>Iron and Steel</v>
      </c>
      <c r="C297" s="6">
        <v>5</v>
      </c>
      <c r="D297" s="6" t="str">
        <f t="shared" si="9"/>
        <v>Vegetables and Fruits</v>
      </c>
      <c r="E297" s="6">
        <v>196364</v>
      </c>
      <c r="F297" s="6">
        <v>9602</v>
      </c>
      <c r="G297" s="6">
        <v>7541</v>
      </c>
      <c r="H297" s="6">
        <v>2363</v>
      </c>
      <c r="I297" s="6">
        <v>1038</v>
      </c>
    </row>
    <row r="298" spans="1:9">
      <c r="A298" s="6">
        <v>36</v>
      </c>
      <c r="B298" s="6" t="str">
        <f t="shared" si="8"/>
        <v>Non-ferrous Metal</v>
      </c>
      <c r="C298" s="6">
        <v>5</v>
      </c>
      <c r="D298" s="6" t="str">
        <f t="shared" si="9"/>
        <v>Vegetables and Fruits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</row>
    <row r="299" spans="1:9">
      <c r="A299" s="6">
        <v>37</v>
      </c>
      <c r="B299" s="6" t="str">
        <f t="shared" si="8"/>
        <v>Fabricated Metal Products</v>
      </c>
      <c r="C299" s="6">
        <v>5</v>
      </c>
      <c r="D299" s="6" t="str">
        <f t="shared" si="9"/>
        <v>Vegetables and Fruits</v>
      </c>
      <c r="E299" s="6">
        <v>4954277</v>
      </c>
      <c r="F299" s="6">
        <v>130681</v>
      </c>
      <c r="G299" s="6">
        <v>259147</v>
      </c>
      <c r="H299" s="6">
        <v>24289</v>
      </c>
      <c r="I299" s="6">
        <v>2844111</v>
      </c>
    </row>
    <row r="300" spans="1:9">
      <c r="A300" s="6">
        <v>38</v>
      </c>
      <c r="B300" s="6" t="str">
        <f t="shared" si="8"/>
        <v>Industrial Machinery</v>
      </c>
      <c r="C300" s="6">
        <v>5</v>
      </c>
      <c r="D300" s="6" t="str">
        <f t="shared" si="9"/>
        <v>Vegetables and Fruits</v>
      </c>
      <c r="E300" s="6">
        <v>4449849</v>
      </c>
      <c r="F300" s="6">
        <v>317395</v>
      </c>
      <c r="G300" s="6">
        <v>340680</v>
      </c>
      <c r="H300" s="6">
        <v>32471</v>
      </c>
      <c r="I300" s="6">
        <v>0</v>
      </c>
    </row>
    <row r="301" spans="1:9">
      <c r="A301" s="6">
        <v>39</v>
      </c>
      <c r="B301" s="6" t="str">
        <f t="shared" si="8"/>
        <v>Electrical Machinery and Apparatus</v>
      </c>
      <c r="C301" s="6">
        <v>5</v>
      </c>
      <c r="D301" s="6" t="str">
        <f t="shared" si="9"/>
        <v>Vegetables and Fruits</v>
      </c>
      <c r="E301" s="6">
        <v>118132</v>
      </c>
      <c r="F301" s="6">
        <v>7263</v>
      </c>
      <c r="G301" s="6">
        <v>4808</v>
      </c>
      <c r="H301" s="6">
        <v>604</v>
      </c>
      <c r="I301" s="6">
        <v>0</v>
      </c>
    </row>
    <row r="302" spans="1:9">
      <c r="A302" s="6">
        <v>40</v>
      </c>
      <c r="B302" s="6" t="str">
        <f t="shared" si="8"/>
        <v>Motor Vehicles and Repairing</v>
      </c>
      <c r="C302" s="6">
        <v>5</v>
      </c>
      <c r="D302" s="6" t="str">
        <f t="shared" si="9"/>
        <v>Vegetables and Fruits</v>
      </c>
      <c r="E302" s="6">
        <v>8125579</v>
      </c>
      <c r="F302" s="6">
        <v>0</v>
      </c>
      <c r="G302" s="6">
        <v>0</v>
      </c>
      <c r="H302" s="6">
        <v>0</v>
      </c>
      <c r="I302" s="6">
        <v>0</v>
      </c>
    </row>
    <row r="303" spans="1:9">
      <c r="A303" s="6">
        <v>41</v>
      </c>
      <c r="B303" s="6" t="str">
        <f t="shared" si="8"/>
        <v>Other Transportation Equipment</v>
      </c>
      <c r="C303" s="6">
        <v>5</v>
      </c>
      <c r="D303" s="6" t="str">
        <f t="shared" si="9"/>
        <v>Vegetables and Fruits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</row>
    <row r="304" spans="1:9">
      <c r="A304" s="6">
        <v>42</v>
      </c>
      <c r="B304" s="6" t="str">
        <f t="shared" si="8"/>
        <v>Leather Products</v>
      </c>
      <c r="C304" s="6">
        <v>5</v>
      </c>
      <c r="D304" s="6" t="str">
        <f t="shared" si="9"/>
        <v>Vegetables and Fruits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</row>
    <row r="305" spans="1:9">
      <c r="A305" s="6">
        <v>43</v>
      </c>
      <c r="B305" s="6" t="str">
        <f t="shared" si="8"/>
        <v>Saw Mills and Wood Products</v>
      </c>
      <c r="C305" s="6">
        <v>5</v>
      </c>
      <c r="D305" s="6" t="str">
        <f t="shared" si="9"/>
        <v>Vegetables and Fruits</v>
      </c>
      <c r="E305" s="6">
        <v>5501111</v>
      </c>
      <c r="F305" s="6">
        <v>547939</v>
      </c>
      <c r="G305" s="6">
        <v>415806</v>
      </c>
      <c r="H305" s="6">
        <v>40540</v>
      </c>
      <c r="I305" s="6">
        <v>606</v>
      </c>
    </row>
    <row r="306" spans="1:9">
      <c r="A306" s="6">
        <v>44</v>
      </c>
      <c r="B306" s="6" t="str">
        <f t="shared" si="8"/>
        <v>Other Manufacturing Products</v>
      </c>
      <c r="C306" s="6">
        <v>5</v>
      </c>
      <c r="D306" s="6" t="str">
        <f t="shared" si="9"/>
        <v>Vegetables and Fruits</v>
      </c>
      <c r="E306" s="6">
        <v>143705</v>
      </c>
      <c r="F306" s="6">
        <v>12481</v>
      </c>
      <c r="G306" s="6">
        <v>10988</v>
      </c>
      <c r="H306" s="6">
        <v>1849</v>
      </c>
      <c r="I306" s="6">
        <v>0</v>
      </c>
    </row>
    <row r="307" spans="1:9">
      <c r="A307" s="6">
        <v>45</v>
      </c>
      <c r="B307" s="6" t="str">
        <f t="shared" si="8"/>
        <v>Electricity and Gas</v>
      </c>
      <c r="C307" s="6">
        <v>5</v>
      </c>
      <c r="D307" s="6" t="str">
        <f t="shared" si="9"/>
        <v>Vegetables and Fruits</v>
      </c>
      <c r="E307" s="6">
        <v>2972218</v>
      </c>
      <c r="F307" s="6">
        <v>1301</v>
      </c>
      <c r="G307" s="6">
        <v>2650</v>
      </c>
      <c r="H307" s="6">
        <v>245</v>
      </c>
      <c r="I307" s="6">
        <v>0</v>
      </c>
    </row>
    <row r="308" spans="1:9">
      <c r="A308" s="6">
        <v>46</v>
      </c>
      <c r="B308" s="6" t="str">
        <f t="shared" si="8"/>
        <v>Water Works and Supply</v>
      </c>
      <c r="C308" s="6">
        <v>5</v>
      </c>
      <c r="D308" s="6" t="str">
        <f t="shared" si="9"/>
        <v>Vegetables and Fruits</v>
      </c>
      <c r="E308" s="6">
        <v>1026394</v>
      </c>
      <c r="F308" s="6">
        <v>0</v>
      </c>
      <c r="G308" s="6">
        <v>0</v>
      </c>
      <c r="H308" s="6">
        <v>0</v>
      </c>
      <c r="I308" s="6">
        <v>0</v>
      </c>
    </row>
    <row r="309" spans="1:9">
      <c r="A309" s="6">
        <v>47</v>
      </c>
      <c r="B309" s="6" t="str">
        <f t="shared" si="8"/>
        <v>Building Construction</v>
      </c>
      <c r="C309" s="6">
        <v>5</v>
      </c>
      <c r="D309" s="6" t="str">
        <f t="shared" si="9"/>
        <v>Vegetables and Fruits</v>
      </c>
      <c r="E309" s="6">
        <v>64535</v>
      </c>
      <c r="F309" s="6">
        <v>0</v>
      </c>
      <c r="G309" s="6">
        <v>0</v>
      </c>
      <c r="H309" s="6">
        <v>0</v>
      </c>
      <c r="I309" s="6">
        <v>0</v>
      </c>
    </row>
    <row r="310" spans="1:9">
      <c r="A310" s="6">
        <v>48</v>
      </c>
      <c r="B310" s="6" t="str">
        <f t="shared" si="8"/>
        <v>Public Works and Other Construction</v>
      </c>
      <c r="C310" s="6">
        <v>5</v>
      </c>
      <c r="D310" s="6" t="str">
        <f t="shared" si="9"/>
        <v>Vegetables and Fruits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</row>
    <row r="311" spans="1:9">
      <c r="A311" s="6">
        <v>49</v>
      </c>
      <c r="B311" s="6" t="str">
        <f t="shared" si="8"/>
        <v>Trade</v>
      </c>
      <c r="C311" s="6">
        <v>5</v>
      </c>
      <c r="D311" s="6" t="str">
        <f t="shared" si="9"/>
        <v>Vegetables and Fruits</v>
      </c>
      <c r="E311" s="6">
        <v>0</v>
      </c>
      <c r="F311" s="6">
        <v>-16741784</v>
      </c>
      <c r="G311" s="6">
        <v>-17032172</v>
      </c>
      <c r="H311" s="6">
        <v>0</v>
      </c>
      <c r="I311" s="6">
        <v>0</v>
      </c>
    </row>
    <row r="312" spans="1:9">
      <c r="A312" s="6">
        <v>50</v>
      </c>
      <c r="B312" s="6" t="str">
        <f t="shared" si="8"/>
        <v>Restaurants and Hotels</v>
      </c>
      <c r="C312" s="6">
        <v>5</v>
      </c>
      <c r="D312" s="6" t="str">
        <f t="shared" si="9"/>
        <v>Vegetables and Fruits</v>
      </c>
      <c r="E312" s="6">
        <v>4789505</v>
      </c>
      <c r="F312" s="6">
        <v>0</v>
      </c>
      <c r="G312" s="6">
        <v>0</v>
      </c>
      <c r="H312" s="6">
        <v>0</v>
      </c>
      <c r="I312" s="6">
        <v>0</v>
      </c>
    </row>
    <row r="313" spans="1:9">
      <c r="A313" s="6">
        <v>51</v>
      </c>
      <c r="B313" s="6" t="str">
        <f t="shared" si="8"/>
        <v>Transportation</v>
      </c>
      <c r="C313" s="6">
        <v>5</v>
      </c>
      <c r="D313" s="6" t="str">
        <f t="shared" si="9"/>
        <v>Vegetables and Fruits</v>
      </c>
      <c r="E313" s="6">
        <v>2826207</v>
      </c>
      <c r="F313" s="6">
        <v>0</v>
      </c>
      <c r="G313" s="6">
        <v>0</v>
      </c>
      <c r="H313" s="6">
        <v>-4010388</v>
      </c>
      <c r="I313" s="6">
        <v>0</v>
      </c>
    </row>
    <row r="314" spans="1:9">
      <c r="A314" s="6">
        <v>52</v>
      </c>
      <c r="B314" s="6" t="str">
        <f t="shared" si="8"/>
        <v>Communication</v>
      </c>
      <c r="C314" s="6">
        <v>5</v>
      </c>
      <c r="D314" s="6" t="str">
        <f t="shared" si="9"/>
        <v>Vegetables and Fruits</v>
      </c>
      <c r="E314" s="6">
        <v>3193366</v>
      </c>
      <c r="F314" s="6">
        <v>0</v>
      </c>
      <c r="G314" s="6">
        <v>0</v>
      </c>
      <c r="H314" s="6">
        <v>0</v>
      </c>
      <c r="I314" s="6">
        <v>0</v>
      </c>
    </row>
    <row r="315" spans="1:9">
      <c r="A315" s="6">
        <v>53</v>
      </c>
      <c r="B315" s="6" t="str">
        <f t="shared" si="8"/>
        <v>Banking and Insurance</v>
      </c>
      <c r="C315" s="6">
        <v>5</v>
      </c>
      <c r="D315" s="6" t="str">
        <f t="shared" si="9"/>
        <v>Vegetables and Fruits</v>
      </c>
      <c r="E315" s="6">
        <v>20344778</v>
      </c>
      <c r="F315" s="6">
        <v>0</v>
      </c>
      <c r="G315" s="6">
        <v>0</v>
      </c>
      <c r="H315" s="6">
        <v>0</v>
      </c>
      <c r="I315" s="6">
        <v>0</v>
      </c>
    </row>
    <row r="316" spans="1:9">
      <c r="A316" s="6">
        <v>54</v>
      </c>
      <c r="B316" s="6" t="str">
        <f t="shared" si="8"/>
        <v>Real Estate</v>
      </c>
      <c r="C316" s="6">
        <v>5</v>
      </c>
      <c r="D316" s="6" t="str">
        <f t="shared" si="9"/>
        <v>Vegetables and Fruits</v>
      </c>
      <c r="E316" s="6">
        <v>137254</v>
      </c>
      <c r="F316" s="6">
        <v>0</v>
      </c>
      <c r="G316" s="6">
        <v>0</v>
      </c>
      <c r="H316" s="6">
        <v>0</v>
      </c>
      <c r="I316" s="6">
        <v>0</v>
      </c>
    </row>
    <row r="317" spans="1:9">
      <c r="A317" s="6">
        <v>55</v>
      </c>
      <c r="B317" s="6" t="str">
        <f t="shared" si="8"/>
        <v>Business Services</v>
      </c>
      <c r="C317" s="6">
        <v>5</v>
      </c>
      <c r="D317" s="6" t="str">
        <f t="shared" si="9"/>
        <v>Vegetables and Fruits</v>
      </c>
      <c r="E317" s="6">
        <v>2565210</v>
      </c>
      <c r="F317" s="6">
        <v>0</v>
      </c>
      <c r="G317" s="6">
        <v>0</v>
      </c>
      <c r="H317" s="6">
        <v>0</v>
      </c>
      <c r="I317" s="6">
        <v>0</v>
      </c>
    </row>
    <row r="318" spans="1:9">
      <c r="A318" s="6">
        <v>56</v>
      </c>
      <c r="B318" s="6" t="str">
        <f t="shared" si="8"/>
        <v>Public Services</v>
      </c>
      <c r="C318" s="6">
        <v>5</v>
      </c>
      <c r="D318" s="6" t="str">
        <f t="shared" si="9"/>
        <v>Vegetables and Fruits</v>
      </c>
      <c r="E318" s="6">
        <v>1826</v>
      </c>
      <c r="F318" s="6">
        <v>0</v>
      </c>
      <c r="G318" s="6">
        <v>0</v>
      </c>
      <c r="H318" s="6">
        <v>0</v>
      </c>
      <c r="I318" s="6">
        <v>0</v>
      </c>
    </row>
    <row r="319" spans="1:9">
      <c r="A319" s="6">
        <v>57</v>
      </c>
      <c r="B319" s="6" t="str">
        <f t="shared" si="8"/>
        <v>Other Services</v>
      </c>
      <c r="C319" s="6">
        <v>5</v>
      </c>
      <c r="D319" s="6" t="str">
        <f t="shared" si="9"/>
        <v>Vegetables and Fruits</v>
      </c>
      <c r="E319" s="6">
        <v>279364</v>
      </c>
      <c r="F319" s="6">
        <v>0</v>
      </c>
      <c r="G319" s="6">
        <v>0</v>
      </c>
      <c r="H319" s="6">
        <v>0</v>
      </c>
      <c r="I319" s="6">
        <v>0</v>
      </c>
    </row>
    <row r="320" spans="1:9">
      <c r="A320" s="6">
        <v>58</v>
      </c>
      <c r="B320" s="6" t="str">
        <f t="shared" si="8"/>
        <v>Unclassified</v>
      </c>
      <c r="C320" s="6">
        <v>5</v>
      </c>
      <c r="D320" s="6" t="str">
        <f t="shared" si="9"/>
        <v>Vegetables and Fruits</v>
      </c>
      <c r="E320" s="6">
        <v>487518</v>
      </c>
      <c r="F320" s="6">
        <v>0</v>
      </c>
      <c r="G320" s="6">
        <v>0</v>
      </c>
      <c r="H320" s="6">
        <v>0</v>
      </c>
      <c r="I320" s="6">
        <v>42724</v>
      </c>
    </row>
    <row r="321" spans="1:9">
      <c r="A321" s="6">
        <v>190</v>
      </c>
      <c r="B321" s="6" t="str">
        <f t="shared" si="8"/>
        <v>Total Intermedite Transaction</v>
      </c>
      <c r="C321" s="6">
        <v>5</v>
      </c>
      <c r="D321" s="6" t="str">
        <f t="shared" si="9"/>
        <v>Vegetables and Fruits</v>
      </c>
      <c r="E321" s="6">
        <v>239251631</v>
      </c>
      <c r="F321" s="6">
        <v>0</v>
      </c>
      <c r="G321" s="6">
        <v>0</v>
      </c>
      <c r="H321" s="6">
        <v>0</v>
      </c>
      <c r="I321" s="6">
        <v>58265245</v>
      </c>
    </row>
    <row r="322" spans="1:9">
      <c r="A322" s="6">
        <v>201</v>
      </c>
      <c r="B322" s="6" t="str">
        <f t="shared" si="8"/>
        <v>Wages and Salaries</v>
      </c>
      <c r="C322" s="6">
        <v>5</v>
      </c>
      <c r="D322" s="6" t="str">
        <f t="shared" si="9"/>
        <v>Vegetables and Fruits</v>
      </c>
      <c r="E322" s="6">
        <v>136013312</v>
      </c>
      <c r="F322" s="6">
        <v>0</v>
      </c>
      <c r="G322" s="6">
        <v>0</v>
      </c>
      <c r="H322" s="6">
        <v>0</v>
      </c>
      <c r="I322" s="6">
        <v>0</v>
      </c>
    </row>
    <row r="323" spans="1:9">
      <c r="A323" s="6">
        <v>202</v>
      </c>
      <c r="B323" s="6" t="str">
        <f t="shared" si="8"/>
        <v>Operating Surplus</v>
      </c>
      <c r="C323" s="6">
        <v>5</v>
      </c>
      <c r="D323" s="6" t="str">
        <f t="shared" si="9"/>
        <v>Vegetables and Fruits</v>
      </c>
      <c r="E323" s="6">
        <v>236904462</v>
      </c>
      <c r="F323" s="6">
        <v>0</v>
      </c>
      <c r="G323" s="6">
        <v>0</v>
      </c>
      <c r="H323" s="6">
        <v>0</v>
      </c>
      <c r="I323" s="6">
        <v>0</v>
      </c>
    </row>
    <row r="324" spans="1:9">
      <c r="A324" s="6">
        <v>203</v>
      </c>
      <c r="B324" s="6" t="str">
        <f t="shared" ref="B324:B387" si="10">VLOOKUP(A324,R:S,2,0)</f>
        <v>Depreciation</v>
      </c>
      <c r="C324" s="6">
        <v>5</v>
      </c>
      <c r="D324" s="6" t="str">
        <f t="shared" ref="D324:D387" si="11">VLOOKUP(C324,R:S,2,0)</f>
        <v>Vegetables and Fruits</v>
      </c>
      <c r="E324" s="6">
        <v>33149151</v>
      </c>
      <c r="F324" s="6">
        <v>0</v>
      </c>
      <c r="G324" s="6">
        <v>0</v>
      </c>
      <c r="H324" s="6">
        <v>0</v>
      </c>
      <c r="I324" s="6">
        <v>0</v>
      </c>
    </row>
    <row r="325" spans="1:9">
      <c r="A325" s="6">
        <v>204</v>
      </c>
      <c r="B325" s="6" t="str">
        <f t="shared" si="10"/>
        <v>Indirect Taxes less Subsidies</v>
      </c>
      <c r="C325" s="6">
        <v>5</v>
      </c>
      <c r="D325" s="6" t="str">
        <f t="shared" si="11"/>
        <v>Vegetables and Fruits</v>
      </c>
      <c r="E325" s="6">
        <v>320915</v>
      </c>
      <c r="F325" s="6">
        <v>0</v>
      </c>
      <c r="G325" s="6">
        <v>0</v>
      </c>
      <c r="H325" s="6">
        <v>0</v>
      </c>
      <c r="I325" s="6">
        <v>0</v>
      </c>
    </row>
    <row r="326" spans="1:9">
      <c r="A326" s="6">
        <v>209</v>
      </c>
      <c r="B326" s="6" t="str">
        <f t="shared" si="10"/>
        <v>Total Value Added</v>
      </c>
      <c r="C326" s="6">
        <v>5</v>
      </c>
      <c r="D326" s="6" t="str">
        <f t="shared" si="11"/>
        <v>Vegetables and Fruits</v>
      </c>
      <c r="E326" s="6">
        <v>406387840</v>
      </c>
      <c r="F326" s="6">
        <v>0</v>
      </c>
      <c r="G326" s="6">
        <v>0</v>
      </c>
      <c r="H326" s="6">
        <v>0</v>
      </c>
      <c r="I326" s="6">
        <v>0</v>
      </c>
    </row>
    <row r="327" spans="1:9">
      <c r="A327" s="6">
        <v>210</v>
      </c>
      <c r="B327" s="6" t="str">
        <f t="shared" si="10"/>
        <v>Control Total</v>
      </c>
      <c r="C327" s="6">
        <v>5</v>
      </c>
      <c r="D327" s="6" t="str">
        <f t="shared" si="11"/>
        <v>Vegetables and Fruits</v>
      </c>
      <c r="E327" s="6">
        <v>645639471</v>
      </c>
      <c r="F327" s="6">
        <v>0</v>
      </c>
      <c r="G327" s="6">
        <v>0</v>
      </c>
      <c r="H327" s="6">
        <v>0</v>
      </c>
      <c r="I327" s="6">
        <v>0</v>
      </c>
    </row>
    <row r="328" spans="1:9">
      <c r="A328" s="6">
        <v>1</v>
      </c>
      <c r="B328" s="6" t="str">
        <f t="shared" si="10"/>
        <v>Paddy</v>
      </c>
      <c r="C328" s="6">
        <v>6</v>
      </c>
      <c r="D328" s="6" t="str">
        <f t="shared" si="11"/>
        <v>Sugarcane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</row>
    <row r="329" spans="1:9">
      <c r="A329" s="6">
        <v>2</v>
      </c>
      <c r="B329" s="6" t="str">
        <f t="shared" si="10"/>
        <v>Maize</v>
      </c>
      <c r="C329" s="6">
        <v>6</v>
      </c>
      <c r="D329" s="6" t="str">
        <f t="shared" si="11"/>
        <v>Sugarcane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</row>
    <row r="330" spans="1:9">
      <c r="A330" s="6">
        <v>3</v>
      </c>
      <c r="B330" s="6" t="str">
        <f t="shared" si="10"/>
        <v>Cassava</v>
      </c>
      <c r="C330" s="6">
        <v>6</v>
      </c>
      <c r="D330" s="6" t="str">
        <f t="shared" si="11"/>
        <v>Sugarcane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</row>
    <row r="331" spans="1:9">
      <c r="A331" s="6">
        <v>4</v>
      </c>
      <c r="B331" s="6" t="str">
        <f t="shared" si="10"/>
        <v>Beans and Nuts</v>
      </c>
      <c r="C331" s="6">
        <v>6</v>
      </c>
      <c r="D331" s="6" t="str">
        <f t="shared" si="11"/>
        <v>Sugarcane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</row>
    <row r="332" spans="1:9">
      <c r="A332" s="6">
        <v>5</v>
      </c>
      <c r="B332" s="6" t="str">
        <f t="shared" si="10"/>
        <v>Vegetables and Fruits</v>
      </c>
      <c r="C332" s="6">
        <v>6</v>
      </c>
      <c r="D332" s="6" t="str">
        <f t="shared" si="11"/>
        <v>Sugarcane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</row>
    <row r="333" spans="1:9">
      <c r="A333" s="6">
        <v>6</v>
      </c>
      <c r="B333" s="6" t="str">
        <f t="shared" si="10"/>
        <v>Sugarcane</v>
      </c>
      <c r="C333" s="6">
        <v>6</v>
      </c>
      <c r="D333" s="6" t="str">
        <f t="shared" si="11"/>
        <v>Sugarcane</v>
      </c>
      <c r="E333" s="6">
        <v>4490083</v>
      </c>
      <c r="F333" s="6">
        <v>172345</v>
      </c>
      <c r="G333" s="6">
        <v>0</v>
      </c>
      <c r="H333" s="6">
        <v>135524</v>
      </c>
      <c r="I333" s="6">
        <v>2</v>
      </c>
    </row>
    <row r="334" spans="1:9">
      <c r="A334" s="6">
        <v>7</v>
      </c>
      <c r="B334" s="6" t="str">
        <f t="shared" si="10"/>
        <v>Rubber (Latex)</v>
      </c>
      <c r="C334" s="6">
        <v>6</v>
      </c>
      <c r="D334" s="6" t="str">
        <f t="shared" si="11"/>
        <v>Sugarcane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</row>
    <row r="335" spans="1:9">
      <c r="A335" s="6">
        <v>8</v>
      </c>
      <c r="B335" s="6" t="str">
        <f t="shared" si="10"/>
        <v>Other Crops</v>
      </c>
      <c r="C335" s="6">
        <v>6</v>
      </c>
      <c r="D335" s="6" t="str">
        <f t="shared" si="11"/>
        <v>Sugarcane</v>
      </c>
      <c r="E335" s="6">
        <v>3021059</v>
      </c>
      <c r="F335" s="6">
        <v>0</v>
      </c>
      <c r="G335" s="6">
        <v>0</v>
      </c>
      <c r="H335" s="6">
        <v>0</v>
      </c>
      <c r="I335" s="6">
        <v>0</v>
      </c>
    </row>
    <row r="336" spans="1:9">
      <c r="A336" s="6">
        <v>9</v>
      </c>
      <c r="B336" s="6" t="str">
        <f t="shared" si="10"/>
        <v>Livestock</v>
      </c>
      <c r="C336" s="6">
        <v>6</v>
      </c>
      <c r="D336" s="6" t="str">
        <f t="shared" si="11"/>
        <v>Sugarcane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</row>
    <row r="337" spans="1:9">
      <c r="A337" s="6">
        <v>10</v>
      </c>
      <c r="B337" s="6" t="str">
        <f t="shared" si="10"/>
        <v>Forestry</v>
      </c>
      <c r="C337" s="6">
        <v>6</v>
      </c>
      <c r="D337" s="6" t="str">
        <f t="shared" si="11"/>
        <v>Sugarcane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</row>
    <row r="338" spans="1:9">
      <c r="A338" s="6">
        <v>11</v>
      </c>
      <c r="B338" s="6" t="str">
        <f t="shared" si="10"/>
        <v>Fishery</v>
      </c>
      <c r="C338" s="6">
        <v>6</v>
      </c>
      <c r="D338" s="6" t="str">
        <f t="shared" si="11"/>
        <v>Sugarcane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</row>
    <row r="339" spans="1:9">
      <c r="A339" s="6">
        <v>12</v>
      </c>
      <c r="B339" s="6" t="str">
        <f t="shared" si="10"/>
        <v>Crude Oil and Coal</v>
      </c>
      <c r="C339" s="6">
        <v>6</v>
      </c>
      <c r="D339" s="6" t="str">
        <f t="shared" si="11"/>
        <v>Sugarcane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</row>
    <row r="340" spans="1:9">
      <c r="A340" s="6">
        <v>13</v>
      </c>
      <c r="B340" s="6" t="str">
        <f t="shared" si="10"/>
        <v>Metal Ore</v>
      </c>
      <c r="C340" s="6">
        <v>6</v>
      </c>
      <c r="D340" s="6" t="str">
        <f t="shared" si="11"/>
        <v>Sugarcane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</row>
    <row r="341" spans="1:9">
      <c r="A341" s="6">
        <v>14</v>
      </c>
      <c r="B341" s="6" t="str">
        <f t="shared" si="10"/>
        <v>Non-Metal Ore</v>
      </c>
      <c r="C341" s="6">
        <v>6</v>
      </c>
      <c r="D341" s="6" t="str">
        <f t="shared" si="11"/>
        <v>Sugarcane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</row>
    <row r="342" spans="1:9">
      <c r="A342" s="6">
        <v>15</v>
      </c>
      <c r="B342" s="6" t="str">
        <f t="shared" si="10"/>
        <v>Slaughtering</v>
      </c>
      <c r="C342" s="6">
        <v>6</v>
      </c>
      <c r="D342" s="6" t="str">
        <f t="shared" si="11"/>
        <v>Sugarcane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</row>
    <row r="343" spans="1:9">
      <c r="A343" s="6">
        <v>16</v>
      </c>
      <c r="B343" s="6" t="str">
        <f t="shared" si="10"/>
        <v>Processing and Presering of Foods</v>
      </c>
      <c r="C343" s="6">
        <v>6</v>
      </c>
      <c r="D343" s="6" t="str">
        <f t="shared" si="11"/>
        <v>Sugarcane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</row>
    <row r="344" spans="1:9">
      <c r="A344" s="6">
        <v>17</v>
      </c>
      <c r="B344" s="6" t="str">
        <f t="shared" si="10"/>
        <v>Rice and Other Grain Milling</v>
      </c>
      <c r="C344" s="6">
        <v>6</v>
      </c>
      <c r="D344" s="6" t="str">
        <f t="shared" si="11"/>
        <v>Sugarcane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</row>
    <row r="345" spans="1:9">
      <c r="A345" s="6">
        <v>18</v>
      </c>
      <c r="B345" s="6" t="str">
        <f t="shared" si="10"/>
        <v>Sugar Refineries</v>
      </c>
      <c r="C345" s="6">
        <v>6</v>
      </c>
      <c r="D345" s="6" t="str">
        <f t="shared" si="11"/>
        <v>Sugarcane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</row>
    <row r="346" spans="1:9">
      <c r="A346" s="6">
        <v>19</v>
      </c>
      <c r="B346" s="6" t="str">
        <f t="shared" si="10"/>
        <v>Other Foods</v>
      </c>
      <c r="C346" s="6">
        <v>6</v>
      </c>
      <c r="D346" s="6" t="str">
        <f t="shared" si="11"/>
        <v>Sugarcane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</row>
    <row r="347" spans="1:9">
      <c r="A347" s="6">
        <v>20</v>
      </c>
      <c r="B347" s="6" t="str">
        <f t="shared" si="10"/>
        <v>Animal Food</v>
      </c>
      <c r="C347" s="6">
        <v>6</v>
      </c>
      <c r="D347" s="6" t="str">
        <f t="shared" si="11"/>
        <v>Sugarcane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</row>
    <row r="348" spans="1:9">
      <c r="A348" s="6">
        <v>21</v>
      </c>
      <c r="B348" s="6" t="str">
        <f t="shared" si="10"/>
        <v>Beverages</v>
      </c>
      <c r="C348" s="6">
        <v>6</v>
      </c>
      <c r="D348" s="6" t="str">
        <f t="shared" si="11"/>
        <v>Sugarcane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</row>
    <row r="349" spans="1:9">
      <c r="A349" s="6">
        <v>22</v>
      </c>
      <c r="B349" s="6" t="str">
        <f t="shared" si="10"/>
        <v>Tobacco Processing and Products</v>
      </c>
      <c r="C349" s="6">
        <v>6</v>
      </c>
      <c r="D349" s="6" t="str">
        <f t="shared" si="11"/>
        <v>Sugarcane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</row>
    <row r="350" spans="1:9">
      <c r="A350" s="6">
        <v>23</v>
      </c>
      <c r="B350" s="6" t="str">
        <f t="shared" si="10"/>
        <v>Spinning, Weaving and Bleaching</v>
      </c>
      <c r="C350" s="6">
        <v>6</v>
      </c>
      <c r="D350" s="6" t="str">
        <f t="shared" si="11"/>
        <v>Sugarcane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</row>
    <row r="351" spans="1:9">
      <c r="A351" s="6">
        <v>24</v>
      </c>
      <c r="B351" s="6" t="str">
        <f t="shared" si="10"/>
        <v>Textile Products</v>
      </c>
      <c r="C351" s="6">
        <v>6</v>
      </c>
      <c r="D351" s="6" t="str">
        <f t="shared" si="11"/>
        <v>Sugarcane</v>
      </c>
      <c r="E351" s="6">
        <v>1447</v>
      </c>
      <c r="F351" s="6">
        <v>37</v>
      </c>
      <c r="G351" s="6">
        <v>8</v>
      </c>
      <c r="H351" s="6">
        <v>5</v>
      </c>
      <c r="I351" s="6">
        <v>0</v>
      </c>
    </row>
    <row r="352" spans="1:9">
      <c r="A352" s="6">
        <v>25</v>
      </c>
      <c r="B352" s="6" t="str">
        <f t="shared" si="10"/>
        <v>Paper and Paper Products</v>
      </c>
      <c r="C352" s="6">
        <v>6</v>
      </c>
      <c r="D352" s="6" t="str">
        <f t="shared" si="11"/>
        <v>Sugarcane</v>
      </c>
      <c r="E352" s="6">
        <v>558</v>
      </c>
      <c r="F352" s="6">
        <v>20</v>
      </c>
      <c r="G352" s="6">
        <v>14</v>
      </c>
      <c r="H352" s="6">
        <v>5</v>
      </c>
      <c r="I352" s="6">
        <v>0</v>
      </c>
    </row>
    <row r="353" spans="1:9">
      <c r="A353" s="6">
        <v>26</v>
      </c>
      <c r="B353" s="6" t="str">
        <f t="shared" si="10"/>
        <v>Printing and Publishing</v>
      </c>
      <c r="C353" s="6">
        <v>6</v>
      </c>
      <c r="D353" s="6" t="str">
        <f t="shared" si="11"/>
        <v>Sugarcane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</row>
    <row r="354" spans="1:9">
      <c r="A354" s="6">
        <v>27</v>
      </c>
      <c r="B354" s="6" t="str">
        <f t="shared" si="10"/>
        <v>Basic Chemical Products</v>
      </c>
      <c r="C354" s="6">
        <v>6</v>
      </c>
      <c r="D354" s="6" t="str">
        <f t="shared" si="11"/>
        <v>Sugarcane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</row>
    <row r="355" spans="1:9">
      <c r="A355" s="6">
        <v>28</v>
      </c>
      <c r="B355" s="6" t="str">
        <f t="shared" si="10"/>
        <v>Fertilizer and Pesticides</v>
      </c>
      <c r="C355" s="6">
        <v>6</v>
      </c>
      <c r="D355" s="6" t="str">
        <f t="shared" si="11"/>
        <v>Sugarcane</v>
      </c>
      <c r="E355" s="6">
        <v>13310604</v>
      </c>
      <c r="F355" s="6">
        <v>1733841</v>
      </c>
      <c r="G355" s="6">
        <v>2213286</v>
      </c>
      <c r="H355" s="6">
        <v>581844</v>
      </c>
      <c r="I355" s="6">
        <v>6370195</v>
      </c>
    </row>
    <row r="356" spans="1:9">
      <c r="A356" s="6">
        <v>29</v>
      </c>
      <c r="B356" s="6" t="str">
        <f t="shared" si="10"/>
        <v>Other Chemical Products</v>
      </c>
      <c r="C356" s="6">
        <v>6</v>
      </c>
      <c r="D356" s="6" t="str">
        <f t="shared" si="11"/>
        <v>Sugarcane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</row>
    <row r="357" spans="1:9">
      <c r="A357" s="6">
        <v>30</v>
      </c>
      <c r="B357" s="6" t="str">
        <f t="shared" si="10"/>
        <v>Petroleum Refineries</v>
      </c>
      <c r="C357" s="6">
        <v>6</v>
      </c>
      <c r="D357" s="6" t="str">
        <f t="shared" si="11"/>
        <v>Sugarcane</v>
      </c>
      <c r="E357" s="6">
        <v>2064006</v>
      </c>
      <c r="F357" s="6">
        <v>111718</v>
      </c>
      <c r="G357" s="6">
        <v>115121</v>
      </c>
      <c r="H357" s="6">
        <v>19481</v>
      </c>
      <c r="I357" s="6">
        <v>328407</v>
      </c>
    </row>
    <row r="358" spans="1:9">
      <c r="A358" s="6">
        <v>31</v>
      </c>
      <c r="B358" s="6" t="str">
        <f t="shared" si="10"/>
        <v>Rubber Products</v>
      </c>
      <c r="C358" s="6">
        <v>6</v>
      </c>
      <c r="D358" s="6" t="str">
        <f t="shared" si="11"/>
        <v>Sugarcane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</row>
    <row r="359" spans="1:9">
      <c r="A359" s="6">
        <v>32</v>
      </c>
      <c r="B359" s="6" t="str">
        <f t="shared" si="10"/>
        <v>Plastic Wares</v>
      </c>
      <c r="C359" s="6">
        <v>6</v>
      </c>
      <c r="D359" s="6" t="str">
        <f t="shared" si="11"/>
        <v>Sugarcane</v>
      </c>
      <c r="E359" s="6">
        <v>7164</v>
      </c>
      <c r="F359" s="6">
        <v>209</v>
      </c>
      <c r="G359" s="6">
        <v>251</v>
      </c>
      <c r="H359" s="6">
        <v>52</v>
      </c>
      <c r="I359" s="6">
        <v>1762</v>
      </c>
    </row>
    <row r="360" spans="1:9">
      <c r="A360" s="6">
        <v>33</v>
      </c>
      <c r="B360" s="6" t="str">
        <f t="shared" si="10"/>
        <v>Cement and Concrete Products</v>
      </c>
      <c r="C360" s="6">
        <v>6</v>
      </c>
      <c r="D360" s="6" t="str">
        <f t="shared" si="11"/>
        <v>Sugarcane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</row>
    <row r="361" spans="1:9">
      <c r="A361" s="6">
        <v>34</v>
      </c>
      <c r="B361" s="6" t="str">
        <f t="shared" si="10"/>
        <v>Other Non-metallic Products</v>
      </c>
      <c r="C361" s="6">
        <v>6</v>
      </c>
      <c r="D361" s="6" t="str">
        <f t="shared" si="11"/>
        <v>Sugarcane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</row>
    <row r="362" spans="1:9">
      <c r="A362" s="6">
        <v>35</v>
      </c>
      <c r="B362" s="6" t="str">
        <f t="shared" si="10"/>
        <v>Iron and Steel</v>
      </c>
      <c r="C362" s="6">
        <v>6</v>
      </c>
      <c r="D362" s="6" t="str">
        <f t="shared" si="11"/>
        <v>Sugarcane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</row>
    <row r="363" spans="1:9">
      <c r="A363" s="6">
        <v>36</v>
      </c>
      <c r="B363" s="6" t="str">
        <f t="shared" si="10"/>
        <v>Non-ferrous Metal</v>
      </c>
      <c r="C363" s="6">
        <v>6</v>
      </c>
      <c r="D363" s="6" t="str">
        <f t="shared" si="11"/>
        <v>Sugarcane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</row>
    <row r="364" spans="1:9">
      <c r="A364" s="6">
        <v>37</v>
      </c>
      <c r="B364" s="6" t="str">
        <f t="shared" si="10"/>
        <v>Fabricated Metal Products</v>
      </c>
      <c r="C364" s="6">
        <v>6</v>
      </c>
      <c r="D364" s="6" t="str">
        <f t="shared" si="11"/>
        <v>Sugarcane</v>
      </c>
      <c r="E364" s="6">
        <v>888590</v>
      </c>
      <c r="F364" s="6">
        <v>41995</v>
      </c>
      <c r="G364" s="6">
        <v>97841</v>
      </c>
      <c r="H364" s="6">
        <v>5948</v>
      </c>
      <c r="I364" s="6">
        <v>176699</v>
      </c>
    </row>
    <row r="365" spans="1:9">
      <c r="A365" s="6">
        <v>38</v>
      </c>
      <c r="B365" s="6" t="str">
        <f t="shared" si="10"/>
        <v>Industrial Machinery</v>
      </c>
      <c r="C365" s="6">
        <v>6</v>
      </c>
      <c r="D365" s="6" t="str">
        <f t="shared" si="11"/>
        <v>Sugarcane</v>
      </c>
      <c r="E365" s="6">
        <v>1118367</v>
      </c>
      <c r="F365" s="6">
        <v>79080</v>
      </c>
      <c r="G365" s="6">
        <v>108621</v>
      </c>
      <c r="H365" s="6">
        <v>9241</v>
      </c>
      <c r="I365" s="6">
        <v>0</v>
      </c>
    </row>
    <row r="366" spans="1:9">
      <c r="A366" s="6">
        <v>39</v>
      </c>
      <c r="B366" s="6" t="str">
        <f t="shared" si="10"/>
        <v>Electrical Machinery and Apparatus</v>
      </c>
      <c r="C366" s="6">
        <v>6</v>
      </c>
      <c r="D366" s="6" t="str">
        <f t="shared" si="11"/>
        <v>Sugarcane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</row>
    <row r="367" spans="1:9">
      <c r="A367" s="6">
        <v>40</v>
      </c>
      <c r="B367" s="6" t="str">
        <f t="shared" si="10"/>
        <v>Motor Vehicles and Repairing</v>
      </c>
      <c r="C367" s="6">
        <v>6</v>
      </c>
      <c r="D367" s="6" t="str">
        <f t="shared" si="11"/>
        <v>Sugarcane</v>
      </c>
      <c r="E367" s="6">
        <v>52638</v>
      </c>
      <c r="F367" s="6">
        <v>0</v>
      </c>
      <c r="G367" s="6">
        <v>0</v>
      </c>
      <c r="H367" s="6">
        <v>0</v>
      </c>
      <c r="I367" s="6">
        <v>0</v>
      </c>
    </row>
    <row r="368" spans="1:9">
      <c r="A368" s="6">
        <v>41</v>
      </c>
      <c r="B368" s="6" t="str">
        <f t="shared" si="10"/>
        <v>Other Transportation Equipment</v>
      </c>
      <c r="C368" s="6">
        <v>6</v>
      </c>
      <c r="D368" s="6" t="str">
        <f t="shared" si="11"/>
        <v>Sugarcane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</row>
    <row r="369" spans="1:9">
      <c r="A369" s="6">
        <v>42</v>
      </c>
      <c r="B369" s="6" t="str">
        <f t="shared" si="10"/>
        <v>Leather Products</v>
      </c>
      <c r="C369" s="6">
        <v>6</v>
      </c>
      <c r="D369" s="6" t="str">
        <f t="shared" si="11"/>
        <v>Sugarcane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</row>
    <row r="370" spans="1:9">
      <c r="A370" s="6">
        <v>43</v>
      </c>
      <c r="B370" s="6" t="str">
        <f t="shared" si="10"/>
        <v>Saw Mills and Wood Products</v>
      </c>
      <c r="C370" s="6">
        <v>6</v>
      </c>
      <c r="D370" s="6" t="str">
        <f t="shared" si="11"/>
        <v>Sugarcane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</row>
    <row r="371" spans="1:9">
      <c r="A371" s="6">
        <v>44</v>
      </c>
      <c r="B371" s="6" t="str">
        <f t="shared" si="10"/>
        <v>Other Manufacturing Products</v>
      </c>
      <c r="C371" s="6">
        <v>6</v>
      </c>
      <c r="D371" s="6" t="str">
        <f t="shared" si="11"/>
        <v>Sugarcane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</row>
    <row r="372" spans="1:9">
      <c r="A372" s="6">
        <v>45</v>
      </c>
      <c r="B372" s="6" t="str">
        <f t="shared" si="10"/>
        <v>Electricity and Gas</v>
      </c>
      <c r="C372" s="6">
        <v>6</v>
      </c>
      <c r="D372" s="6" t="str">
        <f t="shared" si="11"/>
        <v>Sugarcane</v>
      </c>
      <c r="E372" s="6">
        <v>117630</v>
      </c>
      <c r="F372" s="6">
        <v>0</v>
      </c>
      <c r="G372" s="6">
        <v>0</v>
      </c>
      <c r="H372" s="6">
        <v>0</v>
      </c>
      <c r="I372" s="6">
        <v>0</v>
      </c>
    </row>
    <row r="373" spans="1:9">
      <c r="A373" s="6">
        <v>46</v>
      </c>
      <c r="B373" s="6" t="str">
        <f t="shared" si="10"/>
        <v>Water Works and Supply</v>
      </c>
      <c r="C373" s="6">
        <v>6</v>
      </c>
      <c r="D373" s="6" t="str">
        <f t="shared" si="11"/>
        <v>Sugarcane</v>
      </c>
      <c r="E373" s="6">
        <v>15122</v>
      </c>
      <c r="F373" s="6">
        <v>0</v>
      </c>
      <c r="G373" s="6">
        <v>0</v>
      </c>
      <c r="H373" s="6">
        <v>0</v>
      </c>
      <c r="I373" s="6">
        <v>0</v>
      </c>
    </row>
    <row r="374" spans="1:9">
      <c r="A374" s="6">
        <v>47</v>
      </c>
      <c r="B374" s="6" t="str">
        <f t="shared" si="10"/>
        <v>Building Construction</v>
      </c>
      <c r="C374" s="6">
        <v>6</v>
      </c>
      <c r="D374" s="6" t="str">
        <f t="shared" si="11"/>
        <v>Sugarcane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</row>
    <row r="375" spans="1:9">
      <c r="A375" s="6">
        <v>48</v>
      </c>
      <c r="B375" s="6" t="str">
        <f t="shared" si="10"/>
        <v>Public Works and Other Construction</v>
      </c>
      <c r="C375" s="6">
        <v>6</v>
      </c>
      <c r="D375" s="6" t="str">
        <f t="shared" si="11"/>
        <v>Sugarcane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</row>
    <row r="376" spans="1:9">
      <c r="A376" s="6">
        <v>49</v>
      </c>
      <c r="B376" s="6" t="str">
        <f t="shared" si="10"/>
        <v>Trade</v>
      </c>
      <c r="C376" s="6">
        <v>6</v>
      </c>
      <c r="D376" s="6" t="str">
        <f t="shared" si="11"/>
        <v>Sugarcane</v>
      </c>
      <c r="E376" s="6">
        <v>0</v>
      </c>
      <c r="F376" s="6">
        <v>-2139245</v>
      </c>
      <c r="G376" s="6">
        <v>-2535142</v>
      </c>
      <c r="H376" s="6">
        <v>0</v>
      </c>
      <c r="I376" s="6">
        <v>0</v>
      </c>
    </row>
    <row r="377" spans="1:9">
      <c r="A377" s="6">
        <v>50</v>
      </c>
      <c r="B377" s="6" t="str">
        <f t="shared" si="10"/>
        <v>Restaurants and Hotels</v>
      </c>
      <c r="C377" s="6">
        <v>6</v>
      </c>
      <c r="D377" s="6" t="str">
        <f t="shared" si="11"/>
        <v>Sugarcane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</row>
    <row r="378" spans="1:9">
      <c r="A378" s="6">
        <v>51</v>
      </c>
      <c r="B378" s="6" t="str">
        <f t="shared" si="10"/>
        <v>Transportation</v>
      </c>
      <c r="C378" s="6">
        <v>6</v>
      </c>
      <c r="D378" s="6" t="str">
        <f t="shared" si="11"/>
        <v>Sugarcane</v>
      </c>
      <c r="E378" s="6">
        <v>94915</v>
      </c>
      <c r="F378" s="6">
        <v>0</v>
      </c>
      <c r="G378" s="6">
        <v>0</v>
      </c>
      <c r="H378" s="6">
        <v>-752100</v>
      </c>
      <c r="I378" s="6">
        <v>0</v>
      </c>
    </row>
    <row r="379" spans="1:9">
      <c r="A379" s="6">
        <v>52</v>
      </c>
      <c r="B379" s="6" t="str">
        <f t="shared" si="10"/>
        <v>Communication</v>
      </c>
      <c r="C379" s="6">
        <v>6</v>
      </c>
      <c r="D379" s="6" t="str">
        <f t="shared" si="11"/>
        <v>Sugarcane</v>
      </c>
      <c r="E379" s="6">
        <v>13439</v>
      </c>
      <c r="F379" s="6">
        <v>0</v>
      </c>
      <c r="G379" s="6">
        <v>0</v>
      </c>
      <c r="H379" s="6">
        <v>0</v>
      </c>
      <c r="I379" s="6">
        <v>0</v>
      </c>
    </row>
    <row r="380" spans="1:9">
      <c r="A380" s="6">
        <v>53</v>
      </c>
      <c r="B380" s="6" t="str">
        <f t="shared" si="10"/>
        <v>Banking and Insurance</v>
      </c>
      <c r="C380" s="6">
        <v>6</v>
      </c>
      <c r="D380" s="6" t="str">
        <f t="shared" si="11"/>
        <v>Sugarcane</v>
      </c>
      <c r="E380" s="6">
        <v>3124540</v>
      </c>
      <c r="F380" s="6">
        <v>0</v>
      </c>
      <c r="G380" s="6">
        <v>0</v>
      </c>
      <c r="H380" s="6">
        <v>0</v>
      </c>
      <c r="I380" s="6">
        <v>0</v>
      </c>
    </row>
    <row r="381" spans="1:9">
      <c r="A381" s="6">
        <v>54</v>
      </c>
      <c r="B381" s="6" t="str">
        <f t="shared" si="10"/>
        <v>Real Estate</v>
      </c>
      <c r="C381" s="6">
        <v>6</v>
      </c>
      <c r="D381" s="6" t="str">
        <f t="shared" si="11"/>
        <v>Sugarcane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</row>
    <row r="382" spans="1:9">
      <c r="A382" s="6">
        <v>55</v>
      </c>
      <c r="B382" s="6" t="str">
        <f t="shared" si="10"/>
        <v>Business Services</v>
      </c>
      <c r="C382" s="6">
        <v>6</v>
      </c>
      <c r="D382" s="6" t="str">
        <f t="shared" si="11"/>
        <v>Sugarcane</v>
      </c>
      <c r="E382" s="6">
        <v>6600</v>
      </c>
      <c r="F382" s="6">
        <v>0</v>
      </c>
      <c r="G382" s="6">
        <v>0</v>
      </c>
      <c r="H382" s="6">
        <v>0</v>
      </c>
      <c r="I382" s="6">
        <v>0</v>
      </c>
    </row>
    <row r="383" spans="1:9">
      <c r="A383" s="6">
        <v>56</v>
      </c>
      <c r="B383" s="6" t="str">
        <f t="shared" si="10"/>
        <v>Public Services</v>
      </c>
      <c r="C383" s="6">
        <v>6</v>
      </c>
      <c r="D383" s="6" t="str">
        <f t="shared" si="11"/>
        <v>Sugarcane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</row>
    <row r="384" spans="1:9">
      <c r="A384" s="6">
        <v>57</v>
      </c>
      <c r="B384" s="6" t="str">
        <f t="shared" si="10"/>
        <v>Other Services</v>
      </c>
      <c r="C384" s="6">
        <v>6</v>
      </c>
      <c r="D384" s="6" t="str">
        <f t="shared" si="11"/>
        <v>Sugarcane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</row>
    <row r="385" spans="1:9">
      <c r="A385" s="6">
        <v>58</v>
      </c>
      <c r="B385" s="6" t="str">
        <f t="shared" si="10"/>
        <v>Unclassified</v>
      </c>
      <c r="C385" s="6">
        <v>6</v>
      </c>
      <c r="D385" s="6" t="str">
        <f t="shared" si="11"/>
        <v>Sugarcane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</row>
    <row r="386" spans="1:9">
      <c r="A386" s="6">
        <v>190</v>
      </c>
      <c r="B386" s="6" t="str">
        <f t="shared" si="10"/>
        <v>Total Intermedite Transaction</v>
      </c>
      <c r="C386" s="6">
        <v>6</v>
      </c>
      <c r="D386" s="6" t="str">
        <f t="shared" si="11"/>
        <v>Sugarcane</v>
      </c>
      <c r="E386" s="6">
        <v>28326762</v>
      </c>
      <c r="F386" s="6">
        <v>0</v>
      </c>
      <c r="G386" s="6">
        <v>0</v>
      </c>
      <c r="H386" s="6">
        <v>0</v>
      </c>
      <c r="I386" s="6">
        <v>6877065</v>
      </c>
    </row>
    <row r="387" spans="1:9">
      <c r="A387" s="6">
        <v>201</v>
      </c>
      <c r="B387" s="6" t="str">
        <f t="shared" si="10"/>
        <v>Wages and Salaries</v>
      </c>
      <c r="C387" s="6">
        <v>6</v>
      </c>
      <c r="D387" s="6" t="str">
        <f t="shared" si="11"/>
        <v>Sugarcane</v>
      </c>
      <c r="E387" s="6">
        <v>18783938</v>
      </c>
      <c r="F387" s="6">
        <v>0</v>
      </c>
      <c r="G387" s="6">
        <v>0</v>
      </c>
      <c r="H387" s="6">
        <v>0</v>
      </c>
      <c r="I387" s="6">
        <v>0</v>
      </c>
    </row>
    <row r="388" spans="1:9">
      <c r="A388" s="6">
        <v>202</v>
      </c>
      <c r="B388" s="6" t="str">
        <f t="shared" ref="B388:B451" si="12">VLOOKUP(A388,R:S,2,0)</f>
        <v>Operating Surplus</v>
      </c>
      <c r="C388" s="6">
        <v>6</v>
      </c>
      <c r="D388" s="6" t="str">
        <f t="shared" ref="D388:D451" si="13">VLOOKUP(C388,R:S,2,0)</f>
        <v>Sugarcane</v>
      </c>
      <c r="E388" s="6">
        <v>28074623</v>
      </c>
      <c r="F388" s="6">
        <v>0</v>
      </c>
      <c r="G388" s="6">
        <v>0</v>
      </c>
      <c r="H388" s="6">
        <v>0</v>
      </c>
      <c r="I388" s="6">
        <v>0</v>
      </c>
    </row>
    <row r="389" spans="1:9">
      <c r="A389" s="6">
        <v>203</v>
      </c>
      <c r="B389" s="6" t="str">
        <f t="shared" si="12"/>
        <v>Depreciation</v>
      </c>
      <c r="C389" s="6">
        <v>6</v>
      </c>
      <c r="D389" s="6" t="str">
        <f t="shared" si="13"/>
        <v>Sugarcane</v>
      </c>
      <c r="E389" s="6">
        <v>7826419</v>
      </c>
      <c r="F389" s="6">
        <v>0</v>
      </c>
      <c r="G389" s="6">
        <v>0</v>
      </c>
      <c r="H389" s="6">
        <v>0</v>
      </c>
      <c r="I389" s="6">
        <v>0</v>
      </c>
    </row>
    <row r="390" spans="1:9">
      <c r="A390" s="6">
        <v>204</v>
      </c>
      <c r="B390" s="6" t="str">
        <f t="shared" si="12"/>
        <v>Indirect Taxes less Subsidies</v>
      </c>
      <c r="C390" s="6">
        <v>6</v>
      </c>
      <c r="D390" s="6" t="str">
        <f t="shared" si="13"/>
        <v>Sugarcane</v>
      </c>
      <c r="E390" s="6">
        <v>-15206341</v>
      </c>
      <c r="F390" s="6">
        <v>0</v>
      </c>
      <c r="G390" s="6">
        <v>0</v>
      </c>
      <c r="H390" s="6">
        <v>0</v>
      </c>
      <c r="I390" s="6">
        <v>0</v>
      </c>
    </row>
    <row r="391" spans="1:9">
      <c r="A391" s="6">
        <v>209</v>
      </c>
      <c r="B391" s="6" t="str">
        <f t="shared" si="12"/>
        <v>Total Value Added</v>
      </c>
      <c r="C391" s="6">
        <v>6</v>
      </c>
      <c r="D391" s="6" t="str">
        <f t="shared" si="13"/>
        <v>Sugarcane</v>
      </c>
      <c r="E391" s="6">
        <v>39478639</v>
      </c>
      <c r="F391" s="6">
        <v>0</v>
      </c>
      <c r="G391" s="6">
        <v>0</v>
      </c>
      <c r="H391" s="6">
        <v>0</v>
      </c>
      <c r="I391" s="6">
        <v>0</v>
      </c>
    </row>
    <row r="392" spans="1:9">
      <c r="A392" s="6">
        <v>210</v>
      </c>
      <c r="B392" s="6" t="str">
        <f t="shared" si="12"/>
        <v>Control Total</v>
      </c>
      <c r="C392" s="6">
        <v>6</v>
      </c>
      <c r="D392" s="6" t="str">
        <f t="shared" si="13"/>
        <v>Sugarcane</v>
      </c>
      <c r="E392" s="6">
        <v>67805401</v>
      </c>
      <c r="F392" s="6">
        <v>0</v>
      </c>
      <c r="G392" s="6">
        <v>0</v>
      </c>
      <c r="H392" s="6">
        <v>0</v>
      </c>
      <c r="I392" s="6">
        <v>0</v>
      </c>
    </row>
    <row r="393" spans="1:9">
      <c r="A393" s="6">
        <v>1</v>
      </c>
      <c r="B393" s="6" t="str">
        <f t="shared" si="12"/>
        <v>Paddy</v>
      </c>
      <c r="C393" s="6">
        <v>7</v>
      </c>
      <c r="D393" s="6" t="str">
        <f t="shared" si="13"/>
        <v>Rubber (Latex)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</row>
    <row r="394" spans="1:9">
      <c r="A394" s="6">
        <v>2</v>
      </c>
      <c r="B394" s="6" t="str">
        <f t="shared" si="12"/>
        <v>Maize</v>
      </c>
      <c r="C394" s="6">
        <v>7</v>
      </c>
      <c r="D394" s="6" t="str">
        <f t="shared" si="13"/>
        <v>Rubber (Latex)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</row>
    <row r="395" spans="1:9">
      <c r="A395" s="6">
        <v>3</v>
      </c>
      <c r="B395" s="6" t="str">
        <f t="shared" si="12"/>
        <v>Cassava</v>
      </c>
      <c r="C395" s="6">
        <v>7</v>
      </c>
      <c r="D395" s="6" t="str">
        <f t="shared" si="13"/>
        <v>Rubber (Latex)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</row>
    <row r="396" spans="1:9">
      <c r="A396" s="6">
        <v>4</v>
      </c>
      <c r="B396" s="6" t="str">
        <f t="shared" si="12"/>
        <v>Beans and Nuts</v>
      </c>
      <c r="C396" s="6">
        <v>7</v>
      </c>
      <c r="D396" s="6" t="str">
        <f t="shared" si="13"/>
        <v>Rubber (Latex)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</row>
    <row r="397" spans="1:9">
      <c r="A397" s="6">
        <v>5</v>
      </c>
      <c r="B397" s="6" t="str">
        <f t="shared" si="12"/>
        <v>Vegetables and Fruits</v>
      </c>
      <c r="C397" s="6">
        <v>7</v>
      </c>
      <c r="D397" s="6" t="str">
        <f t="shared" si="13"/>
        <v>Rubber (Latex)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</row>
    <row r="398" spans="1:9">
      <c r="A398" s="6">
        <v>6</v>
      </c>
      <c r="B398" s="6" t="str">
        <f t="shared" si="12"/>
        <v>Sugarcane</v>
      </c>
      <c r="C398" s="6">
        <v>7</v>
      </c>
      <c r="D398" s="6" t="str">
        <f t="shared" si="13"/>
        <v>Rubber (Latex)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</row>
    <row r="399" spans="1:9">
      <c r="A399" s="6">
        <v>7</v>
      </c>
      <c r="B399" s="6" t="str">
        <f t="shared" si="12"/>
        <v>Rubber (Latex)</v>
      </c>
      <c r="C399" s="6">
        <v>7</v>
      </c>
      <c r="D399" s="6" t="str">
        <f t="shared" si="13"/>
        <v>Rubber (Latex)</v>
      </c>
      <c r="E399" s="6">
        <v>9953834</v>
      </c>
      <c r="F399" s="6">
        <v>577309</v>
      </c>
      <c r="G399" s="6">
        <v>0</v>
      </c>
      <c r="H399" s="6">
        <v>68761</v>
      </c>
      <c r="I399" s="6">
        <v>35141</v>
      </c>
    </row>
    <row r="400" spans="1:9">
      <c r="A400" s="6">
        <v>8</v>
      </c>
      <c r="B400" s="6" t="str">
        <f t="shared" si="12"/>
        <v>Other Crops</v>
      </c>
      <c r="C400" s="6">
        <v>7</v>
      </c>
      <c r="D400" s="6" t="str">
        <f t="shared" si="13"/>
        <v>Rubber (Latex)</v>
      </c>
      <c r="E400" s="6">
        <v>2246407</v>
      </c>
      <c r="F400" s="6">
        <v>0</v>
      </c>
      <c r="G400" s="6">
        <v>0</v>
      </c>
      <c r="H400" s="6">
        <v>0</v>
      </c>
      <c r="I400" s="6">
        <v>0</v>
      </c>
    </row>
    <row r="401" spans="1:9">
      <c r="A401" s="6">
        <v>9</v>
      </c>
      <c r="B401" s="6" t="str">
        <f t="shared" si="12"/>
        <v>Livestock</v>
      </c>
      <c r="C401" s="6">
        <v>7</v>
      </c>
      <c r="D401" s="6" t="str">
        <f t="shared" si="13"/>
        <v>Rubber (Latex)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</row>
    <row r="402" spans="1:9">
      <c r="A402" s="6">
        <v>10</v>
      </c>
      <c r="B402" s="6" t="str">
        <f t="shared" si="12"/>
        <v>Forestry</v>
      </c>
      <c r="C402" s="6">
        <v>7</v>
      </c>
      <c r="D402" s="6" t="str">
        <f t="shared" si="13"/>
        <v>Rubber (Latex)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</row>
    <row r="403" spans="1:9">
      <c r="A403" s="6">
        <v>11</v>
      </c>
      <c r="B403" s="6" t="str">
        <f t="shared" si="12"/>
        <v>Fishery</v>
      </c>
      <c r="C403" s="6">
        <v>7</v>
      </c>
      <c r="D403" s="6" t="str">
        <f t="shared" si="13"/>
        <v>Rubber (Latex)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</row>
    <row r="404" spans="1:9">
      <c r="A404" s="6">
        <v>12</v>
      </c>
      <c r="B404" s="6" t="str">
        <f t="shared" si="12"/>
        <v>Crude Oil and Coal</v>
      </c>
      <c r="C404" s="6">
        <v>7</v>
      </c>
      <c r="D404" s="6" t="str">
        <f t="shared" si="13"/>
        <v>Rubber (Latex)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</row>
    <row r="405" spans="1:9">
      <c r="A405" s="6">
        <v>13</v>
      </c>
      <c r="B405" s="6" t="str">
        <f t="shared" si="12"/>
        <v>Metal Ore</v>
      </c>
      <c r="C405" s="6">
        <v>7</v>
      </c>
      <c r="D405" s="6" t="str">
        <f t="shared" si="13"/>
        <v>Rubber (Latex)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</row>
    <row r="406" spans="1:9">
      <c r="A406" s="6">
        <v>14</v>
      </c>
      <c r="B406" s="6" t="str">
        <f t="shared" si="12"/>
        <v>Non-Metal Ore</v>
      </c>
      <c r="C406" s="6">
        <v>7</v>
      </c>
      <c r="D406" s="6" t="str">
        <f t="shared" si="13"/>
        <v>Rubber (Latex)</v>
      </c>
      <c r="E406" s="6">
        <v>19485</v>
      </c>
      <c r="F406" s="6">
        <v>929</v>
      </c>
      <c r="G406" s="6">
        <v>239</v>
      </c>
      <c r="H406" s="6">
        <v>2585</v>
      </c>
      <c r="I406" s="6">
        <v>0</v>
      </c>
    </row>
    <row r="407" spans="1:9">
      <c r="A407" s="6">
        <v>15</v>
      </c>
      <c r="B407" s="6" t="str">
        <f t="shared" si="12"/>
        <v>Slaughtering</v>
      </c>
      <c r="C407" s="6">
        <v>7</v>
      </c>
      <c r="D407" s="6" t="str">
        <f t="shared" si="13"/>
        <v>Rubber (Latex)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</row>
    <row r="408" spans="1:9">
      <c r="A408" s="6">
        <v>16</v>
      </c>
      <c r="B408" s="6" t="str">
        <f t="shared" si="12"/>
        <v>Processing and Presering of Foods</v>
      </c>
      <c r="C408" s="6">
        <v>7</v>
      </c>
      <c r="D408" s="6" t="str">
        <f t="shared" si="13"/>
        <v>Rubber (Latex)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</row>
    <row r="409" spans="1:9">
      <c r="A409" s="6">
        <v>17</v>
      </c>
      <c r="B409" s="6" t="str">
        <f t="shared" si="12"/>
        <v>Rice and Other Grain Milling</v>
      </c>
      <c r="C409" s="6">
        <v>7</v>
      </c>
      <c r="D409" s="6" t="str">
        <f t="shared" si="13"/>
        <v>Rubber (Latex)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</row>
    <row r="410" spans="1:9">
      <c r="A410" s="6">
        <v>18</v>
      </c>
      <c r="B410" s="6" t="str">
        <f t="shared" si="12"/>
        <v>Sugar Refineries</v>
      </c>
      <c r="C410" s="6">
        <v>7</v>
      </c>
      <c r="D410" s="6" t="str">
        <f t="shared" si="13"/>
        <v>Rubber (Latex)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</row>
    <row r="411" spans="1:9">
      <c r="A411" s="6">
        <v>19</v>
      </c>
      <c r="B411" s="6" t="str">
        <f t="shared" si="12"/>
        <v>Other Foods</v>
      </c>
      <c r="C411" s="6">
        <v>7</v>
      </c>
      <c r="D411" s="6" t="str">
        <f t="shared" si="13"/>
        <v>Rubber (Latex)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</row>
    <row r="412" spans="1:9">
      <c r="A412" s="6">
        <v>20</v>
      </c>
      <c r="B412" s="6" t="str">
        <f t="shared" si="12"/>
        <v>Animal Food</v>
      </c>
      <c r="C412" s="6">
        <v>7</v>
      </c>
      <c r="D412" s="6" t="str">
        <f t="shared" si="13"/>
        <v>Rubber (Latex)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</row>
    <row r="413" spans="1:9">
      <c r="A413" s="6">
        <v>21</v>
      </c>
      <c r="B413" s="6" t="str">
        <f t="shared" si="12"/>
        <v>Beverages</v>
      </c>
      <c r="C413" s="6">
        <v>7</v>
      </c>
      <c r="D413" s="6" t="str">
        <f t="shared" si="13"/>
        <v>Rubber (Latex)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</row>
    <row r="414" spans="1:9">
      <c r="A414" s="6">
        <v>22</v>
      </c>
      <c r="B414" s="6" t="str">
        <f t="shared" si="12"/>
        <v>Tobacco Processing and Products</v>
      </c>
      <c r="C414" s="6">
        <v>7</v>
      </c>
      <c r="D414" s="6" t="str">
        <f t="shared" si="13"/>
        <v>Rubber (Latex)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</row>
    <row r="415" spans="1:9">
      <c r="A415" s="6">
        <v>23</v>
      </c>
      <c r="B415" s="6" t="str">
        <f t="shared" si="12"/>
        <v>Spinning, Weaving and Bleaching</v>
      </c>
      <c r="C415" s="6">
        <v>7</v>
      </c>
      <c r="D415" s="6" t="str">
        <f t="shared" si="13"/>
        <v>Rubber (Latex)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</row>
    <row r="416" spans="1:9">
      <c r="A416" s="6">
        <v>24</v>
      </c>
      <c r="B416" s="6" t="str">
        <f t="shared" si="12"/>
        <v>Textile Products</v>
      </c>
      <c r="C416" s="6">
        <v>7</v>
      </c>
      <c r="D416" s="6" t="str">
        <f t="shared" si="13"/>
        <v>Rubber (Latex)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</row>
    <row r="417" spans="1:9">
      <c r="A417" s="6">
        <v>25</v>
      </c>
      <c r="B417" s="6" t="str">
        <f t="shared" si="12"/>
        <v>Paper and Paper Products</v>
      </c>
      <c r="C417" s="6">
        <v>7</v>
      </c>
      <c r="D417" s="6" t="str">
        <f t="shared" si="13"/>
        <v>Rubber (Latex)</v>
      </c>
      <c r="E417" s="6">
        <v>1951</v>
      </c>
      <c r="F417" s="6">
        <v>72</v>
      </c>
      <c r="G417" s="6">
        <v>51</v>
      </c>
      <c r="H417" s="6">
        <v>17</v>
      </c>
      <c r="I417" s="6">
        <v>0</v>
      </c>
    </row>
    <row r="418" spans="1:9">
      <c r="A418" s="6">
        <v>26</v>
      </c>
      <c r="B418" s="6" t="str">
        <f t="shared" si="12"/>
        <v>Printing and Publishing</v>
      </c>
      <c r="C418" s="6">
        <v>7</v>
      </c>
      <c r="D418" s="6" t="str">
        <f t="shared" si="13"/>
        <v>Rubber (Latex)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</row>
    <row r="419" spans="1:9">
      <c r="A419" s="6">
        <v>27</v>
      </c>
      <c r="B419" s="6" t="str">
        <f t="shared" si="12"/>
        <v>Basic Chemical Products</v>
      </c>
      <c r="C419" s="6">
        <v>7</v>
      </c>
      <c r="D419" s="6" t="str">
        <f t="shared" si="13"/>
        <v>Rubber (Latex)</v>
      </c>
      <c r="E419" s="6">
        <v>1058974</v>
      </c>
      <c r="F419" s="6">
        <v>205138</v>
      </c>
      <c r="G419" s="6">
        <v>124328</v>
      </c>
      <c r="H419" s="6">
        <v>23717</v>
      </c>
      <c r="I419" s="6">
        <v>573582</v>
      </c>
    </row>
    <row r="420" spans="1:9">
      <c r="A420" s="6">
        <v>28</v>
      </c>
      <c r="B420" s="6" t="str">
        <f t="shared" si="12"/>
        <v>Fertilizer and Pesticides</v>
      </c>
      <c r="C420" s="6">
        <v>7</v>
      </c>
      <c r="D420" s="6" t="str">
        <f t="shared" si="13"/>
        <v>Rubber (Latex)</v>
      </c>
      <c r="E420" s="6">
        <v>20316356</v>
      </c>
      <c r="F420" s="6">
        <v>2120883</v>
      </c>
      <c r="G420" s="6">
        <v>1335886</v>
      </c>
      <c r="H420" s="6">
        <v>661464</v>
      </c>
      <c r="I420" s="6">
        <v>8753832</v>
      </c>
    </row>
    <row r="421" spans="1:9">
      <c r="A421" s="6">
        <v>29</v>
      </c>
      <c r="B421" s="6" t="str">
        <f t="shared" si="12"/>
        <v>Other Chemical Products</v>
      </c>
      <c r="C421" s="6">
        <v>7</v>
      </c>
      <c r="D421" s="6" t="str">
        <f t="shared" si="13"/>
        <v>Rubber (Latex)</v>
      </c>
      <c r="E421" s="6">
        <v>1017</v>
      </c>
      <c r="F421" s="6">
        <v>137</v>
      </c>
      <c r="G421" s="6">
        <v>169</v>
      </c>
      <c r="H421" s="6">
        <v>7</v>
      </c>
      <c r="I421" s="6">
        <v>0</v>
      </c>
    </row>
    <row r="422" spans="1:9">
      <c r="A422" s="6">
        <v>30</v>
      </c>
      <c r="B422" s="6" t="str">
        <f t="shared" si="12"/>
        <v>Petroleum Refineries</v>
      </c>
      <c r="C422" s="6">
        <v>7</v>
      </c>
      <c r="D422" s="6" t="str">
        <f t="shared" si="13"/>
        <v>Rubber (Latex)</v>
      </c>
      <c r="E422" s="6">
        <v>1936966</v>
      </c>
      <c r="F422" s="6">
        <v>103433</v>
      </c>
      <c r="G422" s="6">
        <v>166316</v>
      </c>
      <c r="H422" s="6">
        <v>18643</v>
      </c>
      <c r="I422" s="6">
        <v>327790</v>
      </c>
    </row>
    <row r="423" spans="1:9">
      <c r="A423" s="6">
        <v>31</v>
      </c>
      <c r="B423" s="6" t="str">
        <f t="shared" si="12"/>
        <v>Rubber Products</v>
      </c>
      <c r="C423" s="6">
        <v>7</v>
      </c>
      <c r="D423" s="6" t="str">
        <f t="shared" si="13"/>
        <v>Rubber (Latex)</v>
      </c>
      <c r="E423" s="6">
        <v>2950</v>
      </c>
      <c r="F423" s="6">
        <v>316</v>
      </c>
      <c r="G423" s="6">
        <v>178</v>
      </c>
      <c r="H423" s="6">
        <v>80</v>
      </c>
      <c r="I423" s="6">
        <v>0</v>
      </c>
    </row>
    <row r="424" spans="1:9">
      <c r="A424" s="6">
        <v>32</v>
      </c>
      <c r="B424" s="6" t="str">
        <f t="shared" si="12"/>
        <v>Plastic Wares</v>
      </c>
      <c r="C424" s="6">
        <v>7</v>
      </c>
      <c r="D424" s="6" t="str">
        <f t="shared" si="13"/>
        <v>Rubber (Latex)</v>
      </c>
      <c r="E424" s="6">
        <v>2195573</v>
      </c>
      <c r="F424" s="6">
        <v>153464</v>
      </c>
      <c r="G424" s="6">
        <v>212342</v>
      </c>
      <c r="H424" s="6">
        <v>18291</v>
      </c>
      <c r="I424" s="6">
        <v>1151310</v>
      </c>
    </row>
    <row r="425" spans="1:9">
      <c r="A425" s="6">
        <v>33</v>
      </c>
      <c r="B425" s="6" t="str">
        <f t="shared" si="12"/>
        <v>Cement and Concrete Products</v>
      </c>
      <c r="C425" s="6">
        <v>7</v>
      </c>
      <c r="D425" s="6" t="str">
        <f t="shared" si="13"/>
        <v>Rubber (Latex)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</row>
    <row r="426" spans="1:9">
      <c r="A426" s="6">
        <v>34</v>
      </c>
      <c r="B426" s="6" t="str">
        <f t="shared" si="12"/>
        <v>Other Non-metallic Products</v>
      </c>
      <c r="C426" s="6">
        <v>7</v>
      </c>
      <c r="D426" s="6" t="str">
        <f t="shared" si="13"/>
        <v>Rubber (Latex)</v>
      </c>
      <c r="E426" s="6">
        <v>17780</v>
      </c>
      <c r="F426" s="6">
        <v>861</v>
      </c>
      <c r="G426" s="6">
        <v>1019</v>
      </c>
      <c r="H426" s="6">
        <v>111</v>
      </c>
      <c r="I426" s="6">
        <v>0</v>
      </c>
    </row>
    <row r="427" spans="1:9">
      <c r="A427" s="6">
        <v>35</v>
      </c>
      <c r="B427" s="6" t="str">
        <f t="shared" si="12"/>
        <v>Iron and Steel</v>
      </c>
      <c r="C427" s="6">
        <v>7</v>
      </c>
      <c r="D427" s="6" t="str">
        <f t="shared" si="13"/>
        <v>Rubber (Latex)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</row>
    <row r="428" spans="1:9">
      <c r="A428" s="6">
        <v>36</v>
      </c>
      <c r="B428" s="6" t="str">
        <f t="shared" si="12"/>
        <v>Non-ferrous Metal</v>
      </c>
      <c r="C428" s="6">
        <v>7</v>
      </c>
      <c r="D428" s="6" t="str">
        <f t="shared" si="13"/>
        <v>Rubber (Latex)</v>
      </c>
      <c r="E428" s="6">
        <v>3140</v>
      </c>
      <c r="F428" s="6">
        <v>165</v>
      </c>
      <c r="G428" s="6">
        <v>78</v>
      </c>
      <c r="H428" s="6">
        <v>5</v>
      </c>
      <c r="I428" s="6">
        <v>1868</v>
      </c>
    </row>
    <row r="429" spans="1:9">
      <c r="A429" s="6">
        <v>37</v>
      </c>
      <c r="B429" s="6" t="str">
        <f t="shared" si="12"/>
        <v>Fabricated Metal Products</v>
      </c>
      <c r="C429" s="6">
        <v>7</v>
      </c>
      <c r="D429" s="6" t="str">
        <f t="shared" si="13"/>
        <v>Rubber (Latex)</v>
      </c>
      <c r="E429" s="6">
        <v>1071536</v>
      </c>
      <c r="F429" s="6">
        <v>29273</v>
      </c>
      <c r="G429" s="6">
        <v>69145</v>
      </c>
      <c r="H429" s="6">
        <v>5082</v>
      </c>
      <c r="I429" s="6">
        <v>400674</v>
      </c>
    </row>
    <row r="430" spans="1:9">
      <c r="A430" s="6">
        <v>38</v>
      </c>
      <c r="B430" s="6" t="str">
        <f t="shared" si="12"/>
        <v>Industrial Machinery</v>
      </c>
      <c r="C430" s="6">
        <v>7</v>
      </c>
      <c r="D430" s="6" t="str">
        <f t="shared" si="13"/>
        <v>Rubber (Latex)</v>
      </c>
      <c r="E430" s="6">
        <v>743840</v>
      </c>
      <c r="F430" s="6">
        <v>63172</v>
      </c>
      <c r="G430" s="6">
        <v>29410</v>
      </c>
      <c r="H430" s="6">
        <v>5170</v>
      </c>
      <c r="I430" s="6">
        <v>0</v>
      </c>
    </row>
    <row r="431" spans="1:9">
      <c r="A431" s="6">
        <v>39</v>
      </c>
      <c r="B431" s="6" t="str">
        <f t="shared" si="12"/>
        <v>Electrical Machinery and Apparatus</v>
      </c>
      <c r="C431" s="6">
        <v>7</v>
      </c>
      <c r="D431" s="6" t="str">
        <f t="shared" si="13"/>
        <v>Rubber (Latex)</v>
      </c>
      <c r="E431" s="6">
        <v>109717</v>
      </c>
      <c r="F431" s="6">
        <v>7106</v>
      </c>
      <c r="G431" s="6">
        <v>7149</v>
      </c>
      <c r="H431" s="6">
        <v>306</v>
      </c>
      <c r="I431" s="6">
        <v>0</v>
      </c>
    </row>
    <row r="432" spans="1:9">
      <c r="A432" s="6">
        <v>40</v>
      </c>
      <c r="B432" s="6" t="str">
        <f t="shared" si="12"/>
        <v>Motor Vehicles and Repairing</v>
      </c>
      <c r="C432" s="6">
        <v>7</v>
      </c>
      <c r="D432" s="6" t="str">
        <f t="shared" si="13"/>
        <v>Rubber (Latex)</v>
      </c>
      <c r="E432" s="6">
        <v>93414</v>
      </c>
      <c r="F432" s="6">
        <v>0</v>
      </c>
      <c r="G432" s="6">
        <v>0</v>
      </c>
      <c r="H432" s="6">
        <v>0</v>
      </c>
      <c r="I432" s="6">
        <v>0</v>
      </c>
    </row>
    <row r="433" spans="1:9">
      <c r="A433" s="6">
        <v>41</v>
      </c>
      <c r="B433" s="6" t="str">
        <f t="shared" si="12"/>
        <v>Other Transportation Equipment</v>
      </c>
      <c r="C433" s="6">
        <v>7</v>
      </c>
      <c r="D433" s="6" t="str">
        <f t="shared" si="13"/>
        <v>Rubber (Latex)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</row>
    <row r="434" spans="1:9">
      <c r="A434" s="6">
        <v>42</v>
      </c>
      <c r="B434" s="6" t="str">
        <f t="shared" si="12"/>
        <v>Leather Products</v>
      </c>
      <c r="C434" s="6">
        <v>7</v>
      </c>
      <c r="D434" s="6" t="str">
        <f t="shared" si="13"/>
        <v>Rubber (Latex)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</row>
    <row r="435" spans="1:9">
      <c r="A435" s="6">
        <v>43</v>
      </c>
      <c r="B435" s="6" t="str">
        <f t="shared" si="12"/>
        <v>Saw Mills and Wood Products</v>
      </c>
      <c r="C435" s="6">
        <v>7</v>
      </c>
      <c r="D435" s="6" t="str">
        <f t="shared" si="13"/>
        <v>Rubber (Latex)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</row>
    <row r="436" spans="1:9">
      <c r="A436" s="6">
        <v>44</v>
      </c>
      <c r="B436" s="6" t="str">
        <f t="shared" si="12"/>
        <v>Other Manufacturing Products</v>
      </c>
      <c r="C436" s="6">
        <v>7</v>
      </c>
      <c r="D436" s="6" t="str">
        <f t="shared" si="13"/>
        <v>Rubber (Latex)</v>
      </c>
      <c r="E436" s="6">
        <v>5065</v>
      </c>
      <c r="F436" s="6">
        <v>421</v>
      </c>
      <c r="G436" s="6">
        <v>652</v>
      </c>
      <c r="H436" s="6">
        <v>54</v>
      </c>
      <c r="I436" s="6">
        <v>0</v>
      </c>
    </row>
    <row r="437" spans="1:9">
      <c r="A437" s="6">
        <v>45</v>
      </c>
      <c r="B437" s="6" t="str">
        <f t="shared" si="12"/>
        <v>Electricity and Gas</v>
      </c>
      <c r="C437" s="6">
        <v>7</v>
      </c>
      <c r="D437" s="6" t="str">
        <f t="shared" si="13"/>
        <v>Rubber (Latex)</v>
      </c>
      <c r="E437" s="6">
        <v>306378</v>
      </c>
      <c r="F437" s="6">
        <v>0</v>
      </c>
      <c r="G437" s="6">
        <v>0</v>
      </c>
      <c r="H437" s="6">
        <v>0</v>
      </c>
      <c r="I437" s="6">
        <v>0</v>
      </c>
    </row>
    <row r="438" spans="1:9">
      <c r="A438" s="6">
        <v>46</v>
      </c>
      <c r="B438" s="6" t="str">
        <f t="shared" si="12"/>
        <v>Water Works and Supply</v>
      </c>
      <c r="C438" s="6">
        <v>7</v>
      </c>
      <c r="D438" s="6" t="str">
        <f t="shared" si="13"/>
        <v>Rubber (Latex)</v>
      </c>
      <c r="E438" s="6">
        <v>30349</v>
      </c>
      <c r="F438" s="6">
        <v>0</v>
      </c>
      <c r="G438" s="6">
        <v>0</v>
      </c>
      <c r="H438" s="6">
        <v>0</v>
      </c>
      <c r="I438" s="6">
        <v>0</v>
      </c>
    </row>
    <row r="439" spans="1:9">
      <c r="A439" s="6">
        <v>47</v>
      </c>
      <c r="B439" s="6" t="str">
        <f t="shared" si="12"/>
        <v>Building Construction</v>
      </c>
      <c r="C439" s="6">
        <v>7</v>
      </c>
      <c r="D439" s="6" t="str">
        <f t="shared" si="13"/>
        <v>Rubber (Latex)</v>
      </c>
      <c r="E439" s="6">
        <v>1481</v>
      </c>
      <c r="F439" s="6">
        <v>0</v>
      </c>
      <c r="G439" s="6">
        <v>0</v>
      </c>
      <c r="H439" s="6">
        <v>0</v>
      </c>
      <c r="I439" s="6">
        <v>0</v>
      </c>
    </row>
    <row r="440" spans="1:9">
      <c r="A440" s="6">
        <v>48</v>
      </c>
      <c r="B440" s="6" t="str">
        <f t="shared" si="12"/>
        <v>Public Works and Other Construction</v>
      </c>
      <c r="C440" s="6">
        <v>7</v>
      </c>
      <c r="D440" s="6" t="str">
        <f t="shared" si="13"/>
        <v>Rubber (Latex)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</row>
    <row r="441" spans="1:9">
      <c r="A441" s="6">
        <v>49</v>
      </c>
      <c r="B441" s="6" t="str">
        <f t="shared" si="12"/>
        <v>Trade</v>
      </c>
      <c r="C441" s="6">
        <v>7</v>
      </c>
      <c r="D441" s="6" t="str">
        <f t="shared" si="13"/>
        <v>Rubber (Latex)</v>
      </c>
      <c r="E441" s="6">
        <v>0</v>
      </c>
      <c r="F441" s="6">
        <v>-3262679</v>
      </c>
      <c r="G441" s="6">
        <v>-1946962</v>
      </c>
      <c r="H441" s="6">
        <v>0</v>
      </c>
      <c r="I441" s="6">
        <v>0</v>
      </c>
    </row>
    <row r="442" spans="1:9">
      <c r="A442" s="6">
        <v>50</v>
      </c>
      <c r="B442" s="6" t="str">
        <f t="shared" si="12"/>
        <v>Restaurants and Hotels</v>
      </c>
      <c r="C442" s="6">
        <v>7</v>
      </c>
      <c r="D442" s="6" t="str">
        <f t="shared" si="13"/>
        <v>Rubber (Latex)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</row>
    <row r="443" spans="1:9">
      <c r="A443" s="6">
        <v>51</v>
      </c>
      <c r="B443" s="6" t="str">
        <f t="shared" si="12"/>
        <v>Transportation</v>
      </c>
      <c r="C443" s="6">
        <v>7</v>
      </c>
      <c r="D443" s="6" t="str">
        <f t="shared" si="13"/>
        <v>Rubber (Latex)</v>
      </c>
      <c r="E443" s="6">
        <v>711810</v>
      </c>
      <c r="F443" s="6">
        <v>0</v>
      </c>
      <c r="G443" s="6">
        <v>0</v>
      </c>
      <c r="H443" s="6">
        <v>-804293</v>
      </c>
      <c r="I443" s="6">
        <v>0</v>
      </c>
    </row>
    <row r="444" spans="1:9">
      <c r="A444" s="6">
        <v>52</v>
      </c>
      <c r="B444" s="6" t="str">
        <f t="shared" si="12"/>
        <v>Communication</v>
      </c>
      <c r="C444" s="6">
        <v>7</v>
      </c>
      <c r="D444" s="6" t="str">
        <f t="shared" si="13"/>
        <v>Rubber (Latex)</v>
      </c>
      <c r="E444" s="6">
        <v>696420</v>
      </c>
      <c r="F444" s="6">
        <v>0</v>
      </c>
      <c r="G444" s="6">
        <v>0</v>
      </c>
      <c r="H444" s="6">
        <v>0</v>
      </c>
      <c r="I444" s="6">
        <v>0</v>
      </c>
    </row>
    <row r="445" spans="1:9">
      <c r="A445" s="6">
        <v>53</v>
      </c>
      <c r="B445" s="6" t="str">
        <f t="shared" si="12"/>
        <v>Banking and Insurance</v>
      </c>
      <c r="C445" s="6">
        <v>7</v>
      </c>
      <c r="D445" s="6" t="str">
        <f t="shared" si="13"/>
        <v>Rubber (Latex)</v>
      </c>
      <c r="E445" s="6">
        <v>7237899</v>
      </c>
      <c r="F445" s="6">
        <v>0</v>
      </c>
      <c r="G445" s="6">
        <v>0</v>
      </c>
      <c r="H445" s="6">
        <v>0</v>
      </c>
      <c r="I445" s="6">
        <v>0</v>
      </c>
    </row>
    <row r="446" spans="1:9">
      <c r="A446" s="6">
        <v>54</v>
      </c>
      <c r="B446" s="6" t="str">
        <f t="shared" si="12"/>
        <v>Real Estate</v>
      </c>
      <c r="C446" s="6">
        <v>7</v>
      </c>
      <c r="D446" s="6" t="str">
        <f t="shared" si="13"/>
        <v>Rubber (Latex)</v>
      </c>
      <c r="E446" s="6">
        <v>3236</v>
      </c>
      <c r="F446" s="6">
        <v>0</v>
      </c>
      <c r="G446" s="6">
        <v>0</v>
      </c>
      <c r="H446" s="6">
        <v>0</v>
      </c>
      <c r="I446" s="6">
        <v>0</v>
      </c>
    </row>
    <row r="447" spans="1:9">
      <c r="A447" s="6">
        <v>55</v>
      </c>
      <c r="B447" s="6" t="str">
        <f t="shared" si="12"/>
        <v>Business Services</v>
      </c>
      <c r="C447" s="6">
        <v>7</v>
      </c>
      <c r="D447" s="6" t="str">
        <f t="shared" si="13"/>
        <v>Rubber (Latex)</v>
      </c>
      <c r="E447" s="6">
        <v>1909564</v>
      </c>
      <c r="F447" s="6">
        <v>0</v>
      </c>
      <c r="G447" s="6">
        <v>0</v>
      </c>
      <c r="H447" s="6">
        <v>0</v>
      </c>
      <c r="I447" s="6">
        <v>0</v>
      </c>
    </row>
    <row r="448" spans="1:9">
      <c r="A448" s="6">
        <v>56</v>
      </c>
      <c r="B448" s="6" t="str">
        <f t="shared" si="12"/>
        <v>Public Services</v>
      </c>
      <c r="C448" s="6">
        <v>7</v>
      </c>
      <c r="D448" s="6" t="str">
        <f t="shared" si="13"/>
        <v>Rubber (Latex)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</row>
    <row r="449" spans="1:9">
      <c r="A449" s="6">
        <v>57</v>
      </c>
      <c r="B449" s="6" t="str">
        <f t="shared" si="12"/>
        <v>Other Services</v>
      </c>
      <c r="C449" s="6">
        <v>7</v>
      </c>
      <c r="D449" s="6" t="str">
        <f t="shared" si="13"/>
        <v>Rubber (Latex)</v>
      </c>
      <c r="E449" s="6">
        <v>292546</v>
      </c>
      <c r="F449" s="6">
        <v>0</v>
      </c>
      <c r="G449" s="6">
        <v>0</v>
      </c>
      <c r="H449" s="6">
        <v>0</v>
      </c>
      <c r="I449" s="6">
        <v>0</v>
      </c>
    </row>
    <row r="450" spans="1:9">
      <c r="A450" s="6">
        <v>58</v>
      </c>
      <c r="B450" s="6" t="str">
        <f t="shared" si="12"/>
        <v>Unclassified</v>
      </c>
      <c r="C450" s="6">
        <v>7</v>
      </c>
      <c r="D450" s="6" t="str">
        <f t="shared" si="13"/>
        <v>Rubber (Latex)</v>
      </c>
      <c r="E450" s="6">
        <v>25570</v>
      </c>
      <c r="F450" s="6">
        <v>0</v>
      </c>
      <c r="G450" s="6">
        <v>0</v>
      </c>
      <c r="H450" s="6">
        <v>0</v>
      </c>
      <c r="I450" s="6">
        <v>2632</v>
      </c>
    </row>
    <row r="451" spans="1:9">
      <c r="A451" s="6">
        <v>190</v>
      </c>
      <c r="B451" s="6" t="str">
        <f t="shared" si="12"/>
        <v>Total Intermedite Transaction</v>
      </c>
      <c r="C451" s="6">
        <v>7</v>
      </c>
      <c r="D451" s="6" t="str">
        <f t="shared" si="13"/>
        <v>Rubber (Latex)</v>
      </c>
      <c r="E451" s="6">
        <v>50993258</v>
      </c>
      <c r="F451" s="6">
        <v>0</v>
      </c>
      <c r="G451" s="6">
        <v>0</v>
      </c>
      <c r="H451" s="6">
        <v>0</v>
      </c>
      <c r="I451" s="6">
        <v>11246829</v>
      </c>
    </row>
    <row r="452" spans="1:9">
      <c r="A452" s="6">
        <v>201</v>
      </c>
      <c r="B452" s="6" t="str">
        <f t="shared" ref="B452:B515" si="14">VLOOKUP(A452,R:S,2,0)</f>
        <v>Wages and Salaries</v>
      </c>
      <c r="C452" s="6">
        <v>7</v>
      </c>
      <c r="D452" s="6" t="str">
        <f t="shared" ref="D452:D515" si="15">VLOOKUP(C452,R:S,2,0)</f>
        <v>Rubber (Latex)</v>
      </c>
      <c r="E452" s="6">
        <v>64784079</v>
      </c>
      <c r="F452" s="6">
        <v>0</v>
      </c>
      <c r="G452" s="6">
        <v>0</v>
      </c>
      <c r="H452" s="6">
        <v>0</v>
      </c>
      <c r="I452" s="6">
        <v>0</v>
      </c>
    </row>
    <row r="453" spans="1:9">
      <c r="A453" s="6">
        <v>202</v>
      </c>
      <c r="B453" s="6" t="str">
        <f t="shared" si="14"/>
        <v>Operating Surplus</v>
      </c>
      <c r="C453" s="6">
        <v>7</v>
      </c>
      <c r="D453" s="6" t="str">
        <f t="shared" si="15"/>
        <v>Rubber (Latex)</v>
      </c>
      <c r="E453" s="6">
        <v>97839571</v>
      </c>
      <c r="F453" s="6">
        <v>0</v>
      </c>
      <c r="G453" s="6">
        <v>0</v>
      </c>
      <c r="H453" s="6">
        <v>0</v>
      </c>
      <c r="I453" s="6">
        <v>0</v>
      </c>
    </row>
    <row r="454" spans="1:9">
      <c r="A454" s="6">
        <v>203</v>
      </c>
      <c r="B454" s="6" t="str">
        <f t="shared" si="14"/>
        <v>Depreciation</v>
      </c>
      <c r="C454" s="6">
        <v>7</v>
      </c>
      <c r="D454" s="6" t="str">
        <f t="shared" si="15"/>
        <v>Rubber (Latex)</v>
      </c>
      <c r="E454" s="6">
        <v>7305765</v>
      </c>
      <c r="F454" s="6">
        <v>0</v>
      </c>
      <c r="G454" s="6">
        <v>0</v>
      </c>
      <c r="H454" s="6">
        <v>0</v>
      </c>
      <c r="I454" s="6">
        <v>0</v>
      </c>
    </row>
    <row r="455" spans="1:9">
      <c r="A455" s="6">
        <v>204</v>
      </c>
      <c r="B455" s="6" t="str">
        <f t="shared" si="14"/>
        <v>Indirect Taxes less Subsidies</v>
      </c>
      <c r="C455" s="6">
        <v>7</v>
      </c>
      <c r="D455" s="6" t="str">
        <f t="shared" si="15"/>
        <v>Rubber (Latex)</v>
      </c>
      <c r="E455" s="6">
        <v>119730</v>
      </c>
      <c r="F455" s="6">
        <v>0</v>
      </c>
      <c r="G455" s="6">
        <v>0</v>
      </c>
      <c r="H455" s="6">
        <v>0</v>
      </c>
      <c r="I455" s="6">
        <v>0</v>
      </c>
    </row>
    <row r="456" spans="1:9">
      <c r="A456" s="6">
        <v>209</v>
      </c>
      <c r="B456" s="6" t="str">
        <f t="shared" si="14"/>
        <v>Total Value Added</v>
      </c>
      <c r="C456" s="6">
        <v>7</v>
      </c>
      <c r="D456" s="6" t="str">
        <f t="shared" si="15"/>
        <v>Rubber (Latex)</v>
      </c>
      <c r="E456" s="6">
        <v>170049145</v>
      </c>
      <c r="F456" s="6">
        <v>0</v>
      </c>
      <c r="G456" s="6">
        <v>0</v>
      </c>
      <c r="H456" s="6">
        <v>0</v>
      </c>
      <c r="I456" s="6">
        <v>0</v>
      </c>
    </row>
    <row r="457" spans="1:9">
      <c r="A457" s="6">
        <v>210</v>
      </c>
      <c r="B457" s="6" t="str">
        <f t="shared" si="14"/>
        <v>Control Total</v>
      </c>
      <c r="C457" s="6">
        <v>7</v>
      </c>
      <c r="D457" s="6" t="str">
        <f t="shared" si="15"/>
        <v>Rubber (Latex)</v>
      </c>
      <c r="E457" s="6">
        <v>221042403</v>
      </c>
      <c r="F457" s="6">
        <v>0</v>
      </c>
      <c r="G457" s="6">
        <v>0</v>
      </c>
      <c r="H457" s="6">
        <v>0</v>
      </c>
      <c r="I457" s="6">
        <v>0</v>
      </c>
    </row>
    <row r="458" spans="1:9">
      <c r="A458" s="6">
        <v>1</v>
      </c>
      <c r="B458" s="6" t="str">
        <f t="shared" si="14"/>
        <v>Paddy</v>
      </c>
      <c r="C458" s="6">
        <v>8</v>
      </c>
      <c r="D458" s="6" t="str">
        <f t="shared" si="15"/>
        <v>Other Crops</v>
      </c>
      <c r="E458" s="6">
        <v>13272</v>
      </c>
      <c r="F458" s="6">
        <v>0</v>
      </c>
      <c r="G458" s="6">
        <v>0</v>
      </c>
      <c r="H458" s="6">
        <v>94</v>
      </c>
      <c r="I458" s="6">
        <v>0</v>
      </c>
    </row>
    <row r="459" spans="1:9">
      <c r="A459" s="6">
        <v>2</v>
      </c>
      <c r="B459" s="6" t="str">
        <f t="shared" si="14"/>
        <v>Maize</v>
      </c>
      <c r="C459" s="6">
        <v>8</v>
      </c>
      <c r="D459" s="6" t="str">
        <f t="shared" si="15"/>
        <v>Other Crops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</row>
    <row r="460" spans="1:9">
      <c r="A460" s="6">
        <v>3</v>
      </c>
      <c r="B460" s="6" t="str">
        <f t="shared" si="14"/>
        <v>Cassava</v>
      </c>
      <c r="C460" s="6">
        <v>8</v>
      </c>
      <c r="D460" s="6" t="str">
        <f t="shared" si="15"/>
        <v>Other Crops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</row>
    <row r="461" spans="1:9">
      <c r="A461" s="6">
        <v>4</v>
      </c>
      <c r="B461" s="6" t="str">
        <f t="shared" si="14"/>
        <v>Beans and Nuts</v>
      </c>
      <c r="C461" s="6">
        <v>8</v>
      </c>
      <c r="D461" s="6" t="str">
        <f t="shared" si="15"/>
        <v>Other Crops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</row>
    <row r="462" spans="1:9">
      <c r="A462" s="6">
        <v>5</v>
      </c>
      <c r="B462" s="6" t="str">
        <f t="shared" si="14"/>
        <v>Vegetables and Fruits</v>
      </c>
      <c r="C462" s="6">
        <v>8</v>
      </c>
      <c r="D462" s="6" t="str">
        <f t="shared" si="15"/>
        <v>Other Crops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</row>
    <row r="463" spans="1:9">
      <c r="A463" s="6">
        <v>6</v>
      </c>
      <c r="B463" s="6" t="str">
        <f t="shared" si="14"/>
        <v>Sugarcane</v>
      </c>
      <c r="C463" s="6">
        <v>8</v>
      </c>
      <c r="D463" s="6" t="str">
        <f t="shared" si="15"/>
        <v>Other Crops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</row>
    <row r="464" spans="1:9">
      <c r="A464" s="6">
        <v>7</v>
      </c>
      <c r="B464" s="6" t="str">
        <f t="shared" si="14"/>
        <v>Rubber (Latex)</v>
      </c>
      <c r="C464" s="6">
        <v>8</v>
      </c>
      <c r="D464" s="6" t="str">
        <f t="shared" si="15"/>
        <v>Other Crops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</row>
    <row r="465" spans="1:9">
      <c r="A465" s="6">
        <v>8</v>
      </c>
      <c r="B465" s="6" t="str">
        <f t="shared" si="14"/>
        <v>Other Crops</v>
      </c>
      <c r="C465" s="6">
        <v>8</v>
      </c>
      <c r="D465" s="6" t="str">
        <f t="shared" si="15"/>
        <v>Other Crops</v>
      </c>
      <c r="E465" s="6">
        <v>14706240</v>
      </c>
      <c r="F465" s="6">
        <v>636943</v>
      </c>
      <c r="G465" s="6">
        <v>118009</v>
      </c>
      <c r="H465" s="6">
        <v>163871</v>
      </c>
      <c r="I465" s="6">
        <v>1162703</v>
      </c>
    </row>
    <row r="466" spans="1:9">
      <c r="A466" s="6">
        <v>9</v>
      </c>
      <c r="B466" s="6" t="str">
        <f t="shared" si="14"/>
        <v>Livestock</v>
      </c>
      <c r="C466" s="6">
        <v>8</v>
      </c>
      <c r="D466" s="6" t="str">
        <f t="shared" si="15"/>
        <v>Other Crops</v>
      </c>
      <c r="E466" s="6">
        <v>10772</v>
      </c>
      <c r="F466" s="6">
        <v>657</v>
      </c>
      <c r="G466" s="6">
        <v>0</v>
      </c>
      <c r="H466" s="6">
        <v>21</v>
      </c>
      <c r="I466" s="6">
        <v>0</v>
      </c>
    </row>
    <row r="467" spans="1:9">
      <c r="A467" s="6">
        <v>10</v>
      </c>
      <c r="B467" s="6" t="str">
        <f t="shared" si="14"/>
        <v>Forestry</v>
      </c>
      <c r="C467" s="6">
        <v>8</v>
      </c>
      <c r="D467" s="6" t="str">
        <f t="shared" si="15"/>
        <v>Other Crops</v>
      </c>
      <c r="E467" s="6">
        <v>6674</v>
      </c>
      <c r="F467" s="6">
        <v>418</v>
      </c>
      <c r="G467" s="6">
        <v>642</v>
      </c>
      <c r="H467" s="6">
        <v>106</v>
      </c>
      <c r="I467" s="6">
        <v>0</v>
      </c>
    </row>
    <row r="468" spans="1:9">
      <c r="A468" s="6">
        <v>11</v>
      </c>
      <c r="B468" s="6" t="str">
        <f t="shared" si="14"/>
        <v>Fishery</v>
      </c>
      <c r="C468" s="6">
        <v>8</v>
      </c>
      <c r="D468" s="6" t="str">
        <f t="shared" si="15"/>
        <v>Other Crops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</row>
    <row r="469" spans="1:9">
      <c r="A469" s="6">
        <v>12</v>
      </c>
      <c r="B469" s="6" t="str">
        <f t="shared" si="14"/>
        <v>Crude Oil and Coal</v>
      </c>
      <c r="C469" s="6">
        <v>8</v>
      </c>
      <c r="D469" s="6" t="str">
        <f t="shared" si="15"/>
        <v>Other Crops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</row>
    <row r="470" spans="1:9">
      <c r="A470" s="6">
        <v>13</v>
      </c>
      <c r="B470" s="6" t="str">
        <f t="shared" si="14"/>
        <v>Metal Ore</v>
      </c>
      <c r="C470" s="6">
        <v>8</v>
      </c>
      <c r="D470" s="6" t="str">
        <f t="shared" si="15"/>
        <v>Other Crops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</row>
    <row r="471" spans="1:9">
      <c r="A471" s="6">
        <v>14</v>
      </c>
      <c r="B471" s="6" t="str">
        <f t="shared" si="14"/>
        <v>Non-Metal Ore</v>
      </c>
      <c r="C471" s="6">
        <v>8</v>
      </c>
      <c r="D471" s="6" t="str">
        <f t="shared" si="15"/>
        <v>Other Crops</v>
      </c>
      <c r="E471" s="6">
        <v>40766</v>
      </c>
      <c r="F471" s="6">
        <v>1347</v>
      </c>
      <c r="G471" s="6">
        <v>321</v>
      </c>
      <c r="H471" s="6">
        <v>5155</v>
      </c>
      <c r="I471" s="6">
        <v>0</v>
      </c>
    </row>
    <row r="472" spans="1:9">
      <c r="A472" s="6">
        <v>15</v>
      </c>
      <c r="B472" s="6" t="str">
        <f t="shared" si="14"/>
        <v>Slaughtering</v>
      </c>
      <c r="C472" s="6">
        <v>8</v>
      </c>
      <c r="D472" s="6" t="str">
        <f t="shared" si="15"/>
        <v>Other Crops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</row>
    <row r="473" spans="1:9">
      <c r="A473" s="6">
        <v>16</v>
      </c>
      <c r="B473" s="6" t="str">
        <f t="shared" si="14"/>
        <v>Processing and Presering of Foods</v>
      </c>
      <c r="C473" s="6">
        <v>8</v>
      </c>
      <c r="D473" s="6" t="str">
        <f t="shared" si="15"/>
        <v>Other Crops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</row>
    <row r="474" spans="1:9">
      <c r="A474" s="6">
        <v>17</v>
      </c>
      <c r="B474" s="6" t="str">
        <f t="shared" si="14"/>
        <v>Rice and Other Grain Milling</v>
      </c>
      <c r="C474" s="6">
        <v>8</v>
      </c>
      <c r="D474" s="6" t="str">
        <f t="shared" si="15"/>
        <v>Other Crops</v>
      </c>
      <c r="E474" s="6">
        <v>40404</v>
      </c>
      <c r="F474" s="6">
        <v>2174</v>
      </c>
      <c r="G474" s="6">
        <v>1600</v>
      </c>
      <c r="H474" s="6">
        <v>791</v>
      </c>
      <c r="I474" s="6">
        <v>0</v>
      </c>
    </row>
    <row r="475" spans="1:9">
      <c r="A475" s="6">
        <v>18</v>
      </c>
      <c r="B475" s="6" t="str">
        <f t="shared" si="14"/>
        <v>Sugar Refineries</v>
      </c>
      <c r="C475" s="6">
        <v>8</v>
      </c>
      <c r="D475" s="6" t="str">
        <f t="shared" si="15"/>
        <v>Other Crops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</row>
    <row r="476" spans="1:9">
      <c r="A476" s="6">
        <v>19</v>
      </c>
      <c r="B476" s="6" t="str">
        <f t="shared" si="14"/>
        <v>Other Foods</v>
      </c>
      <c r="C476" s="6">
        <v>8</v>
      </c>
      <c r="D476" s="6" t="str">
        <f t="shared" si="15"/>
        <v>Other Crops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</row>
    <row r="477" spans="1:9">
      <c r="A477" s="6">
        <v>20</v>
      </c>
      <c r="B477" s="6" t="str">
        <f t="shared" si="14"/>
        <v>Animal Food</v>
      </c>
      <c r="C477" s="6">
        <v>8</v>
      </c>
      <c r="D477" s="6" t="str">
        <f t="shared" si="15"/>
        <v>Other Crops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</row>
    <row r="478" spans="1:9">
      <c r="A478" s="6">
        <v>21</v>
      </c>
      <c r="B478" s="6" t="str">
        <f t="shared" si="14"/>
        <v>Beverages</v>
      </c>
      <c r="C478" s="6">
        <v>8</v>
      </c>
      <c r="D478" s="6" t="str">
        <f t="shared" si="15"/>
        <v>Other Crops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</row>
    <row r="479" spans="1:9">
      <c r="A479" s="6">
        <v>22</v>
      </c>
      <c r="B479" s="6" t="str">
        <f t="shared" si="14"/>
        <v>Tobacco Processing and Products</v>
      </c>
      <c r="C479" s="6">
        <v>8</v>
      </c>
      <c r="D479" s="6" t="str">
        <f t="shared" si="15"/>
        <v>Other Crops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</row>
    <row r="480" spans="1:9">
      <c r="A480" s="6">
        <v>23</v>
      </c>
      <c r="B480" s="6" t="str">
        <f t="shared" si="14"/>
        <v>Spinning, Weaving and Bleaching</v>
      </c>
      <c r="C480" s="6">
        <v>8</v>
      </c>
      <c r="D480" s="6" t="str">
        <f t="shared" si="15"/>
        <v>Other Crops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</row>
    <row r="481" spans="1:9">
      <c r="A481" s="6">
        <v>24</v>
      </c>
      <c r="B481" s="6" t="str">
        <f t="shared" si="14"/>
        <v>Textile Products</v>
      </c>
      <c r="C481" s="6">
        <v>8</v>
      </c>
      <c r="D481" s="6" t="str">
        <f t="shared" si="15"/>
        <v>Other Crops</v>
      </c>
      <c r="E481" s="6">
        <v>165333</v>
      </c>
      <c r="F481" s="6">
        <v>6085</v>
      </c>
      <c r="G481" s="6">
        <v>2593</v>
      </c>
      <c r="H481" s="6">
        <v>592</v>
      </c>
      <c r="I481" s="6">
        <v>0</v>
      </c>
    </row>
    <row r="482" spans="1:9">
      <c r="A482" s="6">
        <v>25</v>
      </c>
      <c r="B482" s="6" t="str">
        <f t="shared" si="14"/>
        <v>Paper and Paper Products</v>
      </c>
      <c r="C482" s="6">
        <v>8</v>
      </c>
      <c r="D482" s="6" t="str">
        <f t="shared" si="15"/>
        <v>Other Crops</v>
      </c>
      <c r="E482" s="6">
        <v>38753</v>
      </c>
      <c r="F482" s="6">
        <v>1498</v>
      </c>
      <c r="G482" s="6">
        <v>933</v>
      </c>
      <c r="H482" s="6">
        <v>337</v>
      </c>
      <c r="I482" s="6">
        <v>0</v>
      </c>
    </row>
    <row r="483" spans="1:9">
      <c r="A483" s="6">
        <v>26</v>
      </c>
      <c r="B483" s="6" t="str">
        <f t="shared" si="14"/>
        <v>Printing and Publishing</v>
      </c>
      <c r="C483" s="6">
        <v>8</v>
      </c>
      <c r="D483" s="6" t="str">
        <f t="shared" si="15"/>
        <v>Other Crops</v>
      </c>
      <c r="E483" s="6">
        <v>41571</v>
      </c>
      <c r="F483" s="6">
        <v>639</v>
      </c>
      <c r="G483" s="6">
        <v>1474</v>
      </c>
      <c r="H483" s="6">
        <v>325</v>
      </c>
      <c r="I483" s="6">
        <v>0</v>
      </c>
    </row>
    <row r="484" spans="1:9">
      <c r="A484" s="6">
        <v>27</v>
      </c>
      <c r="B484" s="6" t="str">
        <f t="shared" si="14"/>
        <v>Basic Chemical Products</v>
      </c>
      <c r="C484" s="6">
        <v>8</v>
      </c>
      <c r="D484" s="6" t="str">
        <f t="shared" si="15"/>
        <v>Other Crops</v>
      </c>
      <c r="E484" s="6">
        <v>6999</v>
      </c>
      <c r="F484" s="6">
        <v>469</v>
      </c>
      <c r="G484" s="6">
        <v>217</v>
      </c>
      <c r="H484" s="6">
        <v>134</v>
      </c>
      <c r="I484" s="6">
        <v>4235</v>
      </c>
    </row>
    <row r="485" spans="1:9">
      <c r="A485" s="6">
        <v>28</v>
      </c>
      <c r="B485" s="6" t="str">
        <f t="shared" si="14"/>
        <v>Fertilizer and Pesticides</v>
      </c>
      <c r="C485" s="6">
        <v>8</v>
      </c>
      <c r="D485" s="6" t="str">
        <f t="shared" si="15"/>
        <v>Other Crops</v>
      </c>
      <c r="E485" s="6">
        <v>33951556</v>
      </c>
      <c r="F485" s="6">
        <v>1385985</v>
      </c>
      <c r="G485" s="6">
        <v>4203210</v>
      </c>
      <c r="H485" s="6">
        <v>1206451</v>
      </c>
      <c r="I485" s="6">
        <v>178411</v>
      </c>
    </row>
    <row r="486" spans="1:9">
      <c r="A486" s="6">
        <v>29</v>
      </c>
      <c r="B486" s="6" t="str">
        <f t="shared" si="14"/>
        <v>Other Chemical Products</v>
      </c>
      <c r="C486" s="6">
        <v>8</v>
      </c>
      <c r="D486" s="6" t="str">
        <f t="shared" si="15"/>
        <v>Other Crops</v>
      </c>
      <c r="E486" s="6">
        <v>180533</v>
      </c>
      <c r="F486" s="6">
        <v>17311</v>
      </c>
      <c r="G486" s="6">
        <v>29177</v>
      </c>
      <c r="H486" s="6">
        <v>1240</v>
      </c>
      <c r="I486" s="6">
        <v>500</v>
      </c>
    </row>
    <row r="487" spans="1:9">
      <c r="A487" s="6">
        <v>30</v>
      </c>
      <c r="B487" s="6" t="str">
        <f t="shared" si="14"/>
        <v>Petroleum Refineries</v>
      </c>
      <c r="C487" s="6">
        <v>8</v>
      </c>
      <c r="D487" s="6" t="str">
        <f t="shared" si="15"/>
        <v>Other Crops</v>
      </c>
      <c r="E487" s="6">
        <v>10831345</v>
      </c>
      <c r="F487" s="6">
        <v>534167</v>
      </c>
      <c r="G487" s="6">
        <v>555665</v>
      </c>
      <c r="H487" s="6">
        <v>98455</v>
      </c>
      <c r="I487" s="6">
        <v>2075098</v>
      </c>
    </row>
    <row r="488" spans="1:9">
      <c r="A488" s="6">
        <v>31</v>
      </c>
      <c r="B488" s="6" t="str">
        <f t="shared" si="14"/>
        <v>Rubber Products</v>
      </c>
      <c r="C488" s="6">
        <v>8</v>
      </c>
      <c r="D488" s="6" t="str">
        <f t="shared" si="15"/>
        <v>Other Crops</v>
      </c>
      <c r="E488" s="6">
        <v>25188</v>
      </c>
      <c r="F488" s="6">
        <v>2885</v>
      </c>
      <c r="G488" s="6">
        <v>3235</v>
      </c>
      <c r="H488" s="6">
        <v>642</v>
      </c>
      <c r="I488" s="6">
        <v>0</v>
      </c>
    </row>
    <row r="489" spans="1:9">
      <c r="A489" s="6">
        <v>32</v>
      </c>
      <c r="B489" s="6" t="str">
        <f t="shared" si="14"/>
        <v>Plastic Wares</v>
      </c>
      <c r="C489" s="6">
        <v>8</v>
      </c>
      <c r="D489" s="6" t="str">
        <f t="shared" si="15"/>
        <v>Other Crops</v>
      </c>
      <c r="E489" s="6">
        <v>2015744</v>
      </c>
      <c r="F489" s="6">
        <v>69186</v>
      </c>
      <c r="G489" s="6">
        <v>141949</v>
      </c>
      <c r="H489" s="6">
        <v>14583</v>
      </c>
      <c r="I489" s="6">
        <v>984180</v>
      </c>
    </row>
    <row r="490" spans="1:9">
      <c r="A490" s="6">
        <v>33</v>
      </c>
      <c r="B490" s="6" t="str">
        <f t="shared" si="14"/>
        <v>Cement and Concrete Products</v>
      </c>
      <c r="C490" s="6">
        <v>8</v>
      </c>
      <c r="D490" s="6" t="str">
        <f t="shared" si="15"/>
        <v>Other Crops</v>
      </c>
      <c r="E490" s="6">
        <v>150638</v>
      </c>
      <c r="F490" s="6">
        <v>7516</v>
      </c>
      <c r="G490" s="6">
        <v>8690</v>
      </c>
      <c r="H490" s="6">
        <v>2313</v>
      </c>
      <c r="I490" s="6">
        <v>0</v>
      </c>
    </row>
    <row r="491" spans="1:9">
      <c r="A491" s="6">
        <v>34</v>
      </c>
      <c r="B491" s="6" t="str">
        <f t="shared" si="14"/>
        <v>Other Non-metallic Products</v>
      </c>
      <c r="C491" s="6">
        <v>8</v>
      </c>
      <c r="D491" s="6" t="str">
        <f t="shared" si="15"/>
        <v>Other Crops</v>
      </c>
      <c r="E491" s="6">
        <v>403870</v>
      </c>
      <c r="F491" s="6">
        <v>14795</v>
      </c>
      <c r="G491" s="6">
        <v>16782</v>
      </c>
      <c r="H491" s="6">
        <v>4623</v>
      </c>
      <c r="I491" s="6">
        <v>0</v>
      </c>
    </row>
    <row r="492" spans="1:9">
      <c r="A492" s="6">
        <v>35</v>
      </c>
      <c r="B492" s="6" t="str">
        <f t="shared" si="14"/>
        <v>Iron and Steel</v>
      </c>
      <c r="C492" s="6">
        <v>8</v>
      </c>
      <c r="D492" s="6" t="str">
        <f t="shared" si="15"/>
        <v>Other Crops</v>
      </c>
      <c r="E492" s="6">
        <v>11823</v>
      </c>
      <c r="F492" s="6">
        <v>548</v>
      </c>
      <c r="G492" s="6">
        <v>750</v>
      </c>
      <c r="H492" s="6">
        <v>140</v>
      </c>
      <c r="I492" s="6">
        <v>0</v>
      </c>
    </row>
    <row r="493" spans="1:9">
      <c r="A493" s="6">
        <v>36</v>
      </c>
      <c r="B493" s="6" t="str">
        <f t="shared" si="14"/>
        <v>Non-ferrous Metal</v>
      </c>
      <c r="C493" s="6">
        <v>8</v>
      </c>
      <c r="D493" s="6" t="str">
        <f t="shared" si="15"/>
        <v>Other Crops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</row>
    <row r="494" spans="1:9">
      <c r="A494" s="6">
        <v>37</v>
      </c>
      <c r="B494" s="6" t="str">
        <f t="shared" si="14"/>
        <v>Fabricated Metal Products</v>
      </c>
      <c r="C494" s="6">
        <v>8</v>
      </c>
      <c r="D494" s="6" t="str">
        <f t="shared" si="15"/>
        <v>Other Crops</v>
      </c>
      <c r="E494" s="6">
        <v>4898604</v>
      </c>
      <c r="F494" s="6">
        <v>59080</v>
      </c>
      <c r="G494" s="6">
        <v>139598</v>
      </c>
      <c r="H494" s="6">
        <v>22119</v>
      </c>
      <c r="I494" s="6">
        <v>1605714</v>
      </c>
    </row>
    <row r="495" spans="1:9">
      <c r="A495" s="6">
        <v>38</v>
      </c>
      <c r="B495" s="6" t="str">
        <f t="shared" si="14"/>
        <v>Industrial Machinery</v>
      </c>
      <c r="C495" s="6">
        <v>8</v>
      </c>
      <c r="D495" s="6" t="str">
        <f t="shared" si="15"/>
        <v>Other Crops</v>
      </c>
      <c r="E495" s="6">
        <v>1569581</v>
      </c>
      <c r="F495" s="6">
        <v>160507</v>
      </c>
      <c r="G495" s="6">
        <v>100026</v>
      </c>
      <c r="H495" s="6">
        <v>12532</v>
      </c>
      <c r="I495" s="6">
        <v>0</v>
      </c>
    </row>
    <row r="496" spans="1:9">
      <c r="A496" s="6">
        <v>39</v>
      </c>
      <c r="B496" s="6" t="str">
        <f t="shared" si="14"/>
        <v>Electrical Machinery and Apparatus</v>
      </c>
      <c r="C496" s="6">
        <v>8</v>
      </c>
      <c r="D496" s="6" t="str">
        <f t="shared" si="15"/>
        <v>Other Crops</v>
      </c>
      <c r="E496" s="6">
        <v>208403</v>
      </c>
      <c r="F496" s="6">
        <v>13784</v>
      </c>
      <c r="G496" s="6">
        <v>18440</v>
      </c>
      <c r="H496" s="6">
        <v>1988</v>
      </c>
      <c r="I496" s="6">
        <v>0</v>
      </c>
    </row>
    <row r="497" spans="1:9">
      <c r="A497" s="6">
        <v>40</v>
      </c>
      <c r="B497" s="6" t="str">
        <f t="shared" si="14"/>
        <v>Motor Vehicles and Repairing</v>
      </c>
      <c r="C497" s="6">
        <v>8</v>
      </c>
      <c r="D497" s="6" t="str">
        <f t="shared" si="15"/>
        <v>Other Crops</v>
      </c>
      <c r="E497" s="6">
        <v>1862939</v>
      </c>
      <c r="F497" s="6">
        <v>0</v>
      </c>
      <c r="G497" s="6">
        <v>0</v>
      </c>
      <c r="H497" s="6">
        <v>0</v>
      </c>
      <c r="I497" s="6">
        <v>0</v>
      </c>
    </row>
    <row r="498" spans="1:9">
      <c r="A498" s="6">
        <v>41</v>
      </c>
      <c r="B498" s="6" t="str">
        <f t="shared" si="14"/>
        <v>Other Transportation Equipment</v>
      </c>
      <c r="C498" s="6">
        <v>8</v>
      </c>
      <c r="D498" s="6" t="str">
        <f t="shared" si="15"/>
        <v>Other Crops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</row>
    <row r="499" spans="1:9">
      <c r="A499" s="6">
        <v>42</v>
      </c>
      <c r="B499" s="6" t="str">
        <f t="shared" si="14"/>
        <v>Leather Products</v>
      </c>
      <c r="C499" s="6">
        <v>8</v>
      </c>
      <c r="D499" s="6" t="str">
        <f t="shared" si="15"/>
        <v>Other Crops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</row>
    <row r="500" spans="1:9">
      <c r="A500" s="6">
        <v>43</v>
      </c>
      <c r="B500" s="6" t="str">
        <f t="shared" si="14"/>
        <v>Saw Mills and Wood Products</v>
      </c>
      <c r="C500" s="6">
        <v>8</v>
      </c>
      <c r="D500" s="6" t="str">
        <f t="shared" si="15"/>
        <v>Other Crops</v>
      </c>
      <c r="E500" s="6">
        <v>1042918</v>
      </c>
      <c r="F500" s="6">
        <v>62936</v>
      </c>
      <c r="G500" s="6">
        <v>75879</v>
      </c>
      <c r="H500" s="6">
        <v>8171</v>
      </c>
      <c r="I500" s="6">
        <v>0</v>
      </c>
    </row>
    <row r="501" spans="1:9">
      <c r="A501" s="6">
        <v>44</v>
      </c>
      <c r="B501" s="6" t="str">
        <f t="shared" si="14"/>
        <v>Other Manufacturing Products</v>
      </c>
      <c r="C501" s="6">
        <v>8</v>
      </c>
      <c r="D501" s="6" t="str">
        <f t="shared" si="15"/>
        <v>Other Crops</v>
      </c>
      <c r="E501" s="6">
        <v>65555</v>
      </c>
      <c r="F501" s="6">
        <v>4774</v>
      </c>
      <c r="G501" s="6">
        <v>5208</v>
      </c>
      <c r="H501" s="6">
        <v>586</v>
      </c>
      <c r="I501" s="6">
        <v>0</v>
      </c>
    </row>
    <row r="502" spans="1:9">
      <c r="A502" s="6">
        <v>45</v>
      </c>
      <c r="B502" s="6" t="str">
        <f t="shared" si="14"/>
        <v>Electricity and Gas</v>
      </c>
      <c r="C502" s="6">
        <v>8</v>
      </c>
      <c r="D502" s="6" t="str">
        <f t="shared" si="15"/>
        <v>Other Crops</v>
      </c>
      <c r="E502" s="6">
        <v>636383</v>
      </c>
      <c r="F502" s="6">
        <v>126</v>
      </c>
      <c r="G502" s="6">
        <v>28</v>
      </c>
      <c r="H502" s="6">
        <v>73</v>
      </c>
      <c r="I502" s="6">
        <v>0</v>
      </c>
    </row>
    <row r="503" spans="1:9">
      <c r="A503" s="6">
        <v>46</v>
      </c>
      <c r="B503" s="6" t="str">
        <f t="shared" si="14"/>
        <v>Water Works and Supply</v>
      </c>
      <c r="C503" s="6">
        <v>8</v>
      </c>
      <c r="D503" s="6" t="str">
        <f t="shared" si="15"/>
        <v>Other Crops</v>
      </c>
      <c r="E503" s="6">
        <v>151888</v>
      </c>
      <c r="F503" s="6">
        <v>0</v>
      </c>
      <c r="G503" s="6">
        <v>0</v>
      </c>
      <c r="H503" s="6">
        <v>0</v>
      </c>
      <c r="I503" s="6">
        <v>0</v>
      </c>
    </row>
    <row r="504" spans="1:9">
      <c r="A504" s="6">
        <v>47</v>
      </c>
      <c r="B504" s="6" t="str">
        <f t="shared" si="14"/>
        <v>Building Construction</v>
      </c>
      <c r="C504" s="6">
        <v>8</v>
      </c>
      <c r="D504" s="6" t="str">
        <f t="shared" si="15"/>
        <v>Other Crops</v>
      </c>
      <c r="E504" s="6">
        <v>118811</v>
      </c>
      <c r="F504" s="6">
        <v>0</v>
      </c>
      <c r="G504" s="6">
        <v>0</v>
      </c>
      <c r="H504" s="6">
        <v>0</v>
      </c>
      <c r="I504" s="6">
        <v>0</v>
      </c>
    </row>
    <row r="505" spans="1:9">
      <c r="A505" s="6">
        <v>48</v>
      </c>
      <c r="B505" s="6" t="str">
        <f t="shared" si="14"/>
        <v>Public Works and Other Construction</v>
      </c>
      <c r="C505" s="6">
        <v>8</v>
      </c>
      <c r="D505" s="6" t="str">
        <f t="shared" si="15"/>
        <v>Other Crops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</row>
    <row r="506" spans="1:9">
      <c r="A506" s="6">
        <v>49</v>
      </c>
      <c r="B506" s="6" t="str">
        <f t="shared" si="14"/>
        <v>Trade</v>
      </c>
      <c r="C506" s="6">
        <v>8</v>
      </c>
      <c r="D506" s="6" t="str">
        <f t="shared" si="15"/>
        <v>Other Crops</v>
      </c>
      <c r="E506" s="6">
        <v>0</v>
      </c>
      <c r="F506" s="6">
        <v>-2983830</v>
      </c>
      <c r="G506" s="6">
        <v>-5424426</v>
      </c>
      <c r="H506" s="6">
        <v>0</v>
      </c>
      <c r="I506" s="6">
        <v>0</v>
      </c>
    </row>
    <row r="507" spans="1:9">
      <c r="A507" s="6">
        <v>50</v>
      </c>
      <c r="B507" s="6" t="str">
        <f t="shared" si="14"/>
        <v>Restaurants and Hotels</v>
      </c>
      <c r="C507" s="6">
        <v>8</v>
      </c>
      <c r="D507" s="6" t="str">
        <f t="shared" si="15"/>
        <v>Other Crops</v>
      </c>
      <c r="E507" s="6">
        <v>995518</v>
      </c>
      <c r="F507" s="6">
        <v>0</v>
      </c>
      <c r="G507" s="6">
        <v>0</v>
      </c>
      <c r="H507" s="6">
        <v>0</v>
      </c>
      <c r="I507" s="6">
        <v>0</v>
      </c>
    </row>
    <row r="508" spans="1:9">
      <c r="A508" s="6">
        <v>51</v>
      </c>
      <c r="B508" s="6" t="str">
        <f t="shared" si="14"/>
        <v>Transportation</v>
      </c>
      <c r="C508" s="6">
        <v>8</v>
      </c>
      <c r="D508" s="6" t="str">
        <f t="shared" si="15"/>
        <v>Other Crops</v>
      </c>
      <c r="E508" s="6">
        <v>580414</v>
      </c>
      <c r="F508" s="6">
        <v>0</v>
      </c>
      <c r="G508" s="6">
        <v>0</v>
      </c>
      <c r="H508" s="6">
        <v>-1545342</v>
      </c>
      <c r="I508" s="6">
        <v>0</v>
      </c>
    </row>
    <row r="509" spans="1:9">
      <c r="A509" s="6">
        <v>52</v>
      </c>
      <c r="B509" s="6" t="str">
        <f t="shared" si="14"/>
        <v>Communication</v>
      </c>
      <c r="C509" s="6">
        <v>8</v>
      </c>
      <c r="D509" s="6" t="str">
        <f t="shared" si="15"/>
        <v>Other Crops</v>
      </c>
      <c r="E509" s="6">
        <v>848566</v>
      </c>
      <c r="F509" s="6">
        <v>0</v>
      </c>
      <c r="G509" s="6">
        <v>0</v>
      </c>
      <c r="H509" s="6">
        <v>0</v>
      </c>
      <c r="I509" s="6">
        <v>0</v>
      </c>
    </row>
    <row r="510" spans="1:9">
      <c r="A510" s="6">
        <v>53</v>
      </c>
      <c r="B510" s="6" t="str">
        <f t="shared" si="14"/>
        <v>Banking and Insurance</v>
      </c>
      <c r="C510" s="6">
        <v>8</v>
      </c>
      <c r="D510" s="6" t="str">
        <f t="shared" si="15"/>
        <v>Other Crops</v>
      </c>
      <c r="E510" s="6">
        <v>4194703</v>
      </c>
      <c r="F510" s="6">
        <v>0</v>
      </c>
      <c r="G510" s="6">
        <v>0</v>
      </c>
      <c r="H510" s="6">
        <v>0</v>
      </c>
      <c r="I510" s="6">
        <v>0</v>
      </c>
    </row>
    <row r="511" spans="1:9">
      <c r="A511" s="6">
        <v>54</v>
      </c>
      <c r="B511" s="6" t="str">
        <f t="shared" si="14"/>
        <v>Real Estate</v>
      </c>
      <c r="C511" s="6">
        <v>8</v>
      </c>
      <c r="D511" s="6" t="str">
        <f t="shared" si="15"/>
        <v>Other Crops</v>
      </c>
      <c r="E511" s="6">
        <v>46152</v>
      </c>
      <c r="F511" s="6">
        <v>0</v>
      </c>
      <c r="G511" s="6">
        <v>0</v>
      </c>
      <c r="H511" s="6">
        <v>0</v>
      </c>
      <c r="I511" s="6">
        <v>0</v>
      </c>
    </row>
    <row r="512" spans="1:9">
      <c r="A512" s="6">
        <v>55</v>
      </c>
      <c r="B512" s="6" t="str">
        <f t="shared" si="14"/>
        <v>Business Services</v>
      </c>
      <c r="C512" s="6">
        <v>8</v>
      </c>
      <c r="D512" s="6" t="str">
        <f t="shared" si="15"/>
        <v>Other Crops</v>
      </c>
      <c r="E512" s="6">
        <v>193379</v>
      </c>
      <c r="F512" s="6">
        <v>0</v>
      </c>
      <c r="G512" s="6">
        <v>0</v>
      </c>
      <c r="H512" s="6">
        <v>0</v>
      </c>
      <c r="I512" s="6">
        <v>0</v>
      </c>
    </row>
    <row r="513" spans="1:9">
      <c r="A513" s="6">
        <v>56</v>
      </c>
      <c r="B513" s="6" t="str">
        <f t="shared" si="14"/>
        <v>Public Services</v>
      </c>
      <c r="C513" s="6">
        <v>8</v>
      </c>
      <c r="D513" s="6" t="str">
        <f t="shared" si="15"/>
        <v>Other Crops</v>
      </c>
      <c r="E513" s="6">
        <v>819</v>
      </c>
      <c r="F513" s="6">
        <v>0</v>
      </c>
      <c r="G513" s="6">
        <v>0</v>
      </c>
      <c r="H513" s="6">
        <v>0</v>
      </c>
      <c r="I513" s="6">
        <v>0</v>
      </c>
    </row>
    <row r="514" spans="1:9">
      <c r="A514" s="6">
        <v>57</v>
      </c>
      <c r="B514" s="6" t="str">
        <f t="shared" si="14"/>
        <v>Other Services</v>
      </c>
      <c r="C514" s="6">
        <v>8</v>
      </c>
      <c r="D514" s="6" t="str">
        <f t="shared" si="15"/>
        <v>Other Crops</v>
      </c>
      <c r="E514" s="6">
        <v>90673</v>
      </c>
      <c r="F514" s="6">
        <v>0</v>
      </c>
      <c r="G514" s="6">
        <v>0</v>
      </c>
      <c r="H514" s="6">
        <v>0</v>
      </c>
      <c r="I514" s="6">
        <v>0</v>
      </c>
    </row>
    <row r="515" spans="1:9">
      <c r="A515" s="6">
        <v>58</v>
      </c>
      <c r="B515" s="6" t="str">
        <f t="shared" si="14"/>
        <v>Unclassified</v>
      </c>
      <c r="C515" s="6">
        <v>8</v>
      </c>
      <c r="D515" s="6" t="str">
        <f t="shared" si="15"/>
        <v>Other Crops</v>
      </c>
      <c r="E515" s="6">
        <v>319755</v>
      </c>
      <c r="F515" s="6">
        <v>0</v>
      </c>
      <c r="G515" s="6">
        <v>0</v>
      </c>
      <c r="H515" s="6">
        <v>0</v>
      </c>
      <c r="I515" s="6">
        <v>33213</v>
      </c>
    </row>
    <row r="516" spans="1:9">
      <c r="A516" s="6">
        <v>190</v>
      </c>
      <c r="B516" s="6" t="str">
        <f t="shared" ref="B516:B579" si="16">VLOOKUP(A516,R:S,2,0)</f>
        <v>Total Intermedite Transaction</v>
      </c>
      <c r="C516" s="6">
        <v>8</v>
      </c>
      <c r="D516" s="6" t="str">
        <f t="shared" ref="D516:D579" si="17">VLOOKUP(C516,R:S,2,0)</f>
        <v>Other Crops</v>
      </c>
      <c r="E516" s="6">
        <v>80466542</v>
      </c>
      <c r="F516" s="6">
        <v>0</v>
      </c>
      <c r="G516" s="6">
        <v>0</v>
      </c>
      <c r="H516" s="6">
        <v>0</v>
      </c>
      <c r="I516" s="6">
        <v>6044054</v>
      </c>
    </row>
    <row r="517" spans="1:9">
      <c r="A517" s="6">
        <v>201</v>
      </c>
      <c r="B517" s="6" t="str">
        <f t="shared" si="16"/>
        <v>Wages and Salaries</v>
      </c>
      <c r="C517" s="6">
        <v>8</v>
      </c>
      <c r="D517" s="6" t="str">
        <f t="shared" si="17"/>
        <v>Other Crops</v>
      </c>
      <c r="E517" s="6">
        <v>35413750</v>
      </c>
      <c r="F517" s="6">
        <v>0</v>
      </c>
      <c r="G517" s="6">
        <v>0</v>
      </c>
      <c r="H517" s="6">
        <v>0</v>
      </c>
      <c r="I517" s="6">
        <v>0</v>
      </c>
    </row>
    <row r="518" spans="1:9">
      <c r="A518" s="6">
        <v>202</v>
      </c>
      <c r="B518" s="6" t="str">
        <f t="shared" si="16"/>
        <v>Operating Surplus</v>
      </c>
      <c r="C518" s="6">
        <v>8</v>
      </c>
      <c r="D518" s="6" t="str">
        <f t="shared" si="17"/>
        <v>Other Crops</v>
      </c>
      <c r="E518" s="6">
        <v>74033448</v>
      </c>
      <c r="F518" s="6">
        <v>0</v>
      </c>
      <c r="G518" s="6">
        <v>0</v>
      </c>
      <c r="H518" s="6">
        <v>0</v>
      </c>
      <c r="I518" s="6">
        <v>0</v>
      </c>
    </row>
    <row r="519" spans="1:9">
      <c r="A519" s="6">
        <v>203</v>
      </c>
      <c r="B519" s="6" t="str">
        <f t="shared" si="16"/>
        <v>Depreciation</v>
      </c>
      <c r="C519" s="6">
        <v>8</v>
      </c>
      <c r="D519" s="6" t="str">
        <f t="shared" si="17"/>
        <v>Other Crops</v>
      </c>
      <c r="E519" s="6">
        <v>8717527</v>
      </c>
      <c r="F519" s="6">
        <v>0</v>
      </c>
      <c r="G519" s="6">
        <v>0</v>
      </c>
      <c r="H519" s="6">
        <v>0</v>
      </c>
      <c r="I519" s="6">
        <v>0</v>
      </c>
    </row>
    <row r="520" spans="1:9">
      <c r="A520" s="6">
        <v>204</v>
      </c>
      <c r="B520" s="6" t="str">
        <f t="shared" si="16"/>
        <v>Indirect Taxes less Subsidies</v>
      </c>
      <c r="C520" s="6">
        <v>8</v>
      </c>
      <c r="D520" s="6" t="str">
        <f t="shared" si="17"/>
        <v>Other Crops</v>
      </c>
      <c r="E520" s="6">
        <v>98778</v>
      </c>
      <c r="F520" s="6">
        <v>0</v>
      </c>
      <c r="G520" s="6">
        <v>0</v>
      </c>
      <c r="H520" s="6">
        <v>0</v>
      </c>
      <c r="I520" s="6">
        <v>0</v>
      </c>
    </row>
    <row r="521" spans="1:9">
      <c r="A521" s="6">
        <v>209</v>
      </c>
      <c r="B521" s="6" t="str">
        <f t="shared" si="16"/>
        <v>Total Value Added</v>
      </c>
      <c r="C521" s="6">
        <v>8</v>
      </c>
      <c r="D521" s="6" t="str">
        <f t="shared" si="17"/>
        <v>Other Crops</v>
      </c>
      <c r="E521" s="6">
        <v>118263503</v>
      </c>
      <c r="F521" s="6">
        <v>0</v>
      </c>
      <c r="G521" s="6">
        <v>0</v>
      </c>
      <c r="H521" s="6">
        <v>0</v>
      </c>
      <c r="I521" s="6">
        <v>0</v>
      </c>
    </row>
    <row r="522" spans="1:9">
      <c r="A522" s="6">
        <v>210</v>
      </c>
      <c r="B522" s="6" t="str">
        <f t="shared" si="16"/>
        <v>Control Total</v>
      </c>
      <c r="C522" s="6">
        <v>8</v>
      </c>
      <c r="D522" s="6" t="str">
        <f t="shared" si="17"/>
        <v>Other Crops</v>
      </c>
      <c r="E522" s="6">
        <v>198730045</v>
      </c>
      <c r="F522" s="6">
        <v>0</v>
      </c>
      <c r="G522" s="6">
        <v>0</v>
      </c>
      <c r="H522" s="6">
        <v>0</v>
      </c>
      <c r="I522" s="6">
        <v>0</v>
      </c>
    </row>
    <row r="523" spans="1:9">
      <c r="A523" s="6">
        <v>1</v>
      </c>
      <c r="B523" s="6" t="str">
        <f t="shared" si="16"/>
        <v>Paddy</v>
      </c>
      <c r="C523" s="6">
        <v>9</v>
      </c>
      <c r="D523" s="6" t="str">
        <f t="shared" si="17"/>
        <v>Livestock</v>
      </c>
      <c r="E523" s="6">
        <v>9677525</v>
      </c>
      <c r="F523" s="6">
        <v>220415</v>
      </c>
      <c r="G523" s="6">
        <v>695471</v>
      </c>
      <c r="H523" s="6">
        <v>59159</v>
      </c>
      <c r="I523" s="6">
        <v>0</v>
      </c>
    </row>
    <row r="524" spans="1:9">
      <c r="A524" s="6">
        <v>2</v>
      </c>
      <c r="B524" s="6" t="str">
        <f t="shared" si="16"/>
        <v>Maize</v>
      </c>
      <c r="C524" s="6">
        <v>9</v>
      </c>
      <c r="D524" s="6" t="str">
        <f t="shared" si="17"/>
        <v>Livestock</v>
      </c>
      <c r="E524" s="6">
        <v>4296645</v>
      </c>
      <c r="F524" s="6">
        <v>142736</v>
      </c>
      <c r="G524" s="6">
        <v>0</v>
      </c>
      <c r="H524" s="6">
        <v>30551</v>
      </c>
      <c r="I524" s="6">
        <v>894709</v>
      </c>
    </row>
    <row r="525" spans="1:9">
      <c r="A525" s="6">
        <v>3</v>
      </c>
      <c r="B525" s="6" t="str">
        <f t="shared" si="16"/>
        <v>Cassava</v>
      </c>
      <c r="C525" s="6">
        <v>9</v>
      </c>
      <c r="D525" s="6" t="str">
        <f t="shared" si="17"/>
        <v>Livestock</v>
      </c>
      <c r="E525" s="6">
        <v>12372</v>
      </c>
      <c r="F525" s="6">
        <v>107</v>
      </c>
      <c r="G525" s="6">
        <v>0</v>
      </c>
      <c r="H525" s="6">
        <v>70</v>
      </c>
      <c r="I525" s="6">
        <v>0</v>
      </c>
    </row>
    <row r="526" spans="1:9">
      <c r="A526" s="6">
        <v>4</v>
      </c>
      <c r="B526" s="6" t="str">
        <f t="shared" si="16"/>
        <v>Beans and Nuts</v>
      </c>
      <c r="C526" s="6">
        <v>9</v>
      </c>
      <c r="D526" s="6" t="str">
        <f t="shared" si="17"/>
        <v>Livestock</v>
      </c>
      <c r="E526" s="6">
        <v>2388736</v>
      </c>
      <c r="F526" s="6">
        <v>26671</v>
      </c>
      <c r="G526" s="6">
        <v>25992</v>
      </c>
      <c r="H526" s="6">
        <v>3146</v>
      </c>
      <c r="I526" s="6">
        <v>1538577</v>
      </c>
    </row>
    <row r="527" spans="1:9">
      <c r="A527" s="6">
        <v>5</v>
      </c>
      <c r="B527" s="6" t="str">
        <f t="shared" si="16"/>
        <v>Vegetables and Fruits</v>
      </c>
      <c r="C527" s="6">
        <v>9</v>
      </c>
      <c r="D527" s="6" t="str">
        <f t="shared" si="17"/>
        <v>Livestock</v>
      </c>
      <c r="E527" s="6">
        <v>2828602</v>
      </c>
      <c r="F527" s="6">
        <v>193186</v>
      </c>
      <c r="G527" s="6">
        <v>202278</v>
      </c>
      <c r="H527" s="6">
        <v>69130</v>
      </c>
      <c r="I527" s="6">
        <v>0</v>
      </c>
    </row>
    <row r="528" spans="1:9">
      <c r="A528" s="6">
        <v>6</v>
      </c>
      <c r="B528" s="6" t="str">
        <f t="shared" si="16"/>
        <v>Sugarcane</v>
      </c>
      <c r="C528" s="6">
        <v>9</v>
      </c>
      <c r="D528" s="6" t="str">
        <f t="shared" si="17"/>
        <v>Livestock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</row>
    <row r="529" spans="1:9">
      <c r="A529" s="6">
        <v>7</v>
      </c>
      <c r="B529" s="6" t="str">
        <f t="shared" si="16"/>
        <v>Rubber (Latex)</v>
      </c>
      <c r="C529" s="6">
        <v>9</v>
      </c>
      <c r="D529" s="6" t="str">
        <f t="shared" si="17"/>
        <v>Livestock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</row>
    <row r="530" spans="1:9">
      <c r="A530" s="6">
        <v>8</v>
      </c>
      <c r="B530" s="6" t="str">
        <f t="shared" si="16"/>
        <v>Other Crops</v>
      </c>
      <c r="C530" s="6">
        <v>9</v>
      </c>
      <c r="D530" s="6" t="str">
        <f t="shared" si="17"/>
        <v>Livestock</v>
      </c>
      <c r="E530" s="6">
        <v>848308</v>
      </c>
      <c r="F530" s="6">
        <v>30213</v>
      </c>
      <c r="G530" s="6">
        <v>0</v>
      </c>
      <c r="H530" s="6">
        <v>9756</v>
      </c>
      <c r="I530" s="6">
        <v>0</v>
      </c>
    </row>
    <row r="531" spans="1:9">
      <c r="A531" s="6">
        <v>9</v>
      </c>
      <c r="B531" s="6" t="str">
        <f t="shared" si="16"/>
        <v>Livestock</v>
      </c>
      <c r="C531" s="6">
        <v>9</v>
      </c>
      <c r="D531" s="6" t="str">
        <f t="shared" si="17"/>
        <v>Livestock</v>
      </c>
      <c r="E531" s="6">
        <v>27489559</v>
      </c>
      <c r="F531" s="6">
        <v>1511504</v>
      </c>
      <c r="G531" s="6">
        <v>125794</v>
      </c>
      <c r="H531" s="6">
        <v>83309</v>
      </c>
      <c r="I531" s="6">
        <v>1072727</v>
      </c>
    </row>
    <row r="532" spans="1:9">
      <c r="A532" s="6">
        <v>10</v>
      </c>
      <c r="B532" s="6" t="str">
        <f t="shared" si="16"/>
        <v>Forestry</v>
      </c>
      <c r="C532" s="6">
        <v>9</v>
      </c>
      <c r="D532" s="6" t="str">
        <f t="shared" si="17"/>
        <v>Livestock</v>
      </c>
      <c r="E532" s="6">
        <v>136453</v>
      </c>
      <c r="F532" s="6">
        <v>3716</v>
      </c>
      <c r="G532" s="6">
        <v>4902</v>
      </c>
      <c r="H532" s="6">
        <v>1976</v>
      </c>
      <c r="I532" s="6">
        <v>0</v>
      </c>
    </row>
    <row r="533" spans="1:9">
      <c r="A533" s="6">
        <v>11</v>
      </c>
      <c r="B533" s="6" t="str">
        <f t="shared" si="16"/>
        <v>Fishery</v>
      </c>
      <c r="C533" s="6">
        <v>9</v>
      </c>
      <c r="D533" s="6" t="str">
        <f t="shared" si="17"/>
        <v>Livestock</v>
      </c>
      <c r="E533" s="6">
        <v>4224945</v>
      </c>
      <c r="F533" s="6">
        <v>249821</v>
      </c>
      <c r="G533" s="6">
        <v>221249</v>
      </c>
      <c r="H533" s="6">
        <v>70392</v>
      </c>
      <c r="I533" s="6">
        <v>0</v>
      </c>
    </row>
    <row r="534" spans="1:9">
      <c r="A534" s="6">
        <v>12</v>
      </c>
      <c r="B534" s="6" t="str">
        <f t="shared" si="16"/>
        <v>Crude Oil and Coal</v>
      </c>
      <c r="C534" s="6">
        <v>9</v>
      </c>
      <c r="D534" s="6" t="str">
        <f t="shared" si="17"/>
        <v>Livestock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</row>
    <row r="535" spans="1:9">
      <c r="A535" s="6">
        <v>13</v>
      </c>
      <c r="B535" s="6" t="str">
        <f t="shared" si="16"/>
        <v>Metal Ore</v>
      </c>
      <c r="C535" s="6">
        <v>9</v>
      </c>
      <c r="D535" s="6" t="str">
        <f t="shared" si="17"/>
        <v>Livestock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</row>
    <row r="536" spans="1:9">
      <c r="A536" s="6">
        <v>14</v>
      </c>
      <c r="B536" s="6" t="str">
        <f t="shared" si="16"/>
        <v>Non-Metal Ore</v>
      </c>
      <c r="C536" s="6">
        <v>9</v>
      </c>
      <c r="D536" s="6" t="str">
        <f t="shared" si="17"/>
        <v>Livestock</v>
      </c>
      <c r="E536" s="6">
        <v>83536</v>
      </c>
      <c r="F536" s="6">
        <v>911</v>
      </c>
      <c r="G536" s="6">
        <v>893</v>
      </c>
      <c r="H536" s="6">
        <v>1479</v>
      </c>
      <c r="I536" s="6">
        <v>0</v>
      </c>
    </row>
    <row r="537" spans="1:9">
      <c r="A537" s="6">
        <v>15</v>
      </c>
      <c r="B537" s="6" t="str">
        <f t="shared" si="16"/>
        <v>Slaughtering</v>
      </c>
      <c r="C537" s="6">
        <v>9</v>
      </c>
      <c r="D537" s="6" t="str">
        <f t="shared" si="17"/>
        <v>Livestock</v>
      </c>
      <c r="E537" s="6">
        <v>121404</v>
      </c>
      <c r="F537" s="6">
        <v>3429</v>
      </c>
      <c r="G537" s="6">
        <v>6932</v>
      </c>
      <c r="H537" s="6">
        <v>493</v>
      </c>
      <c r="I537" s="6">
        <v>0</v>
      </c>
    </row>
    <row r="538" spans="1:9">
      <c r="A538" s="6">
        <v>16</v>
      </c>
      <c r="B538" s="6" t="str">
        <f t="shared" si="16"/>
        <v>Processing and Presering of Foods</v>
      </c>
      <c r="C538" s="6">
        <v>9</v>
      </c>
      <c r="D538" s="6" t="str">
        <f t="shared" si="17"/>
        <v>Livestock</v>
      </c>
      <c r="E538" s="6">
        <v>32006826</v>
      </c>
      <c r="F538" s="6">
        <v>683396</v>
      </c>
      <c r="G538" s="6">
        <v>541845</v>
      </c>
      <c r="H538" s="6">
        <v>245209</v>
      </c>
      <c r="I538" s="6">
        <v>29535667</v>
      </c>
    </row>
    <row r="539" spans="1:9">
      <c r="A539" s="6">
        <v>17</v>
      </c>
      <c r="B539" s="6" t="str">
        <f t="shared" si="16"/>
        <v>Rice and Other Grain Milling</v>
      </c>
      <c r="C539" s="6">
        <v>9</v>
      </c>
      <c r="D539" s="6" t="str">
        <f t="shared" si="17"/>
        <v>Livestock</v>
      </c>
      <c r="E539" s="6">
        <v>27944542</v>
      </c>
      <c r="F539" s="6">
        <v>941200</v>
      </c>
      <c r="G539" s="6">
        <v>951031</v>
      </c>
      <c r="H539" s="6">
        <v>481876</v>
      </c>
      <c r="I539" s="6">
        <v>0</v>
      </c>
    </row>
    <row r="540" spans="1:9">
      <c r="A540" s="6">
        <v>18</v>
      </c>
      <c r="B540" s="6" t="str">
        <f t="shared" si="16"/>
        <v>Sugar Refineries</v>
      </c>
      <c r="C540" s="6">
        <v>9</v>
      </c>
      <c r="D540" s="6" t="str">
        <f t="shared" si="17"/>
        <v>Livestock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</row>
    <row r="541" spans="1:9">
      <c r="A541" s="6">
        <v>19</v>
      </c>
      <c r="B541" s="6" t="str">
        <f t="shared" si="16"/>
        <v>Other Foods</v>
      </c>
      <c r="C541" s="6">
        <v>9</v>
      </c>
      <c r="D541" s="6" t="str">
        <f t="shared" si="17"/>
        <v>Livestock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</row>
    <row r="542" spans="1:9">
      <c r="A542" s="6">
        <v>20</v>
      </c>
      <c r="B542" s="6" t="str">
        <f t="shared" si="16"/>
        <v>Animal Food</v>
      </c>
      <c r="C542" s="6">
        <v>9</v>
      </c>
      <c r="D542" s="6" t="str">
        <f t="shared" si="17"/>
        <v>Livestock</v>
      </c>
      <c r="E542" s="6">
        <v>72942348</v>
      </c>
      <c r="F542" s="6">
        <v>3543985</v>
      </c>
      <c r="G542" s="6">
        <v>5846518</v>
      </c>
      <c r="H542" s="6">
        <v>675425</v>
      </c>
      <c r="I542" s="6">
        <v>14861845</v>
      </c>
    </row>
    <row r="543" spans="1:9">
      <c r="A543" s="6">
        <v>21</v>
      </c>
      <c r="B543" s="6" t="str">
        <f t="shared" si="16"/>
        <v>Beverages</v>
      </c>
      <c r="C543" s="6">
        <v>9</v>
      </c>
      <c r="D543" s="6" t="str">
        <f t="shared" si="17"/>
        <v>Livestock</v>
      </c>
      <c r="E543" s="6">
        <v>6044</v>
      </c>
      <c r="F543" s="6">
        <v>0</v>
      </c>
      <c r="G543" s="6">
        <v>615</v>
      </c>
      <c r="H543" s="6">
        <v>133</v>
      </c>
      <c r="I543" s="6">
        <v>0</v>
      </c>
    </row>
    <row r="544" spans="1:9">
      <c r="A544" s="6">
        <v>22</v>
      </c>
      <c r="B544" s="6" t="str">
        <f t="shared" si="16"/>
        <v>Tobacco Processing and Products</v>
      </c>
      <c r="C544" s="6">
        <v>9</v>
      </c>
      <c r="D544" s="6" t="str">
        <f t="shared" si="17"/>
        <v>Livestock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</row>
    <row r="545" spans="1:9">
      <c r="A545" s="6">
        <v>23</v>
      </c>
      <c r="B545" s="6" t="str">
        <f t="shared" si="16"/>
        <v>Spinning, Weaving and Bleaching</v>
      </c>
      <c r="C545" s="6">
        <v>9</v>
      </c>
      <c r="D545" s="6" t="str">
        <f t="shared" si="17"/>
        <v>Livestock</v>
      </c>
      <c r="E545" s="6">
        <v>104</v>
      </c>
      <c r="F545" s="6">
        <v>14</v>
      </c>
      <c r="G545" s="6">
        <v>12</v>
      </c>
      <c r="H545" s="6">
        <v>2</v>
      </c>
      <c r="I545" s="6">
        <v>0</v>
      </c>
    </row>
    <row r="546" spans="1:9">
      <c r="A546" s="6">
        <v>24</v>
      </c>
      <c r="B546" s="6" t="str">
        <f t="shared" si="16"/>
        <v>Textile Products</v>
      </c>
      <c r="C546" s="6">
        <v>9</v>
      </c>
      <c r="D546" s="6" t="str">
        <f t="shared" si="17"/>
        <v>Livestock</v>
      </c>
      <c r="E546" s="6">
        <v>6707</v>
      </c>
      <c r="F546" s="6">
        <v>344</v>
      </c>
      <c r="G546" s="6">
        <v>577</v>
      </c>
      <c r="H546" s="6">
        <v>25</v>
      </c>
      <c r="I546" s="6">
        <v>0</v>
      </c>
    </row>
    <row r="547" spans="1:9">
      <c r="A547" s="6">
        <v>25</v>
      </c>
      <c r="B547" s="6" t="str">
        <f t="shared" si="16"/>
        <v>Paper and Paper Products</v>
      </c>
      <c r="C547" s="6">
        <v>9</v>
      </c>
      <c r="D547" s="6" t="str">
        <f t="shared" si="17"/>
        <v>Livestock</v>
      </c>
      <c r="E547" s="6">
        <v>57184</v>
      </c>
      <c r="F547" s="6">
        <v>3908</v>
      </c>
      <c r="G547" s="6">
        <v>3130</v>
      </c>
      <c r="H547" s="6">
        <v>672</v>
      </c>
      <c r="I547" s="6">
        <v>0</v>
      </c>
    </row>
    <row r="548" spans="1:9">
      <c r="A548" s="6">
        <v>26</v>
      </c>
      <c r="B548" s="6" t="str">
        <f t="shared" si="16"/>
        <v>Printing and Publishing</v>
      </c>
      <c r="C548" s="6">
        <v>9</v>
      </c>
      <c r="D548" s="6" t="str">
        <f t="shared" si="17"/>
        <v>Livestock</v>
      </c>
      <c r="E548" s="6">
        <v>612</v>
      </c>
      <c r="F548" s="6">
        <v>25</v>
      </c>
      <c r="G548" s="6">
        <v>55</v>
      </c>
      <c r="H548" s="6">
        <v>5</v>
      </c>
      <c r="I548" s="6">
        <v>0</v>
      </c>
    </row>
    <row r="549" spans="1:9">
      <c r="A549" s="6">
        <v>27</v>
      </c>
      <c r="B549" s="6" t="str">
        <f t="shared" si="16"/>
        <v>Basic Chemical Products</v>
      </c>
      <c r="C549" s="6">
        <v>9</v>
      </c>
      <c r="D549" s="6" t="str">
        <f t="shared" si="17"/>
        <v>Livestock</v>
      </c>
      <c r="E549" s="6">
        <v>86250</v>
      </c>
      <c r="F549" s="6">
        <v>8358</v>
      </c>
      <c r="G549" s="6">
        <v>3768</v>
      </c>
      <c r="H549" s="6">
        <v>1704</v>
      </c>
      <c r="I549" s="6">
        <v>47420</v>
      </c>
    </row>
    <row r="550" spans="1:9">
      <c r="A550" s="6">
        <v>28</v>
      </c>
      <c r="B550" s="6" t="str">
        <f t="shared" si="16"/>
        <v>Fertilizer and Pesticides</v>
      </c>
      <c r="C550" s="6">
        <v>9</v>
      </c>
      <c r="D550" s="6" t="str">
        <f t="shared" si="17"/>
        <v>Livestock</v>
      </c>
      <c r="E550" s="6">
        <v>499647</v>
      </c>
      <c r="F550" s="6">
        <v>46421</v>
      </c>
      <c r="G550" s="6">
        <v>44500</v>
      </c>
      <c r="H550" s="6">
        <v>17816</v>
      </c>
      <c r="I550" s="6">
        <v>0</v>
      </c>
    </row>
    <row r="551" spans="1:9">
      <c r="A551" s="6">
        <v>29</v>
      </c>
      <c r="B551" s="6" t="str">
        <f t="shared" si="16"/>
        <v>Other Chemical Products</v>
      </c>
      <c r="C551" s="6">
        <v>9</v>
      </c>
      <c r="D551" s="6" t="str">
        <f t="shared" si="17"/>
        <v>Livestock</v>
      </c>
      <c r="E551" s="6">
        <v>14687983</v>
      </c>
      <c r="F551" s="6">
        <v>1429613</v>
      </c>
      <c r="G551" s="6">
        <v>2472607</v>
      </c>
      <c r="H551" s="6">
        <v>108413</v>
      </c>
      <c r="I551" s="6">
        <v>97155</v>
      </c>
    </row>
    <row r="552" spans="1:9">
      <c r="A552" s="6">
        <v>30</v>
      </c>
      <c r="B552" s="6" t="str">
        <f t="shared" si="16"/>
        <v>Petroleum Refineries</v>
      </c>
      <c r="C552" s="6">
        <v>9</v>
      </c>
      <c r="D552" s="6" t="str">
        <f t="shared" si="17"/>
        <v>Livestock</v>
      </c>
      <c r="E552" s="6">
        <v>2630089</v>
      </c>
      <c r="F552" s="6">
        <v>138672</v>
      </c>
      <c r="G552" s="6">
        <v>158870</v>
      </c>
      <c r="H552" s="6">
        <v>22961</v>
      </c>
      <c r="I552" s="6">
        <v>487755</v>
      </c>
    </row>
    <row r="553" spans="1:9">
      <c r="A553" s="6">
        <v>31</v>
      </c>
      <c r="B553" s="6" t="str">
        <f t="shared" si="16"/>
        <v>Rubber Products</v>
      </c>
      <c r="C553" s="6">
        <v>9</v>
      </c>
      <c r="D553" s="6" t="str">
        <f t="shared" si="17"/>
        <v>Livestock</v>
      </c>
      <c r="E553" s="6">
        <v>24610</v>
      </c>
      <c r="F553" s="6">
        <v>2365</v>
      </c>
      <c r="G553" s="6">
        <v>2519</v>
      </c>
      <c r="H553" s="6">
        <v>696</v>
      </c>
      <c r="I553" s="6">
        <v>0</v>
      </c>
    </row>
    <row r="554" spans="1:9">
      <c r="A554" s="6">
        <v>32</v>
      </c>
      <c r="B554" s="6" t="str">
        <f t="shared" si="16"/>
        <v>Plastic Wares</v>
      </c>
      <c r="C554" s="6">
        <v>9</v>
      </c>
      <c r="D554" s="6" t="str">
        <f t="shared" si="17"/>
        <v>Livestock</v>
      </c>
      <c r="E554" s="6">
        <v>2627178</v>
      </c>
      <c r="F554" s="6">
        <v>151738</v>
      </c>
      <c r="G554" s="6">
        <v>179958</v>
      </c>
      <c r="H554" s="6">
        <v>20436</v>
      </c>
      <c r="I554" s="6">
        <v>1127158</v>
      </c>
    </row>
    <row r="555" spans="1:9">
      <c r="A555" s="6">
        <v>33</v>
      </c>
      <c r="B555" s="6" t="str">
        <f t="shared" si="16"/>
        <v>Cement and Concrete Products</v>
      </c>
      <c r="C555" s="6">
        <v>9</v>
      </c>
      <c r="D555" s="6" t="str">
        <f t="shared" si="17"/>
        <v>Livestock</v>
      </c>
      <c r="E555" s="6">
        <v>187058</v>
      </c>
      <c r="F555" s="6">
        <v>20667</v>
      </c>
      <c r="G555" s="6">
        <v>13288</v>
      </c>
      <c r="H555" s="6">
        <v>2775</v>
      </c>
      <c r="I555" s="6">
        <v>0</v>
      </c>
    </row>
    <row r="556" spans="1:9">
      <c r="A556" s="6">
        <v>34</v>
      </c>
      <c r="B556" s="6" t="str">
        <f t="shared" si="16"/>
        <v>Other Non-metallic Products</v>
      </c>
      <c r="C556" s="6">
        <v>9</v>
      </c>
      <c r="D556" s="6" t="str">
        <f t="shared" si="17"/>
        <v>Livestock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</row>
    <row r="557" spans="1:9">
      <c r="A557" s="6">
        <v>35</v>
      </c>
      <c r="B557" s="6" t="str">
        <f t="shared" si="16"/>
        <v>Iron and Steel</v>
      </c>
      <c r="C557" s="6">
        <v>9</v>
      </c>
      <c r="D557" s="6" t="str">
        <f t="shared" si="17"/>
        <v>Livestock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</row>
    <row r="558" spans="1:9">
      <c r="A558" s="6">
        <v>36</v>
      </c>
      <c r="B558" s="6" t="str">
        <f t="shared" si="16"/>
        <v>Non-ferrous Metal</v>
      </c>
      <c r="C558" s="6">
        <v>9</v>
      </c>
      <c r="D558" s="6" t="str">
        <f t="shared" si="17"/>
        <v>Livestock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</row>
    <row r="559" spans="1:9">
      <c r="A559" s="6">
        <v>37</v>
      </c>
      <c r="B559" s="6" t="str">
        <f t="shared" si="16"/>
        <v>Fabricated Metal Products</v>
      </c>
      <c r="C559" s="6">
        <v>9</v>
      </c>
      <c r="D559" s="6" t="str">
        <f t="shared" si="17"/>
        <v>Livestock</v>
      </c>
      <c r="E559" s="6">
        <v>1355011</v>
      </c>
      <c r="F559" s="6">
        <v>34877</v>
      </c>
      <c r="G559" s="6">
        <v>81802</v>
      </c>
      <c r="H559" s="6">
        <v>4048</v>
      </c>
      <c r="I559" s="6">
        <v>781670</v>
      </c>
    </row>
    <row r="560" spans="1:9">
      <c r="A560" s="6">
        <v>38</v>
      </c>
      <c r="B560" s="6" t="str">
        <f t="shared" si="16"/>
        <v>Industrial Machinery</v>
      </c>
      <c r="C560" s="6">
        <v>9</v>
      </c>
      <c r="D560" s="6" t="str">
        <f t="shared" si="17"/>
        <v>Livestock</v>
      </c>
      <c r="E560" s="6">
        <v>212309</v>
      </c>
      <c r="F560" s="6">
        <v>16550</v>
      </c>
      <c r="G560" s="6">
        <v>6364</v>
      </c>
      <c r="H560" s="6">
        <v>1620</v>
      </c>
      <c r="I560" s="6">
        <v>0</v>
      </c>
    </row>
    <row r="561" spans="1:9">
      <c r="A561" s="6">
        <v>39</v>
      </c>
      <c r="B561" s="6" t="str">
        <f t="shared" si="16"/>
        <v>Electrical Machinery and Apparatus</v>
      </c>
      <c r="C561" s="6">
        <v>9</v>
      </c>
      <c r="D561" s="6" t="str">
        <f t="shared" si="17"/>
        <v>Livestock</v>
      </c>
      <c r="E561" s="6">
        <v>368909</v>
      </c>
      <c r="F561" s="6">
        <v>21414</v>
      </c>
      <c r="G561" s="6">
        <v>27129</v>
      </c>
      <c r="H561" s="6">
        <v>2053</v>
      </c>
      <c r="I561" s="6">
        <v>0</v>
      </c>
    </row>
    <row r="562" spans="1:9">
      <c r="A562" s="6">
        <v>40</v>
      </c>
      <c r="B562" s="6" t="str">
        <f t="shared" si="16"/>
        <v>Motor Vehicles and Repairing</v>
      </c>
      <c r="C562" s="6">
        <v>9</v>
      </c>
      <c r="D562" s="6" t="str">
        <f t="shared" si="17"/>
        <v>Livestock</v>
      </c>
      <c r="E562" s="6">
        <v>1337411</v>
      </c>
      <c r="F562" s="6">
        <v>0</v>
      </c>
      <c r="G562" s="6">
        <v>0</v>
      </c>
      <c r="H562" s="6">
        <v>0</v>
      </c>
      <c r="I562" s="6">
        <v>0</v>
      </c>
    </row>
    <row r="563" spans="1:9">
      <c r="A563" s="6">
        <v>41</v>
      </c>
      <c r="B563" s="6" t="str">
        <f t="shared" si="16"/>
        <v>Other Transportation Equipment</v>
      </c>
      <c r="C563" s="6">
        <v>9</v>
      </c>
      <c r="D563" s="6" t="str">
        <f t="shared" si="17"/>
        <v>Livestock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</row>
    <row r="564" spans="1:9">
      <c r="A564" s="6">
        <v>42</v>
      </c>
      <c r="B564" s="6" t="str">
        <f t="shared" si="16"/>
        <v>Leather Products</v>
      </c>
      <c r="C564" s="6">
        <v>9</v>
      </c>
      <c r="D564" s="6" t="str">
        <f t="shared" si="17"/>
        <v>Livestock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</row>
    <row r="565" spans="1:9">
      <c r="A565" s="6">
        <v>43</v>
      </c>
      <c r="B565" s="6" t="str">
        <f t="shared" si="16"/>
        <v>Saw Mills and Wood Products</v>
      </c>
      <c r="C565" s="6">
        <v>9</v>
      </c>
      <c r="D565" s="6" t="str">
        <f t="shared" si="17"/>
        <v>Livestock</v>
      </c>
      <c r="E565" s="6">
        <v>328419</v>
      </c>
      <c r="F565" s="6">
        <v>37938</v>
      </c>
      <c r="G565" s="6">
        <v>32349</v>
      </c>
      <c r="H565" s="6">
        <v>2981</v>
      </c>
      <c r="I565" s="6">
        <v>0</v>
      </c>
    </row>
    <row r="566" spans="1:9">
      <c r="A566" s="6">
        <v>44</v>
      </c>
      <c r="B566" s="6" t="str">
        <f t="shared" si="16"/>
        <v>Other Manufacturing Products</v>
      </c>
      <c r="C566" s="6">
        <v>9</v>
      </c>
      <c r="D566" s="6" t="str">
        <f t="shared" si="17"/>
        <v>Livestock</v>
      </c>
      <c r="E566" s="6">
        <v>476462</v>
      </c>
      <c r="F566" s="6">
        <v>43631</v>
      </c>
      <c r="G566" s="6">
        <v>35614</v>
      </c>
      <c r="H566" s="6">
        <v>4167</v>
      </c>
      <c r="I566" s="6">
        <v>0</v>
      </c>
    </row>
    <row r="567" spans="1:9">
      <c r="A567" s="6">
        <v>45</v>
      </c>
      <c r="B567" s="6" t="str">
        <f t="shared" si="16"/>
        <v>Electricity and Gas</v>
      </c>
      <c r="C567" s="6">
        <v>9</v>
      </c>
      <c r="D567" s="6" t="str">
        <f t="shared" si="17"/>
        <v>Livestock</v>
      </c>
      <c r="E567" s="6">
        <v>3351599</v>
      </c>
      <c r="F567" s="6">
        <v>395</v>
      </c>
      <c r="G567" s="6">
        <v>557</v>
      </c>
      <c r="H567" s="6">
        <v>210</v>
      </c>
      <c r="I567" s="6">
        <v>0</v>
      </c>
    </row>
    <row r="568" spans="1:9">
      <c r="A568" s="6">
        <v>46</v>
      </c>
      <c r="B568" s="6" t="str">
        <f t="shared" si="16"/>
        <v>Water Works and Supply</v>
      </c>
      <c r="C568" s="6">
        <v>9</v>
      </c>
      <c r="D568" s="6" t="str">
        <f t="shared" si="17"/>
        <v>Livestock</v>
      </c>
      <c r="E568" s="6">
        <v>483908</v>
      </c>
      <c r="F568" s="6">
        <v>0</v>
      </c>
      <c r="G568" s="6">
        <v>0</v>
      </c>
      <c r="H568" s="6">
        <v>0</v>
      </c>
      <c r="I568" s="6">
        <v>0</v>
      </c>
    </row>
    <row r="569" spans="1:9">
      <c r="A569" s="6">
        <v>47</v>
      </c>
      <c r="B569" s="6" t="str">
        <f t="shared" si="16"/>
        <v>Building Construction</v>
      </c>
      <c r="C569" s="6">
        <v>9</v>
      </c>
      <c r="D569" s="6" t="str">
        <f t="shared" si="17"/>
        <v>Livestock</v>
      </c>
      <c r="E569" s="6">
        <v>693608</v>
      </c>
      <c r="F569" s="6">
        <v>0</v>
      </c>
      <c r="G569" s="6">
        <v>0</v>
      </c>
      <c r="H569" s="6">
        <v>0</v>
      </c>
      <c r="I569" s="6">
        <v>0</v>
      </c>
    </row>
    <row r="570" spans="1:9">
      <c r="A570" s="6">
        <v>48</v>
      </c>
      <c r="B570" s="6" t="str">
        <f t="shared" si="16"/>
        <v>Public Works and Other Construction</v>
      </c>
      <c r="C570" s="6">
        <v>9</v>
      </c>
      <c r="D570" s="6" t="str">
        <f t="shared" si="17"/>
        <v>Livestock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</row>
    <row r="571" spans="1:9">
      <c r="A571" s="6">
        <v>49</v>
      </c>
      <c r="B571" s="6" t="str">
        <f t="shared" si="16"/>
        <v>Trade</v>
      </c>
      <c r="C571" s="6">
        <v>9</v>
      </c>
      <c r="D571" s="6" t="str">
        <f t="shared" si="17"/>
        <v>Livestock</v>
      </c>
      <c r="E571" s="6">
        <v>0</v>
      </c>
      <c r="F571" s="6">
        <v>-9508220</v>
      </c>
      <c r="G571" s="6">
        <v>-11686619</v>
      </c>
      <c r="H571" s="6">
        <v>0</v>
      </c>
      <c r="I571" s="6">
        <v>0</v>
      </c>
    </row>
    <row r="572" spans="1:9">
      <c r="A572" s="6">
        <v>50</v>
      </c>
      <c r="B572" s="6" t="str">
        <f t="shared" si="16"/>
        <v>Restaurants and Hotels</v>
      </c>
      <c r="C572" s="6">
        <v>9</v>
      </c>
      <c r="D572" s="6" t="str">
        <f t="shared" si="17"/>
        <v>Livestock</v>
      </c>
      <c r="E572" s="6">
        <v>585196</v>
      </c>
      <c r="F572" s="6">
        <v>0</v>
      </c>
      <c r="G572" s="6">
        <v>0</v>
      </c>
      <c r="H572" s="6">
        <v>0</v>
      </c>
      <c r="I572" s="6">
        <v>0</v>
      </c>
    </row>
    <row r="573" spans="1:9">
      <c r="A573" s="6">
        <v>51</v>
      </c>
      <c r="B573" s="6" t="str">
        <f t="shared" si="16"/>
        <v>Transportation</v>
      </c>
      <c r="C573" s="6">
        <v>9</v>
      </c>
      <c r="D573" s="6" t="str">
        <f t="shared" si="17"/>
        <v>Livestock</v>
      </c>
      <c r="E573" s="6">
        <v>740549</v>
      </c>
      <c r="F573" s="6">
        <v>0</v>
      </c>
      <c r="G573" s="6">
        <v>0</v>
      </c>
      <c r="H573" s="6">
        <v>-1922688</v>
      </c>
      <c r="I573" s="6">
        <v>0</v>
      </c>
    </row>
    <row r="574" spans="1:9">
      <c r="A574" s="6">
        <v>52</v>
      </c>
      <c r="B574" s="6" t="str">
        <f t="shared" si="16"/>
        <v>Communication</v>
      </c>
      <c r="C574" s="6">
        <v>9</v>
      </c>
      <c r="D574" s="6" t="str">
        <f t="shared" si="17"/>
        <v>Livestock</v>
      </c>
      <c r="E574" s="6">
        <v>301471</v>
      </c>
      <c r="F574" s="6">
        <v>0</v>
      </c>
      <c r="G574" s="6">
        <v>0</v>
      </c>
      <c r="H574" s="6">
        <v>0</v>
      </c>
      <c r="I574" s="6">
        <v>0</v>
      </c>
    </row>
    <row r="575" spans="1:9">
      <c r="A575" s="6">
        <v>53</v>
      </c>
      <c r="B575" s="6" t="str">
        <f t="shared" si="16"/>
        <v>Banking and Insurance</v>
      </c>
      <c r="C575" s="6">
        <v>9</v>
      </c>
      <c r="D575" s="6" t="str">
        <f t="shared" si="17"/>
        <v>Livestock</v>
      </c>
      <c r="E575" s="6">
        <v>6305112</v>
      </c>
      <c r="F575" s="6">
        <v>0</v>
      </c>
      <c r="G575" s="6">
        <v>0</v>
      </c>
      <c r="H575" s="6">
        <v>0</v>
      </c>
      <c r="I575" s="6">
        <v>0</v>
      </c>
    </row>
    <row r="576" spans="1:9">
      <c r="A576" s="6">
        <v>54</v>
      </c>
      <c r="B576" s="6" t="str">
        <f t="shared" si="16"/>
        <v>Real Estate</v>
      </c>
      <c r="C576" s="6">
        <v>9</v>
      </c>
      <c r="D576" s="6" t="str">
        <f t="shared" si="17"/>
        <v>Livestock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</row>
    <row r="577" spans="1:9">
      <c r="A577" s="6">
        <v>55</v>
      </c>
      <c r="B577" s="6" t="str">
        <f t="shared" si="16"/>
        <v>Business Services</v>
      </c>
      <c r="C577" s="6">
        <v>9</v>
      </c>
      <c r="D577" s="6" t="str">
        <f t="shared" si="17"/>
        <v>Livestock</v>
      </c>
      <c r="E577" s="6">
        <v>1014308</v>
      </c>
      <c r="F577" s="6">
        <v>0</v>
      </c>
      <c r="G577" s="6">
        <v>0</v>
      </c>
      <c r="H577" s="6">
        <v>0</v>
      </c>
      <c r="I577" s="6">
        <v>0</v>
      </c>
    </row>
    <row r="578" spans="1:9">
      <c r="A578" s="6">
        <v>56</v>
      </c>
      <c r="B578" s="6" t="str">
        <f t="shared" si="16"/>
        <v>Public Services</v>
      </c>
      <c r="C578" s="6">
        <v>9</v>
      </c>
      <c r="D578" s="6" t="str">
        <f t="shared" si="17"/>
        <v>Livestock</v>
      </c>
      <c r="E578" s="6">
        <v>596505</v>
      </c>
      <c r="F578" s="6">
        <v>0</v>
      </c>
      <c r="G578" s="6">
        <v>0</v>
      </c>
      <c r="H578" s="6">
        <v>0</v>
      </c>
      <c r="I578" s="6">
        <v>0</v>
      </c>
    </row>
    <row r="579" spans="1:9">
      <c r="A579" s="6">
        <v>57</v>
      </c>
      <c r="B579" s="6" t="str">
        <f t="shared" si="16"/>
        <v>Other Services</v>
      </c>
      <c r="C579" s="6">
        <v>9</v>
      </c>
      <c r="D579" s="6" t="str">
        <f t="shared" si="17"/>
        <v>Livestock</v>
      </c>
      <c r="E579" s="6">
        <v>70496</v>
      </c>
      <c r="F579" s="6">
        <v>0</v>
      </c>
      <c r="G579" s="6">
        <v>0</v>
      </c>
      <c r="H579" s="6">
        <v>0</v>
      </c>
      <c r="I579" s="6">
        <v>0</v>
      </c>
    </row>
    <row r="580" spans="1:9">
      <c r="A580" s="6">
        <v>58</v>
      </c>
      <c r="B580" s="6" t="str">
        <f t="shared" ref="B580:B643" si="18">VLOOKUP(A580,R:S,2,0)</f>
        <v>Unclassified</v>
      </c>
      <c r="C580" s="6">
        <v>9</v>
      </c>
      <c r="D580" s="6" t="str">
        <f t="shared" ref="D580:D643" si="19">VLOOKUP(C580,R:S,2,0)</f>
        <v>Livestock</v>
      </c>
      <c r="E580" s="6">
        <v>553372</v>
      </c>
      <c r="F580" s="6">
        <v>0</v>
      </c>
      <c r="G580" s="6">
        <v>0</v>
      </c>
      <c r="H580" s="6">
        <v>0</v>
      </c>
      <c r="I580" s="6">
        <v>50151</v>
      </c>
    </row>
    <row r="581" spans="1:9">
      <c r="A581" s="6">
        <v>190</v>
      </c>
      <c r="B581" s="6" t="str">
        <f t="shared" si="18"/>
        <v>Total Intermedite Transaction</v>
      </c>
      <c r="C581" s="6">
        <v>9</v>
      </c>
      <c r="D581" s="6" t="str">
        <f t="shared" si="19"/>
        <v>Livestock</v>
      </c>
      <c r="E581" s="6">
        <v>224589912</v>
      </c>
      <c r="F581" s="6">
        <v>0</v>
      </c>
      <c r="G581" s="6">
        <v>0</v>
      </c>
      <c r="H581" s="6">
        <v>0</v>
      </c>
      <c r="I581" s="6">
        <v>50494834</v>
      </c>
    </row>
    <row r="582" spans="1:9">
      <c r="A582" s="6">
        <v>201</v>
      </c>
      <c r="B582" s="6" t="str">
        <f t="shared" si="18"/>
        <v>Wages and Salaries</v>
      </c>
      <c r="C582" s="6">
        <v>9</v>
      </c>
      <c r="D582" s="6" t="str">
        <f t="shared" si="19"/>
        <v>Livestock</v>
      </c>
      <c r="E582" s="6">
        <v>50686440</v>
      </c>
      <c r="F582" s="6">
        <v>0</v>
      </c>
      <c r="G582" s="6">
        <v>0</v>
      </c>
      <c r="H582" s="6">
        <v>0</v>
      </c>
      <c r="I582" s="6">
        <v>0</v>
      </c>
    </row>
    <row r="583" spans="1:9">
      <c r="A583" s="6">
        <v>202</v>
      </c>
      <c r="B583" s="6" t="str">
        <f t="shared" si="18"/>
        <v>Operating Surplus</v>
      </c>
      <c r="C583" s="6">
        <v>9</v>
      </c>
      <c r="D583" s="6" t="str">
        <f t="shared" si="19"/>
        <v>Livestock</v>
      </c>
      <c r="E583" s="6">
        <v>118896569</v>
      </c>
      <c r="F583" s="6">
        <v>0</v>
      </c>
      <c r="G583" s="6">
        <v>0</v>
      </c>
      <c r="H583" s="6">
        <v>0</v>
      </c>
      <c r="I583" s="6">
        <v>0</v>
      </c>
    </row>
    <row r="584" spans="1:9">
      <c r="A584" s="6">
        <v>203</v>
      </c>
      <c r="B584" s="6" t="str">
        <f t="shared" si="18"/>
        <v>Depreciation</v>
      </c>
      <c r="C584" s="6">
        <v>9</v>
      </c>
      <c r="D584" s="6" t="str">
        <f t="shared" si="19"/>
        <v>Livestock</v>
      </c>
      <c r="E584" s="6">
        <v>19729403</v>
      </c>
      <c r="F584" s="6">
        <v>0</v>
      </c>
      <c r="G584" s="6">
        <v>0</v>
      </c>
      <c r="H584" s="6">
        <v>0</v>
      </c>
      <c r="I584" s="6">
        <v>0</v>
      </c>
    </row>
    <row r="585" spans="1:9">
      <c r="A585" s="6">
        <v>204</v>
      </c>
      <c r="B585" s="6" t="str">
        <f t="shared" si="18"/>
        <v>Indirect Taxes less Subsidies</v>
      </c>
      <c r="C585" s="6">
        <v>9</v>
      </c>
      <c r="D585" s="6" t="str">
        <f t="shared" si="19"/>
        <v>Livestock</v>
      </c>
      <c r="E585" s="6">
        <v>677778</v>
      </c>
      <c r="F585" s="6">
        <v>0</v>
      </c>
      <c r="G585" s="6">
        <v>0</v>
      </c>
      <c r="H585" s="6">
        <v>0</v>
      </c>
      <c r="I585" s="6">
        <v>0</v>
      </c>
    </row>
    <row r="586" spans="1:9">
      <c r="A586" s="6">
        <v>209</v>
      </c>
      <c r="B586" s="6" t="str">
        <f t="shared" si="18"/>
        <v>Total Value Added</v>
      </c>
      <c r="C586" s="6">
        <v>9</v>
      </c>
      <c r="D586" s="6" t="str">
        <f t="shared" si="19"/>
        <v>Livestock</v>
      </c>
      <c r="E586" s="6">
        <v>189990190</v>
      </c>
      <c r="F586" s="6">
        <v>0</v>
      </c>
      <c r="G586" s="6">
        <v>0</v>
      </c>
      <c r="H586" s="6">
        <v>0</v>
      </c>
      <c r="I586" s="6">
        <v>0</v>
      </c>
    </row>
    <row r="587" spans="1:9">
      <c r="A587" s="6">
        <v>210</v>
      </c>
      <c r="B587" s="6" t="str">
        <f t="shared" si="18"/>
        <v>Control Total</v>
      </c>
      <c r="C587" s="6">
        <v>9</v>
      </c>
      <c r="D587" s="6" t="str">
        <f t="shared" si="19"/>
        <v>Livestock</v>
      </c>
      <c r="E587" s="6">
        <v>414580102</v>
      </c>
      <c r="F587" s="6">
        <v>0</v>
      </c>
      <c r="G587" s="6">
        <v>0</v>
      </c>
      <c r="H587" s="6">
        <v>0</v>
      </c>
      <c r="I587" s="6">
        <v>0</v>
      </c>
    </row>
    <row r="588" spans="1:9">
      <c r="A588" s="6">
        <v>1</v>
      </c>
      <c r="B588" s="6" t="str">
        <f t="shared" si="18"/>
        <v>Paddy</v>
      </c>
      <c r="C588" s="6">
        <v>10</v>
      </c>
      <c r="D588" s="6" t="str">
        <f t="shared" si="19"/>
        <v>Forestry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</row>
    <row r="589" spans="1:9">
      <c r="A589" s="6">
        <v>2</v>
      </c>
      <c r="B589" s="6" t="str">
        <f t="shared" si="18"/>
        <v>Maize</v>
      </c>
      <c r="C589" s="6">
        <v>10</v>
      </c>
      <c r="D589" s="6" t="str">
        <f t="shared" si="19"/>
        <v>Forestry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</row>
    <row r="590" spans="1:9">
      <c r="A590" s="6">
        <v>3</v>
      </c>
      <c r="B590" s="6" t="str">
        <f t="shared" si="18"/>
        <v>Cassava</v>
      </c>
      <c r="C590" s="6">
        <v>10</v>
      </c>
      <c r="D590" s="6" t="str">
        <f t="shared" si="19"/>
        <v>Forestry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</row>
    <row r="591" spans="1:9">
      <c r="A591" s="6">
        <v>4</v>
      </c>
      <c r="B591" s="6" t="str">
        <f t="shared" si="18"/>
        <v>Beans and Nuts</v>
      </c>
      <c r="C591" s="6">
        <v>10</v>
      </c>
      <c r="D591" s="6" t="str">
        <f t="shared" si="19"/>
        <v>Forestry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</row>
    <row r="592" spans="1:9">
      <c r="A592" s="6">
        <v>5</v>
      </c>
      <c r="B592" s="6" t="str">
        <f t="shared" si="18"/>
        <v>Vegetables and Fruits</v>
      </c>
      <c r="C592" s="6">
        <v>10</v>
      </c>
      <c r="D592" s="6" t="str">
        <f t="shared" si="19"/>
        <v>Forestry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</row>
    <row r="593" spans="1:9">
      <c r="A593" s="6">
        <v>6</v>
      </c>
      <c r="B593" s="6" t="str">
        <f t="shared" si="18"/>
        <v>Sugarcane</v>
      </c>
      <c r="C593" s="6">
        <v>10</v>
      </c>
      <c r="D593" s="6" t="str">
        <f t="shared" si="19"/>
        <v>Forestry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</row>
    <row r="594" spans="1:9">
      <c r="A594" s="6">
        <v>7</v>
      </c>
      <c r="B594" s="6" t="str">
        <f t="shared" si="18"/>
        <v>Rubber (Latex)</v>
      </c>
      <c r="C594" s="6">
        <v>10</v>
      </c>
      <c r="D594" s="6" t="str">
        <f t="shared" si="19"/>
        <v>Forestry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</row>
    <row r="595" spans="1:9">
      <c r="A595" s="6">
        <v>8</v>
      </c>
      <c r="B595" s="6" t="str">
        <f t="shared" si="18"/>
        <v>Other Crops</v>
      </c>
      <c r="C595" s="6">
        <v>10</v>
      </c>
      <c r="D595" s="6" t="str">
        <f t="shared" si="19"/>
        <v>Forestry</v>
      </c>
      <c r="E595" s="6">
        <v>334330</v>
      </c>
      <c r="F595" s="6">
        <v>0</v>
      </c>
      <c r="G595" s="6">
        <v>0</v>
      </c>
      <c r="H595" s="6">
        <v>0</v>
      </c>
      <c r="I595" s="6">
        <v>0</v>
      </c>
    </row>
    <row r="596" spans="1:9">
      <c r="A596" s="6">
        <v>9</v>
      </c>
      <c r="B596" s="6" t="str">
        <f t="shared" si="18"/>
        <v>Livestock</v>
      </c>
      <c r="C596" s="6">
        <v>10</v>
      </c>
      <c r="D596" s="6" t="str">
        <f t="shared" si="19"/>
        <v>Forestry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</row>
    <row r="597" spans="1:9">
      <c r="A597" s="6">
        <v>10</v>
      </c>
      <c r="B597" s="6" t="str">
        <f t="shared" si="18"/>
        <v>Forestry</v>
      </c>
      <c r="C597" s="6">
        <v>10</v>
      </c>
      <c r="D597" s="6" t="str">
        <f t="shared" si="19"/>
        <v>Forestry</v>
      </c>
      <c r="E597" s="6">
        <v>700494</v>
      </c>
      <c r="F597" s="6">
        <v>21429</v>
      </c>
      <c r="G597" s="6">
        <v>0</v>
      </c>
      <c r="H597" s="6">
        <v>9517</v>
      </c>
      <c r="I597" s="6">
        <v>0</v>
      </c>
    </row>
    <row r="598" spans="1:9">
      <c r="A598" s="6">
        <v>11</v>
      </c>
      <c r="B598" s="6" t="str">
        <f t="shared" si="18"/>
        <v>Fishery</v>
      </c>
      <c r="C598" s="6">
        <v>10</v>
      </c>
      <c r="D598" s="6" t="str">
        <f t="shared" si="19"/>
        <v>Forestry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</row>
    <row r="599" spans="1:9">
      <c r="A599" s="6">
        <v>12</v>
      </c>
      <c r="B599" s="6" t="str">
        <f t="shared" si="18"/>
        <v>Crude Oil and Coal</v>
      </c>
      <c r="C599" s="6">
        <v>10</v>
      </c>
      <c r="D599" s="6" t="str">
        <f t="shared" si="19"/>
        <v>Forestry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</row>
    <row r="600" spans="1:9">
      <c r="A600" s="6">
        <v>13</v>
      </c>
      <c r="B600" s="6" t="str">
        <f t="shared" si="18"/>
        <v>Metal Ore</v>
      </c>
      <c r="C600" s="6">
        <v>10</v>
      </c>
      <c r="D600" s="6" t="str">
        <f t="shared" si="19"/>
        <v>Forestry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</row>
    <row r="601" spans="1:9">
      <c r="A601" s="6">
        <v>14</v>
      </c>
      <c r="B601" s="6" t="str">
        <f t="shared" si="18"/>
        <v>Non-Metal Ore</v>
      </c>
      <c r="C601" s="6">
        <v>10</v>
      </c>
      <c r="D601" s="6" t="str">
        <f t="shared" si="19"/>
        <v>Forestry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</row>
    <row r="602" spans="1:9">
      <c r="A602" s="6">
        <v>15</v>
      </c>
      <c r="B602" s="6" t="str">
        <f t="shared" si="18"/>
        <v>Slaughtering</v>
      </c>
      <c r="C602" s="6">
        <v>10</v>
      </c>
      <c r="D602" s="6" t="str">
        <f t="shared" si="19"/>
        <v>Forestry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</row>
    <row r="603" spans="1:9">
      <c r="A603" s="6">
        <v>16</v>
      </c>
      <c r="B603" s="6" t="str">
        <f t="shared" si="18"/>
        <v>Processing and Presering of Foods</v>
      </c>
      <c r="C603" s="6">
        <v>10</v>
      </c>
      <c r="D603" s="6" t="str">
        <f t="shared" si="19"/>
        <v>Forestry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</row>
    <row r="604" spans="1:9">
      <c r="A604" s="6">
        <v>17</v>
      </c>
      <c r="B604" s="6" t="str">
        <f t="shared" si="18"/>
        <v>Rice and Other Grain Milling</v>
      </c>
      <c r="C604" s="6">
        <v>10</v>
      </c>
      <c r="D604" s="6" t="str">
        <f t="shared" si="19"/>
        <v>Forestry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</row>
    <row r="605" spans="1:9">
      <c r="A605" s="6">
        <v>18</v>
      </c>
      <c r="B605" s="6" t="str">
        <f t="shared" si="18"/>
        <v>Sugar Refineries</v>
      </c>
      <c r="C605" s="6">
        <v>10</v>
      </c>
      <c r="D605" s="6" t="str">
        <f t="shared" si="19"/>
        <v>Forestry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</row>
    <row r="606" spans="1:9">
      <c r="A606" s="6">
        <v>19</v>
      </c>
      <c r="B606" s="6" t="str">
        <f t="shared" si="18"/>
        <v>Other Foods</v>
      </c>
      <c r="C606" s="6">
        <v>10</v>
      </c>
      <c r="D606" s="6" t="str">
        <f t="shared" si="19"/>
        <v>Forestry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</row>
    <row r="607" spans="1:9">
      <c r="A607" s="6">
        <v>20</v>
      </c>
      <c r="B607" s="6" t="str">
        <f t="shared" si="18"/>
        <v>Animal Food</v>
      </c>
      <c r="C607" s="6">
        <v>10</v>
      </c>
      <c r="D607" s="6" t="str">
        <f t="shared" si="19"/>
        <v>Forestry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</row>
    <row r="608" spans="1:9">
      <c r="A608" s="6">
        <v>21</v>
      </c>
      <c r="B608" s="6" t="str">
        <f t="shared" si="18"/>
        <v>Beverages</v>
      </c>
      <c r="C608" s="6">
        <v>10</v>
      </c>
      <c r="D608" s="6" t="str">
        <f t="shared" si="19"/>
        <v>Forestry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</row>
    <row r="609" spans="1:9">
      <c r="A609" s="6">
        <v>22</v>
      </c>
      <c r="B609" s="6" t="str">
        <f t="shared" si="18"/>
        <v>Tobacco Processing and Products</v>
      </c>
      <c r="C609" s="6">
        <v>10</v>
      </c>
      <c r="D609" s="6" t="str">
        <f t="shared" si="19"/>
        <v>Forestry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</row>
    <row r="610" spans="1:9">
      <c r="A610" s="6">
        <v>23</v>
      </c>
      <c r="B610" s="6" t="str">
        <f t="shared" si="18"/>
        <v>Spinning, Weaving and Bleaching</v>
      </c>
      <c r="C610" s="6">
        <v>10</v>
      </c>
      <c r="D610" s="6" t="str">
        <f t="shared" si="19"/>
        <v>Forestry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</row>
    <row r="611" spans="1:9">
      <c r="A611" s="6">
        <v>24</v>
      </c>
      <c r="B611" s="6" t="str">
        <f t="shared" si="18"/>
        <v>Textile Products</v>
      </c>
      <c r="C611" s="6">
        <v>10</v>
      </c>
      <c r="D611" s="6" t="str">
        <f t="shared" si="19"/>
        <v>Forestry</v>
      </c>
      <c r="E611" s="6">
        <v>93380</v>
      </c>
      <c r="F611" s="6">
        <v>7821</v>
      </c>
      <c r="G611" s="6">
        <v>713</v>
      </c>
      <c r="H611" s="6">
        <v>479</v>
      </c>
      <c r="I611" s="6">
        <v>0</v>
      </c>
    </row>
    <row r="612" spans="1:9">
      <c r="A612" s="6">
        <v>25</v>
      </c>
      <c r="B612" s="6" t="str">
        <f t="shared" si="18"/>
        <v>Paper and Paper Products</v>
      </c>
      <c r="C612" s="6">
        <v>10</v>
      </c>
      <c r="D612" s="6" t="str">
        <f t="shared" si="19"/>
        <v>Forestry</v>
      </c>
      <c r="E612" s="6">
        <v>17849</v>
      </c>
      <c r="F612" s="6">
        <v>201</v>
      </c>
      <c r="G612" s="6">
        <v>545</v>
      </c>
      <c r="H612" s="6">
        <v>151</v>
      </c>
      <c r="I612" s="6">
        <v>0</v>
      </c>
    </row>
    <row r="613" spans="1:9">
      <c r="A613" s="6">
        <v>26</v>
      </c>
      <c r="B613" s="6" t="str">
        <f t="shared" si="18"/>
        <v>Printing and Publishing</v>
      </c>
      <c r="C613" s="6">
        <v>10</v>
      </c>
      <c r="D613" s="6" t="str">
        <f t="shared" si="19"/>
        <v>Forestry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</row>
    <row r="614" spans="1:9">
      <c r="A614" s="6">
        <v>27</v>
      </c>
      <c r="B614" s="6" t="str">
        <f t="shared" si="18"/>
        <v>Basic Chemical Products</v>
      </c>
      <c r="C614" s="6">
        <v>10</v>
      </c>
      <c r="D614" s="6" t="str">
        <f t="shared" si="19"/>
        <v>Forestry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</row>
    <row r="615" spans="1:9">
      <c r="A615" s="6">
        <v>28</v>
      </c>
      <c r="B615" s="6" t="str">
        <f t="shared" si="18"/>
        <v>Fertilizer and Pesticides</v>
      </c>
      <c r="C615" s="6">
        <v>10</v>
      </c>
      <c r="D615" s="6" t="str">
        <f t="shared" si="19"/>
        <v>Forestry</v>
      </c>
      <c r="E615" s="6">
        <v>244714</v>
      </c>
      <c r="F615" s="6">
        <v>22363</v>
      </c>
      <c r="G615" s="6">
        <v>23921</v>
      </c>
      <c r="H615" s="6">
        <v>8992</v>
      </c>
      <c r="I615" s="6">
        <v>0</v>
      </c>
    </row>
    <row r="616" spans="1:9">
      <c r="A616" s="6">
        <v>29</v>
      </c>
      <c r="B616" s="6" t="str">
        <f t="shared" si="18"/>
        <v>Other Chemical Products</v>
      </c>
      <c r="C616" s="6">
        <v>10</v>
      </c>
      <c r="D616" s="6" t="str">
        <f t="shared" si="19"/>
        <v>Forestry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</row>
    <row r="617" spans="1:9">
      <c r="A617" s="6">
        <v>30</v>
      </c>
      <c r="B617" s="6" t="str">
        <f t="shared" si="18"/>
        <v>Petroleum Refineries</v>
      </c>
      <c r="C617" s="6">
        <v>10</v>
      </c>
      <c r="D617" s="6" t="str">
        <f t="shared" si="19"/>
        <v>Forestry</v>
      </c>
      <c r="E617" s="6">
        <v>497218</v>
      </c>
      <c r="F617" s="6">
        <v>17647</v>
      </c>
      <c r="G617" s="6">
        <v>16606</v>
      </c>
      <c r="H617" s="6">
        <v>4215</v>
      </c>
      <c r="I617" s="6">
        <v>61145</v>
      </c>
    </row>
    <row r="618" spans="1:9">
      <c r="A618" s="6">
        <v>31</v>
      </c>
      <c r="B618" s="6" t="str">
        <f t="shared" si="18"/>
        <v>Rubber Products</v>
      </c>
      <c r="C618" s="6">
        <v>10</v>
      </c>
      <c r="D618" s="6" t="str">
        <f t="shared" si="19"/>
        <v>Forestry</v>
      </c>
      <c r="E618" s="6">
        <v>130</v>
      </c>
      <c r="F618" s="6">
        <v>13</v>
      </c>
      <c r="G618" s="6">
        <v>17</v>
      </c>
      <c r="H618" s="6">
        <v>3</v>
      </c>
      <c r="I618" s="6">
        <v>0</v>
      </c>
    </row>
    <row r="619" spans="1:9">
      <c r="A619" s="6">
        <v>32</v>
      </c>
      <c r="B619" s="6" t="str">
        <f t="shared" si="18"/>
        <v>Plastic Wares</v>
      </c>
      <c r="C619" s="6">
        <v>10</v>
      </c>
      <c r="D619" s="6" t="str">
        <f t="shared" si="19"/>
        <v>Forestry</v>
      </c>
      <c r="E619" s="6">
        <v>185609</v>
      </c>
      <c r="F619" s="6">
        <v>13027</v>
      </c>
      <c r="G619" s="6">
        <v>18004</v>
      </c>
      <c r="H619" s="6">
        <v>1548</v>
      </c>
      <c r="I619" s="6">
        <v>48530</v>
      </c>
    </row>
    <row r="620" spans="1:9">
      <c r="A620" s="6">
        <v>33</v>
      </c>
      <c r="B620" s="6" t="str">
        <f t="shared" si="18"/>
        <v>Cement and Concrete Products</v>
      </c>
      <c r="C620" s="6">
        <v>10</v>
      </c>
      <c r="D620" s="6" t="str">
        <f t="shared" si="19"/>
        <v>Forestry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</row>
    <row r="621" spans="1:9">
      <c r="A621" s="6">
        <v>34</v>
      </c>
      <c r="B621" s="6" t="str">
        <f t="shared" si="18"/>
        <v>Other Non-metallic Products</v>
      </c>
      <c r="C621" s="6">
        <v>10</v>
      </c>
      <c r="D621" s="6" t="str">
        <f t="shared" si="19"/>
        <v>Forestry</v>
      </c>
      <c r="E621" s="6">
        <v>224060</v>
      </c>
      <c r="F621" s="6">
        <v>15457</v>
      </c>
      <c r="G621" s="6">
        <v>17301</v>
      </c>
      <c r="H621" s="6">
        <v>3028</v>
      </c>
      <c r="I621" s="6">
        <v>0</v>
      </c>
    </row>
    <row r="622" spans="1:9">
      <c r="A622" s="6">
        <v>35</v>
      </c>
      <c r="B622" s="6" t="str">
        <f t="shared" si="18"/>
        <v>Iron and Steel</v>
      </c>
      <c r="C622" s="6">
        <v>10</v>
      </c>
      <c r="D622" s="6" t="str">
        <f t="shared" si="19"/>
        <v>Forestry</v>
      </c>
      <c r="E622" s="6">
        <v>18384</v>
      </c>
      <c r="F622" s="6">
        <v>508</v>
      </c>
      <c r="G622" s="6">
        <v>1339</v>
      </c>
      <c r="H622" s="6">
        <v>219</v>
      </c>
      <c r="I622" s="6">
        <v>4782</v>
      </c>
    </row>
    <row r="623" spans="1:9">
      <c r="A623" s="6">
        <v>36</v>
      </c>
      <c r="B623" s="6" t="str">
        <f t="shared" si="18"/>
        <v>Non-ferrous Metal</v>
      </c>
      <c r="C623" s="6">
        <v>10</v>
      </c>
      <c r="D623" s="6" t="str">
        <f t="shared" si="19"/>
        <v>Forestry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</row>
    <row r="624" spans="1:9">
      <c r="A624" s="6">
        <v>37</v>
      </c>
      <c r="B624" s="6" t="str">
        <f t="shared" si="18"/>
        <v>Fabricated Metal Products</v>
      </c>
      <c r="C624" s="6">
        <v>10</v>
      </c>
      <c r="D624" s="6" t="str">
        <f t="shared" si="19"/>
        <v>Forestry</v>
      </c>
      <c r="E624" s="6">
        <v>918000</v>
      </c>
      <c r="F624" s="6">
        <v>37729</v>
      </c>
      <c r="G624" s="6">
        <v>85731</v>
      </c>
      <c r="H624" s="6">
        <v>5768</v>
      </c>
      <c r="I624" s="6">
        <v>141651</v>
      </c>
    </row>
    <row r="625" spans="1:9">
      <c r="A625" s="6">
        <v>38</v>
      </c>
      <c r="B625" s="6" t="str">
        <f t="shared" si="18"/>
        <v>Industrial Machinery</v>
      </c>
      <c r="C625" s="6">
        <v>10</v>
      </c>
      <c r="D625" s="6" t="str">
        <f t="shared" si="19"/>
        <v>Forestry</v>
      </c>
      <c r="E625" s="6">
        <v>534987</v>
      </c>
      <c r="F625" s="6">
        <v>33402</v>
      </c>
      <c r="G625" s="6">
        <v>1769</v>
      </c>
      <c r="H625" s="6">
        <v>3990</v>
      </c>
      <c r="I625" s="6">
        <v>0</v>
      </c>
    </row>
    <row r="626" spans="1:9">
      <c r="A626" s="6">
        <v>39</v>
      </c>
      <c r="B626" s="6" t="str">
        <f t="shared" si="18"/>
        <v>Electrical Machinery and Apparatus</v>
      </c>
      <c r="C626" s="6">
        <v>10</v>
      </c>
      <c r="D626" s="6" t="str">
        <f t="shared" si="19"/>
        <v>Forestry</v>
      </c>
      <c r="E626" s="6">
        <v>73111</v>
      </c>
      <c r="F626" s="6">
        <v>4038</v>
      </c>
      <c r="G626" s="6">
        <v>2834</v>
      </c>
      <c r="H626" s="6">
        <v>778</v>
      </c>
      <c r="I626" s="6">
        <v>0</v>
      </c>
    </row>
    <row r="627" spans="1:9">
      <c r="A627" s="6">
        <v>40</v>
      </c>
      <c r="B627" s="6" t="str">
        <f t="shared" si="18"/>
        <v>Motor Vehicles and Repairing</v>
      </c>
      <c r="C627" s="6">
        <v>10</v>
      </c>
      <c r="D627" s="6" t="str">
        <f t="shared" si="19"/>
        <v>Forestry</v>
      </c>
      <c r="E627" s="6">
        <v>459412</v>
      </c>
      <c r="F627" s="6">
        <v>475</v>
      </c>
      <c r="G627" s="6">
        <v>1032</v>
      </c>
      <c r="H627" s="6">
        <v>62</v>
      </c>
      <c r="I627" s="6">
        <v>0</v>
      </c>
    </row>
    <row r="628" spans="1:9">
      <c r="A628" s="6">
        <v>41</v>
      </c>
      <c r="B628" s="6" t="str">
        <f t="shared" si="18"/>
        <v>Other Transportation Equipment</v>
      </c>
      <c r="C628" s="6">
        <v>10</v>
      </c>
      <c r="D628" s="6" t="str">
        <f t="shared" si="19"/>
        <v>Forestry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</row>
    <row r="629" spans="1:9">
      <c r="A629" s="6">
        <v>42</v>
      </c>
      <c r="B629" s="6" t="str">
        <f t="shared" si="18"/>
        <v>Leather Products</v>
      </c>
      <c r="C629" s="6">
        <v>10</v>
      </c>
      <c r="D629" s="6" t="str">
        <f t="shared" si="19"/>
        <v>Forestry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</row>
    <row r="630" spans="1:9">
      <c r="A630" s="6">
        <v>43</v>
      </c>
      <c r="B630" s="6" t="str">
        <f t="shared" si="18"/>
        <v>Saw Mills and Wood Products</v>
      </c>
      <c r="C630" s="6">
        <v>10</v>
      </c>
      <c r="D630" s="6" t="str">
        <f t="shared" si="19"/>
        <v>Forestry</v>
      </c>
      <c r="E630" s="6">
        <v>254138</v>
      </c>
      <c r="F630" s="6">
        <v>31702</v>
      </c>
      <c r="G630" s="6">
        <v>31746</v>
      </c>
      <c r="H630" s="6">
        <v>2528</v>
      </c>
      <c r="I630" s="6">
        <v>0</v>
      </c>
    </row>
    <row r="631" spans="1:9">
      <c r="A631" s="6">
        <v>44</v>
      </c>
      <c r="B631" s="6" t="str">
        <f t="shared" si="18"/>
        <v>Other Manufacturing Products</v>
      </c>
      <c r="C631" s="6">
        <v>10</v>
      </c>
      <c r="D631" s="6" t="str">
        <f t="shared" si="19"/>
        <v>Forestry</v>
      </c>
      <c r="E631" s="6">
        <v>75364</v>
      </c>
      <c r="F631" s="6">
        <v>15767</v>
      </c>
      <c r="G631" s="6">
        <v>9067</v>
      </c>
      <c r="H631" s="6">
        <v>883</v>
      </c>
      <c r="I631" s="6">
        <v>0</v>
      </c>
    </row>
    <row r="632" spans="1:9">
      <c r="A632" s="6">
        <v>45</v>
      </c>
      <c r="B632" s="6" t="str">
        <f t="shared" si="18"/>
        <v>Electricity and Gas</v>
      </c>
      <c r="C632" s="6">
        <v>10</v>
      </c>
      <c r="D632" s="6" t="str">
        <f t="shared" si="19"/>
        <v>Forestry</v>
      </c>
      <c r="E632" s="6">
        <v>22855</v>
      </c>
      <c r="F632" s="6">
        <v>0</v>
      </c>
      <c r="G632" s="6">
        <v>0</v>
      </c>
      <c r="H632" s="6">
        <v>0</v>
      </c>
      <c r="I632" s="6">
        <v>0</v>
      </c>
    </row>
    <row r="633" spans="1:9">
      <c r="A633" s="6">
        <v>46</v>
      </c>
      <c r="B633" s="6" t="str">
        <f t="shared" si="18"/>
        <v>Water Works and Supply</v>
      </c>
      <c r="C633" s="6">
        <v>10</v>
      </c>
      <c r="D633" s="6" t="str">
        <f t="shared" si="19"/>
        <v>Forestry</v>
      </c>
      <c r="E633" s="6">
        <v>1810</v>
      </c>
      <c r="F633" s="6">
        <v>0</v>
      </c>
      <c r="G633" s="6">
        <v>0</v>
      </c>
      <c r="H633" s="6">
        <v>0</v>
      </c>
      <c r="I633" s="6">
        <v>0</v>
      </c>
    </row>
    <row r="634" spans="1:9">
      <c r="A634" s="6">
        <v>47</v>
      </c>
      <c r="B634" s="6" t="str">
        <f t="shared" si="18"/>
        <v>Building Construction</v>
      </c>
      <c r="C634" s="6">
        <v>10</v>
      </c>
      <c r="D634" s="6" t="str">
        <f t="shared" si="19"/>
        <v>Forestry</v>
      </c>
      <c r="E634" s="6">
        <v>1486</v>
      </c>
      <c r="F634" s="6">
        <v>0</v>
      </c>
      <c r="G634" s="6">
        <v>0</v>
      </c>
      <c r="H634" s="6">
        <v>0</v>
      </c>
      <c r="I634" s="6">
        <v>0</v>
      </c>
    </row>
    <row r="635" spans="1:9">
      <c r="A635" s="6">
        <v>48</v>
      </c>
      <c r="B635" s="6" t="str">
        <f t="shared" si="18"/>
        <v>Public Works and Other Construction</v>
      </c>
      <c r="C635" s="6">
        <v>10</v>
      </c>
      <c r="D635" s="6" t="str">
        <f t="shared" si="19"/>
        <v>Forestry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</row>
    <row r="636" spans="1:9">
      <c r="A636" s="6">
        <v>49</v>
      </c>
      <c r="B636" s="6" t="str">
        <f t="shared" si="18"/>
        <v>Trade</v>
      </c>
      <c r="C636" s="6">
        <v>10</v>
      </c>
      <c r="D636" s="6" t="str">
        <f t="shared" si="19"/>
        <v>Forestry</v>
      </c>
      <c r="E636" s="6">
        <v>0</v>
      </c>
      <c r="F636" s="6">
        <v>-221579</v>
      </c>
      <c r="G636" s="6">
        <v>-210625</v>
      </c>
      <c r="H636" s="6">
        <v>0</v>
      </c>
      <c r="I636" s="6">
        <v>0</v>
      </c>
    </row>
    <row r="637" spans="1:9">
      <c r="A637" s="6">
        <v>50</v>
      </c>
      <c r="B637" s="6" t="str">
        <f t="shared" si="18"/>
        <v>Restaurants and Hotels</v>
      </c>
      <c r="C637" s="6">
        <v>10</v>
      </c>
      <c r="D637" s="6" t="str">
        <f t="shared" si="19"/>
        <v>Forestry</v>
      </c>
      <c r="E637" s="6">
        <v>320887</v>
      </c>
      <c r="F637" s="6">
        <v>0</v>
      </c>
      <c r="G637" s="6">
        <v>0</v>
      </c>
      <c r="H637" s="6">
        <v>0</v>
      </c>
      <c r="I637" s="6">
        <v>0</v>
      </c>
    </row>
    <row r="638" spans="1:9">
      <c r="A638" s="6">
        <v>51</v>
      </c>
      <c r="B638" s="6" t="str">
        <f t="shared" si="18"/>
        <v>Transportation</v>
      </c>
      <c r="C638" s="6">
        <v>10</v>
      </c>
      <c r="D638" s="6" t="str">
        <f t="shared" si="19"/>
        <v>Forestry</v>
      </c>
      <c r="E638" s="6">
        <v>74186</v>
      </c>
      <c r="F638" s="6">
        <v>0</v>
      </c>
      <c r="G638" s="6">
        <v>0</v>
      </c>
      <c r="H638" s="6">
        <v>-42161</v>
      </c>
      <c r="I638" s="6">
        <v>0</v>
      </c>
    </row>
    <row r="639" spans="1:9">
      <c r="A639" s="6">
        <v>52</v>
      </c>
      <c r="B639" s="6" t="str">
        <f t="shared" si="18"/>
        <v>Communication</v>
      </c>
      <c r="C639" s="6">
        <v>10</v>
      </c>
      <c r="D639" s="6" t="str">
        <f t="shared" si="19"/>
        <v>Forestry</v>
      </c>
      <c r="E639" s="6">
        <v>18013</v>
      </c>
      <c r="F639" s="6">
        <v>0</v>
      </c>
      <c r="G639" s="6">
        <v>0</v>
      </c>
      <c r="H639" s="6">
        <v>0</v>
      </c>
      <c r="I639" s="6">
        <v>0</v>
      </c>
    </row>
    <row r="640" spans="1:9">
      <c r="A640" s="6">
        <v>53</v>
      </c>
      <c r="B640" s="6" t="str">
        <f t="shared" si="18"/>
        <v>Banking and Insurance</v>
      </c>
      <c r="C640" s="6">
        <v>10</v>
      </c>
      <c r="D640" s="6" t="str">
        <f t="shared" si="19"/>
        <v>Forestry</v>
      </c>
      <c r="E640" s="6">
        <v>294298</v>
      </c>
      <c r="F640" s="6">
        <v>0</v>
      </c>
      <c r="G640" s="6">
        <v>0</v>
      </c>
      <c r="H640" s="6">
        <v>0</v>
      </c>
      <c r="I640" s="6">
        <v>0</v>
      </c>
    </row>
    <row r="641" spans="1:9">
      <c r="A641" s="6">
        <v>54</v>
      </c>
      <c r="B641" s="6" t="str">
        <f t="shared" si="18"/>
        <v>Real Estate</v>
      </c>
      <c r="C641" s="6">
        <v>10</v>
      </c>
      <c r="D641" s="6" t="str">
        <f t="shared" si="19"/>
        <v>Forestry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</row>
    <row r="642" spans="1:9">
      <c r="A642" s="6">
        <v>55</v>
      </c>
      <c r="B642" s="6" t="str">
        <f t="shared" si="18"/>
        <v>Business Services</v>
      </c>
      <c r="C642" s="6">
        <v>10</v>
      </c>
      <c r="D642" s="6" t="str">
        <f t="shared" si="19"/>
        <v>Forestry</v>
      </c>
      <c r="E642" s="6">
        <v>205660</v>
      </c>
      <c r="F642" s="6">
        <v>0</v>
      </c>
      <c r="G642" s="6">
        <v>0</v>
      </c>
      <c r="H642" s="6">
        <v>0</v>
      </c>
      <c r="I642" s="6">
        <v>0</v>
      </c>
    </row>
    <row r="643" spans="1:9">
      <c r="A643" s="6">
        <v>56</v>
      </c>
      <c r="B643" s="6" t="str">
        <f t="shared" si="18"/>
        <v>Public Services</v>
      </c>
      <c r="C643" s="6">
        <v>10</v>
      </c>
      <c r="D643" s="6" t="str">
        <f t="shared" si="19"/>
        <v>Forestry</v>
      </c>
      <c r="E643" s="6">
        <v>3651</v>
      </c>
      <c r="F643" s="6">
        <v>0</v>
      </c>
      <c r="G643" s="6">
        <v>0</v>
      </c>
      <c r="H643" s="6">
        <v>0</v>
      </c>
      <c r="I643" s="6">
        <v>0</v>
      </c>
    </row>
    <row r="644" spans="1:9">
      <c r="A644" s="6">
        <v>57</v>
      </c>
      <c r="B644" s="6" t="str">
        <f t="shared" ref="B644:B707" si="20">VLOOKUP(A644,R:S,2,0)</f>
        <v>Other Services</v>
      </c>
      <c r="C644" s="6">
        <v>10</v>
      </c>
      <c r="D644" s="6" t="str">
        <f t="shared" ref="D644:D707" si="21">VLOOKUP(C644,R:S,2,0)</f>
        <v>Forestry</v>
      </c>
      <c r="E644" s="6">
        <v>223330</v>
      </c>
      <c r="F644" s="6">
        <v>0</v>
      </c>
      <c r="G644" s="6">
        <v>0</v>
      </c>
      <c r="H644" s="6">
        <v>0</v>
      </c>
      <c r="I644" s="6">
        <v>0</v>
      </c>
    </row>
    <row r="645" spans="1:9">
      <c r="A645" s="6">
        <v>58</v>
      </c>
      <c r="B645" s="6" t="str">
        <f t="shared" si="20"/>
        <v>Unclassified</v>
      </c>
      <c r="C645" s="6">
        <v>10</v>
      </c>
      <c r="D645" s="6" t="str">
        <f t="shared" si="21"/>
        <v>Forestry</v>
      </c>
      <c r="E645" s="6">
        <v>240096</v>
      </c>
      <c r="F645" s="6">
        <v>0</v>
      </c>
      <c r="G645" s="6">
        <v>0</v>
      </c>
      <c r="H645" s="6">
        <v>0</v>
      </c>
      <c r="I645" s="6">
        <v>23589</v>
      </c>
    </row>
    <row r="646" spans="1:9">
      <c r="A646" s="6">
        <v>190</v>
      </c>
      <c r="B646" s="6" t="str">
        <f t="shared" si="20"/>
        <v>Total Intermedite Transaction</v>
      </c>
      <c r="C646" s="6">
        <v>10</v>
      </c>
      <c r="D646" s="6" t="str">
        <f t="shared" si="21"/>
        <v>Forestry</v>
      </c>
      <c r="E646" s="6">
        <v>6037452</v>
      </c>
      <c r="F646" s="6">
        <v>0</v>
      </c>
      <c r="G646" s="6">
        <v>0</v>
      </c>
      <c r="H646" s="6">
        <v>0</v>
      </c>
      <c r="I646" s="6">
        <v>279697</v>
      </c>
    </row>
    <row r="647" spans="1:9">
      <c r="A647" s="6">
        <v>201</v>
      </c>
      <c r="B647" s="6" t="str">
        <f t="shared" si="20"/>
        <v>Wages and Salaries</v>
      </c>
      <c r="C647" s="6">
        <v>10</v>
      </c>
      <c r="D647" s="6" t="str">
        <f t="shared" si="21"/>
        <v>Forestry</v>
      </c>
      <c r="E647" s="6">
        <v>6320044</v>
      </c>
      <c r="F647" s="6">
        <v>0</v>
      </c>
      <c r="G647" s="6">
        <v>0</v>
      </c>
      <c r="H647" s="6">
        <v>0</v>
      </c>
      <c r="I647" s="6">
        <v>0</v>
      </c>
    </row>
    <row r="648" spans="1:9">
      <c r="A648" s="6">
        <v>202</v>
      </c>
      <c r="B648" s="6" t="str">
        <f t="shared" si="20"/>
        <v>Operating Surplus</v>
      </c>
      <c r="C648" s="6">
        <v>10</v>
      </c>
      <c r="D648" s="6" t="str">
        <f t="shared" si="21"/>
        <v>Forestry</v>
      </c>
      <c r="E648" s="6">
        <v>9645342</v>
      </c>
      <c r="F648" s="6">
        <v>0</v>
      </c>
      <c r="G648" s="6">
        <v>0</v>
      </c>
      <c r="H648" s="6">
        <v>0</v>
      </c>
      <c r="I648" s="6">
        <v>0</v>
      </c>
    </row>
    <row r="649" spans="1:9">
      <c r="A649" s="6">
        <v>203</v>
      </c>
      <c r="B649" s="6" t="str">
        <f t="shared" si="20"/>
        <v>Depreciation</v>
      </c>
      <c r="C649" s="6">
        <v>10</v>
      </c>
      <c r="D649" s="6" t="str">
        <f t="shared" si="21"/>
        <v>Forestry</v>
      </c>
      <c r="E649" s="6">
        <v>1414583</v>
      </c>
      <c r="F649" s="6">
        <v>0</v>
      </c>
      <c r="G649" s="6">
        <v>0</v>
      </c>
      <c r="H649" s="6">
        <v>0</v>
      </c>
      <c r="I649" s="6">
        <v>0</v>
      </c>
    </row>
    <row r="650" spans="1:9">
      <c r="A650" s="6">
        <v>204</v>
      </c>
      <c r="B650" s="6" t="str">
        <f t="shared" si="20"/>
        <v>Indirect Taxes less Subsidies</v>
      </c>
      <c r="C650" s="6">
        <v>10</v>
      </c>
      <c r="D650" s="6" t="str">
        <f t="shared" si="21"/>
        <v>Forestry</v>
      </c>
      <c r="E650" s="6">
        <v>617367</v>
      </c>
      <c r="F650" s="6">
        <v>0</v>
      </c>
      <c r="G650" s="6">
        <v>0</v>
      </c>
      <c r="H650" s="6">
        <v>0</v>
      </c>
      <c r="I650" s="6">
        <v>0</v>
      </c>
    </row>
    <row r="651" spans="1:9">
      <c r="A651" s="6">
        <v>209</v>
      </c>
      <c r="B651" s="6" t="str">
        <f t="shared" si="20"/>
        <v>Total Value Added</v>
      </c>
      <c r="C651" s="6">
        <v>10</v>
      </c>
      <c r="D651" s="6" t="str">
        <f t="shared" si="21"/>
        <v>Forestry</v>
      </c>
      <c r="E651" s="6">
        <v>17997336</v>
      </c>
      <c r="F651" s="6">
        <v>0</v>
      </c>
      <c r="G651" s="6">
        <v>0</v>
      </c>
      <c r="H651" s="6">
        <v>0</v>
      </c>
      <c r="I651" s="6">
        <v>0</v>
      </c>
    </row>
    <row r="652" spans="1:9">
      <c r="A652" s="6">
        <v>210</v>
      </c>
      <c r="B652" s="6" t="str">
        <f t="shared" si="20"/>
        <v>Control Total</v>
      </c>
      <c r="C652" s="6">
        <v>10</v>
      </c>
      <c r="D652" s="6" t="str">
        <f t="shared" si="21"/>
        <v>Forestry</v>
      </c>
      <c r="E652" s="6">
        <v>24034788</v>
      </c>
      <c r="F652" s="6">
        <v>0</v>
      </c>
      <c r="G652" s="6">
        <v>0</v>
      </c>
      <c r="H652" s="6">
        <v>0</v>
      </c>
      <c r="I652" s="6">
        <v>0</v>
      </c>
    </row>
    <row r="653" spans="1:9">
      <c r="A653" s="6">
        <v>1</v>
      </c>
      <c r="B653" s="6" t="str">
        <f t="shared" si="20"/>
        <v>Paddy</v>
      </c>
      <c r="C653" s="6">
        <v>11</v>
      </c>
      <c r="D653" s="6" t="str">
        <f t="shared" si="21"/>
        <v>Fishery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</row>
    <row r="654" spans="1:9">
      <c r="A654" s="6">
        <v>2</v>
      </c>
      <c r="B654" s="6" t="str">
        <f t="shared" si="20"/>
        <v>Maize</v>
      </c>
      <c r="C654" s="6">
        <v>11</v>
      </c>
      <c r="D654" s="6" t="str">
        <f t="shared" si="21"/>
        <v>Fishery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</row>
    <row r="655" spans="1:9">
      <c r="A655" s="6">
        <v>3</v>
      </c>
      <c r="B655" s="6" t="str">
        <f t="shared" si="20"/>
        <v>Cassava</v>
      </c>
      <c r="C655" s="6">
        <v>11</v>
      </c>
      <c r="D655" s="6" t="str">
        <f t="shared" si="21"/>
        <v>Fishery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</row>
    <row r="656" spans="1:9">
      <c r="A656" s="6">
        <v>4</v>
      </c>
      <c r="B656" s="6" t="str">
        <f t="shared" si="20"/>
        <v>Beans and Nuts</v>
      </c>
      <c r="C656" s="6">
        <v>11</v>
      </c>
      <c r="D656" s="6" t="str">
        <f t="shared" si="21"/>
        <v>Fishery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</row>
    <row r="657" spans="1:9">
      <c r="A657" s="6">
        <v>5</v>
      </c>
      <c r="B657" s="6" t="str">
        <f t="shared" si="20"/>
        <v>Vegetables and Fruits</v>
      </c>
      <c r="C657" s="6">
        <v>11</v>
      </c>
      <c r="D657" s="6" t="str">
        <f t="shared" si="21"/>
        <v>Fishery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</row>
    <row r="658" spans="1:9">
      <c r="A658" s="6">
        <v>6</v>
      </c>
      <c r="B658" s="6" t="str">
        <f t="shared" si="20"/>
        <v>Sugarcane</v>
      </c>
      <c r="C658" s="6">
        <v>11</v>
      </c>
      <c r="D658" s="6" t="str">
        <f t="shared" si="21"/>
        <v>Fishery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</row>
    <row r="659" spans="1:9">
      <c r="A659" s="6">
        <v>7</v>
      </c>
      <c r="B659" s="6" t="str">
        <f t="shared" si="20"/>
        <v>Rubber (Latex)</v>
      </c>
      <c r="C659" s="6">
        <v>11</v>
      </c>
      <c r="D659" s="6" t="str">
        <f t="shared" si="21"/>
        <v>Fishery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</row>
    <row r="660" spans="1:9">
      <c r="A660" s="6">
        <v>8</v>
      </c>
      <c r="B660" s="6" t="str">
        <f t="shared" si="20"/>
        <v>Other Crops</v>
      </c>
      <c r="C660" s="6">
        <v>11</v>
      </c>
      <c r="D660" s="6" t="str">
        <f t="shared" si="21"/>
        <v>Fishery</v>
      </c>
      <c r="E660" s="6">
        <v>440057</v>
      </c>
      <c r="F660" s="6">
        <v>0</v>
      </c>
      <c r="G660" s="6">
        <v>0</v>
      </c>
      <c r="H660" s="6">
        <v>0</v>
      </c>
      <c r="I660" s="6">
        <v>0</v>
      </c>
    </row>
    <row r="661" spans="1:9">
      <c r="A661" s="6">
        <v>9</v>
      </c>
      <c r="B661" s="6" t="str">
        <f t="shared" si="20"/>
        <v>Livestock</v>
      </c>
      <c r="C661" s="6">
        <v>11</v>
      </c>
      <c r="D661" s="6" t="str">
        <f t="shared" si="21"/>
        <v>Fishery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</row>
    <row r="662" spans="1:9">
      <c r="A662" s="6">
        <v>10</v>
      </c>
      <c r="B662" s="6" t="str">
        <f t="shared" si="20"/>
        <v>Forestry</v>
      </c>
      <c r="C662" s="6">
        <v>11</v>
      </c>
      <c r="D662" s="6" t="str">
        <f t="shared" si="21"/>
        <v>Fishery</v>
      </c>
      <c r="E662" s="6">
        <v>8062</v>
      </c>
      <c r="F662" s="6">
        <v>1065</v>
      </c>
      <c r="G662" s="6">
        <v>1188</v>
      </c>
      <c r="H662" s="6">
        <v>165</v>
      </c>
      <c r="I662" s="6">
        <v>0</v>
      </c>
    </row>
    <row r="663" spans="1:9">
      <c r="A663" s="6">
        <v>11</v>
      </c>
      <c r="B663" s="6" t="str">
        <f t="shared" si="20"/>
        <v>Fishery</v>
      </c>
      <c r="C663" s="6">
        <v>11</v>
      </c>
      <c r="D663" s="6" t="str">
        <f t="shared" si="21"/>
        <v>Fishery</v>
      </c>
      <c r="E663" s="6">
        <v>11719193</v>
      </c>
      <c r="F663" s="6">
        <v>1013062</v>
      </c>
      <c r="G663" s="6">
        <v>750827</v>
      </c>
      <c r="H663" s="6">
        <v>208137</v>
      </c>
      <c r="I663" s="6">
        <v>206760</v>
      </c>
    </row>
    <row r="664" spans="1:9">
      <c r="A664" s="6">
        <v>12</v>
      </c>
      <c r="B664" s="6" t="str">
        <f t="shared" si="20"/>
        <v>Crude Oil and Coal</v>
      </c>
      <c r="C664" s="6">
        <v>11</v>
      </c>
      <c r="D664" s="6" t="str">
        <f t="shared" si="21"/>
        <v>Fishery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</row>
    <row r="665" spans="1:9">
      <c r="A665" s="6">
        <v>13</v>
      </c>
      <c r="B665" s="6" t="str">
        <f t="shared" si="20"/>
        <v>Metal Ore</v>
      </c>
      <c r="C665" s="6">
        <v>11</v>
      </c>
      <c r="D665" s="6" t="str">
        <f t="shared" si="21"/>
        <v>Fishery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</row>
    <row r="666" spans="1:9">
      <c r="A666" s="6">
        <v>14</v>
      </c>
      <c r="B666" s="6" t="str">
        <f t="shared" si="20"/>
        <v>Non-Metal Ore</v>
      </c>
      <c r="C666" s="6">
        <v>11</v>
      </c>
      <c r="D666" s="6" t="str">
        <f t="shared" si="21"/>
        <v>Fishery</v>
      </c>
      <c r="E666" s="6">
        <v>39198</v>
      </c>
      <c r="F666" s="6">
        <v>3371</v>
      </c>
      <c r="G666" s="6">
        <v>1768</v>
      </c>
      <c r="H666" s="6">
        <v>1974</v>
      </c>
      <c r="I666" s="6">
        <v>0</v>
      </c>
    </row>
    <row r="667" spans="1:9">
      <c r="A667" s="6">
        <v>15</v>
      </c>
      <c r="B667" s="6" t="str">
        <f t="shared" si="20"/>
        <v>Slaughtering</v>
      </c>
      <c r="C667" s="6">
        <v>11</v>
      </c>
      <c r="D667" s="6" t="str">
        <f t="shared" si="21"/>
        <v>Fishery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</row>
    <row r="668" spans="1:9">
      <c r="A668" s="6">
        <v>16</v>
      </c>
      <c r="B668" s="6" t="str">
        <f t="shared" si="20"/>
        <v>Processing and Presering of Foods</v>
      </c>
      <c r="C668" s="6">
        <v>11</v>
      </c>
      <c r="D668" s="6" t="str">
        <f t="shared" si="21"/>
        <v>Fishery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</row>
    <row r="669" spans="1:9">
      <c r="A669" s="6">
        <v>17</v>
      </c>
      <c r="B669" s="6" t="str">
        <f t="shared" si="20"/>
        <v>Rice and Other Grain Milling</v>
      </c>
      <c r="C669" s="6">
        <v>11</v>
      </c>
      <c r="D669" s="6" t="str">
        <f t="shared" si="21"/>
        <v>Fishery</v>
      </c>
      <c r="E669" s="6">
        <v>528741</v>
      </c>
      <c r="F669" s="6">
        <v>6798</v>
      </c>
      <c r="G669" s="6">
        <v>22689</v>
      </c>
      <c r="H669" s="6">
        <v>8413</v>
      </c>
      <c r="I669" s="6">
        <v>0</v>
      </c>
    </row>
    <row r="670" spans="1:9">
      <c r="A670" s="6">
        <v>18</v>
      </c>
      <c r="B670" s="6" t="str">
        <f t="shared" si="20"/>
        <v>Sugar Refineries</v>
      </c>
      <c r="C670" s="6">
        <v>11</v>
      </c>
      <c r="D670" s="6" t="str">
        <f t="shared" si="21"/>
        <v>Fishery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</row>
    <row r="671" spans="1:9">
      <c r="A671" s="6">
        <v>19</v>
      </c>
      <c r="B671" s="6" t="str">
        <f t="shared" si="20"/>
        <v>Other Foods</v>
      </c>
      <c r="C671" s="6">
        <v>11</v>
      </c>
      <c r="D671" s="6" t="str">
        <f t="shared" si="21"/>
        <v>Fishery</v>
      </c>
      <c r="E671" s="6">
        <v>5990688</v>
      </c>
      <c r="F671" s="6">
        <v>304341</v>
      </c>
      <c r="G671" s="6">
        <v>0</v>
      </c>
      <c r="H671" s="6">
        <v>151875</v>
      </c>
      <c r="I671" s="6">
        <v>0</v>
      </c>
    </row>
    <row r="672" spans="1:9">
      <c r="A672" s="6">
        <v>20</v>
      </c>
      <c r="B672" s="6" t="str">
        <f t="shared" si="20"/>
        <v>Animal Food</v>
      </c>
      <c r="C672" s="6">
        <v>11</v>
      </c>
      <c r="D672" s="6" t="str">
        <f t="shared" si="21"/>
        <v>Fishery</v>
      </c>
      <c r="E672" s="6">
        <v>26279943</v>
      </c>
      <c r="F672" s="6">
        <v>1427251</v>
      </c>
      <c r="G672" s="6">
        <v>2263772</v>
      </c>
      <c r="H672" s="6">
        <v>297572</v>
      </c>
      <c r="I672" s="6">
        <v>7468998</v>
      </c>
    </row>
    <row r="673" spans="1:9">
      <c r="A673" s="6">
        <v>21</v>
      </c>
      <c r="B673" s="6" t="str">
        <f t="shared" si="20"/>
        <v>Beverages</v>
      </c>
      <c r="C673" s="6">
        <v>11</v>
      </c>
      <c r="D673" s="6" t="str">
        <f t="shared" si="21"/>
        <v>Fishery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</row>
    <row r="674" spans="1:9">
      <c r="A674" s="6">
        <v>22</v>
      </c>
      <c r="B674" s="6" t="str">
        <f t="shared" si="20"/>
        <v>Tobacco Processing and Products</v>
      </c>
      <c r="C674" s="6">
        <v>11</v>
      </c>
      <c r="D674" s="6" t="str">
        <f t="shared" si="21"/>
        <v>Fishery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</row>
    <row r="675" spans="1:9">
      <c r="A675" s="6">
        <v>23</v>
      </c>
      <c r="B675" s="6" t="str">
        <f t="shared" si="20"/>
        <v>Spinning, Weaving and Bleaching</v>
      </c>
      <c r="C675" s="6">
        <v>11</v>
      </c>
      <c r="D675" s="6" t="str">
        <f t="shared" si="21"/>
        <v>Fishery</v>
      </c>
      <c r="E675" s="6">
        <v>1177</v>
      </c>
      <c r="F675" s="6">
        <v>49</v>
      </c>
      <c r="G675" s="6">
        <v>0</v>
      </c>
      <c r="H675" s="6">
        <v>0</v>
      </c>
      <c r="I675" s="6">
        <v>0</v>
      </c>
    </row>
    <row r="676" spans="1:9">
      <c r="A676" s="6">
        <v>24</v>
      </c>
      <c r="B676" s="6" t="str">
        <f t="shared" si="20"/>
        <v>Textile Products</v>
      </c>
      <c r="C676" s="6">
        <v>11</v>
      </c>
      <c r="D676" s="6" t="str">
        <f t="shared" si="21"/>
        <v>Fishery</v>
      </c>
      <c r="E676" s="6">
        <v>943037</v>
      </c>
      <c r="F676" s="6">
        <v>13994</v>
      </c>
      <c r="G676" s="6">
        <v>597</v>
      </c>
      <c r="H676" s="6">
        <v>2791</v>
      </c>
      <c r="I676" s="6">
        <v>696315</v>
      </c>
    </row>
    <row r="677" spans="1:9">
      <c r="A677" s="6">
        <v>25</v>
      </c>
      <c r="B677" s="6" t="str">
        <f t="shared" si="20"/>
        <v>Paper and Paper Products</v>
      </c>
      <c r="C677" s="6">
        <v>11</v>
      </c>
      <c r="D677" s="6" t="str">
        <f t="shared" si="21"/>
        <v>Fishery</v>
      </c>
      <c r="E677" s="6">
        <v>150154</v>
      </c>
      <c r="F677" s="6">
        <v>12870</v>
      </c>
      <c r="G677" s="6">
        <v>4242</v>
      </c>
      <c r="H677" s="6">
        <v>2476</v>
      </c>
      <c r="I677" s="6">
        <v>0</v>
      </c>
    </row>
    <row r="678" spans="1:9">
      <c r="A678" s="6">
        <v>26</v>
      </c>
      <c r="B678" s="6" t="str">
        <f t="shared" si="20"/>
        <v>Printing and Publishing</v>
      </c>
      <c r="C678" s="6">
        <v>11</v>
      </c>
      <c r="D678" s="6" t="str">
        <f t="shared" si="21"/>
        <v>Fishery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</row>
    <row r="679" spans="1:9">
      <c r="A679" s="6">
        <v>27</v>
      </c>
      <c r="B679" s="6" t="str">
        <f t="shared" si="20"/>
        <v>Basic Chemical Products</v>
      </c>
      <c r="C679" s="6">
        <v>11</v>
      </c>
      <c r="D679" s="6" t="str">
        <f t="shared" si="21"/>
        <v>Fishery</v>
      </c>
      <c r="E679" s="6">
        <v>1951495</v>
      </c>
      <c r="F679" s="6">
        <v>56503</v>
      </c>
      <c r="G679" s="6">
        <v>28654</v>
      </c>
      <c r="H679" s="6">
        <v>31577</v>
      </c>
      <c r="I679" s="6">
        <v>1088050</v>
      </c>
    </row>
    <row r="680" spans="1:9">
      <c r="A680" s="6">
        <v>28</v>
      </c>
      <c r="B680" s="6" t="str">
        <f t="shared" si="20"/>
        <v>Fertilizer and Pesticides</v>
      </c>
      <c r="C680" s="6">
        <v>11</v>
      </c>
      <c r="D680" s="6" t="str">
        <f t="shared" si="21"/>
        <v>Fishery</v>
      </c>
      <c r="E680" s="6">
        <v>16590</v>
      </c>
      <c r="F680" s="6">
        <v>1635</v>
      </c>
      <c r="G680" s="6">
        <v>1722</v>
      </c>
      <c r="H680" s="6">
        <v>693</v>
      </c>
      <c r="I680" s="6">
        <v>0</v>
      </c>
    </row>
    <row r="681" spans="1:9">
      <c r="A681" s="6">
        <v>29</v>
      </c>
      <c r="B681" s="6" t="str">
        <f t="shared" si="20"/>
        <v>Other Chemical Products</v>
      </c>
      <c r="C681" s="6">
        <v>11</v>
      </c>
      <c r="D681" s="6" t="str">
        <f t="shared" si="21"/>
        <v>Fishery</v>
      </c>
      <c r="E681" s="6">
        <v>277381</v>
      </c>
      <c r="F681" s="6">
        <v>27805</v>
      </c>
      <c r="G681" s="6">
        <v>47590</v>
      </c>
      <c r="H681" s="6">
        <v>2321</v>
      </c>
      <c r="I681" s="6">
        <v>714</v>
      </c>
    </row>
    <row r="682" spans="1:9">
      <c r="A682" s="6">
        <v>30</v>
      </c>
      <c r="B682" s="6" t="str">
        <f t="shared" si="20"/>
        <v>Petroleum Refineries</v>
      </c>
      <c r="C682" s="6">
        <v>11</v>
      </c>
      <c r="D682" s="6" t="str">
        <f t="shared" si="21"/>
        <v>Fishery</v>
      </c>
      <c r="E682" s="6">
        <v>37325272</v>
      </c>
      <c r="F682" s="6">
        <v>1875680</v>
      </c>
      <c r="G682" s="6">
        <v>2401086</v>
      </c>
      <c r="H682" s="6">
        <v>366079</v>
      </c>
      <c r="I682" s="6">
        <v>6411875</v>
      </c>
    </row>
    <row r="683" spans="1:9">
      <c r="A683" s="6">
        <v>31</v>
      </c>
      <c r="B683" s="6" t="str">
        <f t="shared" si="20"/>
        <v>Rubber Products</v>
      </c>
      <c r="C683" s="6">
        <v>11</v>
      </c>
      <c r="D683" s="6" t="str">
        <f t="shared" si="21"/>
        <v>Fishery</v>
      </c>
      <c r="E683" s="6">
        <v>12227</v>
      </c>
      <c r="F683" s="6">
        <v>1072</v>
      </c>
      <c r="G683" s="6">
        <v>1443</v>
      </c>
      <c r="H683" s="6">
        <v>329</v>
      </c>
      <c r="I683" s="6">
        <v>0</v>
      </c>
    </row>
    <row r="684" spans="1:9">
      <c r="A684" s="6">
        <v>32</v>
      </c>
      <c r="B684" s="6" t="str">
        <f t="shared" si="20"/>
        <v>Plastic Wares</v>
      </c>
      <c r="C684" s="6">
        <v>11</v>
      </c>
      <c r="D684" s="6" t="str">
        <f t="shared" si="21"/>
        <v>Fishery</v>
      </c>
      <c r="E684" s="6">
        <v>2983654</v>
      </c>
      <c r="F684" s="6">
        <v>111021</v>
      </c>
      <c r="G684" s="6">
        <v>206434</v>
      </c>
      <c r="H684" s="6">
        <v>22541</v>
      </c>
      <c r="I684" s="6">
        <v>1394456</v>
      </c>
    </row>
    <row r="685" spans="1:9">
      <c r="A685" s="6">
        <v>33</v>
      </c>
      <c r="B685" s="6" t="str">
        <f t="shared" si="20"/>
        <v>Cement and Concrete Products</v>
      </c>
      <c r="C685" s="6">
        <v>11</v>
      </c>
      <c r="D685" s="6" t="str">
        <f t="shared" si="21"/>
        <v>Fishery</v>
      </c>
      <c r="E685" s="6">
        <v>240258</v>
      </c>
      <c r="F685" s="6">
        <v>16294</v>
      </c>
      <c r="G685" s="6">
        <v>14085</v>
      </c>
      <c r="H685" s="6">
        <v>3768</v>
      </c>
      <c r="I685" s="6">
        <v>0</v>
      </c>
    </row>
    <row r="686" spans="1:9">
      <c r="A686" s="6">
        <v>34</v>
      </c>
      <c r="B686" s="6" t="str">
        <f t="shared" si="20"/>
        <v>Other Non-metallic Products</v>
      </c>
      <c r="C686" s="6">
        <v>11</v>
      </c>
      <c r="D686" s="6" t="str">
        <f t="shared" si="21"/>
        <v>Fishery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</row>
    <row r="687" spans="1:9">
      <c r="A687" s="6">
        <v>35</v>
      </c>
      <c r="B687" s="6" t="str">
        <f t="shared" si="20"/>
        <v>Iron and Steel</v>
      </c>
      <c r="C687" s="6">
        <v>11</v>
      </c>
      <c r="D687" s="6" t="str">
        <f t="shared" si="21"/>
        <v>Fishery</v>
      </c>
      <c r="E687" s="6">
        <v>3340</v>
      </c>
      <c r="F687" s="6">
        <v>172</v>
      </c>
      <c r="G687" s="6">
        <v>192</v>
      </c>
      <c r="H687" s="6">
        <v>40</v>
      </c>
      <c r="I687" s="6">
        <v>861</v>
      </c>
    </row>
    <row r="688" spans="1:9">
      <c r="A688" s="6">
        <v>36</v>
      </c>
      <c r="B688" s="6" t="str">
        <f t="shared" si="20"/>
        <v>Non-ferrous Metal</v>
      </c>
      <c r="C688" s="6">
        <v>11</v>
      </c>
      <c r="D688" s="6" t="str">
        <f t="shared" si="21"/>
        <v>Fishery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</row>
    <row r="689" spans="1:9">
      <c r="A689" s="6">
        <v>37</v>
      </c>
      <c r="B689" s="6" t="str">
        <f t="shared" si="20"/>
        <v>Fabricated Metal Products</v>
      </c>
      <c r="C689" s="6">
        <v>11</v>
      </c>
      <c r="D689" s="6" t="str">
        <f t="shared" si="21"/>
        <v>Fishery</v>
      </c>
      <c r="E689" s="6">
        <v>42941</v>
      </c>
      <c r="F689" s="6">
        <v>270</v>
      </c>
      <c r="G689" s="6">
        <v>1282</v>
      </c>
      <c r="H689" s="6">
        <v>87</v>
      </c>
      <c r="I689" s="6">
        <v>22243</v>
      </c>
    </row>
    <row r="690" spans="1:9">
      <c r="A690" s="6">
        <v>38</v>
      </c>
      <c r="B690" s="6" t="str">
        <f t="shared" si="20"/>
        <v>Industrial Machinery</v>
      </c>
      <c r="C690" s="6">
        <v>11</v>
      </c>
      <c r="D690" s="6" t="str">
        <f t="shared" si="21"/>
        <v>Fishery</v>
      </c>
      <c r="E690" s="6">
        <v>625244</v>
      </c>
      <c r="F690" s="6">
        <v>31464</v>
      </c>
      <c r="G690" s="6">
        <v>43183</v>
      </c>
      <c r="H690" s="6">
        <v>4265</v>
      </c>
      <c r="I690" s="6">
        <v>0</v>
      </c>
    </row>
    <row r="691" spans="1:9">
      <c r="A691" s="6">
        <v>39</v>
      </c>
      <c r="B691" s="6" t="str">
        <f t="shared" si="20"/>
        <v>Electrical Machinery and Apparatus</v>
      </c>
      <c r="C691" s="6">
        <v>11</v>
      </c>
      <c r="D691" s="6" t="str">
        <f t="shared" si="21"/>
        <v>Fishery</v>
      </c>
      <c r="E691" s="6">
        <v>289499</v>
      </c>
      <c r="F691" s="6">
        <v>15891</v>
      </c>
      <c r="G691" s="6">
        <v>17891</v>
      </c>
      <c r="H691" s="6">
        <v>2325</v>
      </c>
      <c r="I691" s="6">
        <v>0</v>
      </c>
    </row>
    <row r="692" spans="1:9">
      <c r="A692" s="6">
        <v>40</v>
      </c>
      <c r="B692" s="6" t="str">
        <f t="shared" si="20"/>
        <v>Motor Vehicles and Repairing</v>
      </c>
      <c r="C692" s="6">
        <v>11</v>
      </c>
      <c r="D692" s="6" t="str">
        <f t="shared" si="21"/>
        <v>Fishery</v>
      </c>
      <c r="E692" s="6">
        <v>210767</v>
      </c>
      <c r="F692" s="6">
        <v>0</v>
      </c>
      <c r="G692" s="6">
        <v>0</v>
      </c>
      <c r="H692" s="6">
        <v>0</v>
      </c>
      <c r="I692" s="6">
        <v>0</v>
      </c>
    </row>
    <row r="693" spans="1:9">
      <c r="A693" s="6">
        <v>41</v>
      </c>
      <c r="B693" s="6" t="str">
        <f t="shared" si="20"/>
        <v>Other Transportation Equipment</v>
      </c>
      <c r="C693" s="6">
        <v>11</v>
      </c>
      <c r="D693" s="6" t="str">
        <f t="shared" si="21"/>
        <v>Fishery</v>
      </c>
      <c r="E693" s="6">
        <v>3567187</v>
      </c>
      <c r="F693" s="6">
        <v>24436</v>
      </c>
      <c r="G693" s="6">
        <v>0</v>
      </c>
      <c r="H693" s="6">
        <v>9660</v>
      </c>
      <c r="I693" s="6">
        <v>0</v>
      </c>
    </row>
    <row r="694" spans="1:9">
      <c r="A694" s="6">
        <v>42</v>
      </c>
      <c r="B694" s="6" t="str">
        <f t="shared" si="20"/>
        <v>Leather Products</v>
      </c>
      <c r="C694" s="6">
        <v>11</v>
      </c>
      <c r="D694" s="6" t="str">
        <f t="shared" si="21"/>
        <v>Fishery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</row>
    <row r="695" spans="1:9">
      <c r="A695" s="6">
        <v>43</v>
      </c>
      <c r="B695" s="6" t="str">
        <f t="shared" si="20"/>
        <v>Saw Mills and Wood Products</v>
      </c>
      <c r="C695" s="6">
        <v>11</v>
      </c>
      <c r="D695" s="6" t="str">
        <f t="shared" si="21"/>
        <v>Fishery</v>
      </c>
      <c r="E695" s="6">
        <v>198727</v>
      </c>
      <c r="F695" s="6">
        <v>20939</v>
      </c>
      <c r="G695" s="6">
        <v>19467</v>
      </c>
      <c r="H695" s="6">
        <v>1456</v>
      </c>
      <c r="I695" s="6">
        <v>0</v>
      </c>
    </row>
    <row r="696" spans="1:9">
      <c r="A696" s="6">
        <v>44</v>
      </c>
      <c r="B696" s="6" t="str">
        <f t="shared" si="20"/>
        <v>Other Manufacturing Products</v>
      </c>
      <c r="C696" s="6">
        <v>11</v>
      </c>
      <c r="D696" s="6" t="str">
        <f t="shared" si="21"/>
        <v>Fishery</v>
      </c>
      <c r="E696" s="6">
        <v>72626</v>
      </c>
      <c r="F696" s="6">
        <v>15152</v>
      </c>
      <c r="G696" s="6">
        <v>8464</v>
      </c>
      <c r="H696" s="6">
        <v>1157</v>
      </c>
      <c r="I696" s="6">
        <v>0</v>
      </c>
    </row>
    <row r="697" spans="1:9">
      <c r="A697" s="6">
        <v>45</v>
      </c>
      <c r="B697" s="6" t="str">
        <f t="shared" si="20"/>
        <v>Electricity and Gas</v>
      </c>
      <c r="C697" s="6">
        <v>11</v>
      </c>
      <c r="D697" s="6" t="str">
        <f t="shared" si="21"/>
        <v>Fishery</v>
      </c>
      <c r="E697" s="6">
        <v>960016</v>
      </c>
      <c r="F697" s="6">
        <v>205</v>
      </c>
      <c r="G697" s="6">
        <v>436</v>
      </c>
      <c r="H697" s="6">
        <v>120</v>
      </c>
      <c r="I697" s="6">
        <v>0</v>
      </c>
    </row>
    <row r="698" spans="1:9">
      <c r="A698" s="6">
        <v>46</v>
      </c>
      <c r="B698" s="6" t="str">
        <f t="shared" si="20"/>
        <v>Water Works and Supply</v>
      </c>
      <c r="C698" s="6">
        <v>11</v>
      </c>
      <c r="D698" s="6" t="str">
        <f t="shared" si="21"/>
        <v>Fishery</v>
      </c>
      <c r="E698" s="6">
        <v>18018</v>
      </c>
      <c r="F698" s="6">
        <v>0</v>
      </c>
      <c r="G698" s="6">
        <v>0</v>
      </c>
      <c r="H698" s="6">
        <v>0</v>
      </c>
      <c r="I698" s="6">
        <v>0</v>
      </c>
    </row>
    <row r="699" spans="1:9">
      <c r="A699" s="6">
        <v>47</v>
      </c>
      <c r="B699" s="6" t="str">
        <f t="shared" si="20"/>
        <v>Building Construction</v>
      </c>
      <c r="C699" s="6">
        <v>11</v>
      </c>
      <c r="D699" s="6" t="str">
        <f t="shared" si="21"/>
        <v>Fishery</v>
      </c>
      <c r="E699" s="6">
        <v>58869</v>
      </c>
      <c r="F699" s="6">
        <v>0</v>
      </c>
      <c r="G699" s="6">
        <v>0</v>
      </c>
      <c r="H699" s="6">
        <v>0</v>
      </c>
      <c r="I699" s="6">
        <v>0</v>
      </c>
    </row>
    <row r="700" spans="1:9">
      <c r="A700" s="6">
        <v>48</v>
      </c>
      <c r="B700" s="6" t="str">
        <f t="shared" si="20"/>
        <v>Public Works and Other Construction</v>
      </c>
      <c r="C700" s="6">
        <v>11</v>
      </c>
      <c r="D700" s="6" t="str">
        <f t="shared" si="21"/>
        <v>Fishery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</row>
    <row r="701" spans="1:9">
      <c r="A701" s="6">
        <v>49</v>
      </c>
      <c r="B701" s="6" t="str">
        <f t="shared" si="20"/>
        <v>Trade</v>
      </c>
      <c r="C701" s="6">
        <v>11</v>
      </c>
      <c r="D701" s="6" t="str">
        <f t="shared" si="21"/>
        <v>Fishery</v>
      </c>
      <c r="E701" s="6">
        <v>0</v>
      </c>
      <c r="F701" s="6">
        <v>-4981340</v>
      </c>
      <c r="G701" s="6">
        <v>-5837012</v>
      </c>
      <c r="H701" s="6">
        <v>0</v>
      </c>
      <c r="I701" s="6">
        <v>0</v>
      </c>
    </row>
    <row r="702" spans="1:9">
      <c r="A702" s="6">
        <v>50</v>
      </c>
      <c r="B702" s="6" t="str">
        <f t="shared" si="20"/>
        <v>Restaurants and Hotels</v>
      </c>
      <c r="C702" s="6">
        <v>11</v>
      </c>
      <c r="D702" s="6" t="str">
        <f t="shared" si="21"/>
        <v>Fishery</v>
      </c>
      <c r="E702" s="6">
        <v>293793</v>
      </c>
      <c r="F702" s="6">
        <v>0</v>
      </c>
      <c r="G702" s="6">
        <v>0</v>
      </c>
      <c r="H702" s="6">
        <v>0</v>
      </c>
      <c r="I702" s="6">
        <v>0</v>
      </c>
    </row>
    <row r="703" spans="1:9">
      <c r="A703" s="6">
        <v>51</v>
      </c>
      <c r="B703" s="6" t="str">
        <f t="shared" si="20"/>
        <v>Transportation</v>
      </c>
      <c r="C703" s="6">
        <v>11</v>
      </c>
      <c r="D703" s="6" t="str">
        <f t="shared" si="21"/>
        <v>Fishery</v>
      </c>
      <c r="E703" s="6">
        <v>50155</v>
      </c>
      <c r="F703" s="6">
        <v>0</v>
      </c>
      <c r="G703" s="6">
        <v>0</v>
      </c>
      <c r="H703" s="6">
        <v>-1119821</v>
      </c>
      <c r="I703" s="6">
        <v>0</v>
      </c>
    </row>
    <row r="704" spans="1:9">
      <c r="A704" s="6">
        <v>52</v>
      </c>
      <c r="B704" s="6" t="str">
        <f t="shared" si="20"/>
        <v>Communication</v>
      </c>
      <c r="C704" s="6">
        <v>11</v>
      </c>
      <c r="D704" s="6" t="str">
        <f t="shared" si="21"/>
        <v>Fishery</v>
      </c>
      <c r="E704" s="6">
        <v>39253</v>
      </c>
      <c r="F704" s="6">
        <v>0</v>
      </c>
      <c r="G704" s="6">
        <v>0</v>
      </c>
      <c r="H704" s="6">
        <v>0</v>
      </c>
      <c r="I704" s="6">
        <v>0</v>
      </c>
    </row>
    <row r="705" spans="1:9">
      <c r="A705" s="6">
        <v>53</v>
      </c>
      <c r="B705" s="6" t="str">
        <f t="shared" si="20"/>
        <v>Banking and Insurance</v>
      </c>
      <c r="C705" s="6">
        <v>11</v>
      </c>
      <c r="D705" s="6" t="str">
        <f t="shared" si="21"/>
        <v>Fishery</v>
      </c>
      <c r="E705" s="6">
        <v>3391993</v>
      </c>
      <c r="F705" s="6">
        <v>0</v>
      </c>
      <c r="G705" s="6">
        <v>0</v>
      </c>
      <c r="H705" s="6">
        <v>0</v>
      </c>
      <c r="I705" s="6">
        <v>0</v>
      </c>
    </row>
    <row r="706" spans="1:9">
      <c r="A706" s="6">
        <v>54</v>
      </c>
      <c r="B706" s="6" t="str">
        <f t="shared" si="20"/>
        <v>Real Estate</v>
      </c>
      <c r="C706" s="6">
        <v>11</v>
      </c>
      <c r="D706" s="6" t="str">
        <f t="shared" si="21"/>
        <v>Fishery</v>
      </c>
      <c r="E706" s="6">
        <v>62056</v>
      </c>
      <c r="F706" s="6">
        <v>0</v>
      </c>
      <c r="G706" s="6">
        <v>0</v>
      </c>
      <c r="H706" s="6">
        <v>0</v>
      </c>
      <c r="I706" s="6">
        <v>0</v>
      </c>
    </row>
    <row r="707" spans="1:9">
      <c r="A707" s="6">
        <v>55</v>
      </c>
      <c r="B707" s="6" t="str">
        <f t="shared" si="20"/>
        <v>Business Services</v>
      </c>
      <c r="C707" s="6">
        <v>11</v>
      </c>
      <c r="D707" s="6" t="str">
        <f t="shared" si="21"/>
        <v>Fishery</v>
      </c>
      <c r="E707" s="6">
        <v>1752165</v>
      </c>
      <c r="F707" s="6">
        <v>0</v>
      </c>
      <c r="G707" s="6">
        <v>0</v>
      </c>
      <c r="H707" s="6">
        <v>0</v>
      </c>
      <c r="I707" s="6">
        <v>0</v>
      </c>
    </row>
    <row r="708" spans="1:9">
      <c r="A708" s="6">
        <v>56</v>
      </c>
      <c r="B708" s="6" t="str">
        <f t="shared" ref="B708:B771" si="22">VLOOKUP(A708,R:S,2,0)</f>
        <v>Public Services</v>
      </c>
      <c r="C708" s="6">
        <v>11</v>
      </c>
      <c r="D708" s="6" t="str">
        <f t="shared" ref="D708:D771" si="23">VLOOKUP(C708,R:S,2,0)</f>
        <v>Fishery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</row>
    <row r="709" spans="1:9">
      <c r="A709" s="6">
        <v>57</v>
      </c>
      <c r="B709" s="6" t="str">
        <f t="shared" si="22"/>
        <v>Other Services</v>
      </c>
      <c r="C709" s="6">
        <v>11</v>
      </c>
      <c r="D709" s="6" t="str">
        <f t="shared" si="23"/>
        <v>Fishery</v>
      </c>
      <c r="E709" s="6">
        <v>296276</v>
      </c>
      <c r="F709" s="6">
        <v>0</v>
      </c>
      <c r="G709" s="6">
        <v>0</v>
      </c>
      <c r="H709" s="6">
        <v>0</v>
      </c>
      <c r="I709" s="6">
        <v>0</v>
      </c>
    </row>
    <row r="710" spans="1:9">
      <c r="A710" s="6">
        <v>58</v>
      </c>
      <c r="B710" s="6" t="str">
        <f t="shared" si="22"/>
        <v>Unclassified</v>
      </c>
      <c r="C710" s="6">
        <v>11</v>
      </c>
      <c r="D710" s="6" t="str">
        <f t="shared" si="23"/>
        <v>Fishery</v>
      </c>
      <c r="E710" s="6">
        <v>839825</v>
      </c>
      <c r="F710" s="6">
        <v>0</v>
      </c>
      <c r="G710" s="6">
        <v>0</v>
      </c>
      <c r="H710" s="6">
        <v>0</v>
      </c>
      <c r="I710" s="6">
        <v>72229</v>
      </c>
    </row>
    <row r="711" spans="1:9">
      <c r="A711" s="6">
        <v>190</v>
      </c>
      <c r="B711" s="6" t="str">
        <f t="shared" si="22"/>
        <v>Total Intermedite Transaction</v>
      </c>
      <c r="C711" s="6">
        <v>11</v>
      </c>
      <c r="D711" s="6" t="str">
        <f t="shared" si="23"/>
        <v>Fishery</v>
      </c>
      <c r="E711" s="6">
        <v>101679877</v>
      </c>
      <c r="F711" s="6">
        <v>0</v>
      </c>
      <c r="G711" s="6">
        <v>0</v>
      </c>
      <c r="H711" s="6">
        <v>0</v>
      </c>
      <c r="I711" s="6">
        <v>17362501</v>
      </c>
    </row>
    <row r="712" spans="1:9">
      <c r="A712" s="6">
        <v>201</v>
      </c>
      <c r="B712" s="6" t="str">
        <f t="shared" si="22"/>
        <v>Wages and Salaries</v>
      </c>
      <c r="C712" s="6">
        <v>11</v>
      </c>
      <c r="D712" s="6" t="str">
        <f t="shared" si="23"/>
        <v>Fishery</v>
      </c>
      <c r="E712" s="6">
        <v>26891695</v>
      </c>
      <c r="F712" s="6">
        <v>0</v>
      </c>
      <c r="G712" s="6">
        <v>0</v>
      </c>
      <c r="H712" s="6">
        <v>0</v>
      </c>
      <c r="I712" s="6">
        <v>0</v>
      </c>
    </row>
    <row r="713" spans="1:9">
      <c r="A713" s="6">
        <v>202</v>
      </c>
      <c r="B713" s="6" t="str">
        <f t="shared" si="22"/>
        <v>Operating Surplus</v>
      </c>
      <c r="C713" s="6">
        <v>11</v>
      </c>
      <c r="D713" s="6" t="str">
        <f t="shared" si="23"/>
        <v>Fishery</v>
      </c>
      <c r="E713" s="6">
        <v>50955088</v>
      </c>
      <c r="F713" s="6">
        <v>0</v>
      </c>
      <c r="G713" s="6">
        <v>0</v>
      </c>
      <c r="H713" s="6">
        <v>0</v>
      </c>
      <c r="I713" s="6">
        <v>0</v>
      </c>
    </row>
    <row r="714" spans="1:9">
      <c r="A714" s="6">
        <v>203</v>
      </c>
      <c r="B714" s="6" t="str">
        <f t="shared" si="22"/>
        <v>Depreciation</v>
      </c>
      <c r="C714" s="6">
        <v>11</v>
      </c>
      <c r="D714" s="6" t="str">
        <f t="shared" si="23"/>
        <v>Fishery</v>
      </c>
      <c r="E714" s="6">
        <v>20353707</v>
      </c>
      <c r="F714" s="6">
        <v>0</v>
      </c>
      <c r="G714" s="6">
        <v>0</v>
      </c>
      <c r="H714" s="6">
        <v>0</v>
      </c>
      <c r="I714" s="6">
        <v>0</v>
      </c>
    </row>
    <row r="715" spans="1:9">
      <c r="A715" s="6">
        <v>204</v>
      </c>
      <c r="B715" s="6" t="str">
        <f t="shared" si="22"/>
        <v>Indirect Taxes less Subsidies</v>
      </c>
      <c r="C715" s="6">
        <v>11</v>
      </c>
      <c r="D715" s="6" t="str">
        <f t="shared" si="23"/>
        <v>Fishery</v>
      </c>
      <c r="E715" s="6">
        <v>126253</v>
      </c>
      <c r="F715" s="6">
        <v>0</v>
      </c>
      <c r="G715" s="6">
        <v>0</v>
      </c>
      <c r="H715" s="6">
        <v>0</v>
      </c>
      <c r="I715" s="6">
        <v>0</v>
      </c>
    </row>
    <row r="716" spans="1:9">
      <c r="A716" s="6">
        <v>209</v>
      </c>
      <c r="B716" s="6" t="str">
        <f t="shared" si="22"/>
        <v>Total Value Added</v>
      </c>
      <c r="C716" s="6">
        <v>11</v>
      </c>
      <c r="D716" s="6" t="str">
        <f t="shared" si="23"/>
        <v>Fishery</v>
      </c>
      <c r="E716" s="6">
        <v>98326743</v>
      </c>
      <c r="F716" s="6">
        <v>0</v>
      </c>
      <c r="G716" s="6">
        <v>0</v>
      </c>
      <c r="H716" s="6">
        <v>0</v>
      </c>
      <c r="I716" s="6">
        <v>0</v>
      </c>
    </row>
    <row r="717" spans="1:9">
      <c r="A717" s="6">
        <v>210</v>
      </c>
      <c r="B717" s="6" t="str">
        <f t="shared" si="22"/>
        <v>Control Total</v>
      </c>
      <c r="C717" s="6">
        <v>11</v>
      </c>
      <c r="D717" s="6" t="str">
        <f t="shared" si="23"/>
        <v>Fishery</v>
      </c>
      <c r="E717" s="6">
        <v>200006620</v>
      </c>
      <c r="F717" s="6">
        <v>0</v>
      </c>
      <c r="G717" s="6">
        <v>0</v>
      </c>
      <c r="H717" s="6">
        <v>0</v>
      </c>
      <c r="I717" s="6">
        <v>0</v>
      </c>
    </row>
    <row r="718" spans="1:9">
      <c r="A718" s="6">
        <v>1</v>
      </c>
      <c r="B718" s="6" t="str">
        <f t="shared" si="22"/>
        <v>Paddy</v>
      </c>
      <c r="C718" s="6">
        <v>12</v>
      </c>
      <c r="D718" s="6" t="str">
        <f t="shared" si="23"/>
        <v>Crude Oil and Coal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</row>
    <row r="719" spans="1:9">
      <c r="A719" s="6">
        <v>2</v>
      </c>
      <c r="B719" s="6" t="str">
        <f t="shared" si="22"/>
        <v>Maize</v>
      </c>
      <c r="C719" s="6">
        <v>12</v>
      </c>
      <c r="D719" s="6" t="str">
        <f t="shared" si="23"/>
        <v>Crude Oil and Coal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</row>
    <row r="720" spans="1:9">
      <c r="A720" s="6">
        <v>3</v>
      </c>
      <c r="B720" s="6" t="str">
        <f t="shared" si="22"/>
        <v>Cassava</v>
      </c>
      <c r="C720" s="6">
        <v>12</v>
      </c>
      <c r="D720" s="6" t="str">
        <f t="shared" si="23"/>
        <v>Crude Oil and Coal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</row>
    <row r="721" spans="1:9">
      <c r="A721" s="6">
        <v>4</v>
      </c>
      <c r="B721" s="6" t="str">
        <f t="shared" si="22"/>
        <v>Beans and Nuts</v>
      </c>
      <c r="C721" s="6">
        <v>12</v>
      </c>
      <c r="D721" s="6" t="str">
        <f t="shared" si="23"/>
        <v>Crude Oil and Coal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</row>
    <row r="722" spans="1:9">
      <c r="A722" s="6">
        <v>5</v>
      </c>
      <c r="B722" s="6" t="str">
        <f t="shared" si="22"/>
        <v>Vegetables and Fruits</v>
      </c>
      <c r="C722" s="6">
        <v>12</v>
      </c>
      <c r="D722" s="6" t="str">
        <f t="shared" si="23"/>
        <v>Crude Oil and Coal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</row>
    <row r="723" spans="1:9">
      <c r="A723" s="6">
        <v>6</v>
      </c>
      <c r="B723" s="6" t="str">
        <f t="shared" si="22"/>
        <v>Sugarcane</v>
      </c>
      <c r="C723" s="6">
        <v>12</v>
      </c>
      <c r="D723" s="6" t="str">
        <f t="shared" si="23"/>
        <v>Crude Oil and Coal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</row>
    <row r="724" spans="1:9">
      <c r="A724" s="6">
        <v>7</v>
      </c>
      <c r="B724" s="6" t="str">
        <f t="shared" si="22"/>
        <v>Rubber (Latex)</v>
      </c>
      <c r="C724" s="6">
        <v>12</v>
      </c>
      <c r="D724" s="6" t="str">
        <f t="shared" si="23"/>
        <v>Crude Oil and Coal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</row>
    <row r="725" spans="1:9">
      <c r="A725" s="6">
        <v>8</v>
      </c>
      <c r="B725" s="6" t="str">
        <f t="shared" si="22"/>
        <v>Other Crops</v>
      </c>
      <c r="C725" s="6">
        <v>12</v>
      </c>
      <c r="D725" s="6" t="str">
        <f t="shared" si="23"/>
        <v>Crude Oil and Coal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</row>
    <row r="726" spans="1:9">
      <c r="A726" s="6">
        <v>9</v>
      </c>
      <c r="B726" s="6" t="str">
        <f t="shared" si="22"/>
        <v>Livestock</v>
      </c>
      <c r="C726" s="6">
        <v>12</v>
      </c>
      <c r="D726" s="6" t="str">
        <f t="shared" si="23"/>
        <v>Crude Oil and Coal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</row>
    <row r="727" spans="1:9">
      <c r="A727" s="6">
        <v>10</v>
      </c>
      <c r="B727" s="6" t="str">
        <f t="shared" si="22"/>
        <v>Forestry</v>
      </c>
      <c r="C727" s="6">
        <v>12</v>
      </c>
      <c r="D727" s="6" t="str">
        <f t="shared" si="23"/>
        <v>Crude Oil and Coal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</row>
    <row r="728" spans="1:9">
      <c r="A728" s="6">
        <v>11</v>
      </c>
      <c r="B728" s="6" t="str">
        <f t="shared" si="22"/>
        <v>Fishery</v>
      </c>
      <c r="C728" s="6">
        <v>12</v>
      </c>
      <c r="D728" s="6" t="str">
        <f t="shared" si="23"/>
        <v>Crude Oil and Coal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</row>
    <row r="729" spans="1:9">
      <c r="A729" s="6">
        <v>12</v>
      </c>
      <c r="B729" s="6" t="str">
        <f t="shared" si="22"/>
        <v>Crude Oil and Coal</v>
      </c>
      <c r="C729" s="6">
        <v>12</v>
      </c>
      <c r="D729" s="6" t="str">
        <f t="shared" si="23"/>
        <v>Crude Oil and Coal</v>
      </c>
      <c r="E729" s="6">
        <v>15879688</v>
      </c>
      <c r="F729" s="6">
        <v>0</v>
      </c>
      <c r="G729" s="6">
        <v>0</v>
      </c>
      <c r="H729" s="6">
        <v>0</v>
      </c>
      <c r="I729" s="6">
        <v>0</v>
      </c>
    </row>
    <row r="730" spans="1:9">
      <c r="A730" s="6">
        <v>13</v>
      </c>
      <c r="B730" s="6" t="str">
        <f t="shared" si="22"/>
        <v>Metal Ore</v>
      </c>
      <c r="C730" s="6">
        <v>12</v>
      </c>
      <c r="D730" s="6" t="str">
        <f t="shared" si="23"/>
        <v>Crude Oil and Coal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</row>
    <row r="731" spans="1:9">
      <c r="A731" s="6">
        <v>14</v>
      </c>
      <c r="B731" s="6" t="str">
        <f t="shared" si="22"/>
        <v>Non-Metal Ore</v>
      </c>
      <c r="C731" s="6">
        <v>12</v>
      </c>
      <c r="D731" s="6" t="str">
        <f t="shared" si="23"/>
        <v>Crude Oil and Coal</v>
      </c>
      <c r="E731" s="6">
        <v>180182</v>
      </c>
      <c r="F731" s="6">
        <v>3300</v>
      </c>
      <c r="G731" s="6">
        <v>0</v>
      </c>
      <c r="H731" s="6">
        <v>15941</v>
      </c>
      <c r="I731" s="6">
        <v>0</v>
      </c>
    </row>
    <row r="732" spans="1:9">
      <c r="A732" s="6">
        <v>15</v>
      </c>
      <c r="B732" s="6" t="str">
        <f t="shared" si="22"/>
        <v>Slaughtering</v>
      </c>
      <c r="C732" s="6">
        <v>12</v>
      </c>
      <c r="D732" s="6" t="str">
        <f t="shared" si="23"/>
        <v>Crude Oil and Coal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</row>
    <row r="733" spans="1:9">
      <c r="A733" s="6">
        <v>16</v>
      </c>
      <c r="B733" s="6" t="str">
        <f t="shared" si="22"/>
        <v>Processing and Presering of Foods</v>
      </c>
      <c r="C733" s="6">
        <v>12</v>
      </c>
      <c r="D733" s="6" t="str">
        <f t="shared" si="23"/>
        <v>Crude Oil and Coal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</row>
    <row r="734" spans="1:9">
      <c r="A734" s="6">
        <v>17</v>
      </c>
      <c r="B734" s="6" t="str">
        <f t="shared" si="22"/>
        <v>Rice and Other Grain Milling</v>
      </c>
      <c r="C734" s="6">
        <v>12</v>
      </c>
      <c r="D734" s="6" t="str">
        <f t="shared" si="23"/>
        <v>Crude Oil and Coal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</row>
    <row r="735" spans="1:9">
      <c r="A735" s="6">
        <v>18</v>
      </c>
      <c r="B735" s="6" t="str">
        <f t="shared" si="22"/>
        <v>Sugar Refineries</v>
      </c>
      <c r="C735" s="6">
        <v>12</v>
      </c>
      <c r="D735" s="6" t="str">
        <f t="shared" si="23"/>
        <v>Crude Oil and Coal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</row>
    <row r="736" spans="1:9">
      <c r="A736" s="6">
        <v>19</v>
      </c>
      <c r="B736" s="6" t="str">
        <f t="shared" si="22"/>
        <v>Other Foods</v>
      </c>
      <c r="C736" s="6">
        <v>12</v>
      </c>
      <c r="D736" s="6" t="str">
        <f t="shared" si="23"/>
        <v>Crude Oil and Coal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</row>
    <row r="737" spans="1:9">
      <c r="A737" s="6">
        <v>20</v>
      </c>
      <c r="B737" s="6" t="str">
        <f t="shared" si="22"/>
        <v>Animal Food</v>
      </c>
      <c r="C737" s="6">
        <v>12</v>
      </c>
      <c r="D737" s="6" t="str">
        <f t="shared" si="23"/>
        <v>Crude Oil and Coal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</row>
    <row r="738" spans="1:9">
      <c r="A738" s="6">
        <v>21</v>
      </c>
      <c r="B738" s="6" t="str">
        <f t="shared" si="22"/>
        <v>Beverages</v>
      </c>
      <c r="C738" s="6">
        <v>12</v>
      </c>
      <c r="D738" s="6" t="str">
        <f t="shared" si="23"/>
        <v>Crude Oil and Coal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</row>
    <row r="739" spans="1:9">
      <c r="A739" s="6">
        <v>22</v>
      </c>
      <c r="B739" s="6" t="str">
        <f t="shared" si="22"/>
        <v>Tobacco Processing and Products</v>
      </c>
      <c r="C739" s="6">
        <v>12</v>
      </c>
      <c r="D739" s="6" t="str">
        <f t="shared" si="23"/>
        <v>Crude Oil and Coal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</row>
    <row r="740" spans="1:9">
      <c r="A740" s="6">
        <v>23</v>
      </c>
      <c r="B740" s="6" t="str">
        <f t="shared" si="22"/>
        <v>Spinning, Weaving and Bleaching</v>
      </c>
      <c r="C740" s="6">
        <v>12</v>
      </c>
      <c r="D740" s="6" t="str">
        <f t="shared" si="23"/>
        <v>Crude Oil and Coal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</row>
    <row r="741" spans="1:9">
      <c r="A741" s="6">
        <v>24</v>
      </c>
      <c r="B741" s="6" t="str">
        <f t="shared" si="22"/>
        <v>Textile Products</v>
      </c>
      <c r="C741" s="6">
        <v>12</v>
      </c>
      <c r="D741" s="6" t="str">
        <f t="shared" si="23"/>
        <v>Crude Oil and Coal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</row>
    <row r="742" spans="1:9">
      <c r="A742" s="6">
        <v>25</v>
      </c>
      <c r="B742" s="6" t="str">
        <f t="shared" si="22"/>
        <v>Paper and Paper Products</v>
      </c>
      <c r="C742" s="6">
        <v>12</v>
      </c>
      <c r="D742" s="6" t="str">
        <f t="shared" si="23"/>
        <v>Crude Oil and Coal</v>
      </c>
      <c r="E742" s="6">
        <v>27647</v>
      </c>
      <c r="F742" s="6">
        <v>226</v>
      </c>
      <c r="G742" s="6">
        <v>804</v>
      </c>
      <c r="H742" s="6">
        <v>211</v>
      </c>
      <c r="I742" s="6">
        <v>0</v>
      </c>
    </row>
    <row r="743" spans="1:9">
      <c r="A743" s="6">
        <v>26</v>
      </c>
      <c r="B743" s="6" t="str">
        <f t="shared" si="22"/>
        <v>Printing and Publishing</v>
      </c>
      <c r="C743" s="6">
        <v>12</v>
      </c>
      <c r="D743" s="6" t="str">
        <f t="shared" si="23"/>
        <v>Crude Oil and Coal</v>
      </c>
      <c r="E743" s="6">
        <v>69922</v>
      </c>
      <c r="F743" s="6">
        <v>961</v>
      </c>
      <c r="G743" s="6">
        <v>1508</v>
      </c>
      <c r="H743" s="6">
        <v>550</v>
      </c>
      <c r="I743" s="6">
        <v>0</v>
      </c>
    </row>
    <row r="744" spans="1:9">
      <c r="A744" s="6">
        <v>27</v>
      </c>
      <c r="B744" s="6" t="str">
        <f t="shared" si="22"/>
        <v>Basic Chemical Products</v>
      </c>
      <c r="C744" s="6">
        <v>12</v>
      </c>
      <c r="D744" s="6" t="str">
        <f t="shared" si="23"/>
        <v>Crude Oil and Coal</v>
      </c>
      <c r="E744" s="6">
        <v>131812</v>
      </c>
      <c r="F744" s="6">
        <v>9485</v>
      </c>
      <c r="G744" s="6">
        <v>4389</v>
      </c>
      <c r="H744" s="6">
        <v>2559</v>
      </c>
      <c r="I744" s="6">
        <v>72911</v>
      </c>
    </row>
    <row r="745" spans="1:9">
      <c r="A745" s="6">
        <v>28</v>
      </c>
      <c r="B745" s="6" t="str">
        <f t="shared" si="22"/>
        <v>Fertilizer and Pesticides</v>
      </c>
      <c r="C745" s="6">
        <v>12</v>
      </c>
      <c r="D745" s="6" t="str">
        <f t="shared" si="23"/>
        <v>Crude Oil and Coal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</row>
    <row r="746" spans="1:9">
      <c r="A746" s="6">
        <v>29</v>
      </c>
      <c r="B746" s="6" t="str">
        <f t="shared" si="22"/>
        <v>Other Chemical Products</v>
      </c>
      <c r="C746" s="6">
        <v>12</v>
      </c>
      <c r="D746" s="6" t="str">
        <f t="shared" si="23"/>
        <v>Crude Oil and Coal</v>
      </c>
      <c r="E746" s="6">
        <v>478452</v>
      </c>
      <c r="F746" s="6">
        <v>37910</v>
      </c>
      <c r="G746" s="6">
        <v>53881</v>
      </c>
      <c r="H746" s="6">
        <v>5976</v>
      </c>
      <c r="I746" s="6">
        <v>126512</v>
      </c>
    </row>
    <row r="747" spans="1:9">
      <c r="A747" s="6">
        <v>30</v>
      </c>
      <c r="B747" s="6" t="str">
        <f t="shared" si="22"/>
        <v>Petroleum Refineries</v>
      </c>
      <c r="C747" s="6">
        <v>12</v>
      </c>
      <c r="D747" s="6" t="str">
        <f t="shared" si="23"/>
        <v>Crude Oil and Coal</v>
      </c>
      <c r="E747" s="6">
        <v>40956636</v>
      </c>
      <c r="F747" s="6">
        <v>1721858</v>
      </c>
      <c r="G747" s="6">
        <v>1871507</v>
      </c>
      <c r="H747" s="6">
        <v>336655</v>
      </c>
      <c r="I747" s="6">
        <v>7517558</v>
      </c>
    </row>
    <row r="748" spans="1:9">
      <c r="A748" s="6">
        <v>31</v>
      </c>
      <c r="B748" s="6" t="str">
        <f t="shared" si="22"/>
        <v>Rubber Products</v>
      </c>
      <c r="C748" s="6">
        <v>12</v>
      </c>
      <c r="D748" s="6" t="str">
        <f t="shared" si="23"/>
        <v>Crude Oil and Coal</v>
      </c>
      <c r="E748" s="6">
        <v>40038</v>
      </c>
      <c r="F748" s="6">
        <v>1892</v>
      </c>
      <c r="G748" s="6">
        <v>5485</v>
      </c>
      <c r="H748" s="6">
        <v>910</v>
      </c>
      <c r="I748" s="6">
        <v>0</v>
      </c>
    </row>
    <row r="749" spans="1:9">
      <c r="A749" s="6">
        <v>32</v>
      </c>
      <c r="B749" s="6" t="str">
        <f t="shared" si="22"/>
        <v>Plastic Wares</v>
      </c>
      <c r="C749" s="6">
        <v>12</v>
      </c>
      <c r="D749" s="6" t="str">
        <f t="shared" si="23"/>
        <v>Crude Oil and Coal</v>
      </c>
      <c r="E749" s="6">
        <v>237735</v>
      </c>
      <c r="F749" s="6">
        <v>15079</v>
      </c>
      <c r="G749" s="6">
        <v>20749</v>
      </c>
      <c r="H749" s="6">
        <v>2164</v>
      </c>
      <c r="I749" s="6">
        <v>141377</v>
      </c>
    </row>
    <row r="750" spans="1:9">
      <c r="A750" s="6">
        <v>33</v>
      </c>
      <c r="B750" s="6" t="str">
        <f t="shared" si="22"/>
        <v>Cement and Concrete Products</v>
      </c>
      <c r="C750" s="6">
        <v>12</v>
      </c>
      <c r="D750" s="6" t="str">
        <f t="shared" si="23"/>
        <v>Crude Oil and Coal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</row>
    <row r="751" spans="1:9">
      <c r="A751" s="6">
        <v>34</v>
      </c>
      <c r="B751" s="6" t="str">
        <f t="shared" si="22"/>
        <v>Other Non-metallic Products</v>
      </c>
      <c r="C751" s="6">
        <v>12</v>
      </c>
      <c r="D751" s="6" t="str">
        <f t="shared" si="23"/>
        <v>Crude Oil and Coal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</row>
    <row r="752" spans="1:9">
      <c r="A752" s="6">
        <v>35</v>
      </c>
      <c r="B752" s="6" t="str">
        <f t="shared" si="22"/>
        <v>Iron and Steel</v>
      </c>
      <c r="C752" s="6">
        <v>12</v>
      </c>
      <c r="D752" s="6" t="str">
        <f t="shared" si="23"/>
        <v>Crude Oil and Coal</v>
      </c>
      <c r="E752" s="6">
        <v>341</v>
      </c>
      <c r="F752" s="6">
        <v>22</v>
      </c>
      <c r="G752" s="6">
        <v>23</v>
      </c>
      <c r="H752" s="6">
        <v>4</v>
      </c>
      <c r="I752" s="6">
        <v>0</v>
      </c>
    </row>
    <row r="753" spans="1:9">
      <c r="A753" s="6">
        <v>36</v>
      </c>
      <c r="B753" s="6" t="str">
        <f t="shared" si="22"/>
        <v>Non-ferrous Metal</v>
      </c>
      <c r="C753" s="6">
        <v>12</v>
      </c>
      <c r="D753" s="6" t="str">
        <f t="shared" si="23"/>
        <v>Crude Oil and Coal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</row>
    <row r="754" spans="1:9">
      <c r="A754" s="6">
        <v>37</v>
      </c>
      <c r="B754" s="6" t="str">
        <f t="shared" si="22"/>
        <v>Fabricated Metal Products</v>
      </c>
      <c r="C754" s="6">
        <v>12</v>
      </c>
      <c r="D754" s="6" t="str">
        <f t="shared" si="23"/>
        <v>Crude Oil and Coal</v>
      </c>
      <c r="E754" s="6">
        <v>17732</v>
      </c>
      <c r="F754" s="6">
        <v>931</v>
      </c>
      <c r="G754" s="6">
        <v>1470</v>
      </c>
      <c r="H754" s="6">
        <v>128</v>
      </c>
      <c r="I754" s="6">
        <v>0</v>
      </c>
    </row>
    <row r="755" spans="1:9">
      <c r="A755" s="6">
        <v>38</v>
      </c>
      <c r="B755" s="6" t="str">
        <f t="shared" si="22"/>
        <v>Industrial Machinery</v>
      </c>
      <c r="C755" s="6">
        <v>12</v>
      </c>
      <c r="D755" s="6" t="str">
        <f t="shared" si="23"/>
        <v>Crude Oil and Coal</v>
      </c>
      <c r="E755" s="6">
        <v>6408694</v>
      </c>
      <c r="F755" s="6">
        <v>458707</v>
      </c>
      <c r="G755" s="6">
        <v>12943</v>
      </c>
      <c r="H755" s="6">
        <v>64065</v>
      </c>
      <c r="I755" s="6">
        <v>0</v>
      </c>
    </row>
    <row r="756" spans="1:9">
      <c r="A756" s="6">
        <v>39</v>
      </c>
      <c r="B756" s="6" t="str">
        <f t="shared" si="22"/>
        <v>Electrical Machinery and Apparatus</v>
      </c>
      <c r="C756" s="6">
        <v>12</v>
      </c>
      <c r="D756" s="6" t="str">
        <f t="shared" si="23"/>
        <v>Crude Oil and Coal</v>
      </c>
      <c r="E756" s="6">
        <v>478323</v>
      </c>
      <c r="F756" s="6">
        <v>17952</v>
      </c>
      <c r="G756" s="6">
        <v>18378</v>
      </c>
      <c r="H756" s="6">
        <v>2717</v>
      </c>
      <c r="I756" s="6">
        <v>0</v>
      </c>
    </row>
    <row r="757" spans="1:9">
      <c r="A757" s="6">
        <v>40</v>
      </c>
      <c r="B757" s="6" t="str">
        <f t="shared" si="22"/>
        <v>Motor Vehicles and Repairing</v>
      </c>
      <c r="C757" s="6">
        <v>12</v>
      </c>
      <c r="D757" s="6" t="str">
        <f t="shared" si="23"/>
        <v>Crude Oil and Coal</v>
      </c>
      <c r="E757" s="6">
        <v>4642977</v>
      </c>
      <c r="F757" s="6">
        <v>0</v>
      </c>
      <c r="G757" s="6">
        <v>0</v>
      </c>
      <c r="H757" s="6">
        <v>0</v>
      </c>
      <c r="I757" s="6">
        <v>0</v>
      </c>
    </row>
    <row r="758" spans="1:9">
      <c r="A758" s="6">
        <v>41</v>
      </c>
      <c r="B758" s="6" t="str">
        <f t="shared" si="22"/>
        <v>Other Transportation Equipment</v>
      </c>
      <c r="C758" s="6">
        <v>12</v>
      </c>
      <c r="D758" s="6" t="str">
        <f t="shared" si="23"/>
        <v>Crude Oil and Coal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</row>
    <row r="759" spans="1:9">
      <c r="A759" s="6">
        <v>42</v>
      </c>
      <c r="B759" s="6" t="str">
        <f t="shared" si="22"/>
        <v>Leather Products</v>
      </c>
      <c r="C759" s="6">
        <v>12</v>
      </c>
      <c r="D759" s="6" t="str">
        <f t="shared" si="23"/>
        <v>Crude Oil and Coal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</row>
    <row r="760" spans="1:9">
      <c r="A760" s="6">
        <v>43</v>
      </c>
      <c r="B760" s="6" t="str">
        <f t="shared" si="22"/>
        <v>Saw Mills and Wood Products</v>
      </c>
      <c r="C760" s="6">
        <v>12</v>
      </c>
      <c r="D760" s="6" t="str">
        <f t="shared" si="23"/>
        <v>Crude Oil and Coal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</row>
    <row r="761" spans="1:9">
      <c r="A761" s="6">
        <v>44</v>
      </c>
      <c r="B761" s="6" t="str">
        <f t="shared" si="22"/>
        <v>Other Manufacturing Products</v>
      </c>
      <c r="C761" s="6">
        <v>12</v>
      </c>
      <c r="D761" s="6" t="str">
        <f t="shared" si="23"/>
        <v>Crude Oil and Coal</v>
      </c>
      <c r="E761" s="6">
        <v>961500</v>
      </c>
      <c r="F761" s="6">
        <v>67387</v>
      </c>
      <c r="G761" s="6">
        <v>22566</v>
      </c>
      <c r="H761" s="6">
        <v>9401</v>
      </c>
      <c r="I761" s="6">
        <v>503014</v>
      </c>
    </row>
    <row r="762" spans="1:9">
      <c r="A762" s="6">
        <v>45</v>
      </c>
      <c r="B762" s="6" t="str">
        <f t="shared" si="22"/>
        <v>Electricity and Gas</v>
      </c>
      <c r="C762" s="6">
        <v>12</v>
      </c>
      <c r="D762" s="6" t="str">
        <f t="shared" si="23"/>
        <v>Crude Oil and Coal</v>
      </c>
      <c r="E762" s="6">
        <v>1960074</v>
      </c>
      <c r="F762" s="6">
        <v>0</v>
      </c>
      <c r="G762" s="6">
        <v>0</v>
      </c>
      <c r="H762" s="6">
        <v>0</v>
      </c>
      <c r="I762" s="6">
        <v>0</v>
      </c>
    </row>
    <row r="763" spans="1:9">
      <c r="A763" s="6">
        <v>46</v>
      </c>
      <c r="B763" s="6" t="str">
        <f t="shared" si="22"/>
        <v>Water Works and Supply</v>
      </c>
      <c r="C763" s="6">
        <v>12</v>
      </c>
      <c r="D763" s="6" t="str">
        <f t="shared" si="23"/>
        <v>Crude Oil and Coal</v>
      </c>
      <c r="E763" s="6">
        <v>3620</v>
      </c>
      <c r="F763" s="6">
        <v>0</v>
      </c>
      <c r="G763" s="6">
        <v>0</v>
      </c>
      <c r="H763" s="6">
        <v>0</v>
      </c>
      <c r="I763" s="6">
        <v>0</v>
      </c>
    </row>
    <row r="764" spans="1:9">
      <c r="A764" s="6">
        <v>47</v>
      </c>
      <c r="B764" s="6" t="str">
        <f t="shared" si="22"/>
        <v>Building Construction</v>
      </c>
      <c r="C764" s="6">
        <v>12</v>
      </c>
      <c r="D764" s="6" t="str">
        <f t="shared" si="23"/>
        <v>Crude Oil and Coal</v>
      </c>
      <c r="E764" s="6">
        <v>30188</v>
      </c>
      <c r="F764" s="6">
        <v>0</v>
      </c>
      <c r="G764" s="6">
        <v>0</v>
      </c>
      <c r="H764" s="6">
        <v>0</v>
      </c>
      <c r="I764" s="6">
        <v>0</v>
      </c>
    </row>
    <row r="765" spans="1:9">
      <c r="A765" s="6">
        <v>48</v>
      </c>
      <c r="B765" s="6" t="str">
        <f t="shared" si="22"/>
        <v>Public Works and Other Construction</v>
      </c>
      <c r="C765" s="6">
        <v>12</v>
      </c>
      <c r="D765" s="6" t="str">
        <f t="shared" si="23"/>
        <v>Crude Oil and Coal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</row>
    <row r="766" spans="1:9">
      <c r="A766" s="6">
        <v>49</v>
      </c>
      <c r="B766" s="6" t="str">
        <f t="shared" si="22"/>
        <v>Trade</v>
      </c>
      <c r="C766" s="6">
        <v>12</v>
      </c>
      <c r="D766" s="6" t="str">
        <f t="shared" si="23"/>
        <v>Crude Oil and Coal</v>
      </c>
      <c r="E766" s="6">
        <v>0</v>
      </c>
      <c r="F766" s="6">
        <v>-2335710</v>
      </c>
      <c r="G766" s="6">
        <v>-2013703</v>
      </c>
      <c r="H766" s="6">
        <v>0</v>
      </c>
      <c r="I766" s="6">
        <v>0</v>
      </c>
    </row>
    <row r="767" spans="1:9">
      <c r="A767" s="6">
        <v>50</v>
      </c>
      <c r="B767" s="6" t="str">
        <f t="shared" si="22"/>
        <v>Restaurants and Hotels</v>
      </c>
      <c r="C767" s="6">
        <v>12</v>
      </c>
      <c r="D767" s="6" t="str">
        <f t="shared" si="23"/>
        <v>Crude Oil and Coal</v>
      </c>
      <c r="E767" s="6">
        <v>468856</v>
      </c>
      <c r="F767" s="6">
        <v>0</v>
      </c>
      <c r="G767" s="6">
        <v>0</v>
      </c>
      <c r="H767" s="6">
        <v>0</v>
      </c>
      <c r="I767" s="6">
        <v>0</v>
      </c>
    </row>
    <row r="768" spans="1:9">
      <c r="A768" s="6">
        <v>51</v>
      </c>
      <c r="B768" s="6" t="str">
        <f t="shared" si="22"/>
        <v>Transportation</v>
      </c>
      <c r="C768" s="6">
        <v>12</v>
      </c>
      <c r="D768" s="6" t="str">
        <f t="shared" si="23"/>
        <v>Crude Oil and Coal</v>
      </c>
      <c r="E768" s="6">
        <v>2731389</v>
      </c>
      <c r="F768" s="6">
        <v>0</v>
      </c>
      <c r="G768" s="6">
        <v>0</v>
      </c>
      <c r="H768" s="6">
        <v>-441281</v>
      </c>
      <c r="I768" s="6">
        <v>0</v>
      </c>
    </row>
    <row r="769" spans="1:9">
      <c r="A769" s="6">
        <v>52</v>
      </c>
      <c r="B769" s="6" t="str">
        <f t="shared" si="22"/>
        <v>Communication</v>
      </c>
      <c r="C769" s="6">
        <v>12</v>
      </c>
      <c r="D769" s="6" t="str">
        <f t="shared" si="23"/>
        <v>Crude Oil and Coal</v>
      </c>
      <c r="E769" s="6">
        <v>244748</v>
      </c>
      <c r="F769" s="6">
        <v>0</v>
      </c>
      <c r="G769" s="6">
        <v>0</v>
      </c>
      <c r="H769" s="6">
        <v>0</v>
      </c>
      <c r="I769" s="6">
        <v>0</v>
      </c>
    </row>
    <row r="770" spans="1:9">
      <c r="A770" s="6">
        <v>53</v>
      </c>
      <c r="B770" s="6" t="str">
        <f t="shared" si="22"/>
        <v>Banking and Insurance</v>
      </c>
      <c r="C770" s="6">
        <v>12</v>
      </c>
      <c r="D770" s="6" t="str">
        <f t="shared" si="23"/>
        <v>Crude Oil and Coal</v>
      </c>
      <c r="E770" s="6">
        <v>2067480</v>
      </c>
      <c r="F770" s="6">
        <v>0</v>
      </c>
      <c r="G770" s="6">
        <v>0</v>
      </c>
      <c r="H770" s="6">
        <v>0</v>
      </c>
      <c r="I770" s="6">
        <v>0</v>
      </c>
    </row>
    <row r="771" spans="1:9">
      <c r="A771" s="6">
        <v>54</v>
      </c>
      <c r="B771" s="6" t="str">
        <f t="shared" si="22"/>
        <v>Real Estate</v>
      </c>
      <c r="C771" s="6">
        <v>12</v>
      </c>
      <c r="D771" s="6" t="str">
        <f t="shared" si="23"/>
        <v>Crude Oil and Coal</v>
      </c>
      <c r="E771" s="6">
        <v>387621</v>
      </c>
      <c r="F771" s="6">
        <v>0</v>
      </c>
      <c r="G771" s="6">
        <v>0</v>
      </c>
      <c r="H771" s="6">
        <v>0</v>
      </c>
      <c r="I771" s="6">
        <v>0</v>
      </c>
    </row>
    <row r="772" spans="1:9">
      <c r="A772" s="6">
        <v>55</v>
      </c>
      <c r="B772" s="6" t="str">
        <f t="shared" ref="B772:B835" si="24">VLOOKUP(A772,R:S,2,0)</f>
        <v>Business Services</v>
      </c>
      <c r="C772" s="6">
        <v>12</v>
      </c>
      <c r="D772" s="6" t="str">
        <f t="shared" ref="D772:D835" si="25">VLOOKUP(C772,R:S,2,0)</f>
        <v>Crude Oil and Coal</v>
      </c>
      <c r="E772" s="6">
        <v>65407201</v>
      </c>
      <c r="F772" s="6">
        <v>0</v>
      </c>
      <c r="G772" s="6">
        <v>0</v>
      </c>
      <c r="H772" s="6">
        <v>0</v>
      </c>
      <c r="I772" s="6">
        <v>11102546</v>
      </c>
    </row>
    <row r="773" spans="1:9">
      <c r="A773" s="6">
        <v>56</v>
      </c>
      <c r="B773" s="6" t="str">
        <f t="shared" si="24"/>
        <v>Public Services</v>
      </c>
      <c r="C773" s="6">
        <v>12</v>
      </c>
      <c r="D773" s="6" t="str">
        <f t="shared" si="25"/>
        <v>Crude Oil and Coal</v>
      </c>
      <c r="E773" s="6">
        <v>24033</v>
      </c>
      <c r="F773" s="6">
        <v>0</v>
      </c>
      <c r="G773" s="6">
        <v>0</v>
      </c>
      <c r="H773" s="6">
        <v>0</v>
      </c>
      <c r="I773" s="6">
        <v>0</v>
      </c>
    </row>
    <row r="774" spans="1:9">
      <c r="A774" s="6">
        <v>57</v>
      </c>
      <c r="B774" s="6" t="str">
        <f t="shared" si="24"/>
        <v>Other Services</v>
      </c>
      <c r="C774" s="6">
        <v>12</v>
      </c>
      <c r="D774" s="6" t="str">
        <f t="shared" si="25"/>
        <v>Crude Oil and Coal</v>
      </c>
      <c r="E774" s="6">
        <v>486805</v>
      </c>
      <c r="F774" s="6">
        <v>0</v>
      </c>
      <c r="G774" s="6">
        <v>0</v>
      </c>
      <c r="H774" s="6">
        <v>0</v>
      </c>
      <c r="I774" s="6">
        <v>0</v>
      </c>
    </row>
    <row r="775" spans="1:9">
      <c r="A775" s="6">
        <v>58</v>
      </c>
      <c r="B775" s="6" t="str">
        <f t="shared" si="24"/>
        <v>Unclassified</v>
      </c>
      <c r="C775" s="6">
        <v>12</v>
      </c>
      <c r="D775" s="6" t="str">
        <f t="shared" si="25"/>
        <v>Crude Oil and Coal</v>
      </c>
      <c r="E775" s="6">
        <v>371435</v>
      </c>
      <c r="F775" s="6">
        <v>0</v>
      </c>
      <c r="G775" s="6">
        <v>0</v>
      </c>
      <c r="H775" s="6">
        <v>0</v>
      </c>
      <c r="I775" s="6">
        <v>38540</v>
      </c>
    </row>
    <row r="776" spans="1:9">
      <c r="A776" s="6">
        <v>190</v>
      </c>
      <c r="B776" s="6" t="str">
        <f t="shared" si="24"/>
        <v>Total Intermedite Transaction</v>
      </c>
      <c r="C776" s="6">
        <v>12</v>
      </c>
      <c r="D776" s="6" t="str">
        <f t="shared" si="25"/>
        <v>Crude Oil and Coal</v>
      </c>
      <c r="E776" s="6">
        <v>144695129</v>
      </c>
      <c r="F776" s="6">
        <v>0</v>
      </c>
      <c r="G776" s="6">
        <v>0</v>
      </c>
      <c r="H776" s="6">
        <v>0</v>
      </c>
      <c r="I776" s="6">
        <v>19502458</v>
      </c>
    </row>
    <row r="777" spans="1:9">
      <c r="A777" s="6">
        <v>201</v>
      </c>
      <c r="B777" s="6" t="str">
        <f t="shared" si="24"/>
        <v>Wages and Salaries</v>
      </c>
      <c r="C777" s="6">
        <v>12</v>
      </c>
      <c r="D777" s="6" t="str">
        <f t="shared" si="25"/>
        <v>Crude Oil and Coal</v>
      </c>
      <c r="E777" s="6">
        <v>42087971</v>
      </c>
      <c r="F777" s="6">
        <v>0</v>
      </c>
      <c r="G777" s="6">
        <v>0</v>
      </c>
      <c r="H777" s="6">
        <v>0</v>
      </c>
      <c r="I777" s="6">
        <v>0</v>
      </c>
    </row>
    <row r="778" spans="1:9">
      <c r="A778" s="6">
        <v>202</v>
      </c>
      <c r="B778" s="6" t="str">
        <f t="shared" si="24"/>
        <v>Operating Surplus</v>
      </c>
      <c r="C778" s="6">
        <v>12</v>
      </c>
      <c r="D778" s="6" t="str">
        <f t="shared" si="25"/>
        <v>Crude Oil and Coal</v>
      </c>
      <c r="E778" s="6">
        <v>73605379</v>
      </c>
      <c r="F778" s="6">
        <v>0</v>
      </c>
      <c r="G778" s="6">
        <v>0</v>
      </c>
      <c r="H778" s="6">
        <v>0</v>
      </c>
      <c r="I778" s="6">
        <v>0</v>
      </c>
    </row>
    <row r="779" spans="1:9">
      <c r="A779" s="6">
        <v>203</v>
      </c>
      <c r="B779" s="6" t="str">
        <f t="shared" si="24"/>
        <v>Depreciation</v>
      </c>
      <c r="C779" s="6">
        <v>12</v>
      </c>
      <c r="D779" s="6" t="str">
        <f t="shared" si="25"/>
        <v>Crude Oil and Coal</v>
      </c>
      <c r="E779" s="6">
        <v>64631360</v>
      </c>
      <c r="F779" s="6">
        <v>0</v>
      </c>
      <c r="G779" s="6">
        <v>0</v>
      </c>
      <c r="H779" s="6">
        <v>0</v>
      </c>
      <c r="I779" s="6">
        <v>0</v>
      </c>
    </row>
    <row r="780" spans="1:9">
      <c r="A780" s="6">
        <v>204</v>
      </c>
      <c r="B780" s="6" t="str">
        <f t="shared" si="24"/>
        <v>Indirect Taxes less Subsidies</v>
      </c>
      <c r="C780" s="6">
        <v>12</v>
      </c>
      <c r="D780" s="6" t="str">
        <f t="shared" si="25"/>
        <v>Crude Oil and Coal</v>
      </c>
      <c r="E780" s="6">
        <v>41381827</v>
      </c>
      <c r="F780" s="6">
        <v>0</v>
      </c>
      <c r="G780" s="6">
        <v>0</v>
      </c>
      <c r="H780" s="6">
        <v>0</v>
      </c>
      <c r="I780" s="6">
        <v>0</v>
      </c>
    </row>
    <row r="781" spans="1:9">
      <c r="A781" s="6">
        <v>209</v>
      </c>
      <c r="B781" s="6" t="str">
        <f t="shared" si="24"/>
        <v>Total Value Added</v>
      </c>
      <c r="C781" s="6">
        <v>12</v>
      </c>
      <c r="D781" s="6" t="str">
        <f t="shared" si="25"/>
        <v>Crude Oil and Coal</v>
      </c>
      <c r="E781" s="6">
        <v>221706537</v>
      </c>
      <c r="F781" s="6">
        <v>0</v>
      </c>
      <c r="G781" s="6">
        <v>0</v>
      </c>
      <c r="H781" s="6">
        <v>0</v>
      </c>
      <c r="I781" s="6">
        <v>0</v>
      </c>
    </row>
    <row r="782" spans="1:9">
      <c r="A782" s="6">
        <v>210</v>
      </c>
      <c r="B782" s="6" t="str">
        <f t="shared" si="24"/>
        <v>Control Total</v>
      </c>
      <c r="C782" s="6">
        <v>12</v>
      </c>
      <c r="D782" s="6" t="str">
        <f t="shared" si="25"/>
        <v>Crude Oil and Coal</v>
      </c>
      <c r="E782" s="6">
        <v>366401666</v>
      </c>
      <c r="F782" s="6">
        <v>0</v>
      </c>
      <c r="G782" s="6">
        <v>0</v>
      </c>
      <c r="H782" s="6">
        <v>0</v>
      </c>
      <c r="I782" s="6">
        <v>0</v>
      </c>
    </row>
    <row r="783" spans="1:9">
      <c r="A783" s="6">
        <v>1</v>
      </c>
      <c r="B783" s="6" t="str">
        <f t="shared" si="24"/>
        <v>Paddy</v>
      </c>
      <c r="C783" s="6">
        <v>13</v>
      </c>
      <c r="D783" s="6" t="str">
        <f t="shared" si="25"/>
        <v>Metal Ore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</row>
    <row r="784" spans="1:9">
      <c r="A784" s="6">
        <v>2</v>
      </c>
      <c r="B784" s="6" t="str">
        <f t="shared" si="24"/>
        <v>Maize</v>
      </c>
      <c r="C784" s="6">
        <v>13</v>
      </c>
      <c r="D784" s="6" t="str">
        <f t="shared" si="25"/>
        <v>Metal Ore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</row>
    <row r="785" spans="1:9">
      <c r="A785" s="6">
        <v>3</v>
      </c>
      <c r="B785" s="6" t="str">
        <f t="shared" si="24"/>
        <v>Cassava</v>
      </c>
      <c r="C785" s="6">
        <v>13</v>
      </c>
      <c r="D785" s="6" t="str">
        <f t="shared" si="25"/>
        <v>Metal Ore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</row>
    <row r="786" spans="1:9">
      <c r="A786" s="6">
        <v>4</v>
      </c>
      <c r="B786" s="6" t="str">
        <f t="shared" si="24"/>
        <v>Beans and Nuts</v>
      </c>
      <c r="C786" s="6">
        <v>13</v>
      </c>
      <c r="D786" s="6" t="str">
        <f t="shared" si="25"/>
        <v>Metal Ore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</row>
    <row r="787" spans="1:9">
      <c r="A787" s="6">
        <v>5</v>
      </c>
      <c r="B787" s="6" t="str">
        <f t="shared" si="24"/>
        <v>Vegetables and Fruits</v>
      </c>
      <c r="C787" s="6">
        <v>13</v>
      </c>
      <c r="D787" s="6" t="str">
        <f t="shared" si="25"/>
        <v>Metal Ore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</row>
    <row r="788" spans="1:9">
      <c r="A788" s="6">
        <v>6</v>
      </c>
      <c r="B788" s="6" t="str">
        <f t="shared" si="24"/>
        <v>Sugarcane</v>
      </c>
      <c r="C788" s="6">
        <v>13</v>
      </c>
      <c r="D788" s="6" t="str">
        <f t="shared" si="25"/>
        <v>Metal Ore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</row>
    <row r="789" spans="1:9">
      <c r="A789" s="6">
        <v>7</v>
      </c>
      <c r="B789" s="6" t="str">
        <f t="shared" si="24"/>
        <v>Rubber (Latex)</v>
      </c>
      <c r="C789" s="6">
        <v>13</v>
      </c>
      <c r="D789" s="6" t="str">
        <f t="shared" si="25"/>
        <v>Metal Ore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</row>
    <row r="790" spans="1:9">
      <c r="A790" s="6">
        <v>8</v>
      </c>
      <c r="B790" s="6" t="str">
        <f t="shared" si="24"/>
        <v>Other Crops</v>
      </c>
      <c r="C790" s="6">
        <v>13</v>
      </c>
      <c r="D790" s="6" t="str">
        <f t="shared" si="25"/>
        <v>Metal Ore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</row>
    <row r="791" spans="1:9">
      <c r="A791" s="6">
        <v>9</v>
      </c>
      <c r="B791" s="6" t="str">
        <f t="shared" si="24"/>
        <v>Livestock</v>
      </c>
      <c r="C791" s="6">
        <v>13</v>
      </c>
      <c r="D791" s="6" t="str">
        <f t="shared" si="25"/>
        <v>Metal Ore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</row>
    <row r="792" spans="1:9">
      <c r="A792" s="6">
        <v>10</v>
      </c>
      <c r="B792" s="6" t="str">
        <f t="shared" si="24"/>
        <v>Forestry</v>
      </c>
      <c r="C792" s="6">
        <v>13</v>
      </c>
      <c r="D792" s="6" t="str">
        <f t="shared" si="25"/>
        <v>Metal Ore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</row>
    <row r="793" spans="1:9">
      <c r="A793" s="6">
        <v>11</v>
      </c>
      <c r="B793" s="6" t="str">
        <f t="shared" si="24"/>
        <v>Fishery</v>
      </c>
      <c r="C793" s="6">
        <v>13</v>
      </c>
      <c r="D793" s="6" t="str">
        <f t="shared" si="25"/>
        <v>Metal Ore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</row>
    <row r="794" spans="1:9">
      <c r="A794" s="6">
        <v>12</v>
      </c>
      <c r="B794" s="6" t="str">
        <f t="shared" si="24"/>
        <v>Crude Oil and Coal</v>
      </c>
      <c r="C794" s="6">
        <v>13</v>
      </c>
      <c r="D794" s="6" t="str">
        <f t="shared" si="25"/>
        <v>Metal Ore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</row>
    <row r="795" spans="1:9">
      <c r="A795" s="6">
        <v>13</v>
      </c>
      <c r="B795" s="6" t="str">
        <f t="shared" si="24"/>
        <v>Metal Ore</v>
      </c>
      <c r="C795" s="6">
        <v>13</v>
      </c>
      <c r="D795" s="6" t="str">
        <f t="shared" si="25"/>
        <v>Metal Ore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</row>
    <row r="796" spans="1:9">
      <c r="A796" s="6">
        <v>14</v>
      </c>
      <c r="B796" s="6" t="str">
        <f t="shared" si="24"/>
        <v>Non-Metal Ore</v>
      </c>
      <c r="C796" s="6">
        <v>13</v>
      </c>
      <c r="D796" s="6" t="str">
        <f t="shared" si="25"/>
        <v>Metal Ore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</row>
    <row r="797" spans="1:9">
      <c r="A797" s="6">
        <v>15</v>
      </c>
      <c r="B797" s="6" t="str">
        <f t="shared" si="24"/>
        <v>Slaughtering</v>
      </c>
      <c r="C797" s="6">
        <v>13</v>
      </c>
      <c r="D797" s="6" t="str">
        <f t="shared" si="25"/>
        <v>Metal Ore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</row>
    <row r="798" spans="1:9">
      <c r="A798" s="6">
        <v>16</v>
      </c>
      <c r="B798" s="6" t="str">
        <f t="shared" si="24"/>
        <v>Processing and Presering of Foods</v>
      </c>
      <c r="C798" s="6">
        <v>13</v>
      </c>
      <c r="D798" s="6" t="str">
        <f t="shared" si="25"/>
        <v>Metal Ore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</row>
    <row r="799" spans="1:9">
      <c r="A799" s="6">
        <v>17</v>
      </c>
      <c r="B799" s="6" t="str">
        <f t="shared" si="24"/>
        <v>Rice and Other Grain Milling</v>
      </c>
      <c r="C799" s="6">
        <v>13</v>
      </c>
      <c r="D799" s="6" t="str">
        <f t="shared" si="25"/>
        <v>Metal Ore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</row>
    <row r="800" spans="1:9">
      <c r="A800" s="6">
        <v>18</v>
      </c>
      <c r="B800" s="6" t="str">
        <f t="shared" si="24"/>
        <v>Sugar Refineries</v>
      </c>
      <c r="C800" s="6">
        <v>13</v>
      </c>
      <c r="D800" s="6" t="str">
        <f t="shared" si="25"/>
        <v>Metal Ore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</row>
    <row r="801" spans="1:9">
      <c r="A801" s="6">
        <v>19</v>
      </c>
      <c r="B801" s="6" t="str">
        <f t="shared" si="24"/>
        <v>Other Foods</v>
      </c>
      <c r="C801" s="6">
        <v>13</v>
      </c>
      <c r="D801" s="6" t="str">
        <f t="shared" si="25"/>
        <v>Metal Ore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</row>
    <row r="802" spans="1:9">
      <c r="A802" s="6">
        <v>20</v>
      </c>
      <c r="B802" s="6" t="str">
        <f t="shared" si="24"/>
        <v>Animal Food</v>
      </c>
      <c r="C802" s="6">
        <v>13</v>
      </c>
      <c r="D802" s="6" t="str">
        <f t="shared" si="25"/>
        <v>Metal Ore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</row>
    <row r="803" spans="1:9">
      <c r="A803" s="6">
        <v>21</v>
      </c>
      <c r="B803" s="6" t="str">
        <f t="shared" si="24"/>
        <v>Beverages</v>
      </c>
      <c r="C803" s="6">
        <v>13</v>
      </c>
      <c r="D803" s="6" t="str">
        <f t="shared" si="25"/>
        <v>Metal Ore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</row>
    <row r="804" spans="1:9">
      <c r="A804" s="6">
        <v>22</v>
      </c>
      <c r="B804" s="6" t="str">
        <f t="shared" si="24"/>
        <v>Tobacco Processing and Products</v>
      </c>
      <c r="C804" s="6">
        <v>13</v>
      </c>
      <c r="D804" s="6" t="str">
        <f t="shared" si="25"/>
        <v>Metal Ore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</row>
    <row r="805" spans="1:9">
      <c r="A805" s="6">
        <v>23</v>
      </c>
      <c r="B805" s="6" t="str">
        <f t="shared" si="24"/>
        <v>Spinning, Weaving and Bleaching</v>
      </c>
      <c r="C805" s="6">
        <v>13</v>
      </c>
      <c r="D805" s="6" t="str">
        <f t="shared" si="25"/>
        <v>Metal Ore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</row>
    <row r="806" spans="1:9">
      <c r="A806" s="6">
        <v>24</v>
      </c>
      <c r="B806" s="6" t="str">
        <f t="shared" si="24"/>
        <v>Textile Products</v>
      </c>
      <c r="C806" s="6">
        <v>13</v>
      </c>
      <c r="D806" s="6" t="str">
        <f t="shared" si="25"/>
        <v>Metal Ore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</row>
    <row r="807" spans="1:9">
      <c r="A807" s="6">
        <v>25</v>
      </c>
      <c r="B807" s="6" t="str">
        <f t="shared" si="24"/>
        <v>Paper and Paper Products</v>
      </c>
      <c r="C807" s="6">
        <v>13</v>
      </c>
      <c r="D807" s="6" t="str">
        <f t="shared" si="25"/>
        <v>Metal Ore</v>
      </c>
      <c r="E807" s="6">
        <v>42</v>
      </c>
      <c r="F807" s="6">
        <v>0</v>
      </c>
      <c r="G807" s="6">
        <v>0</v>
      </c>
      <c r="H807" s="6">
        <v>0</v>
      </c>
      <c r="I807" s="6">
        <v>0</v>
      </c>
    </row>
    <row r="808" spans="1:9">
      <c r="A808" s="6">
        <v>26</v>
      </c>
      <c r="B808" s="6" t="str">
        <f t="shared" si="24"/>
        <v>Printing and Publishing</v>
      </c>
      <c r="C808" s="6">
        <v>13</v>
      </c>
      <c r="D808" s="6" t="str">
        <f t="shared" si="25"/>
        <v>Metal Ore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</row>
    <row r="809" spans="1:9">
      <c r="A809" s="6">
        <v>27</v>
      </c>
      <c r="B809" s="6" t="str">
        <f t="shared" si="24"/>
        <v>Basic Chemical Products</v>
      </c>
      <c r="C809" s="6">
        <v>13</v>
      </c>
      <c r="D809" s="6" t="str">
        <f t="shared" si="25"/>
        <v>Metal Ore</v>
      </c>
      <c r="E809" s="6">
        <v>1502</v>
      </c>
      <c r="F809" s="6">
        <v>108</v>
      </c>
      <c r="G809" s="6">
        <v>94</v>
      </c>
      <c r="H809" s="6">
        <v>30</v>
      </c>
      <c r="I809" s="6">
        <v>822</v>
      </c>
    </row>
    <row r="810" spans="1:9">
      <c r="A810" s="6">
        <v>28</v>
      </c>
      <c r="B810" s="6" t="str">
        <f t="shared" si="24"/>
        <v>Fertilizer and Pesticides</v>
      </c>
      <c r="C810" s="6">
        <v>13</v>
      </c>
      <c r="D810" s="6" t="str">
        <f t="shared" si="25"/>
        <v>Metal Ore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</row>
    <row r="811" spans="1:9">
      <c r="A811" s="6">
        <v>29</v>
      </c>
      <c r="B811" s="6" t="str">
        <f t="shared" si="24"/>
        <v>Other Chemical Products</v>
      </c>
      <c r="C811" s="6">
        <v>13</v>
      </c>
      <c r="D811" s="6" t="str">
        <f t="shared" si="25"/>
        <v>Metal Ore</v>
      </c>
      <c r="E811" s="6">
        <v>1014</v>
      </c>
      <c r="F811" s="6">
        <v>103</v>
      </c>
      <c r="G811" s="6">
        <v>141</v>
      </c>
      <c r="H811" s="6">
        <v>12</v>
      </c>
      <c r="I811" s="6">
        <v>708</v>
      </c>
    </row>
    <row r="812" spans="1:9">
      <c r="A812" s="6">
        <v>30</v>
      </c>
      <c r="B812" s="6" t="str">
        <f t="shared" si="24"/>
        <v>Petroleum Refineries</v>
      </c>
      <c r="C812" s="6">
        <v>13</v>
      </c>
      <c r="D812" s="6" t="str">
        <f t="shared" si="25"/>
        <v>Metal Ore</v>
      </c>
      <c r="E812" s="6">
        <v>46464</v>
      </c>
      <c r="F812" s="6">
        <v>3262</v>
      </c>
      <c r="G812" s="6">
        <v>1715</v>
      </c>
      <c r="H812" s="6">
        <v>484</v>
      </c>
      <c r="I812" s="6">
        <v>7343</v>
      </c>
    </row>
    <row r="813" spans="1:9">
      <c r="A813" s="6">
        <v>31</v>
      </c>
      <c r="B813" s="6" t="str">
        <f t="shared" si="24"/>
        <v>Rubber Products</v>
      </c>
      <c r="C813" s="6">
        <v>13</v>
      </c>
      <c r="D813" s="6" t="str">
        <f t="shared" si="25"/>
        <v>Metal Ore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</row>
    <row r="814" spans="1:9">
      <c r="A814" s="6">
        <v>32</v>
      </c>
      <c r="B814" s="6" t="str">
        <f t="shared" si="24"/>
        <v>Plastic Wares</v>
      </c>
      <c r="C814" s="6">
        <v>13</v>
      </c>
      <c r="D814" s="6" t="str">
        <f t="shared" si="25"/>
        <v>Metal Ore</v>
      </c>
      <c r="E814" s="6">
        <v>423</v>
      </c>
      <c r="F814" s="6">
        <v>27</v>
      </c>
      <c r="G814" s="6">
        <v>37</v>
      </c>
      <c r="H814" s="6">
        <v>4</v>
      </c>
      <c r="I814" s="6">
        <v>228</v>
      </c>
    </row>
    <row r="815" spans="1:9">
      <c r="A815" s="6">
        <v>33</v>
      </c>
      <c r="B815" s="6" t="str">
        <f t="shared" si="24"/>
        <v>Cement and Concrete Products</v>
      </c>
      <c r="C815" s="6">
        <v>13</v>
      </c>
      <c r="D815" s="6" t="str">
        <f t="shared" si="25"/>
        <v>Metal Ore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</row>
    <row r="816" spans="1:9">
      <c r="A816" s="6">
        <v>34</v>
      </c>
      <c r="B816" s="6" t="str">
        <f t="shared" si="24"/>
        <v>Other Non-metallic Products</v>
      </c>
      <c r="C816" s="6">
        <v>13</v>
      </c>
      <c r="D816" s="6" t="str">
        <f t="shared" si="25"/>
        <v>Metal Ore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</row>
    <row r="817" spans="1:9">
      <c r="A817" s="6">
        <v>35</v>
      </c>
      <c r="B817" s="6" t="str">
        <f t="shared" si="24"/>
        <v>Iron and Steel</v>
      </c>
      <c r="C817" s="6">
        <v>13</v>
      </c>
      <c r="D817" s="6" t="str">
        <f t="shared" si="25"/>
        <v>Metal Ore</v>
      </c>
      <c r="E817" s="6">
        <v>25</v>
      </c>
      <c r="F817" s="6">
        <v>2</v>
      </c>
      <c r="G817" s="6">
        <v>3</v>
      </c>
      <c r="H817" s="6">
        <v>0</v>
      </c>
      <c r="I817" s="6">
        <v>0</v>
      </c>
    </row>
    <row r="818" spans="1:9">
      <c r="A818" s="6">
        <v>36</v>
      </c>
      <c r="B818" s="6" t="str">
        <f t="shared" si="24"/>
        <v>Non-ferrous Metal</v>
      </c>
      <c r="C818" s="6">
        <v>13</v>
      </c>
      <c r="D818" s="6" t="str">
        <f t="shared" si="25"/>
        <v>Metal Ore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</row>
    <row r="819" spans="1:9">
      <c r="A819" s="6">
        <v>37</v>
      </c>
      <c r="B819" s="6" t="str">
        <f t="shared" si="24"/>
        <v>Fabricated Metal Products</v>
      </c>
      <c r="C819" s="6">
        <v>13</v>
      </c>
      <c r="D819" s="6" t="str">
        <f t="shared" si="25"/>
        <v>Metal Ore</v>
      </c>
      <c r="E819" s="6">
        <v>2387</v>
      </c>
      <c r="F819" s="6">
        <v>38</v>
      </c>
      <c r="G819" s="6">
        <v>109</v>
      </c>
      <c r="H819" s="6">
        <v>6</v>
      </c>
      <c r="I819" s="6">
        <v>1537</v>
      </c>
    </row>
    <row r="820" spans="1:9">
      <c r="A820" s="6">
        <v>38</v>
      </c>
      <c r="B820" s="6" t="str">
        <f t="shared" si="24"/>
        <v>Industrial Machinery</v>
      </c>
      <c r="C820" s="6">
        <v>13</v>
      </c>
      <c r="D820" s="6" t="str">
        <f t="shared" si="25"/>
        <v>Metal Ore</v>
      </c>
      <c r="E820" s="6">
        <v>21738</v>
      </c>
      <c r="F820" s="6">
        <v>1795</v>
      </c>
      <c r="G820" s="6">
        <v>0</v>
      </c>
      <c r="H820" s="6">
        <v>308</v>
      </c>
      <c r="I820" s="6">
        <v>0</v>
      </c>
    </row>
    <row r="821" spans="1:9">
      <c r="A821" s="6">
        <v>39</v>
      </c>
      <c r="B821" s="6" t="str">
        <f t="shared" si="24"/>
        <v>Electrical Machinery and Apparatus</v>
      </c>
      <c r="C821" s="6">
        <v>13</v>
      </c>
      <c r="D821" s="6" t="str">
        <f t="shared" si="25"/>
        <v>Metal Ore</v>
      </c>
      <c r="E821" s="6">
        <v>320</v>
      </c>
      <c r="F821" s="6">
        <v>21</v>
      </c>
      <c r="G821" s="6">
        <v>2</v>
      </c>
      <c r="H821" s="6">
        <v>0</v>
      </c>
      <c r="I821" s="6">
        <v>0</v>
      </c>
    </row>
    <row r="822" spans="1:9">
      <c r="A822" s="6">
        <v>40</v>
      </c>
      <c r="B822" s="6" t="str">
        <f t="shared" si="24"/>
        <v>Motor Vehicles and Repairing</v>
      </c>
      <c r="C822" s="6">
        <v>13</v>
      </c>
      <c r="D822" s="6" t="str">
        <f t="shared" si="25"/>
        <v>Metal Ore</v>
      </c>
      <c r="E822" s="6">
        <v>6157</v>
      </c>
      <c r="F822" s="6">
        <v>0</v>
      </c>
      <c r="G822" s="6">
        <v>0</v>
      </c>
      <c r="H822" s="6">
        <v>0</v>
      </c>
      <c r="I822" s="6">
        <v>0</v>
      </c>
    </row>
    <row r="823" spans="1:9">
      <c r="A823" s="6">
        <v>41</v>
      </c>
      <c r="B823" s="6" t="str">
        <f t="shared" si="24"/>
        <v>Other Transportation Equipment</v>
      </c>
      <c r="C823" s="6">
        <v>13</v>
      </c>
      <c r="D823" s="6" t="str">
        <f t="shared" si="25"/>
        <v>Metal Ore</v>
      </c>
      <c r="E823" s="6">
        <v>426</v>
      </c>
      <c r="F823" s="6">
        <v>0</v>
      </c>
      <c r="G823" s="6">
        <v>0</v>
      </c>
      <c r="H823" s="6">
        <v>0</v>
      </c>
      <c r="I823" s="6">
        <v>0</v>
      </c>
    </row>
    <row r="824" spans="1:9">
      <c r="A824" s="6">
        <v>42</v>
      </c>
      <c r="B824" s="6" t="str">
        <f t="shared" si="24"/>
        <v>Leather Products</v>
      </c>
      <c r="C824" s="6">
        <v>13</v>
      </c>
      <c r="D824" s="6" t="str">
        <f t="shared" si="25"/>
        <v>Metal Ore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</row>
    <row r="825" spans="1:9">
      <c r="A825" s="6">
        <v>43</v>
      </c>
      <c r="B825" s="6" t="str">
        <f t="shared" si="24"/>
        <v>Saw Mills and Wood Products</v>
      </c>
      <c r="C825" s="6">
        <v>13</v>
      </c>
      <c r="D825" s="6" t="str">
        <f t="shared" si="25"/>
        <v>Metal Ore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</row>
    <row r="826" spans="1:9">
      <c r="A826" s="6">
        <v>44</v>
      </c>
      <c r="B826" s="6" t="str">
        <f t="shared" si="24"/>
        <v>Other Manufacturing Products</v>
      </c>
      <c r="C826" s="6">
        <v>13</v>
      </c>
      <c r="D826" s="6" t="str">
        <f t="shared" si="25"/>
        <v>Metal Ore</v>
      </c>
      <c r="E826" s="6">
        <v>83</v>
      </c>
      <c r="F826" s="6">
        <v>4</v>
      </c>
      <c r="G826" s="6">
        <v>5</v>
      </c>
      <c r="H826" s="6">
        <v>0</v>
      </c>
      <c r="I826" s="6">
        <v>0</v>
      </c>
    </row>
    <row r="827" spans="1:9">
      <c r="A827" s="6">
        <v>45</v>
      </c>
      <c r="B827" s="6" t="str">
        <f t="shared" si="24"/>
        <v>Electricity and Gas</v>
      </c>
      <c r="C827" s="6">
        <v>13</v>
      </c>
      <c r="D827" s="6" t="str">
        <f t="shared" si="25"/>
        <v>Metal Ore</v>
      </c>
      <c r="E827" s="6">
        <v>4732</v>
      </c>
      <c r="F827" s="6">
        <v>0</v>
      </c>
      <c r="G827" s="6">
        <v>0</v>
      </c>
      <c r="H827" s="6">
        <v>0</v>
      </c>
      <c r="I827" s="6">
        <v>0</v>
      </c>
    </row>
    <row r="828" spans="1:9">
      <c r="A828" s="6">
        <v>46</v>
      </c>
      <c r="B828" s="6" t="str">
        <f t="shared" si="24"/>
        <v>Water Works and Supply</v>
      </c>
      <c r="C828" s="6">
        <v>13</v>
      </c>
      <c r="D828" s="6" t="str">
        <f t="shared" si="25"/>
        <v>Metal Ore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</row>
    <row r="829" spans="1:9">
      <c r="A829" s="6">
        <v>47</v>
      </c>
      <c r="B829" s="6" t="str">
        <f t="shared" si="24"/>
        <v>Building Construction</v>
      </c>
      <c r="C829" s="6">
        <v>13</v>
      </c>
      <c r="D829" s="6" t="str">
        <f t="shared" si="25"/>
        <v>Metal Ore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</row>
    <row r="830" spans="1:9">
      <c r="A830" s="6">
        <v>48</v>
      </c>
      <c r="B830" s="6" t="str">
        <f t="shared" si="24"/>
        <v>Public Works and Other Construction</v>
      </c>
      <c r="C830" s="6">
        <v>13</v>
      </c>
      <c r="D830" s="6" t="str">
        <f t="shared" si="25"/>
        <v>Metal Ore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</row>
    <row r="831" spans="1:9">
      <c r="A831" s="6">
        <v>49</v>
      </c>
      <c r="B831" s="6" t="str">
        <f t="shared" si="24"/>
        <v>Trade</v>
      </c>
      <c r="C831" s="6">
        <v>13</v>
      </c>
      <c r="D831" s="6" t="str">
        <f t="shared" si="25"/>
        <v>Metal Ore</v>
      </c>
      <c r="E831" s="6">
        <v>0</v>
      </c>
      <c r="F831" s="6">
        <v>-5360</v>
      </c>
      <c r="G831" s="6">
        <v>-2106</v>
      </c>
      <c r="H831" s="6">
        <v>0</v>
      </c>
      <c r="I831" s="6">
        <v>0</v>
      </c>
    </row>
    <row r="832" spans="1:9">
      <c r="A832" s="6">
        <v>50</v>
      </c>
      <c r="B832" s="6" t="str">
        <f t="shared" si="24"/>
        <v>Restaurants and Hotels</v>
      </c>
      <c r="C832" s="6">
        <v>13</v>
      </c>
      <c r="D832" s="6" t="str">
        <f t="shared" si="25"/>
        <v>Metal Ore</v>
      </c>
      <c r="E832" s="6">
        <v>1524</v>
      </c>
      <c r="F832" s="6">
        <v>0</v>
      </c>
      <c r="G832" s="6">
        <v>0</v>
      </c>
      <c r="H832" s="6">
        <v>0</v>
      </c>
      <c r="I832" s="6">
        <v>0</v>
      </c>
    </row>
    <row r="833" spans="1:9">
      <c r="A833" s="6">
        <v>51</v>
      </c>
      <c r="B833" s="6" t="str">
        <f t="shared" si="24"/>
        <v>Transportation</v>
      </c>
      <c r="C833" s="6">
        <v>13</v>
      </c>
      <c r="D833" s="6" t="str">
        <f t="shared" si="25"/>
        <v>Metal Ore</v>
      </c>
      <c r="E833" s="6">
        <v>4654</v>
      </c>
      <c r="F833" s="6">
        <v>0</v>
      </c>
      <c r="G833" s="6">
        <v>0</v>
      </c>
      <c r="H833" s="6">
        <v>-844</v>
      </c>
      <c r="I833" s="6">
        <v>0</v>
      </c>
    </row>
    <row r="834" spans="1:9">
      <c r="A834" s="6">
        <v>52</v>
      </c>
      <c r="B834" s="6" t="str">
        <f t="shared" si="24"/>
        <v>Communication</v>
      </c>
      <c r="C834" s="6">
        <v>13</v>
      </c>
      <c r="D834" s="6" t="str">
        <f t="shared" si="25"/>
        <v>Metal Ore</v>
      </c>
      <c r="E834" s="6">
        <v>1122</v>
      </c>
      <c r="F834" s="6">
        <v>0</v>
      </c>
      <c r="G834" s="6">
        <v>0</v>
      </c>
      <c r="H834" s="6">
        <v>0</v>
      </c>
      <c r="I834" s="6">
        <v>0</v>
      </c>
    </row>
    <row r="835" spans="1:9">
      <c r="A835" s="6">
        <v>53</v>
      </c>
      <c r="B835" s="6" t="str">
        <f t="shared" si="24"/>
        <v>Banking and Insurance</v>
      </c>
      <c r="C835" s="6">
        <v>13</v>
      </c>
      <c r="D835" s="6" t="str">
        <f t="shared" si="25"/>
        <v>Metal Ore</v>
      </c>
      <c r="E835" s="6">
        <v>5182</v>
      </c>
      <c r="F835" s="6">
        <v>0</v>
      </c>
      <c r="G835" s="6">
        <v>0</v>
      </c>
      <c r="H835" s="6">
        <v>0</v>
      </c>
      <c r="I835" s="6">
        <v>0</v>
      </c>
    </row>
    <row r="836" spans="1:9">
      <c r="A836" s="6">
        <v>54</v>
      </c>
      <c r="B836" s="6" t="str">
        <f t="shared" ref="B836:B899" si="26">VLOOKUP(A836,R:S,2,0)</f>
        <v>Real Estate</v>
      </c>
      <c r="C836" s="6">
        <v>13</v>
      </c>
      <c r="D836" s="6" t="str">
        <f t="shared" ref="D836:D899" si="27">VLOOKUP(C836,R:S,2,0)</f>
        <v>Metal Ore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</row>
    <row r="837" spans="1:9">
      <c r="A837" s="6">
        <v>55</v>
      </c>
      <c r="B837" s="6" t="str">
        <f t="shared" si="26"/>
        <v>Business Services</v>
      </c>
      <c r="C837" s="6">
        <v>13</v>
      </c>
      <c r="D837" s="6" t="str">
        <f t="shared" si="27"/>
        <v>Metal Ore</v>
      </c>
      <c r="E837" s="6">
        <v>1838</v>
      </c>
      <c r="F837" s="6">
        <v>0</v>
      </c>
      <c r="G837" s="6">
        <v>0</v>
      </c>
      <c r="H837" s="6">
        <v>0</v>
      </c>
      <c r="I837" s="6">
        <v>0</v>
      </c>
    </row>
    <row r="838" spans="1:9">
      <c r="A838" s="6">
        <v>56</v>
      </c>
      <c r="B838" s="6" t="str">
        <f t="shared" si="26"/>
        <v>Public Services</v>
      </c>
      <c r="C838" s="6">
        <v>13</v>
      </c>
      <c r="D838" s="6" t="str">
        <f t="shared" si="27"/>
        <v>Metal Ore</v>
      </c>
      <c r="E838" s="6">
        <v>1367</v>
      </c>
      <c r="F838" s="6">
        <v>0</v>
      </c>
      <c r="G838" s="6">
        <v>0</v>
      </c>
      <c r="H838" s="6">
        <v>0</v>
      </c>
      <c r="I838" s="6">
        <v>0</v>
      </c>
    </row>
    <row r="839" spans="1:9">
      <c r="A839" s="6">
        <v>57</v>
      </c>
      <c r="B839" s="6" t="str">
        <f t="shared" si="26"/>
        <v>Other Services</v>
      </c>
      <c r="C839" s="6">
        <v>13</v>
      </c>
      <c r="D839" s="6" t="str">
        <f t="shared" si="27"/>
        <v>Metal Ore</v>
      </c>
      <c r="E839" s="6">
        <v>336</v>
      </c>
      <c r="F839" s="6">
        <v>0</v>
      </c>
      <c r="G839" s="6">
        <v>0</v>
      </c>
      <c r="H839" s="6">
        <v>0</v>
      </c>
      <c r="I839" s="6">
        <v>0</v>
      </c>
    </row>
    <row r="840" spans="1:9">
      <c r="A840" s="6">
        <v>58</v>
      </c>
      <c r="B840" s="6" t="str">
        <f t="shared" si="26"/>
        <v>Unclassified</v>
      </c>
      <c r="C840" s="6">
        <v>13</v>
      </c>
      <c r="D840" s="6" t="str">
        <f t="shared" si="27"/>
        <v>Metal Ore</v>
      </c>
      <c r="E840" s="6">
        <v>596</v>
      </c>
      <c r="F840" s="6">
        <v>0</v>
      </c>
      <c r="G840" s="6">
        <v>0</v>
      </c>
      <c r="H840" s="6">
        <v>0</v>
      </c>
      <c r="I840" s="6">
        <v>71</v>
      </c>
    </row>
    <row r="841" spans="1:9">
      <c r="A841" s="6">
        <v>190</v>
      </c>
      <c r="B841" s="6" t="str">
        <f t="shared" si="26"/>
        <v>Total Intermedite Transaction</v>
      </c>
      <c r="C841" s="6">
        <v>13</v>
      </c>
      <c r="D841" s="6" t="str">
        <f t="shared" si="27"/>
        <v>Metal Ore</v>
      </c>
      <c r="E841" s="6">
        <v>101932</v>
      </c>
      <c r="F841" s="6">
        <v>0</v>
      </c>
      <c r="G841" s="6">
        <v>0</v>
      </c>
      <c r="H841" s="6">
        <v>0</v>
      </c>
      <c r="I841" s="6">
        <v>10709</v>
      </c>
    </row>
    <row r="842" spans="1:9">
      <c r="A842" s="6">
        <v>201</v>
      </c>
      <c r="B842" s="6" t="str">
        <f t="shared" si="26"/>
        <v>Wages and Salaries</v>
      </c>
      <c r="C842" s="6">
        <v>13</v>
      </c>
      <c r="D842" s="6" t="str">
        <f t="shared" si="27"/>
        <v>Metal Ore</v>
      </c>
      <c r="E842" s="6">
        <v>22061</v>
      </c>
      <c r="F842" s="6">
        <v>0</v>
      </c>
      <c r="G842" s="6">
        <v>0</v>
      </c>
      <c r="H842" s="6">
        <v>0</v>
      </c>
      <c r="I842" s="6">
        <v>0</v>
      </c>
    </row>
    <row r="843" spans="1:9">
      <c r="A843" s="6">
        <v>202</v>
      </c>
      <c r="B843" s="6" t="str">
        <f t="shared" si="26"/>
        <v>Operating Surplus</v>
      </c>
      <c r="C843" s="6">
        <v>13</v>
      </c>
      <c r="D843" s="6" t="str">
        <f t="shared" si="27"/>
        <v>Metal Ore</v>
      </c>
      <c r="E843" s="6">
        <v>46442</v>
      </c>
      <c r="F843" s="6">
        <v>0</v>
      </c>
      <c r="G843" s="6">
        <v>0</v>
      </c>
      <c r="H843" s="6">
        <v>0</v>
      </c>
      <c r="I843" s="6">
        <v>0</v>
      </c>
    </row>
    <row r="844" spans="1:9">
      <c r="A844" s="6">
        <v>203</v>
      </c>
      <c r="B844" s="6" t="str">
        <f t="shared" si="26"/>
        <v>Depreciation</v>
      </c>
      <c r="C844" s="6">
        <v>13</v>
      </c>
      <c r="D844" s="6" t="str">
        <f t="shared" si="27"/>
        <v>Metal Ore</v>
      </c>
      <c r="E844" s="6">
        <v>13759</v>
      </c>
      <c r="F844" s="6">
        <v>0</v>
      </c>
      <c r="G844" s="6">
        <v>0</v>
      </c>
      <c r="H844" s="6">
        <v>0</v>
      </c>
      <c r="I844" s="6">
        <v>0</v>
      </c>
    </row>
    <row r="845" spans="1:9">
      <c r="A845" s="6">
        <v>204</v>
      </c>
      <c r="B845" s="6" t="str">
        <f t="shared" si="26"/>
        <v>Indirect Taxes less Subsidies</v>
      </c>
      <c r="C845" s="6">
        <v>13</v>
      </c>
      <c r="D845" s="6" t="str">
        <f t="shared" si="27"/>
        <v>Metal Ore</v>
      </c>
      <c r="E845" s="6">
        <v>4753</v>
      </c>
      <c r="F845" s="6">
        <v>0</v>
      </c>
      <c r="G845" s="6">
        <v>0</v>
      </c>
      <c r="H845" s="6">
        <v>0</v>
      </c>
      <c r="I845" s="6">
        <v>0</v>
      </c>
    </row>
    <row r="846" spans="1:9">
      <c r="A846" s="6">
        <v>209</v>
      </c>
      <c r="B846" s="6" t="str">
        <f t="shared" si="26"/>
        <v>Total Value Added</v>
      </c>
      <c r="C846" s="6">
        <v>13</v>
      </c>
      <c r="D846" s="6" t="str">
        <f t="shared" si="27"/>
        <v>Metal Ore</v>
      </c>
      <c r="E846" s="6">
        <v>87015</v>
      </c>
      <c r="F846" s="6">
        <v>0</v>
      </c>
      <c r="G846" s="6">
        <v>0</v>
      </c>
      <c r="H846" s="6">
        <v>0</v>
      </c>
      <c r="I846" s="6">
        <v>0</v>
      </c>
    </row>
    <row r="847" spans="1:9">
      <c r="A847" s="6">
        <v>210</v>
      </c>
      <c r="B847" s="6" t="str">
        <f t="shared" si="26"/>
        <v>Control Total</v>
      </c>
      <c r="C847" s="6">
        <v>13</v>
      </c>
      <c r="D847" s="6" t="str">
        <f t="shared" si="27"/>
        <v>Metal Ore</v>
      </c>
      <c r="E847" s="6">
        <v>188947</v>
      </c>
      <c r="F847" s="6">
        <v>0</v>
      </c>
      <c r="G847" s="6">
        <v>0</v>
      </c>
      <c r="H847" s="6">
        <v>0</v>
      </c>
      <c r="I847" s="6">
        <v>0</v>
      </c>
    </row>
    <row r="848" spans="1:9">
      <c r="A848" s="6">
        <v>1</v>
      </c>
      <c r="B848" s="6" t="str">
        <f t="shared" si="26"/>
        <v>Paddy</v>
      </c>
      <c r="C848" s="6">
        <v>14</v>
      </c>
      <c r="D848" s="6" t="str">
        <f t="shared" si="27"/>
        <v>Non-Metal Ore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</row>
    <row r="849" spans="1:9">
      <c r="A849" s="6">
        <v>2</v>
      </c>
      <c r="B849" s="6" t="str">
        <f t="shared" si="26"/>
        <v>Maize</v>
      </c>
      <c r="C849" s="6">
        <v>14</v>
      </c>
      <c r="D849" s="6" t="str">
        <f t="shared" si="27"/>
        <v>Non-Metal Ore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</row>
    <row r="850" spans="1:9">
      <c r="A850" s="6">
        <v>3</v>
      </c>
      <c r="B850" s="6" t="str">
        <f t="shared" si="26"/>
        <v>Cassava</v>
      </c>
      <c r="C850" s="6">
        <v>14</v>
      </c>
      <c r="D850" s="6" t="str">
        <f t="shared" si="27"/>
        <v>Non-Metal Ore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</row>
    <row r="851" spans="1:9">
      <c r="A851" s="6">
        <v>4</v>
      </c>
      <c r="B851" s="6" t="str">
        <f t="shared" si="26"/>
        <v>Beans and Nuts</v>
      </c>
      <c r="C851" s="6">
        <v>14</v>
      </c>
      <c r="D851" s="6" t="str">
        <f t="shared" si="27"/>
        <v>Non-Metal Ore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</row>
    <row r="852" spans="1:9">
      <c r="A852" s="6">
        <v>5</v>
      </c>
      <c r="B852" s="6" t="str">
        <f t="shared" si="26"/>
        <v>Vegetables and Fruits</v>
      </c>
      <c r="C852" s="6">
        <v>14</v>
      </c>
      <c r="D852" s="6" t="str">
        <f t="shared" si="27"/>
        <v>Non-Metal Ore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</row>
    <row r="853" spans="1:9">
      <c r="A853" s="6">
        <v>6</v>
      </c>
      <c r="B853" s="6" t="str">
        <f t="shared" si="26"/>
        <v>Sugarcane</v>
      </c>
      <c r="C853" s="6">
        <v>14</v>
      </c>
      <c r="D853" s="6" t="str">
        <f t="shared" si="27"/>
        <v>Non-Metal Ore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</row>
    <row r="854" spans="1:9">
      <c r="A854" s="6">
        <v>7</v>
      </c>
      <c r="B854" s="6" t="str">
        <f t="shared" si="26"/>
        <v>Rubber (Latex)</v>
      </c>
      <c r="C854" s="6">
        <v>14</v>
      </c>
      <c r="D854" s="6" t="str">
        <f t="shared" si="27"/>
        <v>Non-Metal Ore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</row>
    <row r="855" spans="1:9">
      <c r="A855" s="6">
        <v>8</v>
      </c>
      <c r="B855" s="6" t="str">
        <f t="shared" si="26"/>
        <v>Other Crops</v>
      </c>
      <c r="C855" s="6">
        <v>14</v>
      </c>
      <c r="D855" s="6" t="str">
        <f t="shared" si="27"/>
        <v>Non-Metal Ore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</row>
    <row r="856" spans="1:9">
      <c r="A856" s="6">
        <v>9</v>
      </c>
      <c r="B856" s="6" t="str">
        <f t="shared" si="26"/>
        <v>Livestock</v>
      </c>
      <c r="C856" s="6">
        <v>14</v>
      </c>
      <c r="D856" s="6" t="str">
        <f t="shared" si="27"/>
        <v>Non-Metal Ore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</row>
    <row r="857" spans="1:9">
      <c r="A857" s="6">
        <v>10</v>
      </c>
      <c r="B857" s="6" t="str">
        <f t="shared" si="26"/>
        <v>Forestry</v>
      </c>
      <c r="C857" s="6">
        <v>14</v>
      </c>
      <c r="D857" s="6" t="str">
        <f t="shared" si="27"/>
        <v>Non-Metal Ore</v>
      </c>
      <c r="E857" s="6">
        <v>132475</v>
      </c>
      <c r="F857" s="6">
        <v>11553</v>
      </c>
      <c r="G857" s="6">
        <v>533</v>
      </c>
      <c r="H857" s="6">
        <v>2320</v>
      </c>
      <c r="I857" s="6">
        <v>0</v>
      </c>
    </row>
    <row r="858" spans="1:9">
      <c r="A858" s="6">
        <v>11</v>
      </c>
      <c r="B858" s="6" t="str">
        <f t="shared" si="26"/>
        <v>Fishery</v>
      </c>
      <c r="C858" s="6">
        <v>14</v>
      </c>
      <c r="D858" s="6" t="str">
        <f t="shared" si="27"/>
        <v>Non-Metal Ore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</row>
    <row r="859" spans="1:9">
      <c r="A859" s="6">
        <v>12</v>
      </c>
      <c r="B859" s="6" t="str">
        <f t="shared" si="26"/>
        <v>Crude Oil and Coal</v>
      </c>
      <c r="C859" s="6">
        <v>14</v>
      </c>
      <c r="D859" s="6" t="str">
        <f t="shared" si="27"/>
        <v>Non-Metal Ore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</row>
    <row r="860" spans="1:9">
      <c r="A860" s="6">
        <v>13</v>
      </c>
      <c r="B860" s="6" t="str">
        <f t="shared" si="26"/>
        <v>Metal Ore</v>
      </c>
      <c r="C860" s="6">
        <v>14</v>
      </c>
      <c r="D860" s="6" t="str">
        <f t="shared" si="27"/>
        <v>Non-Metal Ore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</row>
    <row r="861" spans="1:9">
      <c r="A861" s="6">
        <v>14</v>
      </c>
      <c r="B861" s="6" t="str">
        <f t="shared" si="26"/>
        <v>Non-Metal Ore</v>
      </c>
      <c r="C861" s="6">
        <v>14</v>
      </c>
      <c r="D861" s="6" t="str">
        <f t="shared" si="27"/>
        <v>Non-Metal Ore</v>
      </c>
      <c r="E861" s="6">
        <v>1069006</v>
      </c>
      <c r="F861" s="6">
        <v>52317</v>
      </c>
      <c r="G861" s="6">
        <v>20127</v>
      </c>
      <c r="H861" s="6">
        <v>120406</v>
      </c>
      <c r="I861" s="6">
        <v>0</v>
      </c>
    </row>
    <row r="862" spans="1:9">
      <c r="A862" s="6">
        <v>15</v>
      </c>
      <c r="B862" s="6" t="str">
        <f t="shared" si="26"/>
        <v>Slaughtering</v>
      </c>
      <c r="C862" s="6">
        <v>14</v>
      </c>
      <c r="D862" s="6" t="str">
        <f t="shared" si="27"/>
        <v>Non-Metal Ore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</row>
    <row r="863" spans="1:9">
      <c r="A863" s="6">
        <v>16</v>
      </c>
      <c r="B863" s="6" t="str">
        <f t="shared" si="26"/>
        <v>Processing and Presering of Foods</v>
      </c>
      <c r="C863" s="6">
        <v>14</v>
      </c>
      <c r="D863" s="6" t="str">
        <f t="shared" si="27"/>
        <v>Non-Metal Ore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</row>
    <row r="864" spans="1:9">
      <c r="A864" s="6">
        <v>17</v>
      </c>
      <c r="B864" s="6" t="str">
        <f t="shared" si="26"/>
        <v>Rice and Other Grain Milling</v>
      </c>
      <c r="C864" s="6">
        <v>14</v>
      </c>
      <c r="D864" s="6" t="str">
        <f t="shared" si="27"/>
        <v>Non-Metal Ore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</row>
    <row r="865" spans="1:9">
      <c r="A865" s="6">
        <v>18</v>
      </c>
      <c r="B865" s="6" t="str">
        <f t="shared" si="26"/>
        <v>Sugar Refineries</v>
      </c>
      <c r="C865" s="6">
        <v>14</v>
      </c>
      <c r="D865" s="6" t="str">
        <f t="shared" si="27"/>
        <v>Non-Metal Ore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</row>
    <row r="866" spans="1:9">
      <c r="A866" s="6">
        <v>19</v>
      </c>
      <c r="B866" s="6" t="str">
        <f t="shared" si="26"/>
        <v>Other Foods</v>
      </c>
      <c r="C866" s="6">
        <v>14</v>
      </c>
      <c r="D866" s="6" t="str">
        <f t="shared" si="27"/>
        <v>Non-Metal Ore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</row>
    <row r="867" spans="1:9">
      <c r="A867" s="6">
        <v>20</v>
      </c>
      <c r="B867" s="6" t="str">
        <f t="shared" si="26"/>
        <v>Animal Food</v>
      </c>
      <c r="C867" s="6">
        <v>14</v>
      </c>
      <c r="D867" s="6" t="str">
        <f t="shared" si="27"/>
        <v>Non-Metal Ore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</row>
    <row r="868" spans="1:9">
      <c r="A868" s="6">
        <v>21</v>
      </c>
      <c r="B868" s="6" t="str">
        <f t="shared" si="26"/>
        <v>Beverages</v>
      </c>
      <c r="C868" s="6">
        <v>14</v>
      </c>
      <c r="D868" s="6" t="str">
        <f t="shared" si="27"/>
        <v>Non-Metal Ore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</row>
    <row r="869" spans="1:9">
      <c r="A869" s="6">
        <v>22</v>
      </c>
      <c r="B869" s="6" t="str">
        <f t="shared" si="26"/>
        <v>Tobacco Processing and Products</v>
      </c>
      <c r="C869" s="6">
        <v>14</v>
      </c>
      <c r="D869" s="6" t="str">
        <f t="shared" si="27"/>
        <v>Non-Metal Ore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</row>
    <row r="870" spans="1:9">
      <c r="A870" s="6">
        <v>23</v>
      </c>
      <c r="B870" s="6" t="str">
        <f t="shared" si="26"/>
        <v>Spinning, Weaving and Bleaching</v>
      </c>
      <c r="C870" s="6">
        <v>14</v>
      </c>
      <c r="D870" s="6" t="str">
        <f t="shared" si="27"/>
        <v>Non-Metal Ore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</row>
    <row r="871" spans="1:9">
      <c r="A871" s="6">
        <v>24</v>
      </c>
      <c r="B871" s="6" t="str">
        <f t="shared" si="26"/>
        <v>Textile Products</v>
      </c>
      <c r="C871" s="6">
        <v>14</v>
      </c>
      <c r="D871" s="6" t="str">
        <f t="shared" si="27"/>
        <v>Non-Metal Ore</v>
      </c>
      <c r="E871" s="6">
        <v>82310</v>
      </c>
      <c r="F871" s="6">
        <v>2023</v>
      </c>
      <c r="G871" s="6">
        <v>262</v>
      </c>
      <c r="H871" s="6">
        <v>290</v>
      </c>
      <c r="I871" s="6">
        <v>3061</v>
      </c>
    </row>
    <row r="872" spans="1:9">
      <c r="A872" s="6">
        <v>25</v>
      </c>
      <c r="B872" s="6" t="str">
        <f t="shared" si="26"/>
        <v>Paper and Paper Products</v>
      </c>
      <c r="C872" s="6">
        <v>14</v>
      </c>
      <c r="D872" s="6" t="str">
        <f t="shared" si="27"/>
        <v>Non-Metal Ore</v>
      </c>
      <c r="E872" s="6">
        <v>24796</v>
      </c>
      <c r="F872" s="6">
        <v>808</v>
      </c>
      <c r="G872" s="6">
        <v>486</v>
      </c>
      <c r="H872" s="6">
        <v>224</v>
      </c>
      <c r="I872" s="6">
        <v>0</v>
      </c>
    </row>
    <row r="873" spans="1:9">
      <c r="A873" s="6">
        <v>26</v>
      </c>
      <c r="B873" s="6" t="str">
        <f t="shared" si="26"/>
        <v>Printing and Publishing</v>
      </c>
      <c r="C873" s="6">
        <v>14</v>
      </c>
      <c r="D873" s="6" t="str">
        <f t="shared" si="27"/>
        <v>Non-Metal Ore</v>
      </c>
      <c r="E873" s="6">
        <v>3282</v>
      </c>
      <c r="F873" s="6">
        <v>111</v>
      </c>
      <c r="G873" s="6">
        <v>334</v>
      </c>
      <c r="H873" s="6">
        <v>32</v>
      </c>
      <c r="I873" s="6">
        <v>0</v>
      </c>
    </row>
    <row r="874" spans="1:9">
      <c r="A874" s="6">
        <v>27</v>
      </c>
      <c r="B874" s="6" t="str">
        <f t="shared" si="26"/>
        <v>Basic Chemical Products</v>
      </c>
      <c r="C874" s="6">
        <v>14</v>
      </c>
      <c r="D874" s="6" t="str">
        <f t="shared" si="27"/>
        <v>Non-Metal Ore</v>
      </c>
      <c r="E874" s="6">
        <v>2645055</v>
      </c>
      <c r="F874" s="6">
        <v>228296</v>
      </c>
      <c r="G874" s="6">
        <v>214408</v>
      </c>
      <c r="H874" s="6">
        <v>59053</v>
      </c>
      <c r="I874" s="6">
        <v>1484951</v>
      </c>
    </row>
    <row r="875" spans="1:9">
      <c r="A875" s="6">
        <v>28</v>
      </c>
      <c r="B875" s="6" t="str">
        <f t="shared" si="26"/>
        <v>Fertilizer and Pesticides</v>
      </c>
      <c r="C875" s="6">
        <v>14</v>
      </c>
      <c r="D875" s="6" t="str">
        <f t="shared" si="27"/>
        <v>Non-Metal Ore</v>
      </c>
      <c r="E875" s="6">
        <v>47184</v>
      </c>
      <c r="F875" s="6">
        <v>3929</v>
      </c>
      <c r="G875" s="6">
        <v>4561</v>
      </c>
      <c r="H875" s="6">
        <v>1609</v>
      </c>
      <c r="I875" s="6">
        <v>0</v>
      </c>
    </row>
    <row r="876" spans="1:9">
      <c r="A876" s="6">
        <v>29</v>
      </c>
      <c r="B876" s="6" t="str">
        <f t="shared" si="26"/>
        <v>Other Chemical Products</v>
      </c>
      <c r="C876" s="6">
        <v>14</v>
      </c>
      <c r="D876" s="6" t="str">
        <f t="shared" si="27"/>
        <v>Non-Metal Ore</v>
      </c>
      <c r="E876" s="6">
        <v>3270173</v>
      </c>
      <c r="F876" s="6">
        <v>228265</v>
      </c>
      <c r="G876" s="6">
        <v>226117</v>
      </c>
      <c r="H876" s="6">
        <v>41978</v>
      </c>
      <c r="I876" s="6">
        <v>2559843</v>
      </c>
    </row>
    <row r="877" spans="1:9">
      <c r="A877" s="6">
        <v>30</v>
      </c>
      <c r="B877" s="6" t="str">
        <f t="shared" si="26"/>
        <v>Petroleum Refineries</v>
      </c>
      <c r="C877" s="6">
        <v>14</v>
      </c>
      <c r="D877" s="6" t="str">
        <f t="shared" si="27"/>
        <v>Non-Metal Ore</v>
      </c>
      <c r="E877" s="6">
        <v>14666887</v>
      </c>
      <c r="F877" s="6">
        <v>921736</v>
      </c>
      <c r="G877" s="6">
        <v>1026712</v>
      </c>
      <c r="H877" s="6">
        <v>153245</v>
      </c>
      <c r="I877" s="6">
        <v>2251182</v>
      </c>
    </row>
    <row r="878" spans="1:9">
      <c r="A878" s="6">
        <v>31</v>
      </c>
      <c r="B878" s="6" t="str">
        <f t="shared" si="26"/>
        <v>Rubber Products</v>
      </c>
      <c r="C878" s="6">
        <v>14</v>
      </c>
      <c r="D878" s="6" t="str">
        <f t="shared" si="27"/>
        <v>Non-Metal Ore</v>
      </c>
      <c r="E878" s="6">
        <v>791008</v>
      </c>
      <c r="F878" s="6">
        <v>13553</v>
      </c>
      <c r="G878" s="6">
        <v>32407</v>
      </c>
      <c r="H878" s="6">
        <v>23651</v>
      </c>
      <c r="I878" s="6">
        <v>0</v>
      </c>
    </row>
    <row r="879" spans="1:9">
      <c r="A879" s="6">
        <v>32</v>
      </c>
      <c r="B879" s="6" t="str">
        <f t="shared" si="26"/>
        <v>Plastic Wares</v>
      </c>
      <c r="C879" s="6">
        <v>14</v>
      </c>
      <c r="D879" s="6" t="str">
        <f t="shared" si="27"/>
        <v>Non-Metal Ore</v>
      </c>
      <c r="E879" s="6">
        <v>77587</v>
      </c>
      <c r="F879" s="6">
        <v>2125</v>
      </c>
      <c r="G879" s="6">
        <v>2850</v>
      </c>
      <c r="H879" s="6">
        <v>595</v>
      </c>
      <c r="I879" s="6">
        <v>19177</v>
      </c>
    </row>
    <row r="880" spans="1:9">
      <c r="A880" s="6">
        <v>33</v>
      </c>
      <c r="B880" s="6" t="str">
        <f t="shared" si="26"/>
        <v>Cement and Concrete Products</v>
      </c>
      <c r="C880" s="6">
        <v>14</v>
      </c>
      <c r="D880" s="6" t="str">
        <f t="shared" si="27"/>
        <v>Non-Metal Ore</v>
      </c>
      <c r="E880" s="6">
        <v>9543</v>
      </c>
      <c r="F880" s="6">
        <v>190</v>
      </c>
      <c r="G880" s="6">
        <v>344</v>
      </c>
      <c r="H880" s="6">
        <v>175</v>
      </c>
      <c r="I880" s="6">
        <v>0</v>
      </c>
    </row>
    <row r="881" spans="1:9">
      <c r="A881" s="6">
        <v>34</v>
      </c>
      <c r="B881" s="6" t="str">
        <f t="shared" si="26"/>
        <v>Other Non-metallic Products</v>
      </c>
      <c r="C881" s="6">
        <v>14</v>
      </c>
      <c r="D881" s="6" t="str">
        <f t="shared" si="27"/>
        <v>Non-Metal Ore</v>
      </c>
      <c r="E881" s="6">
        <v>52174</v>
      </c>
      <c r="F881" s="6">
        <v>4180</v>
      </c>
      <c r="G881" s="6">
        <v>4474</v>
      </c>
      <c r="H881" s="6">
        <v>586</v>
      </c>
      <c r="I881" s="6">
        <v>0</v>
      </c>
    </row>
    <row r="882" spans="1:9">
      <c r="A882" s="6">
        <v>35</v>
      </c>
      <c r="B882" s="6" t="str">
        <f t="shared" si="26"/>
        <v>Iron and Steel</v>
      </c>
      <c r="C882" s="6">
        <v>14</v>
      </c>
      <c r="D882" s="6" t="str">
        <f t="shared" si="27"/>
        <v>Non-Metal Ore</v>
      </c>
      <c r="E882" s="6">
        <v>27129</v>
      </c>
      <c r="F882" s="6">
        <v>1339</v>
      </c>
      <c r="G882" s="6">
        <v>1625</v>
      </c>
      <c r="H882" s="6">
        <v>332</v>
      </c>
      <c r="I882" s="6">
        <v>6728</v>
      </c>
    </row>
    <row r="883" spans="1:9">
      <c r="A883" s="6">
        <v>36</v>
      </c>
      <c r="B883" s="6" t="str">
        <f t="shared" si="26"/>
        <v>Non-ferrous Metal</v>
      </c>
      <c r="C883" s="6">
        <v>14</v>
      </c>
      <c r="D883" s="6" t="str">
        <f t="shared" si="27"/>
        <v>Non-Metal Ore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</row>
    <row r="884" spans="1:9">
      <c r="A884" s="6">
        <v>37</v>
      </c>
      <c r="B884" s="6" t="str">
        <f t="shared" si="26"/>
        <v>Fabricated Metal Products</v>
      </c>
      <c r="C884" s="6">
        <v>14</v>
      </c>
      <c r="D884" s="6" t="str">
        <f t="shared" si="27"/>
        <v>Non-Metal Ore</v>
      </c>
      <c r="E884" s="6">
        <v>4069282</v>
      </c>
      <c r="F884" s="6">
        <v>85335</v>
      </c>
      <c r="G884" s="6">
        <v>203562</v>
      </c>
      <c r="H884" s="6">
        <v>20139</v>
      </c>
      <c r="I884" s="6">
        <v>1065511</v>
      </c>
    </row>
    <row r="885" spans="1:9">
      <c r="A885" s="6">
        <v>38</v>
      </c>
      <c r="B885" s="6" t="str">
        <f t="shared" si="26"/>
        <v>Industrial Machinery</v>
      </c>
      <c r="C885" s="6">
        <v>14</v>
      </c>
      <c r="D885" s="6" t="str">
        <f t="shared" si="27"/>
        <v>Non-Metal Ore</v>
      </c>
      <c r="E885" s="6">
        <v>4911276</v>
      </c>
      <c r="F885" s="6">
        <v>402280</v>
      </c>
      <c r="G885" s="6">
        <v>0</v>
      </c>
      <c r="H885" s="6">
        <v>55361</v>
      </c>
      <c r="I885" s="6">
        <v>0</v>
      </c>
    </row>
    <row r="886" spans="1:9">
      <c r="A886" s="6">
        <v>39</v>
      </c>
      <c r="B886" s="6" t="str">
        <f t="shared" si="26"/>
        <v>Electrical Machinery and Apparatus</v>
      </c>
      <c r="C886" s="6">
        <v>14</v>
      </c>
      <c r="D886" s="6" t="str">
        <f t="shared" si="27"/>
        <v>Non-Metal Ore</v>
      </c>
      <c r="E886" s="6">
        <v>326142</v>
      </c>
      <c r="F886" s="6">
        <v>19506</v>
      </c>
      <c r="G886" s="6">
        <v>15319</v>
      </c>
      <c r="H886" s="6">
        <v>3705</v>
      </c>
      <c r="I886" s="6">
        <v>0</v>
      </c>
    </row>
    <row r="887" spans="1:9">
      <c r="A887" s="6">
        <v>40</v>
      </c>
      <c r="B887" s="6" t="str">
        <f t="shared" si="26"/>
        <v>Motor Vehicles and Repairing</v>
      </c>
      <c r="C887" s="6">
        <v>14</v>
      </c>
      <c r="D887" s="6" t="str">
        <f t="shared" si="27"/>
        <v>Non-Metal Ore</v>
      </c>
      <c r="E887" s="6">
        <v>9136478</v>
      </c>
      <c r="F887" s="6">
        <v>0</v>
      </c>
      <c r="G887" s="6">
        <v>0</v>
      </c>
      <c r="H887" s="6">
        <v>0</v>
      </c>
      <c r="I887" s="6">
        <v>0</v>
      </c>
    </row>
    <row r="888" spans="1:9">
      <c r="A888" s="6">
        <v>41</v>
      </c>
      <c r="B888" s="6" t="str">
        <f t="shared" si="26"/>
        <v>Other Transportation Equipment</v>
      </c>
      <c r="C888" s="6">
        <v>14</v>
      </c>
      <c r="D888" s="6" t="str">
        <f t="shared" si="27"/>
        <v>Non-Metal Ore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</row>
    <row r="889" spans="1:9">
      <c r="A889" s="6">
        <v>42</v>
      </c>
      <c r="B889" s="6" t="str">
        <f t="shared" si="26"/>
        <v>Leather Products</v>
      </c>
      <c r="C889" s="6">
        <v>14</v>
      </c>
      <c r="D889" s="6" t="str">
        <f t="shared" si="27"/>
        <v>Non-Metal Ore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</row>
    <row r="890" spans="1:9">
      <c r="A890" s="6">
        <v>43</v>
      </c>
      <c r="B890" s="6" t="str">
        <f t="shared" si="26"/>
        <v>Saw Mills and Wood Products</v>
      </c>
      <c r="C890" s="6">
        <v>14</v>
      </c>
      <c r="D890" s="6" t="str">
        <f t="shared" si="27"/>
        <v>Non-Metal Ore</v>
      </c>
      <c r="E890" s="6">
        <v>284355</v>
      </c>
      <c r="F890" s="6">
        <v>20845</v>
      </c>
      <c r="G890" s="6">
        <v>25745</v>
      </c>
      <c r="H890" s="6">
        <v>3160</v>
      </c>
      <c r="I890" s="6">
        <v>0</v>
      </c>
    </row>
    <row r="891" spans="1:9">
      <c r="A891" s="6">
        <v>44</v>
      </c>
      <c r="B891" s="6" t="str">
        <f t="shared" si="26"/>
        <v>Other Manufacturing Products</v>
      </c>
      <c r="C891" s="6">
        <v>14</v>
      </c>
      <c r="D891" s="6" t="str">
        <f t="shared" si="27"/>
        <v>Non-Metal Ore</v>
      </c>
      <c r="E891" s="6">
        <v>369678</v>
      </c>
      <c r="F891" s="6">
        <v>91733</v>
      </c>
      <c r="G891" s="6">
        <v>64706</v>
      </c>
      <c r="H891" s="6">
        <v>5791</v>
      </c>
      <c r="I891" s="6">
        <v>0</v>
      </c>
    </row>
    <row r="892" spans="1:9">
      <c r="A892" s="6">
        <v>45</v>
      </c>
      <c r="B892" s="6" t="str">
        <f t="shared" si="26"/>
        <v>Electricity and Gas</v>
      </c>
      <c r="C892" s="6">
        <v>14</v>
      </c>
      <c r="D892" s="6" t="str">
        <f t="shared" si="27"/>
        <v>Non-Metal Ore</v>
      </c>
      <c r="E892" s="6">
        <v>2820778</v>
      </c>
      <c r="F892" s="6">
        <v>7735</v>
      </c>
      <c r="G892" s="6">
        <v>11875</v>
      </c>
      <c r="H892" s="6">
        <v>1427</v>
      </c>
      <c r="I892" s="6">
        <v>0</v>
      </c>
    </row>
    <row r="893" spans="1:9">
      <c r="A893" s="6">
        <v>46</v>
      </c>
      <c r="B893" s="6" t="str">
        <f t="shared" si="26"/>
        <v>Water Works and Supply</v>
      </c>
      <c r="C893" s="6">
        <v>14</v>
      </c>
      <c r="D893" s="6" t="str">
        <f t="shared" si="27"/>
        <v>Non-Metal Ore</v>
      </c>
      <c r="E893" s="6">
        <v>65999</v>
      </c>
      <c r="F893" s="6">
        <v>0</v>
      </c>
      <c r="G893" s="6">
        <v>0</v>
      </c>
      <c r="H893" s="6">
        <v>0</v>
      </c>
      <c r="I893" s="6">
        <v>0</v>
      </c>
    </row>
    <row r="894" spans="1:9">
      <c r="A894" s="6">
        <v>47</v>
      </c>
      <c r="B894" s="6" t="str">
        <f t="shared" si="26"/>
        <v>Building Construction</v>
      </c>
      <c r="C894" s="6">
        <v>14</v>
      </c>
      <c r="D894" s="6" t="str">
        <f t="shared" si="27"/>
        <v>Non-Metal Ore</v>
      </c>
      <c r="E894" s="6">
        <v>88768</v>
      </c>
      <c r="F894" s="6">
        <v>0</v>
      </c>
      <c r="G894" s="6">
        <v>0</v>
      </c>
      <c r="H894" s="6">
        <v>0</v>
      </c>
      <c r="I894" s="6">
        <v>0</v>
      </c>
    </row>
    <row r="895" spans="1:9">
      <c r="A895" s="6">
        <v>48</v>
      </c>
      <c r="B895" s="6" t="str">
        <f t="shared" si="26"/>
        <v>Public Works and Other Construction</v>
      </c>
      <c r="C895" s="6">
        <v>14</v>
      </c>
      <c r="D895" s="6" t="str">
        <f t="shared" si="27"/>
        <v>Non-Metal Ore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</row>
    <row r="896" spans="1:9">
      <c r="A896" s="6">
        <v>49</v>
      </c>
      <c r="B896" s="6" t="str">
        <f t="shared" si="26"/>
        <v>Trade</v>
      </c>
      <c r="C896" s="6">
        <v>14</v>
      </c>
      <c r="D896" s="6" t="str">
        <f t="shared" si="27"/>
        <v>Non-Metal Ore</v>
      </c>
      <c r="E896" s="6">
        <v>0</v>
      </c>
      <c r="F896" s="6">
        <v>-2097859</v>
      </c>
      <c r="G896" s="6">
        <v>-1856447</v>
      </c>
      <c r="H896" s="6">
        <v>0</v>
      </c>
      <c r="I896" s="6">
        <v>0</v>
      </c>
    </row>
    <row r="897" spans="1:9">
      <c r="A897" s="6">
        <v>50</v>
      </c>
      <c r="B897" s="6" t="str">
        <f t="shared" si="26"/>
        <v>Restaurants and Hotels</v>
      </c>
      <c r="C897" s="6">
        <v>14</v>
      </c>
      <c r="D897" s="6" t="str">
        <f t="shared" si="27"/>
        <v>Non-Metal Ore</v>
      </c>
      <c r="E897" s="6">
        <v>1928020</v>
      </c>
      <c r="F897" s="6">
        <v>0</v>
      </c>
      <c r="G897" s="6">
        <v>0</v>
      </c>
      <c r="H897" s="6">
        <v>0</v>
      </c>
      <c r="I897" s="6">
        <v>0</v>
      </c>
    </row>
    <row r="898" spans="1:9">
      <c r="A898" s="6">
        <v>51</v>
      </c>
      <c r="B898" s="6" t="str">
        <f t="shared" si="26"/>
        <v>Transportation</v>
      </c>
      <c r="C898" s="6">
        <v>14</v>
      </c>
      <c r="D898" s="6" t="str">
        <f t="shared" si="27"/>
        <v>Non-Metal Ore</v>
      </c>
      <c r="E898" s="6">
        <v>3861545</v>
      </c>
      <c r="F898" s="6">
        <v>0</v>
      </c>
      <c r="G898" s="6">
        <v>0</v>
      </c>
      <c r="H898" s="6">
        <v>-494079</v>
      </c>
      <c r="I898" s="6">
        <v>0</v>
      </c>
    </row>
    <row r="899" spans="1:9">
      <c r="A899" s="6">
        <v>52</v>
      </c>
      <c r="B899" s="6" t="str">
        <f t="shared" si="26"/>
        <v>Communication</v>
      </c>
      <c r="C899" s="6">
        <v>14</v>
      </c>
      <c r="D899" s="6" t="str">
        <f t="shared" si="27"/>
        <v>Non-Metal Ore</v>
      </c>
      <c r="E899" s="6">
        <v>264944</v>
      </c>
      <c r="F899" s="6">
        <v>0</v>
      </c>
      <c r="G899" s="6">
        <v>0</v>
      </c>
      <c r="H899" s="6">
        <v>0</v>
      </c>
      <c r="I899" s="6">
        <v>0</v>
      </c>
    </row>
    <row r="900" spans="1:9">
      <c r="A900" s="6">
        <v>53</v>
      </c>
      <c r="B900" s="6" t="str">
        <f t="shared" ref="B900:B963" si="28">VLOOKUP(A900,R:S,2,0)</f>
        <v>Banking and Insurance</v>
      </c>
      <c r="C900" s="6">
        <v>14</v>
      </c>
      <c r="D900" s="6" t="str">
        <f t="shared" ref="D900:D963" si="29">VLOOKUP(C900,R:S,2,0)</f>
        <v>Non-Metal Ore</v>
      </c>
      <c r="E900" s="6">
        <v>2958301</v>
      </c>
      <c r="F900" s="6">
        <v>0</v>
      </c>
      <c r="G900" s="6">
        <v>0</v>
      </c>
      <c r="H900" s="6">
        <v>0</v>
      </c>
      <c r="I900" s="6">
        <v>0</v>
      </c>
    </row>
    <row r="901" spans="1:9">
      <c r="A901" s="6">
        <v>54</v>
      </c>
      <c r="B901" s="6" t="str">
        <f t="shared" si="28"/>
        <v>Real Estate</v>
      </c>
      <c r="C901" s="6">
        <v>14</v>
      </c>
      <c r="D901" s="6" t="str">
        <f t="shared" si="29"/>
        <v>Non-Metal Ore</v>
      </c>
      <c r="E901" s="6">
        <v>139339</v>
      </c>
      <c r="F901" s="6">
        <v>0</v>
      </c>
      <c r="G901" s="6">
        <v>0</v>
      </c>
      <c r="H901" s="6">
        <v>0</v>
      </c>
      <c r="I901" s="6">
        <v>0</v>
      </c>
    </row>
    <row r="902" spans="1:9">
      <c r="A902" s="6">
        <v>55</v>
      </c>
      <c r="B902" s="6" t="str">
        <f t="shared" si="28"/>
        <v>Business Services</v>
      </c>
      <c r="C902" s="6">
        <v>14</v>
      </c>
      <c r="D902" s="6" t="str">
        <f t="shared" si="29"/>
        <v>Non-Metal Ore</v>
      </c>
      <c r="E902" s="6">
        <v>321933</v>
      </c>
      <c r="F902" s="6">
        <v>0</v>
      </c>
      <c r="G902" s="6">
        <v>0</v>
      </c>
      <c r="H902" s="6">
        <v>0</v>
      </c>
      <c r="I902" s="6">
        <v>0</v>
      </c>
    </row>
    <row r="903" spans="1:9">
      <c r="A903" s="6">
        <v>56</v>
      </c>
      <c r="B903" s="6" t="str">
        <f t="shared" si="28"/>
        <v>Public Services</v>
      </c>
      <c r="C903" s="6">
        <v>14</v>
      </c>
      <c r="D903" s="6" t="str">
        <f t="shared" si="29"/>
        <v>Non-Metal Ore</v>
      </c>
      <c r="E903" s="6">
        <v>11263</v>
      </c>
      <c r="F903" s="6">
        <v>0</v>
      </c>
      <c r="G903" s="6">
        <v>0</v>
      </c>
      <c r="H903" s="6">
        <v>0</v>
      </c>
      <c r="I903" s="6">
        <v>0</v>
      </c>
    </row>
    <row r="904" spans="1:9">
      <c r="A904" s="6">
        <v>57</v>
      </c>
      <c r="B904" s="6" t="str">
        <f t="shared" si="28"/>
        <v>Other Services</v>
      </c>
      <c r="C904" s="6">
        <v>14</v>
      </c>
      <c r="D904" s="6" t="str">
        <f t="shared" si="29"/>
        <v>Non-Metal Ore</v>
      </c>
      <c r="E904" s="6">
        <v>156826</v>
      </c>
      <c r="F904" s="6">
        <v>0</v>
      </c>
      <c r="G904" s="6">
        <v>0</v>
      </c>
      <c r="H904" s="6">
        <v>0</v>
      </c>
      <c r="I904" s="6">
        <v>0</v>
      </c>
    </row>
    <row r="905" spans="1:9">
      <c r="A905" s="6">
        <v>58</v>
      </c>
      <c r="B905" s="6" t="str">
        <f t="shared" si="28"/>
        <v>Unclassified</v>
      </c>
      <c r="C905" s="6">
        <v>14</v>
      </c>
      <c r="D905" s="6" t="str">
        <f t="shared" si="29"/>
        <v>Non-Metal Ore</v>
      </c>
      <c r="E905" s="6">
        <v>181597</v>
      </c>
      <c r="F905" s="6">
        <v>0</v>
      </c>
      <c r="G905" s="6">
        <v>0</v>
      </c>
      <c r="H905" s="6">
        <v>0</v>
      </c>
      <c r="I905" s="6">
        <v>16974</v>
      </c>
    </row>
    <row r="906" spans="1:9">
      <c r="A906" s="6">
        <v>190</v>
      </c>
      <c r="B906" s="6" t="str">
        <f t="shared" si="28"/>
        <v>Total Intermedite Transaction</v>
      </c>
      <c r="C906" s="6">
        <v>14</v>
      </c>
      <c r="D906" s="6" t="str">
        <f t="shared" si="29"/>
        <v>Non-Metal Ore</v>
      </c>
      <c r="E906" s="6">
        <v>54795133</v>
      </c>
      <c r="F906" s="6">
        <v>0</v>
      </c>
      <c r="G906" s="6">
        <v>0</v>
      </c>
      <c r="H906" s="6">
        <v>0</v>
      </c>
      <c r="I906" s="6">
        <v>7407427</v>
      </c>
    </row>
    <row r="907" spans="1:9">
      <c r="A907" s="6">
        <v>201</v>
      </c>
      <c r="B907" s="6" t="str">
        <f t="shared" si="28"/>
        <v>Wages and Salaries</v>
      </c>
      <c r="C907" s="6">
        <v>14</v>
      </c>
      <c r="D907" s="6" t="str">
        <f t="shared" si="29"/>
        <v>Non-Metal Ore</v>
      </c>
      <c r="E907" s="6">
        <v>19573576</v>
      </c>
      <c r="F907" s="6">
        <v>0</v>
      </c>
      <c r="G907" s="6">
        <v>0</v>
      </c>
      <c r="H907" s="6">
        <v>0</v>
      </c>
      <c r="I907" s="6">
        <v>0</v>
      </c>
    </row>
    <row r="908" spans="1:9">
      <c r="A908" s="6">
        <v>202</v>
      </c>
      <c r="B908" s="6" t="str">
        <f t="shared" si="28"/>
        <v>Operating Surplus</v>
      </c>
      <c r="C908" s="6">
        <v>14</v>
      </c>
      <c r="D908" s="6" t="str">
        <f t="shared" si="29"/>
        <v>Non-Metal Ore</v>
      </c>
      <c r="E908" s="6">
        <v>40933335</v>
      </c>
      <c r="F908" s="6">
        <v>0</v>
      </c>
      <c r="G908" s="6">
        <v>0</v>
      </c>
      <c r="H908" s="6">
        <v>0</v>
      </c>
      <c r="I908" s="6">
        <v>0</v>
      </c>
    </row>
    <row r="909" spans="1:9">
      <c r="A909" s="6">
        <v>203</v>
      </c>
      <c r="B909" s="6" t="str">
        <f t="shared" si="28"/>
        <v>Depreciation</v>
      </c>
      <c r="C909" s="6">
        <v>14</v>
      </c>
      <c r="D909" s="6" t="str">
        <f t="shared" si="29"/>
        <v>Non-Metal Ore</v>
      </c>
      <c r="E909" s="6">
        <v>10081721</v>
      </c>
      <c r="F909" s="6">
        <v>0</v>
      </c>
      <c r="G909" s="6">
        <v>0</v>
      </c>
      <c r="H909" s="6">
        <v>0</v>
      </c>
      <c r="I909" s="6">
        <v>0</v>
      </c>
    </row>
    <row r="910" spans="1:9">
      <c r="A910" s="6">
        <v>204</v>
      </c>
      <c r="B910" s="6" t="str">
        <f t="shared" si="28"/>
        <v>Indirect Taxes less Subsidies</v>
      </c>
      <c r="C910" s="6">
        <v>14</v>
      </c>
      <c r="D910" s="6" t="str">
        <f t="shared" si="29"/>
        <v>Non-Metal Ore</v>
      </c>
      <c r="E910" s="6">
        <v>3236017</v>
      </c>
      <c r="F910" s="6">
        <v>0</v>
      </c>
      <c r="G910" s="6">
        <v>0</v>
      </c>
      <c r="H910" s="6">
        <v>0</v>
      </c>
      <c r="I910" s="6">
        <v>0</v>
      </c>
    </row>
    <row r="911" spans="1:9">
      <c r="A911" s="6">
        <v>209</v>
      </c>
      <c r="B911" s="6" t="str">
        <f t="shared" si="28"/>
        <v>Total Value Added</v>
      </c>
      <c r="C911" s="6">
        <v>14</v>
      </c>
      <c r="D911" s="6" t="str">
        <f t="shared" si="29"/>
        <v>Non-Metal Ore</v>
      </c>
      <c r="E911" s="6">
        <v>73824649</v>
      </c>
      <c r="F911" s="6">
        <v>0</v>
      </c>
      <c r="G911" s="6">
        <v>0</v>
      </c>
      <c r="H911" s="6">
        <v>0</v>
      </c>
      <c r="I911" s="6">
        <v>0</v>
      </c>
    </row>
    <row r="912" spans="1:9">
      <c r="A912" s="6">
        <v>210</v>
      </c>
      <c r="B912" s="6" t="str">
        <f t="shared" si="28"/>
        <v>Control Total</v>
      </c>
      <c r="C912" s="6">
        <v>14</v>
      </c>
      <c r="D912" s="6" t="str">
        <f t="shared" si="29"/>
        <v>Non-Metal Ore</v>
      </c>
      <c r="E912" s="6">
        <v>128619782</v>
      </c>
      <c r="F912" s="6">
        <v>0</v>
      </c>
      <c r="G912" s="6">
        <v>0</v>
      </c>
      <c r="H912" s="6">
        <v>0</v>
      </c>
      <c r="I912" s="6">
        <v>0</v>
      </c>
    </row>
    <row r="913" spans="1:9">
      <c r="A913" s="6">
        <v>1</v>
      </c>
      <c r="B913" s="6" t="str">
        <f t="shared" si="28"/>
        <v>Paddy</v>
      </c>
      <c r="C913" s="6">
        <v>15</v>
      </c>
      <c r="D913" s="6" t="str">
        <f t="shared" si="29"/>
        <v>Slaughtering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</row>
    <row r="914" spans="1:9">
      <c r="A914" s="6">
        <v>2</v>
      </c>
      <c r="B914" s="6" t="str">
        <f t="shared" si="28"/>
        <v>Maize</v>
      </c>
      <c r="C914" s="6">
        <v>15</v>
      </c>
      <c r="D914" s="6" t="str">
        <f t="shared" si="29"/>
        <v>Slaughtering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</row>
    <row r="915" spans="1:9">
      <c r="A915" s="6">
        <v>3</v>
      </c>
      <c r="B915" s="6" t="str">
        <f t="shared" si="28"/>
        <v>Cassava</v>
      </c>
      <c r="C915" s="6">
        <v>15</v>
      </c>
      <c r="D915" s="6" t="str">
        <f t="shared" si="29"/>
        <v>Slaughtering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</row>
    <row r="916" spans="1:9">
      <c r="A916" s="6">
        <v>4</v>
      </c>
      <c r="B916" s="6" t="str">
        <f t="shared" si="28"/>
        <v>Beans and Nuts</v>
      </c>
      <c r="C916" s="6">
        <v>15</v>
      </c>
      <c r="D916" s="6" t="str">
        <f t="shared" si="29"/>
        <v>Slaughtering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</row>
    <row r="917" spans="1:9">
      <c r="A917" s="6">
        <v>5</v>
      </c>
      <c r="B917" s="6" t="str">
        <f t="shared" si="28"/>
        <v>Vegetables and Fruits</v>
      </c>
      <c r="C917" s="6">
        <v>15</v>
      </c>
      <c r="D917" s="6" t="str">
        <f t="shared" si="29"/>
        <v>Slaughtering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</row>
    <row r="918" spans="1:9">
      <c r="A918" s="6">
        <v>6</v>
      </c>
      <c r="B918" s="6" t="str">
        <f t="shared" si="28"/>
        <v>Sugarcane</v>
      </c>
      <c r="C918" s="6">
        <v>15</v>
      </c>
      <c r="D918" s="6" t="str">
        <f t="shared" si="29"/>
        <v>Slaughtering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</row>
    <row r="919" spans="1:9">
      <c r="A919" s="6">
        <v>7</v>
      </c>
      <c r="B919" s="6" t="str">
        <f t="shared" si="28"/>
        <v>Rubber (Latex)</v>
      </c>
      <c r="C919" s="6">
        <v>15</v>
      </c>
      <c r="D919" s="6" t="str">
        <f t="shared" si="29"/>
        <v>Slaughtering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</row>
    <row r="920" spans="1:9">
      <c r="A920" s="6">
        <v>8</v>
      </c>
      <c r="B920" s="6" t="str">
        <f t="shared" si="28"/>
        <v>Other Crops</v>
      </c>
      <c r="C920" s="6">
        <v>15</v>
      </c>
      <c r="D920" s="6" t="str">
        <f t="shared" si="29"/>
        <v>Slaughtering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</row>
    <row r="921" spans="1:9">
      <c r="A921" s="6">
        <v>9</v>
      </c>
      <c r="B921" s="6" t="str">
        <f t="shared" si="28"/>
        <v>Livestock</v>
      </c>
      <c r="C921" s="6">
        <v>15</v>
      </c>
      <c r="D921" s="6" t="str">
        <f t="shared" si="29"/>
        <v>Slaughtering</v>
      </c>
      <c r="E921" s="6">
        <v>300253373</v>
      </c>
      <c r="F921" s="6">
        <v>29159628</v>
      </c>
      <c r="G921" s="6">
        <v>0</v>
      </c>
      <c r="H921" s="6">
        <v>1451897</v>
      </c>
      <c r="I921" s="6">
        <v>0</v>
      </c>
    </row>
    <row r="922" spans="1:9">
      <c r="A922" s="6">
        <v>10</v>
      </c>
      <c r="B922" s="6" t="str">
        <f t="shared" si="28"/>
        <v>Forestry</v>
      </c>
      <c r="C922" s="6">
        <v>15</v>
      </c>
      <c r="D922" s="6" t="str">
        <f t="shared" si="29"/>
        <v>Slaughtering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</row>
    <row r="923" spans="1:9">
      <c r="A923" s="6">
        <v>11</v>
      </c>
      <c r="B923" s="6" t="str">
        <f t="shared" si="28"/>
        <v>Fishery</v>
      </c>
      <c r="C923" s="6">
        <v>15</v>
      </c>
      <c r="D923" s="6" t="str">
        <f t="shared" si="29"/>
        <v>Slaughtering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</row>
    <row r="924" spans="1:9">
      <c r="A924" s="6">
        <v>12</v>
      </c>
      <c r="B924" s="6" t="str">
        <f t="shared" si="28"/>
        <v>Crude Oil and Coal</v>
      </c>
      <c r="C924" s="6">
        <v>15</v>
      </c>
      <c r="D924" s="6" t="str">
        <f t="shared" si="29"/>
        <v>Slaughtering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</row>
    <row r="925" spans="1:9">
      <c r="A925" s="6">
        <v>13</v>
      </c>
      <c r="B925" s="6" t="str">
        <f t="shared" si="28"/>
        <v>Metal Ore</v>
      </c>
      <c r="C925" s="6">
        <v>15</v>
      </c>
      <c r="D925" s="6" t="str">
        <f t="shared" si="29"/>
        <v>Slaughtering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</row>
    <row r="926" spans="1:9">
      <c r="A926" s="6">
        <v>14</v>
      </c>
      <c r="B926" s="6" t="str">
        <f t="shared" si="28"/>
        <v>Non-Metal Ore</v>
      </c>
      <c r="C926" s="6">
        <v>15</v>
      </c>
      <c r="D926" s="6" t="str">
        <f t="shared" si="29"/>
        <v>Slaughtering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</row>
    <row r="927" spans="1:9">
      <c r="A927" s="6">
        <v>15</v>
      </c>
      <c r="B927" s="6" t="str">
        <f t="shared" si="28"/>
        <v>Slaughtering</v>
      </c>
      <c r="C927" s="6">
        <v>15</v>
      </c>
      <c r="D927" s="6" t="str">
        <f t="shared" si="29"/>
        <v>Slaughtering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</row>
    <row r="928" spans="1:9">
      <c r="A928" s="6">
        <v>16</v>
      </c>
      <c r="B928" s="6" t="str">
        <f t="shared" si="28"/>
        <v>Processing and Presering of Foods</v>
      </c>
      <c r="C928" s="6">
        <v>15</v>
      </c>
      <c r="D928" s="6" t="str">
        <f t="shared" si="29"/>
        <v>Slaughtering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</row>
    <row r="929" spans="1:9">
      <c r="A929" s="6">
        <v>17</v>
      </c>
      <c r="B929" s="6" t="str">
        <f t="shared" si="28"/>
        <v>Rice and Other Grain Milling</v>
      </c>
      <c r="C929" s="6">
        <v>15</v>
      </c>
      <c r="D929" s="6" t="str">
        <f t="shared" si="29"/>
        <v>Slaughtering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</row>
    <row r="930" spans="1:9">
      <c r="A930" s="6">
        <v>18</v>
      </c>
      <c r="B930" s="6" t="str">
        <f t="shared" si="28"/>
        <v>Sugar Refineries</v>
      </c>
      <c r="C930" s="6">
        <v>15</v>
      </c>
      <c r="D930" s="6" t="str">
        <f t="shared" si="29"/>
        <v>Slaughtering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</row>
    <row r="931" spans="1:9">
      <c r="A931" s="6">
        <v>19</v>
      </c>
      <c r="B931" s="6" t="str">
        <f t="shared" si="28"/>
        <v>Other Foods</v>
      </c>
      <c r="C931" s="6">
        <v>15</v>
      </c>
      <c r="D931" s="6" t="str">
        <f t="shared" si="29"/>
        <v>Slaughtering</v>
      </c>
      <c r="E931" s="6">
        <v>1024523</v>
      </c>
      <c r="F931" s="6">
        <v>46246</v>
      </c>
      <c r="G931" s="6">
        <v>18363</v>
      </c>
      <c r="H931" s="6">
        <v>17580</v>
      </c>
      <c r="I931" s="6">
        <v>0</v>
      </c>
    </row>
    <row r="932" spans="1:9">
      <c r="A932" s="6">
        <v>20</v>
      </c>
      <c r="B932" s="6" t="str">
        <f t="shared" si="28"/>
        <v>Animal Food</v>
      </c>
      <c r="C932" s="6">
        <v>15</v>
      </c>
      <c r="D932" s="6" t="str">
        <f t="shared" si="29"/>
        <v>Slaughtering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</row>
    <row r="933" spans="1:9">
      <c r="A933" s="6">
        <v>21</v>
      </c>
      <c r="B933" s="6" t="str">
        <f t="shared" si="28"/>
        <v>Beverages</v>
      </c>
      <c r="C933" s="6">
        <v>15</v>
      </c>
      <c r="D933" s="6" t="str">
        <f t="shared" si="29"/>
        <v>Slaughtering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</row>
    <row r="934" spans="1:9">
      <c r="A934" s="6">
        <v>22</v>
      </c>
      <c r="B934" s="6" t="str">
        <f t="shared" si="28"/>
        <v>Tobacco Processing and Products</v>
      </c>
      <c r="C934" s="6">
        <v>15</v>
      </c>
      <c r="D934" s="6" t="str">
        <f t="shared" si="29"/>
        <v>Slaughtering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</row>
    <row r="935" spans="1:9">
      <c r="A935" s="6">
        <v>23</v>
      </c>
      <c r="B935" s="6" t="str">
        <f t="shared" si="28"/>
        <v>Spinning, Weaving and Bleaching</v>
      </c>
      <c r="C935" s="6">
        <v>15</v>
      </c>
      <c r="D935" s="6" t="str">
        <f t="shared" si="29"/>
        <v>Slaughtering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</row>
    <row r="936" spans="1:9">
      <c r="A936" s="6">
        <v>24</v>
      </c>
      <c r="B936" s="6" t="str">
        <f t="shared" si="28"/>
        <v>Textile Products</v>
      </c>
      <c r="C936" s="6">
        <v>15</v>
      </c>
      <c r="D936" s="6" t="str">
        <f t="shared" si="29"/>
        <v>Slaughtering</v>
      </c>
      <c r="E936" s="6">
        <v>47950</v>
      </c>
      <c r="F936" s="6">
        <v>1887</v>
      </c>
      <c r="G936" s="6">
        <v>3456</v>
      </c>
      <c r="H936" s="6">
        <v>311</v>
      </c>
      <c r="I936" s="6">
        <v>0</v>
      </c>
    </row>
    <row r="937" spans="1:9">
      <c r="A937" s="6">
        <v>25</v>
      </c>
      <c r="B937" s="6" t="str">
        <f t="shared" si="28"/>
        <v>Paper and Paper Products</v>
      </c>
      <c r="C937" s="6">
        <v>15</v>
      </c>
      <c r="D937" s="6" t="str">
        <f t="shared" si="29"/>
        <v>Slaughtering</v>
      </c>
      <c r="E937" s="6">
        <v>50550</v>
      </c>
      <c r="F937" s="6">
        <v>1920</v>
      </c>
      <c r="G937" s="6">
        <v>1318</v>
      </c>
      <c r="H937" s="6">
        <v>439</v>
      </c>
      <c r="I937" s="6">
        <v>0</v>
      </c>
    </row>
    <row r="938" spans="1:9">
      <c r="A938" s="6">
        <v>26</v>
      </c>
      <c r="B938" s="6" t="str">
        <f t="shared" si="28"/>
        <v>Printing and Publishing</v>
      </c>
      <c r="C938" s="6">
        <v>15</v>
      </c>
      <c r="D938" s="6" t="str">
        <f t="shared" si="29"/>
        <v>Slaughtering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</row>
    <row r="939" spans="1:9">
      <c r="A939" s="6">
        <v>27</v>
      </c>
      <c r="B939" s="6" t="str">
        <f t="shared" si="28"/>
        <v>Basic Chemical Products</v>
      </c>
      <c r="C939" s="6">
        <v>15</v>
      </c>
      <c r="D939" s="6" t="str">
        <f t="shared" si="29"/>
        <v>Slaughtering</v>
      </c>
      <c r="E939" s="6">
        <v>125554</v>
      </c>
      <c r="F939" s="6">
        <v>11365</v>
      </c>
      <c r="G939" s="6">
        <v>8499</v>
      </c>
      <c r="H939" s="6">
        <v>2964</v>
      </c>
      <c r="I939" s="6">
        <v>70059</v>
      </c>
    </row>
    <row r="940" spans="1:9">
      <c r="A940" s="6">
        <v>28</v>
      </c>
      <c r="B940" s="6" t="str">
        <f t="shared" si="28"/>
        <v>Fertilizer and Pesticides</v>
      </c>
      <c r="C940" s="6">
        <v>15</v>
      </c>
      <c r="D940" s="6" t="str">
        <f t="shared" si="29"/>
        <v>Slaughtering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</row>
    <row r="941" spans="1:9">
      <c r="A941" s="6">
        <v>29</v>
      </c>
      <c r="B941" s="6" t="str">
        <f t="shared" si="28"/>
        <v>Other Chemical Products</v>
      </c>
      <c r="C941" s="6">
        <v>15</v>
      </c>
      <c r="D941" s="6" t="str">
        <f t="shared" si="29"/>
        <v>Slaughtering</v>
      </c>
      <c r="E941" s="6">
        <v>918084</v>
      </c>
      <c r="F941" s="6">
        <v>86505</v>
      </c>
      <c r="G941" s="6">
        <v>165094</v>
      </c>
      <c r="H941" s="6">
        <v>8565</v>
      </c>
      <c r="I941" s="6">
        <v>0</v>
      </c>
    </row>
    <row r="942" spans="1:9">
      <c r="A942" s="6">
        <v>30</v>
      </c>
      <c r="B942" s="6" t="str">
        <f t="shared" si="28"/>
        <v>Petroleum Refineries</v>
      </c>
      <c r="C942" s="6">
        <v>15</v>
      </c>
      <c r="D942" s="6" t="str">
        <f t="shared" si="29"/>
        <v>Slaughtering</v>
      </c>
      <c r="E942" s="6">
        <v>2119655</v>
      </c>
      <c r="F942" s="6">
        <v>128482</v>
      </c>
      <c r="G942" s="6">
        <v>136047</v>
      </c>
      <c r="H942" s="6">
        <v>21691</v>
      </c>
      <c r="I942" s="6">
        <v>399790</v>
      </c>
    </row>
    <row r="943" spans="1:9">
      <c r="A943" s="6">
        <v>31</v>
      </c>
      <c r="B943" s="6" t="str">
        <f t="shared" si="28"/>
        <v>Rubber Products</v>
      </c>
      <c r="C943" s="6">
        <v>15</v>
      </c>
      <c r="D943" s="6" t="str">
        <f t="shared" si="29"/>
        <v>Slaughtering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</row>
    <row r="944" spans="1:9">
      <c r="A944" s="6">
        <v>32</v>
      </c>
      <c r="B944" s="6" t="str">
        <f t="shared" si="28"/>
        <v>Plastic Wares</v>
      </c>
      <c r="C944" s="6">
        <v>15</v>
      </c>
      <c r="D944" s="6" t="str">
        <f t="shared" si="29"/>
        <v>Slaughtering</v>
      </c>
      <c r="E944" s="6">
        <v>5456614</v>
      </c>
      <c r="F944" s="6">
        <v>215327</v>
      </c>
      <c r="G944" s="6">
        <v>346034</v>
      </c>
      <c r="H944" s="6">
        <v>51150</v>
      </c>
      <c r="I944" s="6">
        <v>2752315</v>
      </c>
    </row>
    <row r="945" spans="1:9">
      <c r="A945" s="6">
        <v>33</v>
      </c>
      <c r="B945" s="6" t="str">
        <f t="shared" si="28"/>
        <v>Cement and Concrete Products</v>
      </c>
      <c r="C945" s="6">
        <v>15</v>
      </c>
      <c r="D945" s="6" t="str">
        <f t="shared" si="29"/>
        <v>Slaughtering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</row>
    <row r="946" spans="1:9">
      <c r="A946" s="6">
        <v>34</v>
      </c>
      <c r="B946" s="6" t="str">
        <f t="shared" si="28"/>
        <v>Other Non-metallic Products</v>
      </c>
      <c r="C946" s="6">
        <v>15</v>
      </c>
      <c r="D946" s="6" t="str">
        <f t="shared" si="29"/>
        <v>Slaughtering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</row>
    <row r="947" spans="1:9">
      <c r="A947" s="6">
        <v>35</v>
      </c>
      <c r="B947" s="6" t="str">
        <f t="shared" si="28"/>
        <v>Iron and Steel</v>
      </c>
      <c r="C947" s="6">
        <v>15</v>
      </c>
      <c r="D947" s="6" t="str">
        <f t="shared" si="29"/>
        <v>Slaughtering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</row>
    <row r="948" spans="1:9">
      <c r="A948" s="6">
        <v>36</v>
      </c>
      <c r="B948" s="6" t="str">
        <f t="shared" si="28"/>
        <v>Non-ferrous Metal</v>
      </c>
      <c r="C948" s="6">
        <v>15</v>
      </c>
      <c r="D948" s="6" t="str">
        <f t="shared" si="29"/>
        <v>Slaughtering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</row>
    <row r="949" spans="1:9">
      <c r="A949" s="6">
        <v>37</v>
      </c>
      <c r="B949" s="6" t="str">
        <f t="shared" si="28"/>
        <v>Fabricated Metal Products</v>
      </c>
      <c r="C949" s="6">
        <v>15</v>
      </c>
      <c r="D949" s="6" t="str">
        <f t="shared" si="29"/>
        <v>Slaughtering</v>
      </c>
      <c r="E949" s="6">
        <v>2101197</v>
      </c>
      <c r="F949" s="6">
        <v>58092</v>
      </c>
      <c r="G949" s="6">
        <v>74993</v>
      </c>
      <c r="H949" s="6">
        <v>10086</v>
      </c>
      <c r="I949" s="6">
        <v>515262</v>
      </c>
    </row>
    <row r="950" spans="1:9">
      <c r="A950" s="6">
        <v>38</v>
      </c>
      <c r="B950" s="6" t="str">
        <f t="shared" si="28"/>
        <v>Industrial Machinery</v>
      </c>
      <c r="C950" s="6">
        <v>15</v>
      </c>
      <c r="D950" s="6" t="str">
        <f t="shared" si="29"/>
        <v>Slaughtering</v>
      </c>
      <c r="E950" s="6">
        <v>807380</v>
      </c>
      <c r="F950" s="6">
        <v>69842</v>
      </c>
      <c r="G950" s="6">
        <v>0</v>
      </c>
      <c r="H950" s="6">
        <v>13314</v>
      </c>
      <c r="I950" s="6">
        <v>156800</v>
      </c>
    </row>
    <row r="951" spans="1:9">
      <c r="A951" s="6">
        <v>39</v>
      </c>
      <c r="B951" s="6" t="str">
        <f t="shared" si="28"/>
        <v>Electrical Machinery and Apparatus</v>
      </c>
      <c r="C951" s="6">
        <v>15</v>
      </c>
      <c r="D951" s="6" t="str">
        <f t="shared" si="29"/>
        <v>Slaughtering</v>
      </c>
      <c r="E951" s="6">
        <v>250813</v>
      </c>
      <c r="F951" s="6">
        <v>15640</v>
      </c>
      <c r="G951" s="6">
        <v>83</v>
      </c>
      <c r="H951" s="6">
        <v>2137</v>
      </c>
      <c r="I951" s="6">
        <v>0</v>
      </c>
    </row>
    <row r="952" spans="1:9">
      <c r="A952" s="6">
        <v>40</v>
      </c>
      <c r="B952" s="6" t="str">
        <f t="shared" si="28"/>
        <v>Motor Vehicles and Repairing</v>
      </c>
      <c r="C952" s="6">
        <v>15</v>
      </c>
      <c r="D952" s="6" t="str">
        <f t="shared" si="29"/>
        <v>Slaughtering</v>
      </c>
      <c r="E952" s="6">
        <v>836120</v>
      </c>
      <c r="F952" s="6">
        <v>0</v>
      </c>
      <c r="G952" s="6">
        <v>0</v>
      </c>
      <c r="H952" s="6">
        <v>0</v>
      </c>
      <c r="I952" s="6">
        <v>0</v>
      </c>
    </row>
    <row r="953" spans="1:9">
      <c r="A953" s="6">
        <v>41</v>
      </c>
      <c r="B953" s="6" t="str">
        <f t="shared" si="28"/>
        <v>Other Transportation Equipment</v>
      </c>
      <c r="C953" s="6">
        <v>15</v>
      </c>
      <c r="D953" s="6" t="str">
        <f t="shared" si="29"/>
        <v>Slaughtering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</row>
    <row r="954" spans="1:9">
      <c r="A954" s="6">
        <v>42</v>
      </c>
      <c r="B954" s="6" t="str">
        <f t="shared" si="28"/>
        <v>Leather Products</v>
      </c>
      <c r="C954" s="6">
        <v>15</v>
      </c>
      <c r="D954" s="6" t="str">
        <f t="shared" si="29"/>
        <v>Slaughtering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</row>
    <row r="955" spans="1:9">
      <c r="A955" s="6">
        <v>43</v>
      </c>
      <c r="B955" s="6" t="str">
        <f t="shared" si="28"/>
        <v>Saw Mills and Wood Products</v>
      </c>
      <c r="C955" s="6">
        <v>15</v>
      </c>
      <c r="D955" s="6" t="str">
        <f t="shared" si="29"/>
        <v>Slaughtering</v>
      </c>
      <c r="E955" s="6">
        <v>62285</v>
      </c>
      <c r="F955" s="6">
        <v>1467</v>
      </c>
      <c r="G955" s="6">
        <v>2227</v>
      </c>
      <c r="H955" s="6">
        <v>752</v>
      </c>
      <c r="I955" s="6">
        <v>0</v>
      </c>
    </row>
    <row r="956" spans="1:9">
      <c r="A956" s="6">
        <v>44</v>
      </c>
      <c r="B956" s="6" t="str">
        <f t="shared" si="28"/>
        <v>Other Manufacturing Products</v>
      </c>
      <c r="C956" s="6">
        <v>15</v>
      </c>
      <c r="D956" s="6" t="str">
        <f t="shared" si="29"/>
        <v>Slaughtering</v>
      </c>
      <c r="E956" s="6">
        <v>1051251</v>
      </c>
      <c r="F956" s="6">
        <v>44034</v>
      </c>
      <c r="G956" s="6">
        <v>43305</v>
      </c>
      <c r="H956" s="6">
        <v>5822</v>
      </c>
      <c r="I956" s="6">
        <v>0</v>
      </c>
    </row>
    <row r="957" spans="1:9">
      <c r="A957" s="6">
        <v>45</v>
      </c>
      <c r="B957" s="6" t="str">
        <f t="shared" si="28"/>
        <v>Electricity and Gas</v>
      </c>
      <c r="C957" s="6">
        <v>15</v>
      </c>
      <c r="D957" s="6" t="str">
        <f t="shared" si="29"/>
        <v>Slaughtering</v>
      </c>
      <c r="E957" s="6">
        <v>15240372</v>
      </c>
      <c r="F957" s="6">
        <v>41471</v>
      </c>
      <c r="G957" s="6">
        <v>79178</v>
      </c>
      <c r="H957" s="6">
        <v>24258</v>
      </c>
      <c r="I957" s="6">
        <v>0</v>
      </c>
    </row>
    <row r="958" spans="1:9">
      <c r="A958" s="6">
        <v>46</v>
      </c>
      <c r="B958" s="6" t="str">
        <f t="shared" si="28"/>
        <v>Water Works and Supply</v>
      </c>
      <c r="C958" s="6">
        <v>15</v>
      </c>
      <c r="D958" s="6" t="str">
        <f t="shared" si="29"/>
        <v>Slaughtering</v>
      </c>
      <c r="E958" s="6">
        <v>740999</v>
      </c>
      <c r="F958" s="6">
        <v>0</v>
      </c>
      <c r="G958" s="6">
        <v>0</v>
      </c>
      <c r="H958" s="6">
        <v>0</v>
      </c>
      <c r="I958" s="6">
        <v>0</v>
      </c>
    </row>
    <row r="959" spans="1:9">
      <c r="A959" s="6">
        <v>47</v>
      </c>
      <c r="B959" s="6" t="str">
        <f t="shared" si="28"/>
        <v>Building Construction</v>
      </c>
      <c r="C959" s="6">
        <v>15</v>
      </c>
      <c r="D959" s="6" t="str">
        <f t="shared" si="29"/>
        <v>Slaughtering</v>
      </c>
      <c r="E959" s="6">
        <v>255680</v>
      </c>
      <c r="F959" s="6">
        <v>0</v>
      </c>
      <c r="G959" s="6">
        <v>0</v>
      </c>
      <c r="H959" s="6">
        <v>0</v>
      </c>
      <c r="I959" s="6">
        <v>0</v>
      </c>
    </row>
    <row r="960" spans="1:9">
      <c r="A960" s="6">
        <v>48</v>
      </c>
      <c r="B960" s="6" t="str">
        <f t="shared" si="28"/>
        <v>Public Works and Other Construction</v>
      </c>
      <c r="C960" s="6">
        <v>15</v>
      </c>
      <c r="D960" s="6" t="str">
        <f t="shared" si="29"/>
        <v>Slaughtering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</row>
    <row r="961" spans="1:9">
      <c r="A961" s="6">
        <v>49</v>
      </c>
      <c r="B961" s="6" t="str">
        <f t="shared" si="28"/>
        <v>Trade</v>
      </c>
      <c r="C961" s="6">
        <v>15</v>
      </c>
      <c r="D961" s="6" t="str">
        <f t="shared" si="29"/>
        <v>Slaughtering</v>
      </c>
      <c r="E961" s="6">
        <v>0</v>
      </c>
      <c r="F961" s="6">
        <v>-29881906</v>
      </c>
      <c r="G961" s="6">
        <v>-878597</v>
      </c>
      <c r="H961" s="6">
        <v>0</v>
      </c>
      <c r="I961" s="6">
        <v>0</v>
      </c>
    </row>
    <row r="962" spans="1:9">
      <c r="A962" s="6">
        <v>50</v>
      </c>
      <c r="B962" s="6" t="str">
        <f t="shared" si="28"/>
        <v>Restaurants and Hotels</v>
      </c>
      <c r="C962" s="6">
        <v>15</v>
      </c>
      <c r="D962" s="6" t="str">
        <f t="shared" si="29"/>
        <v>Slaughtering</v>
      </c>
      <c r="E962" s="6">
        <v>430814</v>
      </c>
      <c r="F962" s="6">
        <v>0</v>
      </c>
      <c r="G962" s="6">
        <v>0</v>
      </c>
      <c r="H962" s="6">
        <v>0</v>
      </c>
      <c r="I962" s="6">
        <v>0</v>
      </c>
    </row>
    <row r="963" spans="1:9">
      <c r="A963" s="6">
        <v>51</v>
      </c>
      <c r="B963" s="6" t="str">
        <f t="shared" si="28"/>
        <v>Transportation</v>
      </c>
      <c r="C963" s="6">
        <v>15</v>
      </c>
      <c r="D963" s="6" t="str">
        <f t="shared" si="29"/>
        <v>Slaughtering</v>
      </c>
      <c r="E963" s="6">
        <v>630065</v>
      </c>
      <c r="F963" s="6">
        <v>0</v>
      </c>
      <c r="G963" s="6">
        <v>0</v>
      </c>
      <c r="H963" s="6">
        <v>-1610966</v>
      </c>
      <c r="I963" s="6">
        <v>0</v>
      </c>
    </row>
    <row r="964" spans="1:9">
      <c r="A964" s="6">
        <v>52</v>
      </c>
      <c r="B964" s="6" t="str">
        <f t="shared" ref="B964:B1027" si="30">VLOOKUP(A964,R:S,2,0)</f>
        <v>Communication</v>
      </c>
      <c r="C964" s="6">
        <v>15</v>
      </c>
      <c r="D964" s="6" t="str">
        <f t="shared" ref="D964:D1027" si="31">VLOOKUP(C964,R:S,2,0)</f>
        <v>Slaughtering</v>
      </c>
      <c r="E964" s="6">
        <v>447899</v>
      </c>
      <c r="F964" s="6">
        <v>0</v>
      </c>
      <c r="G964" s="6">
        <v>0</v>
      </c>
      <c r="H964" s="6">
        <v>0</v>
      </c>
      <c r="I964" s="6">
        <v>0</v>
      </c>
    </row>
    <row r="965" spans="1:9">
      <c r="A965" s="6">
        <v>53</v>
      </c>
      <c r="B965" s="6" t="str">
        <f t="shared" si="30"/>
        <v>Banking and Insurance</v>
      </c>
      <c r="C965" s="6">
        <v>15</v>
      </c>
      <c r="D965" s="6" t="str">
        <f t="shared" si="31"/>
        <v>Slaughtering</v>
      </c>
      <c r="E965" s="6">
        <v>3774639</v>
      </c>
      <c r="F965" s="6">
        <v>0</v>
      </c>
      <c r="G965" s="6">
        <v>0</v>
      </c>
      <c r="H965" s="6">
        <v>0</v>
      </c>
      <c r="I965" s="6">
        <v>0</v>
      </c>
    </row>
    <row r="966" spans="1:9">
      <c r="A966" s="6">
        <v>54</v>
      </c>
      <c r="B966" s="6" t="str">
        <f t="shared" si="30"/>
        <v>Real Estate</v>
      </c>
      <c r="C966" s="6">
        <v>15</v>
      </c>
      <c r="D966" s="6" t="str">
        <f t="shared" si="31"/>
        <v>Slaughtering</v>
      </c>
      <c r="E966" s="6">
        <v>937027</v>
      </c>
      <c r="F966" s="6">
        <v>0</v>
      </c>
      <c r="G966" s="6">
        <v>0</v>
      </c>
      <c r="H966" s="6">
        <v>0</v>
      </c>
      <c r="I966" s="6">
        <v>0</v>
      </c>
    </row>
    <row r="967" spans="1:9">
      <c r="A967" s="6">
        <v>55</v>
      </c>
      <c r="B967" s="6" t="str">
        <f t="shared" si="30"/>
        <v>Business Services</v>
      </c>
      <c r="C967" s="6">
        <v>15</v>
      </c>
      <c r="D967" s="6" t="str">
        <f t="shared" si="31"/>
        <v>Slaughtering</v>
      </c>
      <c r="E967" s="6">
        <v>5123284</v>
      </c>
      <c r="F967" s="6">
        <v>0</v>
      </c>
      <c r="G967" s="6">
        <v>0</v>
      </c>
      <c r="H967" s="6">
        <v>0</v>
      </c>
      <c r="I967" s="6">
        <v>0</v>
      </c>
    </row>
    <row r="968" spans="1:9">
      <c r="A968" s="6">
        <v>56</v>
      </c>
      <c r="B968" s="6" t="str">
        <f t="shared" si="30"/>
        <v>Public Services</v>
      </c>
      <c r="C968" s="6">
        <v>15</v>
      </c>
      <c r="D968" s="6" t="str">
        <f t="shared" si="31"/>
        <v>Slaughtering</v>
      </c>
      <c r="E968" s="6">
        <v>709496</v>
      </c>
      <c r="F968" s="6">
        <v>0</v>
      </c>
      <c r="G968" s="6">
        <v>0</v>
      </c>
      <c r="H968" s="6">
        <v>0</v>
      </c>
      <c r="I968" s="6">
        <v>0</v>
      </c>
    </row>
    <row r="969" spans="1:9">
      <c r="A969" s="6">
        <v>57</v>
      </c>
      <c r="B969" s="6" t="str">
        <f t="shared" si="30"/>
        <v>Other Services</v>
      </c>
      <c r="C969" s="6">
        <v>15</v>
      </c>
      <c r="D969" s="6" t="str">
        <f t="shared" si="31"/>
        <v>Slaughtering</v>
      </c>
      <c r="E969" s="6">
        <v>51015</v>
      </c>
      <c r="F969" s="6">
        <v>0</v>
      </c>
      <c r="G969" s="6">
        <v>0</v>
      </c>
      <c r="H969" s="6">
        <v>0</v>
      </c>
      <c r="I969" s="6">
        <v>0</v>
      </c>
    </row>
    <row r="970" spans="1:9">
      <c r="A970" s="6">
        <v>58</v>
      </c>
      <c r="B970" s="6" t="str">
        <f t="shared" si="30"/>
        <v>Unclassified</v>
      </c>
      <c r="C970" s="6">
        <v>15</v>
      </c>
      <c r="D970" s="6" t="str">
        <f t="shared" si="31"/>
        <v>Slaughtering</v>
      </c>
      <c r="E970" s="6">
        <v>2145383</v>
      </c>
      <c r="F970" s="6">
        <v>0</v>
      </c>
      <c r="G970" s="6">
        <v>0</v>
      </c>
      <c r="H970" s="6">
        <v>0</v>
      </c>
      <c r="I970" s="6">
        <v>246976</v>
      </c>
    </row>
    <row r="971" spans="1:9">
      <c r="A971" s="6">
        <v>190</v>
      </c>
      <c r="B971" s="6" t="str">
        <f t="shared" si="30"/>
        <v>Total Intermedite Transaction</v>
      </c>
      <c r="C971" s="6">
        <v>15</v>
      </c>
      <c r="D971" s="6" t="str">
        <f t="shared" si="31"/>
        <v>Slaughtering</v>
      </c>
      <c r="E971" s="6">
        <v>345592022</v>
      </c>
      <c r="F971" s="6">
        <v>0</v>
      </c>
      <c r="G971" s="6">
        <v>0</v>
      </c>
      <c r="H971" s="6">
        <v>0</v>
      </c>
      <c r="I971" s="6">
        <v>4141202</v>
      </c>
    </row>
    <row r="972" spans="1:9">
      <c r="A972" s="6">
        <v>201</v>
      </c>
      <c r="B972" s="6" t="str">
        <f t="shared" si="30"/>
        <v>Wages and Salaries</v>
      </c>
      <c r="C972" s="6">
        <v>15</v>
      </c>
      <c r="D972" s="6" t="str">
        <f t="shared" si="31"/>
        <v>Slaughtering</v>
      </c>
      <c r="E972" s="6">
        <v>49425595</v>
      </c>
      <c r="F972" s="6">
        <v>0</v>
      </c>
      <c r="G972" s="6">
        <v>0</v>
      </c>
      <c r="H972" s="6">
        <v>0</v>
      </c>
      <c r="I972" s="6">
        <v>0</v>
      </c>
    </row>
    <row r="973" spans="1:9">
      <c r="A973" s="6">
        <v>202</v>
      </c>
      <c r="B973" s="6" t="str">
        <f t="shared" si="30"/>
        <v>Operating Surplus</v>
      </c>
      <c r="C973" s="6">
        <v>15</v>
      </c>
      <c r="D973" s="6" t="str">
        <f t="shared" si="31"/>
        <v>Slaughtering</v>
      </c>
      <c r="E973" s="6">
        <v>101568841</v>
      </c>
      <c r="F973" s="6">
        <v>0</v>
      </c>
      <c r="G973" s="6">
        <v>0</v>
      </c>
      <c r="H973" s="6">
        <v>0</v>
      </c>
      <c r="I973" s="6">
        <v>0</v>
      </c>
    </row>
    <row r="974" spans="1:9">
      <c r="A974" s="6">
        <v>203</v>
      </c>
      <c r="B974" s="6" t="str">
        <f t="shared" si="30"/>
        <v>Depreciation</v>
      </c>
      <c r="C974" s="6">
        <v>15</v>
      </c>
      <c r="D974" s="6" t="str">
        <f t="shared" si="31"/>
        <v>Slaughtering</v>
      </c>
      <c r="E974" s="6">
        <v>26345577</v>
      </c>
      <c r="F974" s="6">
        <v>0</v>
      </c>
      <c r="G974" s="6">
        <v>0</v>
      </c>
      <c r="H974" s="6">
        <v>0</v>
      </c>
      <c r="I974" s="6">
        <v>0</v>
      </c>
    </row>
    <row r="975" spans="1:9">
      <c r="A975" s="6">
        <v>204</v>
      </c>
      <c r="B975" s="6" t="str">
        <f t="shared" si="30"/>
        <v>Indirect Taxes less Subsidies</v>
      </c>
      <c r="C975" s="6">
        <v>15</v>
      </c>
      <c r="D975" s="6" t="str">
        <f t="shared" si="31"/>
        <v>Slaughtering</v>
      </c>
      <c r="E975" s="6">
        <v>5776573</v>
      </c>
      <c r="F975" s="6">
        <v>0</v>
      </c>
      <c r="G975" s="6">
        <v>0</v>
      </c>
      <c r="H975" s="6">
        <v>0</v>
      </c>
      <c r="I975" s="6">
        <v>0</v>
      </c>
    </row>
    <row r="976" spans="1:9">
      <c r="A976" s="6">
        <v>209</v>
      </c>
      <c r="B976" s="6" t="str">
        <f t="shared" si="30"/>
        <v>Total Value Added</v>
      </c>
      <c r="C976" s="6">
        <v>15</v>
      </c>
      <c r="D976" s="6" t="str">
        <f t="shared" si="31"/>
        <v>Slaughtering</v>
      </c>
      <c r="E976" s="6">
        <v>183116586</v>
      </c>
      <c r="F976" s="6">
        <v>0</v>
      </c>
      <c r="G976" s="6">
        <v>0</v>
      </c>
      <c r="H976" s="6">
        <v>0</v>
      </c>
      <c r="I976" s="6">
        <v>0</v>
      </c>
    </row>
    <row r="977" spans="1:9">
      <c r="A977" s="6">
        <v>210</v>
      </c>
      <c r="B977" s="6" t="str">
        <f t="shared" si="30"/>
        <v>Control Total</v>
      </c>
      <c r="C977" s="6">
        <v>15</v>
      </c>
      <c r="D977" s="6" t="str">
        <f t="shared" si="31"/>
        <v>Slaughtering</v>
      </c>
      <c r="E977" s="6">
        <v>528708608</v>
      </c>
      <c r="F977" s="6">
        <v>0</v>
      </c>
      <c r="G977" s="6">
        <v>0</v>
      </c>
      <c r="H977" s="6">
        <v>0</v>
      </c>
      <c r="I977" s="6">
        <v>0</v>
      </c>
    </row>
    <row r="978" spans="1:9">
      <c r="A978" s="6">
        <v>1</v>
      </c>
      <c r="B978" s="6" t="str">
        <f t="shared" si="30"/>
        <v>Paddy</v>
      </c>
      <c r="C978" s="6">
        <v>16</v>
      </c>
      <c r="D978" s="6" t="str">
        <f t="shared" si="31"/>
        <v>Processing and Presering of Foods</v>
      </c>
      <c r="E978" s="6">
        <v>29138</v>
      </c>
      <c r="F978" s="6">
        <v>1297</v>
      </c>
      <c r="G978" s="6">
        <v>2159</v>
      </c>
      <c r="H978" s="6">
        <v>180</v>
      </c>
      <c r="I978" s="6">
        <v>0</v>
      </c>
    </row>
    <row r="979" spans="1:9">
      <c r="A979" s="6">
        <v>2</v>
      </c>
      <c r="B979" s="6" t="str">
        <f t="shared" si="30"/>
        <v>Maize</v>
      </c>
      <c r="C979" s="6">
        <v>16</v>
      </c>
      <c r="D979" s="6" t="str">
        <f t="shared" si="31"/>
        <v>Processing and Presering of Foods</v>
      </c>
      <c r="E979" s="6">
        <v>781679</v>
      </c>
      <c r="F979" s="6">
        <v>81746</v>
      </c>
      <c r="G979" s="6">
        <v>0</v>
      </c>
      <c r="H979" s="6">
        <v>10551</v>
      </c>
      <c r="I979" s="6">
        <v>0</v>
      </c>
    </row>
    <row r="980" spans="1:9">
      <c r="A980" s="6">
        <v>3</v>
      </c>
      <c r="B980" s="6" t="str">
        <f t="shared" si="30"/>
        <v>Cassava</v>
      </c>
      <c r="C980" s="6">
        <v>16</v>
      </c>
      <c r="D980" s="6" t="str">
        <f t="shared" si="31"/>
        <v>Processing and Presering of Foods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</row>
    <row r="981" spans="1:9">
      <c r="A981" s="6">
        <v>4</v>
      </c>
      <c r="B981" s="6" t="str">
        <f t="shared" si="30"/>
        <v>Beans and Nuts</v>
      </c>
      <c r="C981" s="6">
        <v>16</v>
      </c>
      <c r="D981" s="6" t="str">
        <f t="shared" si="31"/>
        <v>Processing and Presering of Foods</v>
      </c>
      <c r="E981" s="6">
        <v>12724250</v>
      </c>
      <c r="F981" s="6">
        <v>123405</v>
      </c>
      <c r="G981" s="6">
        <v>92328</v>
      </c>
      <c r="H981" s="6">
        <v>17652</v>
      </c>
      <c r="I981" s="6">
        <v>12422642</v>
      </c>
    </row>
    <row r="982" spans="1:9">
      <c r="A982" s="6">
        <v>5</v>
      </c>
      <c r="B982" s="6" t="str">
        <f t="shared" si="30"/>
        <v>Vegetables and Fruits</v>
      </c>
      <c r="C982" s="6">
        <v>16</v>
      </c>
      <c r="D982" s="6" t="str">
        <f t="shared" si="31"/>
        <v>Processing and Presering of Foods</v>
      </c>
      <c r="E982" s="6">
        <v>60639500</v>
      </c>
      <c r="F982" s="6">
        <v>3425738</v>
      </c>
      <c r="G982" s="6">
        <v>4781800</v>
      </c>
      <c r="H982" s="6">
        <v>709651</v>
      </c>
      <c r="I982" s="6">
        <v>3379967</v>
      </c>
    </row>
    <row r="983" spans="1:9">
      <c r="A983" s="6">
        <v>6</v>
      </c>
      <c r="B983" s="6" t="str">
        <f t="shared" si="30"/>
        <v>Sugarcane</v>
      </c>
      <c r="C983" s="6">
        <v>16</v>
      </c>
      <c r="D983" s="6" t="str">
        <f t="shared" si="31"/>
        <v>Processing and Presering of Foods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</row>
    <row r="984" spans="1:9">
      <c r="A984" s="6">
        <v>7</v>
      </c>
      <c r="B984" s="6" t="str">
        <f t="shared" si="30"/>
        <v>Rubber (Latex)</v>
      </c>
      <c r="C984" s="6">
        <v>16</v>
      </c>
      <c r="D984" s="6" t="str">
        <f t="shared" si="31"/>
        <v>Processing and Presering of Foods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</row>
    <row r="985" spans="1:9">
      <c r="A985" s="6">
        <v>8</v>
      </c>
      <c r="B985" s="6" t="str">
        <f t="shared" si="30"/>
        <v>Other Crops</v>
      </c>
      <c r="C985" s="6">
        <v>16</v>
      </c>
      <c r="D985" s="6" t="str">
        <f t="shared" si="31"/>
        <v>Processing and Presering of Foods</v>
      </c>
      <c r="E985" s="6">
        <v>85851714</v>
      </c>
      <c r="F985" s="6">
        <v>2404344</v>
      </c>
      <c r="G985" s="6">
        <v>80090</v>
      </c>
      <c r="H985" s="6">
        <v>861342</v>
      </c>
      <c r="I985" s="6">
        <v>7088869</v>
      </c>
    </row>
    <row r="986" spans="1:9">
      <c r="A986" s="6">
        <v>9</v>
      </c>
      <c r="B986" s="6" t="str">
        <f t="shared" si="30"/>
        <v>Livestock</v>
      </c>
      <c r="C986" s="6">
        <v>16</v>
      </c>
      <c r="D986" s="6" t="str">
        <f t="shared" si="31"/>
        <v>Processing and Presering of Foods</v>
      </c>
      <c r="E986" s="6">
        <v>19003354</v>
      </c>
      <c r="F986" s="6">
        <v>569701</v>
      </c>
      <c r="G986" s="6">
        <v>0</v>
      </c>
      <c r="H986" s="6">
        <v>136497</v>
      </c>
      <c r="I986" s="6">
        <v>0</v>
      </c>
    </row>
    <row r="987" spans="1:9">
      <c r="A987" s="6">
        <v>10</v>
      </c>
      <c r="B987" s="6" t="str">
        <f t="shared" si="30"/>
        <v>Forestry</v>
      </c>
      <c r="C987" s="6">
        <v>16</v>
      </c>
      <c r="D987" s="6" t="str">
        <f t="shared" si="31"/>
        <v>Processing and Presering of Foods</v>
      </c>
      <c r="E987" s="6">
        <v>43408</v>
      </c>
      <c r="F987" s="6">
        <v>4441</v>
      </c>
      <c r="G987" s="6">
        <v>7613</v>
      </c>
      <c r="H987" s="6">
        <v>1006</v>
      </c>
      <c r="I987" s="6">
        <v>4566</v>
      </c>
    </row>
    <row r="988" spans="1:9">
      <c r="A988" s="6">
        <v>11</v>
      </c>
      <c r="B988" s="6" t="str">
        <f t="shared" si="30"/>
        <v>Fishery</v>
      </c>
      <c r="C988" s="6">
        <v>16</v>
      </c>
      <c r="D988" s="6" t="str">
        <f t="shared" si="31"/>
        <v>Processing and Presering of Foods</v>
      </c>
      <c r="E988" s="6">
        <v>82007018</v>
      </c>
      <c r="F988" s="6">
        <v>8550212</v>
      </c>
      <c r="G988" s="6">
        <v>8389977</v>
      </c>
      <c r="H988" s="6">
        <v>1625208</v>
      </c>
      <c r="I988" s="6">
        <v>399940</v>
      </c>
    </row>
    <row r="989" spans="1:9">
      <c r="A989" s="6">
        <v>12</v>
      </c>
      <c r="B989" s="6" t="str">
        <f t="shared" si="30"/>
        <v>Crude Oil and Coal</v>
      </c>
      <c r="C989" s="6">
        <v>16</v>
      </c>
      <c r="D989" s="6" t="str">
        <f t="shared" si="31"/>
        <v>Processing and Presering of Foods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</row>
    <row r="990" spans="1:9">
      <c r="A990" s="6">
        <v>13</v>
      </c>
      <c r="B990" s="6" t="str">
        <f t="shared" si="30"/>
        <v>Metal Ore</v>
      </c>
      <c r="C990" s="6">
        <v>16</v>
      </c>
      <c r="D990" s="6" t="str">
        <f t="shared" si="31"/>
        <v>Processing and Presering of Foods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</row>
    <row r="991" spans="1:9">
      <c r="A991" s="6">
        <v>14</v>
      </c>
      <c r="B991" s="6" t="str">
        <f t="shared" si="30"/>
        <v>Non-Metal Ore</v>
      </c>
      <c r="C991" s="6">
        <v>16</v>
      </c>
      <c r="D991" s="6" t="str">
        <f t="shared" si="31"/>
        <v>Processing and Presering of Foods</v>
      </c>
      <c r="E991" s="6">
        <v>710744</v>
      </c>
      <c r="F991" s="6">
        <v>60216</v>
      </c>
      <c r="G991" s="6">
        <v>50617</v>
      </c>
      <c r="H991" s="6">
        <v>17221</v>
      </c>
      <c r="I991" s="6">
        <v>0</v>
      </c>
    </row>
    <row r="992" spans="1:9">
      <c r="A992" s="6">
        <v>15</v>
      </c>
      <c r="B992" s="6" t="str">
        <f t="shared" si="30"/>
        <v>Slaughtering</v>
      </c>
      <c r="C992" s="6">
        <v>16</v>
      </c>
      <c r="D992" s="6" t="str">
        <f t="shared" si="31"/>
        <v>Processing and Presering of Foods</v>
      </c>
      <c r="E992" s="6">
        <v>77021461</v>
      </c>
      <c r="F992" s="6">
        <v>327307</v>
      </c>
      <c r="G992" s="6">
        <v>16492</v>
      </c>
      <c r="H992" s="6">
        <v>169139</v>
      </c>
      <c r="I992" s="6">
        <v>0</v>
      </c>
    </row>
    <row r="993" spans="1:9">
      <c r="A993" s="6">
        <v>16</v>
      </c>
      <c r="B993" s="6" t="str">
        <f t="shared" si="30"/>
        <v>Processing and Presering of Foods</v>
      </c>
      <c r="C993" s="6">
        <v>16</v>
      </c>
      <c r="D993" s="6" t="str">
        <f t="shared" si="31"/>
        <v>Processing and Presering of Foods</v>
      </c>
      <c r="E993" s="6">
        <v>97450615</v>
      </c>
      <c r="F993" s="6">
        <v>1572916</v>
      </c>
      <c r="G993" s="6">
        <v>2162883</v>
      </c>
      <c r="H993" s="6">
        <v>902701</v>
      </c>
      <c r="I993" s="6">
        <v>49535399</v>
      </c>
    </row>
    <row r="994" spans="1:9">
      <c r="A994" s="6">
        <v>17</v>
      </c>
      <c r="B994" s="6" t="str">
        <f t="shared" si="30"/>
        <v>Rice and Other Grain Milling</v>
      </c>
      <c r="C994" s="6">
        <v>16</v>
      </c>
      <c r="D994" s="6" t="str">
        <f t="shared" si="31"/>
        <v>Processing and Presering of Foods</v>
      </c>
      <c r="E994" s="6">
        <v>7906992</v>
      </c>
      <c r="F994" s="6">
        <v>257004</v>
      </c>
      <c r="G994" s="6">
        <v>316517</v>
      </c>
      <c r="H994" s="6">
        <v>100181</v>
      </c>
      <c r="I994" s="6">
        <v>344691</v>
      </c>
    </row>
    <row r="995" spans="1:9">
      <c r="A995" s="6">
        <v>18</v>
      </c>
      <c r="B995" s="6" t="str">
        <f t="shared" si="30"/>
        <v>Sugar Refineries</v>
      </c>
      <c r="C995" s="6">
        <v>16</v>
      </c>
      <c r="D995" s="6" t="str">
        <f t="shared" si="31"/>
        <v>Processing and Presering of Foods</v>
      </c>
      <c r="E995" s="6">
        <v>26957938</v>
      </c>
      <c r="F995" s="6">
        <v>384191</v>
      </c>
      <c r="G995" s="6">
        <v>639756</v>
      </c>
      <c r="H995" s="6">
        <v>324838</v>
      </c>
      <c r="I995" s="6">
        <v>1002873</v>
      </c>
    </row>
    <row r="996" spans="1:9">
      <c r="A996" s="6">
        <v>19</v>
      </c>
      <c r="B996" s="6" t="str">
        <f t="shared" si="30"/>
        <v>Other Foods</v>
      </c>
      <c r="C996" s="6">
        <v>16</v>
      </c>
      <c r="D996" s="6" t="str">
        <f t="shared" si="31"/>
        <v>Processing and Presering of Foods</v>
      </c>
      <c r="E996" s="6">
        <v>22317098</v>
      </c>
      <c r="F996" s="6">
        <v>586871</v>
      </c>
      <c r="G996" s="6">
        <v>1639559</v>
      </c>
      <c r="H996" s="6">
        <v>323739</v>
      </c>
      <c r="I996" s="6">
        <v>4589279</v>
      </c>
    </row>
    <row r="997" spans="1:9">
      <c r="A997" s="6">
        <v>20</v>
      </c>
      <c r="B997" s="6" t="str">
        <f t="shared" si="30"/>
        <v>Animal Food</v>
      </c>
      <c r="C997" s="6">
        <v>16</v>
      </c>
      <c r="D997" s="6" t="str">
        <f t="shared" si="31"/>
        <v>Processing and Presering of Foods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</row>
    <row r="998" spans="1:9">
      <c r="A998" s="6">
        <v>21</v>
      </c>
      <c r="B998" s="6" t="str">
        <f t="shared" si="30"/>
        <v>Beverages</v>
      </c>
      <c r="C998" s="6">
        <v>16</v>
      </c>
      <c r="D998" s="6" t="str">
        <f t="shared" si="31"/>
        <v>Processing and Presering of Foods</v>
      </c>
      <c r="E998" s="6">
        <v>101721</v>
      </c>
      <c r="F998" s="6">
        <v>7493</v>
      </c>
      <c r="G998" s="6">
        <v>12319</v>
      </c>
      <c r="H998" s="6">
        <v>2390</v>
      </c>
      <c r="I998" s="6">
        <v>0</v>
      </c>
    </row>
    <row r="999" spans="1:9">
      <c r="A999" s="6">
        <v>22</v>
      </c>
      <c r="B999" s="6" t="str">
        <f t="shared" si="30"/>
        <v>Tobacco Processing and Products</v>
      </c>
      <c r="C999" s="6">
        <v>16</v>
      </c>
      <c r="D999" s="6" t="str">
        <f t="shared" si="31"/>
        <v>Processing and Presering of Foods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</row>
    <row r="1000" spans="1:9">
      <c r="A1000" s="6">
        <v>23</v>
      </c>
      <c r="B1000" s="6" t="str">
        <f t="shared" si="30"/>
        <v>Spinning, Weaving and Bleaching</v>
      </c>
      <c r="C1000" s="6">
        <v>16</v>
      </c>
      <c r="D1000" s="6" t="str">
        <f t="shared" si="31"/>
        <v>Processing and Presering of Foods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</row>
    <row r="1001" spans="1:9">
      <c r="A1001" s="6">
        <v>24</v>
      </c>
      <c r="B1001" s="6" t="str">
        <f t="shared" si="30"/>
        <v>Textile Products</v>
      </c>
      <c r="C1001" s="6">
        <v>16</v>
      </c>
      <c r="D1001" s="6" t="str">
        <f t="shared" si="31"/>
        <v>Processing and Presering of Foods</v>
      </c>
      <c r="E1001" s="6">
        <v>65</v>
      </c>
      <c r="F1001" s="6">
        <v>0</v>
      </c>
      <c r="G1001" s="6">
        <v>2</v>
      </c>
      <c r="H1001" s="6">
        <v>0</v>
      </c>
      <c r="I1001" s="6">
        <v>0</v>
      </c>
    </row>
    <row r="1002" spans="1:9">
      <c r="A1002" s="6">
        <v>25</v>
      </c>
      <c r="B1002" s="6" t="str">
        <f t="shared" si="30"/>
        <v>Paper and Paper Products</v>
      </c>
      <c r="C1002" s="6">
        <v>16</v>
      </c>
      <c r="D1002" s="6" t="str">
        <f t="shared" si="31"/>
        <v>Processing and Presering of Foods</v>
      </c>
      <c r="E1002" s="6">
        <v>3710481</v>
      </c>
      <c r="F1002" s="6">
        <v>283741</v>
      </c>
      <c r="G1002" s="6">
        <v>204003</v>
      </c>
      <c r="H1002" s="6">
        <v>39803</v>
      </c>
      <c r="I1002" s="6">
        <v>1683607</v>
      </c>
    </row>
    <row r="1003" spans="1:9">
      <c r="A1003" s="6">
        <v>26</v>
      </c>
      <c r="B1003" s="6" t="str">
        <f t="shared" si="30"/>
        <v>Printing and Publishing</v>
      </c>
      <c r="C1003" s="6">
        <v>16</v>
      </c>
      <c r="D1003" s="6" t="str">
        <f t="shared" si="31"/>
        <v>Processing and Presering of Foods</v>
      </c>
      <c r="E1003" s="6">
        <v>11925</v>
      </c>
      <c r="F1003" s="6">
        <v>979</v>
      </c>
      <c r="G1003" s="6">
        <v>1787</v>
      </c>
      <c r="H1003" s="6">
        <v>128</v>
      </c>
      <c r="I1003" s="6">
        <v>0</v>
      </c>
    </row>
    <row r="1004" spans="1:9">
      <c r="A1004" s="6">
        <v>27</v>
      </c>
      <c r="B1004" s="6" t="str">
        <f t="shared" si="30"/>
        <v>Basic Chemical Products</v>
      </c>
      <c r="C1004" s="6">
        <v>16</v>
      </c>
      <c r="D1004" s="6" t="str">
        <f t="shared" si="31"/>
        <v>Processing and Presering of Foods</v>
      </c>
      <c r="E1004" s="6">
        <v>5935966</v>
      </c>
      <c r="F1004" s="6">
        <v>382300</v>
      </c>
      <c r="G1004" s="6">
        <v>229082</v>
      </c>
      <c r="H1004" s="6">
        <v>106938</v>
      </c>
      <c r="I1004" s="6">
        <v>3270968</v>
      </c>
    </row>
    <row r="1005" spans="1:9">
      <c r="A1005" s="6">
        <v>28</v>
      </c>
      <c r="B1005" s="6" t="str">
        <f t="shared" si="30"/>
        <v>Fertilizer and Pesticides</v>
      </c>
      <c r="C1005" s="6">
        <v>16</v>
      </c>
      <c r="D1005" s="6" t="str">
        <f t="shared" si="31"/>
        <v>Processing and Presering of Foods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</row>
    <row r="1006" spans="1:9">
      <c r="A1006" s="6">
        <v>29</v>
      </c>
      <c r="B1006" s="6" t="str">
        <f t="shared" si="30"/>
        <v>Other Chemical Products</v>
      </c>
      <c r="C1006" s="6">
        <v>16</v>
      </c>
      <c r="D1006" s="6" t="str">
        <f t="shared" si="31"/>
        <v>Processing and Presering of Foods</v>
      </c>
      <c r="E1006" s="6">
        <v>4731026</v>
      </c>
      <c r="F1006" s="6">
        <v>547756</v>
      </c>
      <c r="G1006" s="6">
        <v>733497</v>
      </c>
      <c r="H1006" s="6">
        <v>30959</v>
      </c>
      <c r="I1006" s="6">
        <v>79985</v>
      </c>
    </row>
    <row r="1007" spans="1:9">
      <c r="A1007" s="6">
        <v>30</v>
      </c>
      <c r="B1007" s="6" t="str">
        <f t="shared" si="30"/>
        <v>Petroleum Refineries</v>
      </c>
      <c r="C1007" s="6">
        <v>16</v>
      </c>
      <c r="D1007" s="6" t="str">
        <f t="shared" si="31"/>
        <v>Processing and Presering of Foods</v>
      </c>
      <c r="E1007" s="6">
        <v>8351672</v>
      </c>
      <c r="F1007" s="6">
        <v>423997</v>
      </c>
      <c r="G1007" s="6">
        <v>549105</v>
      </c>
      <c r="H1007" s="6">
        <v>82477</v>
      </c>
      <c r="I1007" s="6">
        <v>1609623</v>
      </c>
    </row>
    <row r="1008" spans="1:9">
      <c r="A1008" s="6">
        <v>31</v>
      </c>
      <c r="B1008" s="6" t="str">
        <f t="shared" si="30"/>
        <v>Rubber Products</v>
      </c>
      <c r="C1008" s="6">
        <v>16</v>
      </c>
      <c r="D1008" s="6" t="str">
        <f t="shared" si="31"/>
        <v>Processing and Presering of Foods</v>
      </c>
      <c r="E1008" s="6">
        <v>295456</v>
      </c>
      <c r="F1008" s="6">
        <v>25885</v>
      </c>
      <c r="G1008" s="6">
        <v>41642</v>
      </c>
      <c r="H1008" s="6">
        <v>7981</v>
      </c>
      <c r="I1008" s="6">
        <v>0</v>
      </c>
    </row>
    <row r="1009" spans="1:9">
      <c r="A1009" s="6">
        <v>32</v>
      </c>
      <c r="B1009" s="6" t="str">
        <f t="shared" si="30"/>
        <v>Plastic Wares</v>
      </c>
      <c r="C1009" s="6">
        <v>16</v>
      </c>
      <c r="D1009" s="6" t="str">
        <f t="shared" si="31"/>
        <v>Processing and Presering of Foods</v>
      </c>
      <c r="E1009" s="6">
        <v>17014440</v>
      </c>
      <c r="F1009" s="6">
        <v>886769</v>
      </c>
      <c r="G1009" s="6">
        <v>1034750</v>
      </c>
      <c r="H1009" s="6">
        <v>157098</v>
      </c>
      <c r="I1009" s="6">
        <v>7711531</v>
      </c>
    </row>
    <row r="1010" spans="1:9">
      <c r="A1010" s="6">
        <v>33</v>
      </c>
      <c r="B1010" s="6" t="str">
        <f t="shared" si="30"/>
        <v>Cement and Concrete Products</v>
      </c>
      <c r="C1010" s="6">
        <v>16</v>
      </c>
      <c r="D1010" s="6" t="str">
        <f t="shared" si="31"/>
        <v>Processing and Presering of Foods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</row>
    <row r="1011" spans="1:9">
      <c r="A1011" s="6">
        <v>34</v>
      </c>
      <c r="B1011" s="6" t="str">
        <f t="shared" si="30"/>
        <v>Other Non-metallic Products</v>
      </c>
      <c r="C1011" s="6">
        <v>16</v>
      </c>
      <c r="D1011" s="6" t="str">
        <f t="shared" si="31"/>
        <v>Processing and Presering of Foods</v>
      </c>
      <c r="E1011" s="6">
        <v>206497</v>
      </c>
      <c r="F1011" s="6">
        <v>20357</v>
      </c>
      <c r="G1011" s="6">
        <v>20528</v>
      </c>
      <c r="H1011" s="6">
        <v>2851</v>
      </c>
      <c r="I1011" s="6">
        <v>0</v>
      </c>
    </row>
    <row r="1012" spans="1:9">
      <c r="A1012" s="6">
        <v>35</v>
      </c>
      <c r="B1012" s="6" t="str">
        <f t="shared" si="30"/>
        <v>Iron and Steel</v>
      </c>
      <c r="C1012" s="6">
        <v>16</v>
      </c>
      <c r="D1012" s="6" t="str">
        <f t="shared" si="31"/>
        <v>Processing and Presering of Foods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</row>
    <row r="1013" spans="1:9">
      <c r="A1013" s="6">
        <v>36</v>
      </c>
      <c r="B1013" s="6" t="str">
        <f t="shared" si="30"/>
        <v>Non-ferrous Metal</v>
      </c>
      <c r="C1013" s="6">
        <v>16</v>
      </c>
      <c r="D1013" s="6" t="str">
        <f t="shared" si="31"/>
        <v>Processing and Presering of Foods</v>
      </c>
      <c r="E1013" s="6">
        <v>554221</v>
      </c>
      <c r="F1013" s="6">
        <v>18473</v>
      </c>
      <c r="G1013" s="6">
        <v>8485</v>
      </c>
      <c r="H1013" s="6">
        <v>758</v>
      </c>
      <c r="I1013" s="6">
        <v>333514</v>
      </c>
    </row>
    <row r="1014" spans="1:9">
      <c r="A1014" s="6">
        <v>37</v>
      </c>
      <c r="B1014" s="6" t="str">
        <f t="shared" si="30"/>
        <v>Fabricated Metal Products</v>
      </c>
      <c r="C1014" s="6">
        <v>16</v>
      </c>
      <c r="D1014" s="6" t="str">
        <f t="shared" si="31"/>
        <v>Processing and Presering of Foods</v>
      </c>
      <c r="E1014" s="6">
        <v>14884299</v>
      </c>
      <c r="F1014" s="6">
        <v>581146</v>
      </c>
      <c r="G1014" s="6">
        <v>1283057</v>
      </c>
      <c r="H1014" s="6">
        <v>33101</v>
      </c>
      <c r="I1014" s="6">
        <v>10927200</v>
      </c>
    </row>
    <row r="1015" spans="1:9">
      <c r="A1015" s="6">
        <v>38</v>
      </c>
      <c r="B1015" s="6" t="str">
        <f t="shared" si="30"/>
        <v>Industrial Machinery</v>
      </c>
      <c r="C1015" s="6">
        <v>16</v>
      </c>
      <c r="D1015" s="6" t="str">
        <f t="shared" si="31"/>
        <v>Processing and Presering of Foods</v>
      </c>
      <c r="E1015" s="6">
        <v>3999673</v>
      </c>
      <c r="F1015" s="6">
        <v>267911</v>
      </c>
      <c r="G1015" s="6">
        <v>0</v>
      </c>
      <c r="H1015" s="6">
        <v>42388</v>
      </c>
      <c r="I1015" s="6">
        <v>768051</v>
      </c>
    </row>
    <row r="1016" spans="1:9">
      <c r="A1016" s="6">
        <v>39</v>
      </c>
      <c r="B1016" s="6" t="str">
        <f t="shared" si="30"/>
        <v>Electrical Machinery and Apparatus</v>
      </c>
      <c r="C1016" s="6">
        <v>16</v>
      </c>
      <c r="D1016" s="6" t="str">
        <f t="shared" si="31"/>
        <v>Processing and Presering of Foods</v>
      </c>
      <c r="E1016" s="6">
        <v>460417</v>
      </c>
      <c r="F1016" s="6">
        <v>17369</v>
      </c>
      <c r="G1016" s="6">
        <v>6825</v>
      </c>
      <c r="H1016" s="6">
        <v>4325</v>
      </c>
      <c r="I1016" s="6">
        <v>0</v>
      </c>
    </row>
    <row r="1017" spans="1:9">
      <c r="A1017" s="6">
        <v>40</v>
      </c>
      <c r="B1017" s="6" t="str">
        <f t="shared" si="30"/>
        <v>Motor Vehicles and Repairing</v>
      </c>
      <c r="C1017" s="6">
        <v>16</v>
      </c>
      <c r="D1017" s="6" t="str">
        <f t="shared" si="31"/>
        <v>Processing and Presering of Foods</v>
      </c>
      <c r="E1017" s="6">
        <v>1024451</v>
      </c>
      <c r="F1017" s="6">
        <v>0</v>
      </c>
      <c r="G1017" s="6">
        <v>0</v>
      </c>
      <c r="H1017" s="6">
        <v>0</v>
      </c>
      <c r="I1017" s="6">
        <v>0</v>
      </c>
    </row>
    <row r="1018" spans="1:9">
      <c r="A1018" s="6">
        <v>41</v>
      </c>
      <c r="B1018" s="6" t="str">
        <f t="shared" si="30"/>
        <v>Other Transportation Equipment</v>
      </c>
      <c r="C1018" s="6">
        <v>16</v>
      </c>
      <c r="D1018" s="6" t="str">
        <f t="shared" si="31"/>
        <v>Processing and Presering of Foods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</row>
    <row r="1019" spans="1:9">
      <c r="A1019" s="6">
        <v>42</v>
      </c>
      <c r="B1019" s="6" t="str">
        <f t="shared" si="30"/>
        <v>Leather Products</v>
      </c>
      <c r="C1019" s="6">
        <v>16</v>
      </c>
      <c r="D1019" s="6" t="str">
        <f t="shared" si="31"/>
        <v>Processing and Presering of Foods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</row>
    <row r="1020" spans="1:9">
      <c r="A1020" s="6">
        <v>43</v>
      </c>
      <c r="B1020" s="6" t="str">
        <f t="shared" si="30"/>
        <v>Saw Mills and Wood Products</v>
      </c>
      <c r="C1020" s="6">
        <v>16</v>
      </c>
      <c r="D1020" s="6" t="str">
        <f t="shared" si="31"/>
        <v>Processing and Presering of Foods</v>
      </c>
      <c r="E1020" s="6">
        <v>21780</v>
      </c>
      <c r="F1020" s="6">
        <v>1823</v>
      </c>
      <c r="G1020" s="6">
        <v>1800</v>
      </c>
      <c r="H1020" s="6">
        <v>196</v>
      </c>
      <c r="I1020" s="6">
        <v>0</v>
      </c>
    </row>
    <row r="1021" spans="1:9">
      <c r="A1021" s="6">
        <v>44</v>
      </c>
      <c r="B1021" s="6" t="str">
        <f t="shared" si="30"/>
        <v>Other Manufacturing Products</v>
      </c>
      <c r="C1021" s="6">
        <v>16</v>
      </c>
      <c r="D1021" s="6" t="str">
        <f t="shared" si="31"/>
        <v>Processing and Presering of Foods</v>
      </c>
      <c r="E1021" s="6">
        <v>693639</v>
      </c>
      <c r="F1021" s="6">
        <v>51656</v>
      </c>
      <c r="G1021" s="6">
        <v>34415</v>
      </c>
      <c r="H1021" s="6">
        <v>7194</v>
      </c>
      <c r="I1021" s="6">
        <v>0</v>
      </c>
    </row>
    <row r="1022" spans="1:9">
      <c r="A1022" s="6">
        <v>45</v>
      </c>
      <c r="B1022" s="6" t="str">
        <f t="shared" si="30"/>
        <v>Electricity and Gas</v>
      </c>
      <c r="C1022" s="6">
        <v>16</v>
      </c>
      <c r="D1022" s="6" t="str">
        <f t="shared" si="31"/>
        <v>Processing and Presering of Foods</v>
      </c>
      <c r="E1022" s="6">
        <v>14130649</v>
      </c>
      <c r="F1022" s="6">
        <v>19312</v>
      </c>
      <c r="G1022" s="6">
        <v>48415</v>
      </c>
      <c r="H1022" s="6">
        <v>10830</v>
      </c>
      <c r="I1022" s="6">
        <v>0</v>
      </c>
    </row>
    <row r="1023" spans="1:9">
      <c r="A1023" s="6">
        <v>46</v>
      </c>
      <c r="B1023" s="6" t="str">
        <f t="shared" si="30"/>
        <v>Water Works and Supply</v>
      </c>
      <c r="C1023" s="6">
        <v>16</v>
      </c>
      <c r="D1023" s="6" t="str">
        <f t="shared" si="31"/>
        <v>Processing and Presering of Foods</v>
      </c>
      <c r="E1023" s="6">
        <v>624512</v>
      </c>
      <c r="F1023" s="6">
        <v>0</v>
      </c>
      <c r="G1023" s="6">
        <v>0</v>
      </c>
      <c r="H1023" s="6">
        <v>0</v>
      </c>
      <c r="I1023" s="6">
        <v>0</v>
      </c>
    </row>
    <row r="1024" spans="1:9">
      <c r="A1024" s="6">
        <v>47</v>
      </c>
      <c r="B1024" s="6" t="str">
        <f t="shared" si="30"/>
        <v>Building Construction</v>
      </c>
      <c r="C1024" s="6">
        <v>16</v>
      </c>
      <c r="D1024" s="6" t="str">
        <f t="shared" si="31"/>
        <v>Processing and Presering of Foods</v>
      </c>
      <c r="E1024" s="6">
        <v>606241</v>
      </c>
      <c r="F1024" s="6">
        <v>0</v>
      </c>
      <c r="G1024" s="6">
        <v>0</v>
      </c>
      <c r="H1024" s="6">
        <v>0</v>
      </c>
      <c r="I1024" s="6">
        <v>0</v>
      </c>
    </row>
    <row r="1025" spans="1:9">
      <c r="A1025" s="6">
        <v>48</v>
      </c>
      <c r="B1025" s="6" t="str">
        <f t="shared" si="30"/>
        <v>Public Works and Other Construction</v>
      </c>
      <c r="C1025" s="6">
        <v>16</v>
      </c>
      <c r="D1025" s="6" t="str">
        <f t="shared" si="31"/>
        <v>Processing and Presering of Foods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</row>
    <row r="1026" spans="1:9">
      <c r="A1026" s="6">
        <v>49</v>
      </c>
      <c r="B1026" s="6" t="str">
        <f t="shared" si="30"/>
        <v>Trade</v>
      </c>
      <c r="C1026" s="6">
        <v>16</v>
      </c>
      <c r="D1026" s="6" t="str">
        <f t="shared" si="31"/>
        <v>Processing and Presering of Foods</v>
      </c>
      <c r="E1026" s="6">
        <v>0</v>
      </c>
      <c r="F1026" s="6">
        <v>-21886356</v>
      </c>
      <c r="G1026" s="6">
        <v>-22389503</v>
      </c>
      <c r="H1026" s="6">
        <v>0</v>
      </c>
      <c r="I1026" s="6">
        <v>0</v>
      </c>
    </row>
    <row r="1027" spans="1:9">
      <c r="A1027" s="6">
        <v>50</v>
      </c>
      <c r="B1027" s="6" t="str">
        <f t="shared" si="30"/>
        <v>Restaurants and Hotels</v>
      </c>
      <c r="C1027" s="6">
        <v>16</v>
      </c>
      <c r="D1027" s="6" t="str">
        <f t="shared" si="31"/>
        <v>Processing and Presering of Foods</v>
      </c>
      <c r="E1027" s="6">
        <v>1607594</v>
      </c>
      <c r="F1027" s="6">
        <v>0</v>
      </c>
      <c r="G1027" s="6">
        <v>0</v>
      </c>
      <c r="H1027" s="6">
        <v>0</v>
      </c>
      <c r="I1027" s="6">
        <v>0</v>
      </c>
    </row>
    <row r="1028" spans="1:9">
      <c r="A1028" s="6">
        <v>51</v>
      </c>
      <c r="B1028" s="6" t="str">
        <f t="shared" ref="B1028:B1091" si="32">VLOOKUP(A1028,R:S,2,0)</f>
        <v>Transportation</v>
      </c>
      <c r="C1028" s="6">
        <v>16</v>
      </c>
      <c r="D1028" s="6" t="str">
        <f t="shared" ref="D1028:D1091" si="33">VLOOKUP(C1028,R:S,2,0)</f>
        <v>Processing and Presering of Foods</v>
      </c>
      <c r="E1028" s="6">
        <v>4056965</v>
      </c>
      <c r="F1028" s="6">
        <v>0</v>
      </c>
      <c r="G1028" s="6">
        <v>0</v>
      </c>
      <c r="H1028" s="6">
        <v>-5729323</v>
      </c>
      <c r="I1028" s="6">
        <v>0</v>
      </c>
    </row>
    <row r="1029" spans="1:9">
      <c r="A1029" s="6">
        <v>52</v>
      </c>
      <c r="B1029" s="6" t="str">
        <f t="shared" si="32"/>
        <v>Communication</v>
      </c>
      <c r="C1029" s="6">
        <v>16</v>
      </c>
      <c r="D1029" s="6" t="str">
        <f t="shared" si="33"/>
        <v>Processing and Presering of Foods</v>
      </c>
      <c r="E1029" s="6">
        <v>488319</v>
      </c>
      <c r="F1029" s="6">
        <v>0</v>
      </c>
      <c r="G1029" s="6">
        <v>0</v>
      </c>
      <c r="H1029" s="6">
        <v>0</v>
      </c>
      <c r="I1029" s="6">
        <v>0</v>
      </c>
    </row>
    <row r="1030" spans="1:9">
      <c r="A1030" s="6">
        <v>53</v>
      </c>
      <c r="B1030" s="6" t="str">
        <f t="shared" si="32"/>
        <v>Banking and Insurance</v>
      </c>
      <c r="C1030" s="6">
        <v>16</v>
      </c>
      <c r="D1030" s="6" t="str">
        <f t="shared" si="33"/>
        <v>Processing and Presering of Foods</v>
      </c>
      <c r="E1030" s="6">
        <v>8034673</v>
      </c>
      <c r="F1030" s="6">
        <v>0</v>
      </c>
      <c r="G1030" s="6">
        <v>0</v>
      </c>
      <c r="H1030" s="6">
        <v>0</v>
      </c>
      <c r="I1030" s="6">
        <v>0</v>
      </c>
    </row>
    <row r="1031" spans="1:9">
      <c r="A1031" s="6">
        <v>54</v>
      </c>
      <c r="B1031" s="6" t="str">
        <f t="shared" si="32"/>
        <v>Real Estate</v>
      </c>
      <c r="C1031" s="6">
        <v>16</v>
      </c>
      <c r="D1031" s="6" t="str">
        <f t="shared" si="33"/>
        <v>Processing and Presering of Foods</v>
      </c>
      <c r="E1031" s="6">
        <v>616160</v>
      </c>
      <c r="F1031" s="6">
        <v>0</v>
      </c>
      <c r="G1031" s="6">
        <v>0</v>
      </c>
      <c r="H1031" s="6">
        <v>0</v>
      </c>
      <c r="I1031" s="6">
        <v>0</v>
      </c>
    </row>
    <row r="1032" spans="1:9">
      <c r="A1032" s="6">
        <v>55</v>
      </c>
      <c r="B1032" s="6" t="str">
        <f t="shared" si="32"/>
        <v>Business Services</v>
      </c>
      <c r="C1032" s="6">
        <v>16</v>
      </c>
      <c r="D1032" s="6" t="str">
        <f t="shared" si="33"/>
        <v>Processing and Presering of Foods</v>
      </c>
      <c r="E1032" s="6">
        <v>16522492</v>
      </c>
      <c r="F1032" s="6">
        <v>0</v>
      </c>
      <c r="G1032" s="6">
        <v>0</v>
      </c>
      <c r="H1032" s="6">
        <v>0</v>
      </c>
      <c r="I1032" s="6">
        <v>0</v>
      </c>
    </row>
    <row r="1033" spans="1:9">
      <c r="A1033" s="6">
        <v>56</v>
      </c>
      <c r="B1033" s="6" t="str">
        <f t="shared" si="32"/>
        <v>Public Services</v>
      </c>
      <c r="C1033" s="6">
        <v>16</v>
      </c>
      <c r="D1033" s="6" t="str">
        <f t="shared" si="33"/>
        <v>Processing and Presering of Foods</v>
      </c>
      <c r="E1033" s="6">
        <v>408981</v>
      </c>
      <c r="F1033" s="6">
        <v>0</v>
      </c>
      <c r="G1033" s="6">
        <v>0</v>
      </c>
      <c r="H1033" s="6">
        <v>0</v>
      </c>
      <c r="I1033" s="6">
        <v>0</v>
      </c>
    </row>
    <row r="1034" spans="1:9">
      <c r="A1034" s="6">
        <v>57</v>
      </c>
      <c r="B1034" s="6" t="str">
        <f t="shared" si="32"/>
        <v>Other Services</v>
      </c>
      <c r="C1034" s="6">
        <v>16</v>
      </c>
      <c r="D1034" s="6" t="str">
        <f t="shared" si="33"/>
        <v>Processing and Presering of Foods</v>
      </c>
      <c r="E1034" s="6">
        <v>1030642</v>
      </c>
      <c r="F1034" s="6">
        <v>0</v>
      </c>
      <c r="G1034" s="6">
        <v>0</v>
      </c>
      <c r="H1034" s="6">
        <v>0</v>
      </c>
      <c r="I1034" s="6">
        <v>0</v>
      </c>
    </row>
    <row r="1035" spans="1:9">
      <c r="A1035" s="6">
        <v>58</v>
      </c>
      <c r="B1035" s="6" t="str">
        <f t="shared" si="32"/>
        <v>Unclassified</v>
      </c>
      <c r="C1035" s="6">
        <v>16</v>
      </c>
      <c r="D1035" s="6" t="str">
        <f t="shared" si="33"/>
        <v>Processing and Presering of Foods</v>
      </c>
      <c r="E1035" s="6">
        <v>7092271</v>
      </c>
      <c r="F1035" s="6">
        <v>0</v>
      </c>
      <c r="G1035" s="6">
        <v>0</v>
      </c>
      <c r="H1035" s="6">
        <v>0</v>
      </c>
      <c r="I1035" s="6">
        <v>750775</v>
      </c>
    </row>
    <row r="1036" spans="1:9">
      <c r="A1036" s="6">
        <v>190</v>
      </c>
      <c r="B1036" s="6" t="str">
        <f t="shared" si="32"/>
        <v>Total Intermedite Transaction</v>
      </c>
      <c r="C1036" s="6">
        <v>16</v>
      </c>
      <c r="D1036" s="6" t="str">
        <f t="shared" si="33"/>
        <v>Processing and Presering of Foods</v>
      </c>
      <c r="E1036" s="6">
        <v>610662137</v>
      </c>
      <c r="F1036" s="6">
        <v>0</v>
      </c>
      <c r="G1036" s="6">
        <v>0</v>
      </c>
      <c r="H1036" s="6">
        <v>0</v>
      </c>
      <c r="I1036" s="6">
        <v>105903480</v>
      </c>
    </row>
    <row r="1037" spans="1:9">
      <c r="A1037" s="6">
        <v>201</v>
      </c>
      <c r="B1037" s="6" t="str">
        <f t="shared" si="32"/>
        <v>Wages and Salaries</v>
      </c>
      <c r="C1037" s="6">
        <v>16</v>
      </c>
      <c r="D1037" s="6" t="str">
        <f t="shared" si="33"/>
        <v>Processing and Presering of Foods</v>
      </c>
      <c r="E1037" s="6">
        <v>39310178</v>
      </c>
      <c r="F1037" s="6">
        <v>0</v>
      </c>
      <c r="G1037" s="6">
        <v>0</v>
      </c>
      <c r="H1037" s="6">
        <v>0</v>
      </c>
      <c r="I1037" s="6">
        <v>0</v>
      </c>
    </row>
    <row r="1038" spans="1:9">
      <c r="A1038" s="6">
        <v>202</v>
      </c>
      <c r="B1038" s="6" t="str">
        <f t="shared" si="32"/>
        <v>Operating Surplus</v>
      </c>
      <c r="C1038" s="6">
        <v>16</v>
      </c>
      <c r="D1038" s="6" t="str">
        <f t="shared" si="33"/>
        <v>Processing and Presering of Foods</v>
      </c>
      <c r="E1038" s="6">
        <v>65093679</v>
      </c>
      <c r="F1038" s="6">
        <v>0</v>
      </c>
      <c r="G1038" s="6">
        <v>0</v>
      </c>
      <c r="H1038" s="6">
        <v>0</v>
      </c>
      <c r="I1038" s="6">
        <v>0</v>
      </c>
    </row>
    <row r="1039" spans="1:9">
      <c r="A1039" s="6">
        <v>203</v>
      </c>
      <c r="B1039" s="6" t="str">
        <f t="shared" si="32"/>
        <v>Depreciation</v>
      </c>
      <c r="C1039" s="6">
        <v>16</v>
      </c>
      <c r="D1039" s="6" t="str">
        <f t="shared" si="33"/>
        <v>Processing and Presering of Foods</v>
      </c>
      <c r="E1039" s="6">
        <v>33751869</v>
      </c>
      <c r="F1039" s="6">
        <v>0</v>
      </c>
      <c r="G1039" s="6">
        <v>0</v>
      </c>
      <c r="H1039" s="6">
        <v>0</v>
      </c>
      <c r="I1039" s="6">
        <v>0</v>
      </c>
    </row>
    <row r="1040" spans="1:9">
      <c r="A1040" s="6">
        <v>204</v>
      </c>
      <c r="B1040" s="6" t="str">
        <f t="shared" si="32"/>
        <v>Indirect Taxes less Subsidies</v>
      </c>
      <c r="C1040" s="6">
        <v>16</v>
      </c>
      <c r="D1040" s="6" t="str">
        <f t="shared" si="33"/>
        <v>Processing and Presering of Foods</v>
      </c>
      <c r="E1040" s="6">
        <v>22090987</v>
      </c>
      <c r="F1040" s="6">
        <v>0</v>
      </c>
      <c r="G1040" s="6">
        <v>0</v>
      </c>
      <c r="H1040" s="6">
        <v>0</v>
      </c>
      <c r="I1040" s="6">
        <v>0</v>
      </c>
    </row>
    <row r="1041" spans="1:9">
      <c r="A1041" s="6">
        <v>209</v>
      </c>
      <c r="B1041" s="6" t="str">
        <f t="shared" si="32"/>
        <v>Total Value Added</v>
      </c>
      <c r="C1041" s="6">
        <v>16</v>
      </c>
      <c r="D1041" s="6" t="str">
        <f t="shared" si="33"/>
        <v>Processing and Presering of Foods</v>
      </c>
      <c r="E1041" s="6">
        <v>160246713</v>
      </c>
      <c r="F1041" s="6">
        <v>0</v>
      </c>
      <c r="G1041" s="6">
        <v>0</v>
      </c>
      <c r="H1041" s="6">
        <v>0</v>
      </c>
      <c r="I1041" s="6">
        <v>0</v>
      </c>
    </row>
    <row r="1042" spans="1:9">
      <c r="A1042" s="6">
        <v>210</v>
      </c>
      <c r="B1042" s="6" t="str">
        <f t="shared" si="32"/>
        <v>Control Total</v>
      </c>
      <c r="C1042" s="6">
        <v>16</v>
      </c>
      <c r="D1042" s="6" t="str">
        <f t="shared" si="33"/>
        <v>Processing and Presering of Foods</v>
      </c>
      <c r="E1042" s="6">
        <v>770908850</v>
      </c>
      <c r="F1042" s="6">
        <v>0</v>
      </c>
      <c r="G1042" s="6">
        <v>0</v>
      </c>
      <c r="H1042" s="6">
        <v>0</v>
      </c>
      <c r="I1042" s="6">
        <v>0</v>
      </c>
    </row>
    <row r="1043" spans="1:9">
      <c r="A1043" s="6">
        <v>1</v>
      </c>
      <c r="B1043" s="6" t="str">
        <f t="shared" si="32"/>
        <v>Paddy</v>
      </c>
      <c r="C1043" s="6">
        <v>17</v>
      </c>
      <c r="D1043" s="6" t="str">
        <f t="shared" si="33"/>
        <v>Rice and Other Grain Milling</v>
      </c>
      <c r="E1043" s="6">
        <v>300553587</v>
      </c>
      <c r="F1043" s="6">
        <v>14197819</v>
      </c>
      <c r="G1043" s="6">
        <v>183955</v>
      </c>
      <c r="H1043" s="6">
        <v>1860536</v>
      </c>
      <c r="I1043" s="6">
        <v>0</v>
      </c>
    </row>
    <row r="1044" spans="1:9">
      <c r="A1044" s="6">
        <v>2</v>
      </c>
      <c r="B1044" s="6" t="str">
        <f t="shared" si="32"/>
        <v>Maize</v>
      </c>
      <c r="C1044" s="6">
        <v>17</v>
      </c>
      <c r="D1044" s="6" t="str">
        <f t="shared" si="33"/>
        <v>Rice and Other Grain Milling</v>
      </c>
      <c r="E1044" s="6">
        <v>861722</v>
      </c>
      <c r="F1044" s="6">
        <v>36877</v>
      </c>
      <c r="G1044" s="6">
        <v>0</v>
      </c>
      <c r="H1044" s="6">
        <v>6725</v>
      </c>
      <c r="I1044" s="6">
        <v>24690</v>
      </c>
    </row>
    <row r="1045" spans="1:9">
      <c r="A1045" s="6">
        <v>3</v>
      </c>
      <c r="B1045" s="6" t="str">
        <f t="shared" si="32"/>
        <v>Cassava</v>
      </c>
      <c r="C1045" s="6">
        <v>17</v>
      </c>
      <c r="D1045" s="6" t="str">
        <f t="shared" si="33"/>
        <v>Rice and Other Grain Milling</v>
      </c>
      <c r="E1045" s="6">
        <v>53738757</v>
      </c>
      <c r="F1045" s="6">
        <v>1361994</v>
      </c>
      <c r="G1045" s="6">
        <v>0</v>
      </c>
      <c r="H1045" s="6">
        <v>385044</v>
      </c>
      <c r="I1045" s="6">
        <v>0</v>
      </c>
    </row>
    <row r="1046" spans="1:9">
      <c r="A1046" s="6">
        <v>4</v>
      </c>
      <c r="B1046" s="6" t="str">
        <f t="shared" si="32"/>
        <v>Beans and Nuts</v>
      </c>
      <c r="C1046" s="6">
        <v>17</v>
      </c>
      <c r="D1046" s="6" t="str">
        <f t="shared" si="33"/>
        <v>Rice and Other Grain Milling</v>
      </c>
      <c r="E1046" s="6">
        <v>942118</v>
      </c>
      <c r="F1046" s="6">
        <v>18891</v>
      </c>
      <c r="G1046" s="6">
        <v>13441</v>
      </c>
      <c r="H1046" s="6">
        <v>1354</v>
      </c>
      <c r="I1046" s="6">
        <v>899778</v>
      </c>
    </row>
    <row r="1047" spans="1:9">
      <c r="A1047" s="6">
        <v>5</v>
      </c>
      <c r="B1047" s="6" t="str">
        <f t="shared" si="32"/>
        <v>Vegetables and Fruits</v>
      </c>
      <c r="C1047" s="6">
        <v>17</v>
      </c>
      <c r="D1047" s="6" t="str">
        <f t="shared" si="33"/>
        <v>Rice and Other Grain Milling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</row>
    <row r="1048" spans="1:9">
      <c r="A1048" s="6">
        <v>6</v>
      </c>
      <c r="B1048" s="6" t="str">
        <f t="shared" si="32"/>
        <v>Sugarcane</v>
      </c>
      <c r="C1048" s="6">
        <v>17</v>
      </c>
      <c r="D1048" s="6" t="str">
        <f t="shared" si="33"/>
        <v>Rice and Other Grain Milling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</row>
    <row r="1049" spans="1:9">
      <c r="A1049" s="6">
        <v>7</v>
      </c>
      <c r="B1049" s="6" t="str">
        <f t="shared" si="32"/>
        <v>Rubber (Latex)</v>
      </c>
      <c r="C1049" s="6">
        <v>17</v>
      </c>
      <c r="D1049" s="6" t="str">
        <f t="shared" si="33"/>
        <v>Rice and Other Grain Milling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</row>
    <row r="1050" spans="1:9">
      <c r="A1050" s="6">
        <v>8</v>
      </c>
      <c r="B1050" s="6" t="str">
        <f t="shared" si="32"/>
        <v>Other Crops</v>
      </c>
      <c r="C1050" s="6">
        <v>17</v>
      </c>
      <c r="D1050" s="6" t="str">
        <f t="shared" si="33"/>
        <v>Rice and Other Grain Milling</v>
      </c>
      <c r="E1050" s="6">
        <v>13343855</v>
      </c>
      <c r="F1050" s="6">
        <v>460172</v>
      </c>
      <c r="G1050" s="6">
        <v>0</v>
      </c>
      <c r="H1050" s="6">
        <v>109871</v>
      </c>
      <c r="I1050" s="6">
        <v>12308173</v>
      </c>
    </row>
    <row r="1051" spans="1:9">
      <c r="A1051" s="6">
        <v>9</v>
      </c>
      <c r="B1051" s="6" t="str">
        <f t="shared" si="32"/>
        <v>Livestock</v>
      </c>
      <c r="C1051" s="6">
        <v>17</v>
      </c>
      <c r="D1051" s="6" t="str">
        <f t="shared" si="33"/>
        <v>Rice and Other Grain Milling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</row>
    <row r="1052" spans="1:9">
      <c r="A1052" s="6">
        <v>10</v>
      </c>
      <c r="B1052" s="6" t="str">
        <f t="shared" si="32"/>
        <v>Forestry</v>
      </c>
      <c r="C1052" s="6">
        <v>17</v>
      </c>
      <c r="D1052" s="6" t="str">
        <f t="shared" si="33"/>
        <v>Rice and Other Grain Milling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</row>
    <row r="1053" spans="1:9">
      <c r="A1053" s="6">
        <v>11</v>
      </c>
      <c r="B1053" s="6" t="str">
        <f t="shared" si="32"/>
        <v>Fishery</v>
      </c>
      <c r="C1053" s="6">
        <v>17</v>
      </c>
      <c r="D1053" s="6" t="str">
        <f t="shared" si="33"/>
        <v>Rice and Other Grain Milling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</row>
    <row r="1054" spans="1:9">
      <c r="A1054" s="6">
        <v>12</v>
      </c>
      <c r="B1054" s="6" t="str">
        <f t="shared" si="32"/>
        <v>Crude Oil and Coal</v>
      </c>
      <c r="C1054" s="6">
        <v>17</v>
      </c>
      <c r="D1054" s="6" t="str">
        <f t="shared" si="33"/>
        <v>Rice and Other Grain Milling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</row>
    <row r="1055" spans="1:9">
      <c r="A1055" s="6">
        <v>13</v>
      </c>
      <c r="B1055" s="6" t="str">
        <f t="shared" si="32"/>
        <v>Metal Ore</v>
      </c>
      <c r="C1055" s="6">
        <v>17</v>
      </c>
      <c r="D1055" s="6" t="str">
        <f t="shared" si="33"/>
        <v>Rice and Other Grain Milling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</row>
    <row r="1056" spans="1:9">
      <c r="A1056" s="6">
        <v>14</v>
      </c>
      <c r="B1056" s="6" t="str">
        <f t="shared" si="32"/>
        <v>Non-Metal Ore</v>
      </c>
      <c r="C1056" s="6">
        <v>17</v>
      </c>
      <c r="D1056" s="6" t="str">
        <f t="shared" si="33"/>
        <v>Rice and Other Grain Milling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</row>
    <row r="1057" spans="1:9">
      <c r="A1057" s="6">
        <v>15</v>
      </c>
      <c r="B1057" s="6" t="str">
        <f t="shared" si="32"/>
        <v>Slaughtering</v>
      </c>
      <c r="C1057" s="6">
        <v>17</v>
      </c>
      <c r="D1057" s="6" t="str">
        <f t="shared" si="33"/>
        <v>Rice and Other Grain Milling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</row>
    <row r="1058" spans="1:9">
      <c r="A1058" s="6">
        <v>16</v>
      </c>
      <c r="B1058" s="6" t="str">
        <f t="shared" si="32"/>
        <v>Processing and Presering of Foods</v>
      </c>
      <c r="C1058" s="6">
        <v>17</v>
      </c>
      <c r="D1058" s="6" t="str">
        <f t="shared" si="33"/>
        <v>Rice and Other Grain Milling</v>
      </c>
      <c r="E1058" s="6">
        <v>16017</v>
      </c>
      <c r="F1058" s="6">
        <v>506</v>
      </c>
      <c r="G1058" s="6">
        <v>947</v>
      </c>
      <c r="H1058" s="6">
        <v>200</v>
      </c>
      <c r="I1058" s="6">
        <v>0</v>
      </c>
    </row>
    <row r="1059" spans="1:9">
      <c r="A1059" s="6">
        <v>17</v>
      </c>
      <c r="B1059" s="6" t="str">
        <f t="shared" si="32"/>
        <v>Rice and Other Grain Milling</v>
      </c>
      <c r="C1059" s="6">
        <v>17</v>
      </c>
      <c r="D1059" s="6" t="str">
        <f t="shared" si="33"/>
        <v>Rice and Other Grain Milling</v>
      </c>
      <c r="E1059" s="6">
        <v>15016052</v>
      </c>
      <c r="F1059" s="6">
        <v>619350</v>
      </c>
      <c r="G1059" s="6">
        <v>70337</v>
      </c>
      <c r="H1059" s="6">
        <v>138053</v>
      </c>
      <c r="I1059" s="6">
        <v>9161649</v>
      </c>
    </row>
    <row r="1060" spans="1:9">
      <c r="A1060" s="6">
        <v>18</v>
      </c>
      <c r="B1060" s="6" t="str">
        <f t="shared" si="32"/>
        <v>Sugar Refineries</v>
      </c>
      <c r="C1060" s="6">
        <v>17</v>
      </c>
      <c r="D1060" s="6" t="str">
        <f t="shared" si="33"/>
        <v>Rice and Other Grain Milling</v>
      </c>
      <c r="E1060" s="6">
        <v>2972</v>
      </c>
      <c r="F1060" s="6">
        <v>80</v>
      </c>
      <c r="G1060" s="6">
        <v>25</v>
      </c>
      <c r="H1060" s="6">
        <v>36</v>
      </c>
      <c r="I1060" s="6">
        <v>0</v>
      </c>
    </row>
    <row r="1061" spans="1:9">
      <c r="A1061" s="6">
        <v>19</v>
      </c>
      <c r="B1061" s="6" t="str">
        <f t="shared" si="32"/>
        <v>Other Foods</v>
      </c>
      <c r="C1061" s="6">
        <v>17</v>
      </c>
      <c r="D1061" s="6" t="str">
        <f t="shared" si="33"/>
        <v>Rice and Other Grain Milling</v>
      </c>
      <c r="E1061" s="6">
        <v>212846</v>
      </c>
      <c r="F1061" s="6">
        <v>6760</v>
      </c>
      <c r="G1061" s="6">
        <v>6663</v>
      </c>
      <c r="H1061" s="6">
        <v>2369</v>
      </c>
      <c r="I1061" s="6">
        <v>0</v>
      </c>
    </row>
    <row r="1062" spans="1:9">
      <c r="A1062" s="6">
        <v>20</v>
      </c>
      <c r="B1062" s="6" t="str">
        <f t="shared" si="32"/>
        <v>Animal Food</v>
      </c>
      <c r="C1062" s="6">
        <v>17</v>
      </c>
      <c r="D1062" s="6" t="str">
        <f t="shared" si="33"/>
        <v>Rice and Other Grain Milling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</row>
    <row r="1063" spans="1:9">
      <c r="A1063" s="6">
        <v>21</v>
      </c>
      <c r="B1063" s="6" t="str">
        <f t="shared" si="32"/>
        <v>Beverages</v>
      </c>
      <c r="C1063" s="6">
        <v>17</v>
      </c>
      <c r="D1063" s="6" t="str">
        <f t="shared" si="33"/>
        <v>Rice and Other Grain Milling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</row>
    <row r="1064" spans="1:9">
      <c r="A1064" s="6">
        <v>22</v>
      </c>
      <c r="B1064" s="6" t="str">
        <f t="shared" si="32"/>
        <v>Tobacco Processing and Products</v>
      </c>
      <c r="C1064" s="6">
        <v>17</v>
      </c>
      <c r="D1064" s="6" t="str">
        <f t="shared" si="33"/>
        <v>Rice and Other Grain Milling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</row>
    <row r="1065" spans="1:9">
      <c r="A1065" s="6">
        <v>23</v>
      </c>
      <c r="B1065" s="6" t="str">
        <f t="shared" si="32"/>
        <v>Spinning, Weaving and Bleaching</v>
      </c>
      <c r="C1065" s="6">
        <v>17</v>
      </c>
      <c r="D1065" s="6" t="str">
        <f t="shared" si="33"/>
        <v>Rice and Other Grain Milling</v>
      </c>
      <c r="E1065" s="6">
        <v>1462</v>
      </c>
      <c r="F1065" s="6">
        <v>136</v>
      </c>
      <c r="G1065" s="6">
        <v>72</v>
      </c>
      <c r="H1065" s="6">
        <v>21</v>
      </c>
      <c r="I1065" s="6">
        <v>0</v>
      </c>
    </row>
    <row r="1066" spans="1:9">
      <c r="A1066" s="6">
        <v>24</v>
      </c>
      <c r="B1066" s="6" t="str">
        <f t="shared" si="32"/>
        <v>Textile Products</v>
      </c>
      <c r="C1066" s="6">
        <v>17</v>
      </c>
      <c r="D1066" s="6" t="str">
        <f t="shared" si="33"/>
        <v>Rice and Other Grain Milling</v>
      </c>
      <c r="E1066" s="6">
        <v>1161542</v>
      </c>
      <c r="F1066" s="6">
        <v>92205</v>
      </c>
      <c r="G1066" s="6">
        <v>50255</v>
      </c>
      <c r="H1066" s="6">
        <v>9892</v>
      </c>
      <c r="I1066" s="6">
        <v>154486</v>
      </c>
    </row>
    <row r="1067" spans="1:9">
      <c r="A1067" s="6">
        <v>25</v>
      </c>
      <c r="B1067" s="6" t="str">
        <f t="shared" si="32"/>
        <v>Paper and Paper Products</v>
      </c>
      <c r="C1067" s="6">
        <v>17</v>
      </c>
      <c r="D1067" s="6" t="str">
        <f t="shared" si="33"/>
        <v>Rice and Other Grain Milling</v>
      </c>
      <c r="E1067" s="6">
        <v>211958</v>
      </c>
      <c r="F1067" s="6">
        <v>6986</v>
      </c>
      <c r="G1067" s="6">
        <v>5740</v>
      </c>
      <c r="H1067" s="6">
        <v>1848</v>
      </c>
      <c r="I1067" s="6">
        <v>0</v>
      </c>
    </row>
    <row r="1068" spans="1:9">
      <c r="A1068" s="6">
        <v>26</v>
      </c>
      <c r="B1068" s="6" t="str">
        <f t="shared" si="32"/>
        <v>Printing and Publishing</v>
      </c>
      <c r="C1068" s="6">
        <v>17</v>
      </c>
      <c r="D1068" s="6" t="str">
        <f t="shared" si="33"/>
        <v>Rice and Other Grain Milling</v>
      </c>
      <c r="E1068" s="6">
        <v>58</v>
      </c>
      <c r="F1068" s="6">
        <v>2</v>
      </c>
      <c r="G1068" s="6">
        <v>4</v>
      </c>
      <c r="H1068" s="6">
        <v>1</v>
      </c>
      <c r="I1068" s="6">
        <v>0</v>
      </c>
    </row>
    <row r="1069" spans="1:9">
      <c r="A1069" s="6">
        <v>27</v>
      </c>
      <c r="B1069" s="6" t="str">
        <f t="shared" si="32"/>
        <v>Basic Chemical Products</v>
      </c>
      <c r="C1069" s="6">
        <v>17</v>
      </c>
      <c r="D1069" s="6" t="str">
        <f t="shared" si="33"/>
        <v>Rice and Other Grain Milling</v>
      </c>
      <c r="E1069" s="6">
        <v>573746</v>
      </c>
      <c r="F1069" s="6">
        <v>19124</v>
      </c>
      <c r="G1069" s="6">
        <v>5948</v>
      </c>
      <c r="H1069" s="6">
        <v>9345</v>
      </c>
      <c r="I1069" s="6">
        <v>320083</v>
      </c>
    </row>
    <row r="1070" spans="1:9">
      <c r="A1070" s="6">
        <v>28</v>
      </c>
      <c r="B1070" s="6" t="str">
        <f t="shared" si="32"/>
        <v>Fertilizer and Pesticides</v>
      </c>
      <c r="C1070" s="6">
        <v>17</v>
      </c>
      <c r="D1070" s="6" t="str">
        <f t="shared" si="33"/>
        <v>Rice and Other Grain Milling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</row>
    <row r="1071" spans="1:9">
      <c r="A1071" s="6">
        <v>29</v>
      </c>
      <c r="B1071" s="6" t="str">
        <f t="shared" si="32"/>
        <v>Other Chemical Products</v>
      </c>
      <c r="C1071" s="6">
        <v>17</v>
      </c>
      <c r="D1071" s="6" t="str">
        <f t="shared" si="33"/>
        <v>Rice and Other Grain Milling</v>
      </c>
      <c r="E1071" s="6">
        <v>53541</v>
      </c>
      <c r="F1071" s="6">
        <v>4747</v>
      </c>
      <c r="G1071" s="6">
        <v>7313</v>
      </c>
      <c r="H1071" s="6">
        <v>388</v>
      </c>
      <c r="I1071" s="6">
        <v>0</v>
      </c>
    </row>
    <row r="1072" spans="1:9">
      <c r="A1072" s="6">
        <v>30</v>
      </c>
      <c r="B1072" s="6" t="str">
        <f t="shared" si="32"/>
        <v>Petroleum Refineries</v>
      </c>
      <c r="C1072" s="6">
        <v>17</v>
      </c>
      <c r="D1072" s="6" t="str">
        <f t="shared" si="33"/>
        <v>Rice and Other Grain Milling</v>
      </c>
      <c r="E1072" s="6">
        <v>3071878</v>
      </c>
      <c r="F1072" s="6">
        <v>112717</v>
      </c>
      <c r="G1072" s="6">
        <v>100785</v>
      </c>
      <c r="H1072" s="6">
        <v>26648</v>
      </c>
      <c r="I1072" s="6">
        <v>598131</v>
      </c>
    </row>
    <row r="1073" spans="1:9">
      <c r="A1073" s="6">
        <v>31</v>
      </c>
      <c r="B1073" s="6" t="str">
        <f t="shared" si="32"/>
        <v>Rubber Products</v>
      </c>
      <c r="C1073" s="6">
        <v>17</v>
      </c>
      <c r="D1073" s="6" t="str">
        <f t="shared" si="33"/>
        <v>Rice and Other Grain Milling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</row>
    <row r="1074" spans="1:9">
      <c r="A1074" s="6">
        <v>32</v>
      </c>
      <c r="B1074" s="6" t="str">
        <f t="shared" si="32"/>
        <v>Plastic Wares</v>
      </c>
      <c r="C1074" s="6">
        <v>17</v>
      </c>
      <c r="D1074" s="6" t="str">
        <f t="shared" si="33"/>
        <v>Rice and Other Grain Milling</v>
      </c>
      <c r="E1074" s="6">
        <v>7333750</v>
      </c>
      <c r="F1074" s="6">
        <v>318114</v>
      </c>
      <c r="G1074" s="6">
        <v>479609</v>
      </c>
      <c r="H1074" s="6">
        <v>56468</v>
      </c>
      <c r="I1074" s="6">
        <v>3678296</v>
      </c>
    </row>
    <row r="1075" spans="1:9">
      <c r="A1075" s="6">
        <v>33</v>
      </c>
      <c r="B1075" s="6" t="str">
        <f t="shared" si="32"/>
        <v>Cement and Concrete Products</v>
      </c>
      <c r="C1075" s="6">
        <v>17</v>
      </c>
      <c r="D1075" s="6" t="str">
        <f t="shared" si="33"/>
        <v>Rice and Other Grain Milling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</row>
    <row r="1076" spans="1:9">
      <c r="A1076" s="6">
        <v>34</v>
      </c>
      <c r="B1076" s="6" t="str">
        <f t="shared" si="32"/>
        <v>Other Non-metallic Products</v>
      </c>
      <c r="C1076" s="6">
        <v>17</v>
      </c>
      <c r="D1076" s="6" t="str">
        <f t="shared" si="33"/>
        <v>Rice and Other Grain Milling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</row>
    <row r="1077" spans="1:9">
      <c r="A1077" s="6">
        <v>35</v>
      </c>
      <c r="B1077" s="6" t="str">
        <f t="shared" si="32"/>
        <v>Iron and Steel</v>
      </c>
      <c r="C1077" s="6">
        <v>17</v>
      </c>
      <c r="D1077" s="6" t="str">
        <f t="shared" si="33"/>
        <v>Rice and Other Grain Milling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</row>
    <row r="1078" spans="1:9">
      <c r="A1078" s="6">
        <v>36</v>
      </c>
      <c r="B1078" s="6" t="str">
        <f t="shared" si="32"/>
        <v>Non-ferrous Metal</v>
      </c>
      <c r="C1078" s="6">
        <v>17</v>
      </c>
      <c r="D1078" s="6" t="str">
        <f t="shared" si="33"/>
        <v>Rice and Other Grain Milling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</row>
    <row r="1079" spans="1:9">
      <c r="A1079" s="6">
        <v>37</v>
      </c>
      <c r="B1079" s="6" t="str">
        <f t="shared" si="32"/>
        <v>Fabricated Metal Products</v>
      </c>
      <c r="C1079" s="6">
        <v>17</v>
      </c>
      <c r="D1079" s="6" t="str">
        <f t="shared" si="33"/>
        <v>Rice and Other Grain Milling</v>
      </c>
      <c r="E1079" s="6">
        <v>50636</v>
      </c>
      <c r="F1079" s="6">
        <v>1065</v>
      </c>
      <c r="G1079" s="6">
        <v>2741</v>
      </c>
      <c r="H1079" s="6">
        <v>214</v>
      </c>
      <c r="I1079" s="6">
        <v>15208</v>
      </c>
    </row>
    <row r="1080" spans="1:9">
      <c r="A1080" s="6">
        <v>38</v>
      </c>
      <c r="B1080" s="6" t="str">
        <f t="shared" si="32"/>
        <v>Industrial Machinery</v>
      </c>
      <c r="C1080" s="6">
        <v>17</v>
      </c>
      <c r="D1080" s="6" t="str">
        <f t="shared" si="33"/>
        <v>Rice and Other Grain Milling</v>
      </c>
      <c r="E1080" s="6">
        <v>1752637</v>
      </c>
      <c r="F1080" s="6">
        <v>125697</v>
      </c>
      <c r="G1080" s="6">
        <v>0</v>
      </c>
      <c r="H1080" s="6">
        <v>20867</v>
      </c>
      <c r="I1080" s="6">
        <v>115002</v>
      </c>
    </row>
    <row r="1081" spans="1:9">
      <c r="A1081" s="6">
        <v>39</v>
      </c>
      <c r="B1081" s="6" t="str">
        <f t="shared" si="32"/>
        <v>Electrical Machinery and Apparatus</v>
      </c>
      <c r="C1081" s="6">
        <v>17</v>
      </c>
      <c r="D1081" s="6" t="str">
        <f t="shared" si="33"/>
        <v>Rice and Other Grain Milling</v>
      </c>
      <c r="E1081" s="6">
        <v>65461</v>
      </c>
      <c r="F1081" s="6">
        <v>3758</v>
      </c>
      <c r="G1081" s="6">
        <v>1131</v>
      </c>
      <c r="H1081" s="6">
        <v>641</v>
      </c>
      <c r="I1081" s="6">
        <v>0</v>
      </c>
    </row>
    <row r="1082" spans="1:9">
      <c r="A1082" s="6">
        <v>40</v>
      </c>
      <c r="B1082" s="6" t="str">
        <f t="shared" si="32"/>
        <v>Motor Vehicles and Repairing</v>
      </c>
      <c r="C1082" s="6">
        <v>17</v>
      </c>
      <c r="D1082" s="6" t="str">
        <f t="shared" si="33"/>
        <v>Rice and Other Grain Milling</v>
      </c>
      <c r="E1082" s="6">
        <v>305464</v>
      </c>
      <c r="F1082" s="6">
        <v>0</v>
      </c>
      <c r="G1082" s="6">
        <v>0</v>
      </c>
      <c r="H1082" s="6">
        <v>0</v>
      </c>
      <c r="I1082" s="6">
        <v>0</v>
      </c>
    </row>
    <row r="1083" spans="1:9">
      <c r="A1083" s="6">
        <v>41</v>
      </c>
      <c r="B1083" s="6" t="str">
        <f t="shared" si="32"/>
        <v>Other Transportation Equipment</v>
      </c>
      <c r="C1083" s="6">
        <v>17</v>
      </c>
      <c r="D1083" s="6" t="str">
        <f t="shared" si="33"/>
        <v>Rice and Other Grain Milling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</row>
    <row r="1084" spans="1:9">
      <c r="A1084" s="6">
        <v>42</v>
      </c>
      <c r="B1084" s="6" t="str">
        <f t="shared" si="32"/>
        <v>Leather Products</v>
      </c>
      <c r="C1084" s="6">
        <v>17</v>
      </c>
      <c r="D1084" s="6" t="str">
        <f t="shared" si="33"/>
        <v>Rice and Other Grain Milling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</row>
    <row r="1085" spans="1:9">
      <c r="A1085" s="6">
        <v>43</v>
      </c>
      <c r="B1085" s="6" t="str">
        <f t="shared" si="32"/>
        <v>Saw Mills and Wood Products</v>
      </c>
      <c r="C1085" s="6">
        <v>17</v>
      </c>
      <c r="D1085" s="6" t="str">
        <f t="shared" si="33"/>
        <v>Rice and Other Grain Milling</v>
      </c>
      <c r="E1085" s="6">
        <v>527</v>
      </c>
      <c r="F1085" s="6">
        <v>84</v>
      </c>
      <c r="G1085" s="6">
        <v>43</v>
      </c>
      <c r="H1085" s="6">
        <v>5</v>
      </c>
      <c r="I1085" s="6">
        <v>0</v>
      </c>
    </row>
    <row r="1086" spans="1:9">
      <c r="A1086" s="6">
        <v>44</v>
      </c>
      <c r="B1086" s="6" t="str">
        <f t="shared" si="32"/>
        <v>Other Manufacturing Products</v>
      </c>
      <c r="C1086" s="6">
        <v>17</v>
      </c>
      <c r="D1086" s="6" t="str">
        <f t="shared" si="33"/>
        <v>Rice and Other Grain Milling</v>
      </c>
      <c r="E1086" s="6">
        <v>90103</v>
      </c>
      <c r="F1086" s="6">
        <v>5108</v>
      </c>
      <c r="G1086" s="6">
        <v>4931</v>
      </c>
      <c r="H1086" s="6">
        <v>696</v>
      </c>
      <c r="I1086" s="6">
        <v>0</v>
      </c>
    </row>
    <row r="1087" spans="1:9">
      <c r="A1087" s="6">
        <v>45</v>
      </c>
      <c r="B1087" s="6" t="str">
        <f t="shared" si="32"/>
        <v>Electricity and Gas</v>
      </c>
      <c r="C1087" s="6">
        <v>17</v>
      </c>
      <c r="D1087" s="6" t="str">
        <f t="shared" si="33"/>
        <v>Rice and Other Grain Milling</v>
      </c>
      <c r="E1087" s="6">
        <v>11594641</v>
      </c>
      <c r="F1087" s="6">
        <v>3647</v>
      </c>
      <c r="G1087" s="6">
        <v>6288</v>
      </c>
      <c r="H1087" s="6">
        <v>700</v>
      </c>
      <c r="I1087" s="6">
        <v>0</v>
      </c>
    </row>
    <row r="1088" spans="1:9">
      <c r="A1088" s="6">
        <v>46</v>
      </c>
      <c r="B1088" s="6" t="str">
        <f t="shared" si="32"/>
        <v>Water Works and Supply</v>
      </c>
      <c r="C1088" s="6">
        <v>17</v>
      </c>
      <c r="D1088" s="6" t="str">
        <f t="shared" si="33"/>
        <v>Rice and Other Grain Milling</v>
      </c>
      <c r="E1088" s="6">
        <v>61992</v>
      </c>
      <c r="F1088" s="6">
        <v>0</v>
      </c>
      <c r="G1088" s="6">
        <v>0</v>
      </c>
      <c r="H1088" s="6">
        <v>0</v>
      </c>
      <c r="I1088" s="6">
        <v>0</v>
      </c>
    </row>
    <row r="1089" spans="1:9">
      <c r="A1089" s="6">
        <v>47</v>
      </c>
      <c r="B1089" s="6" t="str">
        <f t="shared" si="32"/>
        <v>Building Construction</v>
      </c>
      <c r="C1089" s="6">
        <v>17</v>
      </c>
      <c r="D1089" s="6" t="str">
        <f t="shared" si="33"/>
        <v>Rice and Other Grain Milling</v>
      </c>
      <c r="E1089" s="6">
        <v>199855</v>
      </c>
      <c r="F1089" s="6">
        <v>0</v>
      </c>
      <c r="G1089" s="6">
        <v>0</v>
      </c>
      <c r="H1089" s="6">
        <v>0</v>
      </c>
      <c r="I1089" s="6">
        <v>0</v>
      </c>
    </row>
    <row r="1090" spans="1:9">
      <c r="A1090" s="6">
        <v>48</v>
      </c>
      <c r="B1090" s="6" t="str">
        <f t="shared" si="32"/>
        <v>Public Works and Other Construction</v>
      </c>
      <c r="C1090" s="6">
        <v>17</v>
      </c>
      <c r="D1090" s="6" t="str">
        <f t="shared" si="33"/>
        <v>Rice and Other Grain Milling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</row>
    <row r="1091" spans="1:9">
      <c r="A1091" s="6">
        <v>49</v>
      </c>
      <c r="B1091" s="6" t="str">
        <f t="shared" si="32"/>
        <v>Trade</v>
      </c>
      <c r="C1091" s="6">
        <v>17</v>
      </c>
      <c r="D1091" s="6" t="str">
        <f t="shared" si="33"/>
        <v>Rice and Other Grain Milling</v>
      </c>
      <c r="E1091" s="6">
        <v>0</v>
      </c>
      <c r="F1091" s="6">
        <v>-17395839</v>
      </c>
      <c r="G1091" s="6">
        <v>-940228</v>
      </c>
      <c r="H1091" s="6">
        <v>0</v>
      </c>
      <c r="I1091" s="6">
        <v>0</v>
      </c>
    </row>
    <row r="1092" spans="1:9">
      <c r="A1092" s="6">
        <v>50</v>
      </c>
      <c r="B1092" s="6" t="str">
        <f t="shared" ref="B1092:B1155" si="34">VLOOKUP(A1092,R:S,2,0)</f>
        <v>Restaurants and Hotels</v>
      </c>
      <c r="C1092" s="6">
        <v>17</v>
      </c>
      <c r="D1092" s="6" t="str">
        <f t="shared" ref="D1092:D1155" si="35">VLOOKUP(C1092,R:S,2,0)</f>
        <v>Rice and Other Grain Milling</v>
      </c>
      <c r="E1092" s="6">
        <v>678422</v>
      </c>
      <c r="F1092" s="6">
        <v>0</v>
      </c>
      <c r="G1092" s="6">
        <v>0</v>
      </c>
      <c r="H1092" s="6">
        <v>0</v>
      </c>
      <c r="I1092" s="6">
        <v>0</v>
      </c>
    </row>
    <row r="1093" spans="1:9">
      <c r="A1093" s="6">
        <v>51</v>
      </c>
      <c r="B1093" s="6" t="str">
        <f t="shared" si="34"/>
        <v>Transportation</v>
      </c>
      <c r="C1093" s="6">
        <v>17</v>
      </c>
      <c r="D1093" s="6" t="str">
        <f t="shared" si="35"/>
        <v>Rice and Other Grain Milling</v>
      </c>
      <c r="E1093" s="6">
        <v>2045017</v>
      </c>
      <c r="F1093" s="6">
        <v>0</v>
      </c>
      <c r="G1093" s="6">
        <v>0</v>
      </c>
      <c r="H1093" s="6">
        <v>-2631922</v>
      </c>
      <c r="I1093" s="6">
        <v>0</v>
      </c>
    </row>
    <row r="1094" spans="1:9">
      <c r="A1094" s="6">
        <v>52</v>
      </c>
      <c r="B1094" s="6" t="str">
        <f t="shared" si="34"/>
        <v>Communication</v>
      </c>
      <c r="C1094" s="6">
        <v>17</v>
      </c>
      <c r="D1094" s="6" t="str">
        <f t="shared" si="35"/>
        <v>Rice and Other Grain Milling</v>
      </c>
      <c r="E1094" s="6">
        <v>168067</v>
      </c>
      <c r="F1094" s="6">
        <v>0</v>
      </c>
      <c r="G1094" s="6">
        <v>0</v>
      </c>
      <c r="H1094" s="6">
        <v>0</v>
      </c>
      <c r="I1094" s="6">
        <v>0</v>
      </c>
    </row>
    <row r="1095" spans="1:9">
      <c r="A1095" s="6">
        <v>53</v>
      </c>
      <c r="B1095" s="6" t="str">
        <f t="shared" si="34"/>
        <v>Banking and Insurance</v>
      </c>
      <c r="C1095" s="6">
        <v>17</v>
      </c>
      <c r="D1095" s="6" t="str">
        <f t="shared" si="35"/>
        <v>Rice and Other Grain Milling</v>
      </c>
      <c r="E1095" s="6">
        <v>6507222</v>
      </c>
      <c r="F1095" s="6">
        <v>0</v>
      </c>
      <c r="G1095" s="6">
        <v>0</v>
      </c>
      <c r="H1095" s="6">
        <v>0</v>
      </c>
      <c r="I1095" s="6">
        <v>0</v>
      </c>
    </row>
    <row r="1096" spans="1:9">
      <c r="A1096" s="6">
        <v>54</v>
      </c>
      <c r="B1096" s="6" t="str">
        <f t="shared" si="34"/>
        <v>Real Estate</v>
      </c>
      <c r="C1096" s="6">
        <v>17</v>
      </c>
      <c r="D1096" s="6" t="str">
        <f t="shared" si="35"/>
        <v>Rice and Other Grain Milling</v>
      </c>
      <c r="E1096" s="6">
        <v>69190</v>
      </c>
      <c r="F1096" s="6">
        <v>0</v>
      </c>
      <c r="G1096" s="6">
        <v>0</v>
      </c>
      <c r="H1096" s="6">
        <v>0</v>
      </c>
      <c r="I1096" s="6">
        <v>0</v>
      </c>
    </row>
    <row r="1097" spans="1:9">
      <c r="A1097" s="6">
        <v>55</v>
      </c>
      <c r="B1097" s="6" t="str">
        <f t="shared" si="34"/>
        <v>Business Services</v>
      </c>
      <c r="C1097" s="6">
        <v>17</v>
      </c>
      <c r="D1097" s="6" t="str">
        <f t="shared" si="35"/>
        <v>Rice and Other Grain Milling</v>
      </c>
      <c r="E1097" s="6">
        <v>2121840</v>
      </c>
      <c r="F1097" s="6">
        <v>0</v>
      </c>
      <c r="G1097" s="6">
        <v>0</v>
      </c>
      <c r="H1097" s="6">
        <v>0</v>
      </c>
      <c r="I1097" s="6">
        <v>0</v>
      </c>
    </row>
    <row r="1098" spans="1:9">
      <c r="A1098" s="6">
        <v>56</v>
      </c>
      <c r="B1098" s="6" t="str">
        <f t="shared" si="34"/>
        <v>Public Services</v>
      </c>
      <c r="C1098" s="6">
        <v>17</v>
      </c>
      <c r="D1098" s="6" t="str">
        <f t="shared" si="35"/>
        <v>Rice and Other Grain Milling</v>
      </c>
      <c r="E1098" s="6">
        <v>281313</v>
      </c>
      <c r="F1098" s="6">
        <v>0</v>
      </c>
      <c r="G1098" s="6">
        <v>0</v>
      </c>
      <c r="H1098" s="6">
        <v>0</v>
      </c>
      <c r="I1098" s="6">
        <v>0</v>
      </c>
    </row>
    <row r="1099" spans="1:9">
      <c r="A1099" s="6">
        <v>57</v>
      </c>
      <c r="B1099" s="6" t="str">
        <f t="shared" si="34"/>
        <v>Other Services</v>
      </c>
      <c r="C1099" s="6">
        <v>17</v>
      </c>
      <c r="D1099" s="6" t="str">
        <f t="shared" si="35"/>
        <v>Rice and Other Grain Milling</v>
      </c>
      <c r="E1099" s="6">
        <v>127838</v>
      </c>
      <c r="F1099" s="6">
        <v>0</v>
      </c>
      <c r="G1099" s="6">
        <v>0</v>
      </c>
      <c r="H1099" s="6">
        <v>0</v>
      </c>
      <c r="I1099" s="6">
        <v>0</v>
      </c>
    </row>
    <row r="1100" spans="1:9">
      <c r="A1100" s="6">
        <v>58</v>
      </c>
      <c r="B1100" s="6" t="str">
        <f t="shared" si="34"/>
        <v>Unclassified</v>
      </c>
      <c r="C1100" s="6">
        <v>17</v>
      </c>
      <c r="D1100" s="6" t="str">
        <f t="shared" si="35"/>
        <v>Rice and Other Grain Milling</v>
      </c>
      <c r="E1100" s="6">
        <v>1926675</v>
      </c>
      <c r="F1100" s="6">
        <v>0</v>
      </c>
      <c r="G1100" s="6">
        <v>0</v>
      </c>
      <c r="H1100" s="6">
        <v>0</v>
      </c>
      <c r="I1100" s="6">
        <v>198451</v>
      </c>
    </row>
    <row r="1101" spans="1:9">
      <c r="A1101" s="6">
        <v>190</v>
      </c>
      <c r="B1101" s="6" t="str">
        <f t="shared" si="34"/>
        <v>Total Intermedite Transaction</v>
      </c>
      <c r="C1101" s="6">
        <v>17</v>
      </c>
      <c r="D1101" s="6" t="str">
        <f t="shared" si="35"/>
        <v>Rice and Other Grain Milling</v>
      </c>
      <c r="E1101" s="6">
        <v>425142761</v>
      </c>
      <c r="F1101" s="6">
        <v>0</v>
      </c>
      <c r="G1101" s="6">
        <v>0</v>
      </c>
      <c r="H1101" s="6">
        <v>0</v>
      </c>
      <c r="I1101" s="6">
        <v>27473947</v>
      </c>
    </row>
    <row r="1102" spans="1:9">
      <c r="A1102" s="6">
        <v>201</v>
      </c>
      <c r="B1102" s="6" t="str">
        <f t="shared" si="34"/>
        <v>Wages and Salaries</v>
      </c>
      <c r="C1102" s="6">
        <v>17</v>
      </c>
      <c r="D1102" s="6" t="str">
        <f t="shared" si="35"/>
        <v>Rice and Other Grain Milling</v>
      </c>
      <c r="E1102" s="6">
        <v>27530408</v>
      </c>
      <c r="F1102" s="6">
        <v>0</v>
      </c>
      <c r="G1102" s="6">
        <v>0</v>
      </c>
      <c r="H1102" s="6">
        <v>0</v>
      </c>
      <c r="I1102" s="6">
        <v>0</v>
      </c>
    </row>
    <row r="1103" spans="1:9">
      <c r="A1103" s="6">
        <v>202</v>
      </c>
      <c r="B1103" s="6" t="str">
        <f t="shared" si="34"/>
        <v>Operating Surplus</v>
      </c>
      <c r="C1103" s="6">
        <v>17</v>
      </c>
      <c r="D1103" s="6" t="str">
        <f t="shared" si="35"/>
        <v>Rice and Other Grain Milling</v>
      </c>
      <c r="E1103" s="6">
        <v>42181828</v>
      </c>
      <c r="F1103" s="6">
        <v>0</v>
      </c>
      <c r="G1103" s="6">
        <v>0</v>
      </c>
      <c r="H1103" s="6">
        <v>0</v>
      </c>
      <c r="I1103" s="6">
        <v>0</v>
      </c>
    </row>
    <row r="1104" spans="1:9">
      <c r="A1104" s="6">
        <v>203</v>
      </c>
      <c r="B1104" s="6" t="str">
        <f t="shared" si="34"/>
        <v>Depreciation</v>
      </c>
      <c r="C1104" s="6">
        <v>17</v>
      </c>
      <c r="D1104" s="6" t="str">
        <f t="shared" si="35"/>
        <v>Rice and Other Grain Milling</v>
      </c>
      <c r="E1104" s="6">
        <v>18849197</v>
      </c>
      <c r="F1104" s="6">
        <v>0</v>
      </c>
      <c r="G1104" s="6">
        <v>0</v>
      </c>
      <c r="H1104" s="6">
        <v>0</v>
      </c>
      <c r="I1104" s="6">
        <v>0</v>
      </c>
    </row>
    <row r="1105" spans="1:9">
      <c r="A1105" s="6">
        <v>204</v>
      </c>
      <c r="B1105" s="6" t="str">
        <f t="shared" si="34"/>
        <v>Indirect Taxes less Subsidies</v>
      </c>
      <c r="C1105" s="6">
        <v>17</v>
      </c>
      <c r="D1105" s="6" t="str">
        <f t="shared" si="35"/>
        <v>Rice and Other Grain Milling</v>
      </c>
      <c r="E1105" s="6">
        <v>13128977</v>
      </c>
      <c r="F1105" s="6">
        <v>0</v>
      </c>
      <c r="G1105" s="6">
        <v>0</v>
      </c>
      <c r="H1105" s="6">
        <v>0</v>
      </c>
      <c r="I1105" s="6">
        <v>0</v>
      </c>
    </row>
    <row r="1106" spans="1:9">
      <c r="A1106" s="6">
        <v>209</v>
      </c>
      <c r="B1106" s="6" t="str">
        <f t="shared" si="34"/>
        <v>Total Value Added</v>
      </c>
      <c r="C1106" s="6">
        <v>17</v>
      </c>
      <c r="D1106" s="6" t="str">
        <f t="shared" si="35"/>
        <v>Rice and Other Grain Milling</v>
      </c>
      <c r="E1106" s="6">
        <v>101690410</v>
      </c>
      <c r="F1106" s="6">
        <v>0</v>
      </c>
      <c r="G1106" s="6">
        <v>0</v>
      </c>
      <c r="H1106" s="6">
        <v>0</v>
      </c>
      <c r="I1106" s="6">
        <v>0</v>
      </c>
    </row>
    <row r="1107" spans="1:9">
      <c r="A1107" s="6">
        <v>210</v>
      </c>
      <c r="B1107" s="6" t="str">
        <f t="shared" si="34"/>
        <v>Control Total</v>
      </c>
      <c r="C1107" s="6">
        <v>17</v>
      </c>
      <c r="D1107" s="6" t="str">
        <f t="shared" si="35"/>
        <v>Rice and Other Grain Milling</v>
      </c>
      <c r="E1107" s="6">
        <v>526833171</v>
      </c>
      <c r="F1107" s="6">
        <v>0</v>
      </c>
      <c r="G1107" s="6">
        <v>0</v>
      </c>
      <c r="H1107" s="6">
        <v>0</v>
      </c>
      <c r="I1107" s="6">
        <v>0</v>
      </c>
    </row>
    <row r="1108" spans="1:9">
      <c r="A1108" s="6">
        <v>1</v>
      </c>
      <c r="B1108" s="6" t="str">
        <f t="shared" si="34"/>
        <v>Paddy</v>
      </c>
      <c r="C1108" s="6">
        <v>18</v>
      </c>
      <c r="D1108" s="6" t="str">
        <f t="shared" si="35"/>
        <v>Sugar Refineries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</row>
    <row r="1109" spans="1:9">
      <c r="A1109" s="6">
        <v>2</v>
      </c>
      <c r="B1109" s="6" t="str">
        <f t="shared" si="34"/>
        <v>Maize</v>
      </c>
      <c r="C1109" s="6">
        <v>18</v>
      </c>
      <c r="D1109" s="6" t="str">
        <f t="shared" si="35"/>
        <v>Sugar Refineries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</row>
    <row r="1110" spans="1:9">
      <c r="A1110" s="6">
        <v>3</v>
      </c>
      <c r="B1110" s="6" t="str">
        <f t="shared" si="34"/>
        <v>Cassava</v>
      </c>
      <c r="C1110" s="6">
        <v>18</v>
      </c>
      <c r="D1110" s="6" t="str">
        <f t="shared" si="35"/>
        <v>Sugar Refineries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</row>
    <row r="1111" spans="1:9">
      <c r="A1111" s="6">
        <v>4</v>
      </c>
      <c r="B1111" s="6" t="str">
        <f t="shared" si="34"/>
        <v>Beans and Nuts</v>
      </c>
      <c r="C1111" s="6">
        <v>18</v>
      </c>
      <c r="D1111" s="6" t="str">
        <f t="shared" si="35"/>
        <v>Sugar Refineries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</row>
    <row r="1112" spans="1:9">
      <c r="A1112" s="6">
        <v>5</v>
      </c>
      <c r="B1112" s="6" t="str">
        <f t="shared" si="34"/>
        <v>Vegetables and Fruits</v>
      </c>
      <c r="C1112" s="6">
        <v>18</v>
      </c>
      <c r="D1112" s="6" t="str">
        <f t="shared" si="35"/>
        <v>Sugar Refineries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</row>
    <row r="1113" spans="1:9">
      <c r="A1113" s="6">
        <v>6</v>
      </c>
      <c r="B1113" s="6" t="str">
        <f t="shared" si="34"/>
        <v>Sugarcane</v>
      </c>
      <c r="C1113" s="6">
        <v>18</v>
      </c>
      <c r="D1113" s="6" t="str">
        <f t="shared" si="35"/>
        <v>Sugar Refineries</v>
      </c>
      <c r="E1113" s="6">
        <v>68681060</v>
      </c>
      <c r="F1113" s="6">
        <v>3165066</v>
      </c>
      <c r="G1113" s="6">
        <v>0</v>
      </c>
      <c r="H1113" s="6">
        <v>2111349</v>
      </c>
      <c r="I1113" s="6">
        <v>0</v>
      </c>
    </row>
    <row r="1114" spans="1:9">
      <c r="A1114" s="6">
        <v>7</v>
      </c>
      <c r="B1114" s="6" t="str">
        <f t="shared" si="34"/>
        <v>Rubber (Latex)</v>
      </c>
      <c r="C1114" s="6">
        <v>18</v>
      </c>
      <c r="D1114" s="6" t="str">
        <f t="shared" si="35"/>
        <v>Sugar Refineries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</row>
    <row r="1115" spans="1:9">
      <c r="A1115" s="6">
        <v>8</v>
      </c>
      <c r="B1115" s="6" t="str">
        <f t="shared" si="34"/>
        <v>Other Crops</v>
      </c>
      <c r="C1115" s="6">
        <v>18</v>
      </c>
      <c r="D1115" s="6" t="str">
        <f t="shared" si="35"/>
        <v>Sugar Refineries</v>
      </c>
      <c r="E1115" s="6">
        <v>255049</v>
      </c>
      <c r="F1115" s="6">
        <v>11320</v>
      </c>
      <c r="G1115" s="6">
        <v>4738</v>
      </c>
      <c r="H1115" s="6">
        <v>854</v>
      </c>
      <c r="I1115" s="6">
        <v>141373</v>
      </c>
    </row>
    <row r="1116" spans="1:9">
      <c r="A1116" s="6">
        <v>9</v>
      </c>
      <c r="B1116" s="6" t="str">
        <f t="shared" si="34"/>
        <v>Livestock</v>
      </c>
      <c r="C1116" s="6">
        <v>18</v>
      </c>
      <c r="D1116" s="6" t="str">
        <f t="shared" si="35"/>
        <v>Sugar Refineries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</row>
    <row r="1117" spans="1:9">
      <c r="A1117" s="6">
        <v>10</v>
      </c>
      <c r="B1117" s="6" t="str">
        <f t="shared" si="34"/>
        <v>Forestry</v>
      </c>
      <c r="C1117" s="6">
        <v>18</v>
      </c>
      <c r="D1117" s="6" t="str">
        <f t="shared" si="35"/>
        <v>Sugar Refineries</v>
      </c>
      <c r="E1117" s="6">
        <v>15218</v>
      </c>
      <c r="F1117" s="6">
        <v>1114</v>
      </c>
      <c r="G1117" s="6">
        <v>889</v>
      </c>
      <c r="H1117" s="6">
        <v>186</v>
      </c>
      <c r="I1117" s="6">
        <v>0</v>
      </c>
    </row>
    <row r="1118" spans="1:9">
      <c r="A1118" s="6">
        <v>11</v>
      </c>
      <c r="B1118" s="6" t="str">
        <f t="shared" si="34"/>
        <v>Fishery</v>
      </c>
      <c r="C1118" s="6">
        <v>18</v>
      </c>
      <c r="D1118" s="6" t="str">
        <f t="shared" si="35"/>
        <v>Sugar Refineries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</row>
    <row r="1119" spans="1:9">
      <c r="A1119" s="6">
        <v>12</v>
      </c>
      <c r="B1119" s="6" t="str">
        <f t="shared" si="34"/>
        <v>Crude Oil and Coal</v>
      </c>
      <c r="C1119" s="6">
        <v>18</v>
      </c>
      <c r="D1119" s="6" t="str">
        <f t="shared" si="35"/>
        <v>Sugar Refineries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</row>
    <row r="1120" spans="1:9">
      <c r="A1120" s="6">
        <v>13</v>
      </c>
      <c r="B1120" s="6" t="str">
        <f t="shared" si="34"/>
        <v>Metal Ore</v>
      </c>
      <c r="C1120" s="6">
        <v>18</v>
      </c>
      <c r="D1120" s="6" t="str">
        <f t="shared" si="35"/>
        <v>Sugar Refineries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</row>
    <row r="1121" spans="1:9">
      <c r="A1121" s="6">
        <v>14</v>
      </c>
      <c r="B1121" s="6" t="str">
        <f t="shared" si="34"/>
        <v>Non-Metal Ore</v>
      </c>
      <c r="C1121" s="6">
        <v>18</v>
      </c>
      <c r="D1121" s="6" t="str">
        <f t="shared" si="35"/>
        <v>Sugar Refineries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</row>
    <row r="1122" spans="1:9">
      <c r="A1122" s="6">
        <v>15</v>
      </c>
      <c r="B1122" s="6" t="str">
        <f t="shared" si="34"/>
        <v>Slaughtering</v>
      </c>
      <c r="C1122" s="6">
        <v>18</v>
      </c>
      <c r="D1122" s="6" t="str">
        <f t="shared" si="35"/>
        <v>Sugar Refineries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</row>
    <row r="1123" spans="1:9">
      <c r="A1123" s="6">
        <v>16</v>
      </c>
      <c r="B1123" s="6" t="str">
        <f t="shared" si="34"/>
        <v>Processing and Presering of Foods</v>
      </c>
      <c r="C1123" s="6">
        <v>18</v>
      </c>
      <c r="D1123" s="6" t="str">
        <f t="shared" si="35"/>
        <v>Sugar Refineries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</row>
    <row r="1124" spans="1:9">
      <c r="A1124" s="6">
        <v>17</v>
      </c>
      <c r="B1124" s="6" t="str">
        <f t="shared" si="34"/>
        <v>Rice and Other Grain Milling</v>
      </c>
      <c r="C1124" s="6">
        <v>18</v>
      </c>
      <c r="D1124" s="6" t="str">
        <f t="shared" si="35"/>
        <v>Sugar Refineries</v>
      </c>
      <c r="E1124" s="6">
        <v>729640</v>
      </c>
      <c r="F1124" s="6">
        <v>23209</v>
      </c>
      <c r="G1124" s="6">
        <v>59095</v>
      </c>
      <c r="H1124" s="6">
        <v>8523</v>
      </c>
      <c r="I1124" s="6">
        <v>3670</v>
      </c>
    </row>
    <row r="1125" spans="1:9">
      <c r="A1125" s="6">
        <v>18</v>
      </c>
      <c r="B1125" s="6" t="str">
        <f t="shared" si="34"/>
        <v>Sugar Refineries</v>
      </c>
      <c r="C1125" s="6">
        <v>18</v>
      </c>
      <c r="D1125" s="6" t="str">
        <f t="shared" si="35"/>
        <v>Sugar Refineries</v>
      </c>
      <c r="E1125" s="6">
        <v>3015053</v>
      </c>
      <c r="F1125" s="6">
        <v>21903</v>
      </c>
      <c r="G1125" s="6">
        <v>40660</v>
      </c>
      <c r="H1125" s="6">
        <v>30005</v>
      </c>
      <c r="I1125" s="6">
        <v>170219</v>
      </c>
    </row>
    <row r="1126" spans="1:9">
      <c r="A1126" s="6">
        <v>19</v>
      </c>
      <c r="B1126" s="6" t="str">
        <f t="shared" si="34"/>
        <v>Other Foods</v>
      </c>
      <c r="C1126" s="6">
        <v>18</v>
      </c>
      <c r="D1126" s="6" t="str">
        <f t="shared" si="35"/>
        <v>Sugar Refineries</v>
      </c>
      <c r="E1126" s="6">
        <v>2153</v>
      </c>
      <c r="F1126" s="6">
        <v>59</v>
      </c>
      <c r="G1126" s="6">
        <v>67</v>
      </c>
      <c r="H1126" s="6">
        <v>28</v>
      </c>
      <c r="I1126" s="6">
        <v>0</v>
      </c>
    </row>
    <row r="1127" spans="1:9">
      <c r="A1127" s="6">
        <v>20</v>
      </c>
      <c r="B1127" s="6" t="str">
        <f t="shared" si="34"/>
        <v>Animal Food</v>
      </c>
      <c r="C1127" s="6">
        <v>18</v>
      </c>
      <c r="D1127" s="6" t="str">
        <f t="shared" si="35"/>
        <v>Sugar Refineries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</row>
    <row r="1128" spans="1:9">
      <c r="A1128" s="6">
        <v>21</v>
      </c>
      <c r="B1128" s="6" t="str">
        <f t="shared" si="34"/>
        <v>Beverages</v>
      </c>
      <c r="C1128" s="6">
        <v>18</v>
      </c>
      <c r="D1128" s="6" t="str">
        <f t="shared" si="35"/>
        <v>Sugar Refineries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</row>
    <row r="1129" spans="1:9">
      <c r="A1129" s="6">
        <v>22</v>
      </c>
      <c r="B1129" s="6" t="str">
        <f t="shared" si="34"/>
        <v>Tobacco Processing and Products</v>
      </c>
      <c r="C1129" s="6">
        <v>18</v>
      </c>
      <c r="D1129" s="6" t="str">
        <f t="shared" si="35"/>
        <v>Sugar Refineries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</row>
    <row r="1130" spans="1:9">
      <c r="A1130" s="6">
        <v>23</v>
      </c>
      <c r="B1130" s="6" t="str">
        <f t="shared" si="34"/>
        <v>Spinning, Weaving and Bleaching</v>
      </c>
      <c r="C1130" s="6">
        <v>18</v>
      </c>
      <c r="D1130" s="6" t="str">
        <f t="shared" si="35"/>
        <v>Sugar Refineries</v>
      </c>
      <c r="E1130" s="6">
        <v>3748</v>
      </c>
      <c r="F1130" s="6">
        <v>142</v>
      </c>
      <c r="G1130" s="6">
        <v>118</v>
      </c>
      <c r="H1130" s="6">
        <v>11</v>
      </c>
      <c r="I1130" s="6">
        <v>0</v>
      </c>
    </row>
    <row r="1131" spans="1:9">
      <c r="A1131" s="6">
        <v>24</v>
      </c>
      <c r="B1131" s="6" t="str">
        <f t="shared" si="34"/>
        <v>Textile Products</v>
      </c>
      <c r="C1131" s="6">
        <v>18</v>
      </c>
      <c r="D1131" s="6" t="str">
        <f t="shared" si="35"/>
        <v>Sugar Refineries</v>
      </c>
      <c r="E1131" s="6">
        <v>17921</v>
      </c>
      <c r="F1131" s="6">
        <v>2884</v>
      </c>
      <c r="G1131" s="6">
        <v>961</v>
      </c>
      <c r="H1131" s="6">
        <v>221</v>
      </c>
      <c r="I1131" s="6">
        <v>2110</v>
      </c>
    </row>
    <row r="1132" spans="1:9">
      <c r="A1132" s="6">
        <v>25</v>
      </c>
      <c r="B1132" s="6" t="str">
        <f t="shared" si="34"/>
        <v>Paper and Paper Products</v>
      </c>
      <c r="C1132" s="6">
        <v>18</v>
      </c>
      <c r="D1132" s="6" t="str">
        <f t="shared" si="35"/>
        <v>Sugar Refineries</v>
      </c>
      <c r="E1132" s="6">
        <v>13115</v>
      </c>
      <c r="F1132" s="6">
        <v>529</v>
      </c>
      <c r="G1132" s="6">
        <v>328</v>
      </c>
      <c r="H1132" s="6">
        <v>114</v>
      </c>
      <c r="I1132" s="6">
        <v>0</v>
      </c>
    </row>
    <row r="1133" spans="1:9">
      <c r="A1133" s="6">
        <v>26</v>
      </c>
      <c r="B1133" s="6" t="str">
        <f t="shared" si="34"/>
        <v>Printing and Publishing</v>
      </c>
      <c r="C1133" s="6">
        <v>18</v>
      </c>
      <c r="D1133" s="6" t="str">
        <f t="shared" si="35"/>
        <v>Sugar Refineries</v>
      </c>
      <c r="E1133" s="6">
        <v>1993</v>
      </c>
      <c r="F1133" s="6">
        <v>275</v>
      </c>
      <c r="G1133" s="6">
        <v>341</v>
      </c>
      <c r="H1133" s="6">
        <v>24</v>
      </c>
      <c r="I1133" s="6">
        <v>0</v>
      </c>
    </row>
    <row r="1134" spans="1:9">
      <c r="A1134" s="6">
        <v>27</v>
      </c>
      <c r="B1134" s="6" t="str">
        <f t="shared" si="34"/>
        <v>Basic Chemical Products</v>
      </c>
      <c r="C1134" s="6">
        <v>18</v>
      </c>
      <c r="D1134" s="6" t="str">
        <f t="shared" si="35"/>
        <v>Sugar Refineries</v>
      </c>
      <c r="E1134" s="6">
        <v>1278158</v>
      </c>
      <c r="F1134" s="6">
        <v>91924</v>
      </c>
      <c r="G1134" s="6">
        <v>42547</v>
      </c>
      <c r="H1134" s="6">
        <v>24821</v>
      </c>
      <c r="I1134" s="6">
        <v>713467</v>
      </c>
    </row>
    <row r="1135" spans="1:9">
      <c r="A1135" s="6">
        <v>28</v>
      </c>
      <c r="B1135" s="6" t="str">
        <f t="shared" si="34"/>
        <v>Fertilizer and Pesticides</v>
      </c>
      <c r="C1135" s="6">
        <v>18</v>
      </c>
      <c r="D1135" s="6" t="str">
        <f t="shared" si="35"/>
        <v>Sugar Refineries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</row>
    <row r="1136" spans="1:9">
      <c r="A1136" s="6">
        <v>29</v>
      </c>
      <c r="B1136" s="6" t="str">
        <f t="shared" si="34"/>
        <v>Other Chemical Products</v>
      </c>
      <c r="C1136" s="6">
        <v>18</v>
      </c>
      <c r="D1136" s="6" t="str">
        <f t="shared" si="35"/>
        <v>Sugar Refineries</v>
      </c>
      <c r="E1136" s="6">
        <v>29146</v>
      </c>
      <c r="F1136" s="6">
        <v>3222</v>
      </c>
      <c r="G1136" s="6">
        <v>4709</v>
      </c>
      <c r="H1136" s="6">
        <v>208</v>
      </c>
      <c r="I1136" s="6">
        <v>1251</v>
      </c>
    </row>
    <row r="1137" spans="1:9">
      <c r="A1137" s="6">
        <v>30</v>
      </c>
      <c r="B1137" s="6" t="str">
        <f t="shared" si="34"/>
        <v>Petroleum Refineries</v>
      </c>
      <c r="C1137" s="6">
        <v>18</v>
      </c>
      <c r="D1137" s="6" t="str">
        <f t="shared" si="35"/>
        <v>Sugar Refineries</v>
      </c>
      <c r="E1137" s="6">
        <v>1620993</v>
      </c>
      <c r="F1137" s="6">
        <v>78037</v>
      </c>
      <c r="G1137" s="6">
        <v>76218</v>
      </c>
      <c r="H1137" s="6">
        <v>14810</v>
      </c>
      <c r="I1137" s="6">
        <v>298659</v>
      </c>
    </row>
    <row r="1138" spans="1:9">
      <c r="A1138" s="6">
        <v>31</v>
      </c>
      <c r="B1138" s="6" t="str">
        <f t="shared" si="34"/>
        <v>Rubber Products</v>
      </c>
      <c r="C1138" s="6">
        <v>18</v>
      </c>
      <c r="D1138" s="6" t="str">
        <f t="shared" si="35"/>
        <v>Sugar Refineries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</row>
    <row r="1139" spans="1:9">
      <c r="A1139" s="6">
        <v>32</v>
      </c>
      <c r="B1139" s="6" t="str">
        <f t="shared" si="34"/>
        <v>Plastic Wares</v>
      </c>
      <c r="C1139" s="6">
        <v>18</v>
      </c>
      <c r="D1139" s="6" t="str">
        <f t="shared" si="35"/>
        <v>Sugar Refineries</v>
      </c>
      <c r="E1139" s="6">
        <v>2221250</v>
      </c>
      <c r="F1139" s="6">
        <v>48686</v>
      </c>
      <c r="G1139" s="6">
        <v>82399</v>
      </c>
      <c r="H1139" s="6">
        <v>15072</v>
      </c>
      <c r="I1139" s="6">
        <v>1082481</v>
      </c>
    </row>
    <row r="1140" spans="1:9">
      <c r="A1140" s="6">
        <v>33</v>
      </c>
      <c r="B1140" s="6" t="str">
        <f t="shared" si="34"/>
        <v>Cement and Concrete Products</v>
      </c>
      <c r="C1140" s="6">
        <v>18</v>
      </c>
      <c r="D1140" s="6" t="str">
        <f t="shared" si="35"/>
        <v>Sugar Refineries</v>
      </c>
      <c r="E1140" s="6">
        <v>1093717</v>
      </c>
      <c r="F1140" s="6">
        <v>69966</v>
      </c>
      <c r="G1140" s="6">
        <v>37747</v>
      </c>
      <c r="H1140" s="6">
        <v>14083</v>
      </c>
      <c r="I1140" s="6">
        <v>0</v>
      </c>
    </row>
    <row r="1141" spans="1:9">
      <c r="A1141" s="6">
        <v>34</v>
      </c>
      <c r="B1141" s="6" t="str">
        <f t="shared" si="34"/>
        <v>Other Non-metallic Products</v>
      </c>
      <c r="C1141" s="6">
        <v>18</v>
      </c>
      <c r="D1141" s="6" t="str">
        <f t="shared" si="35"/>
        <v>Sugar Refineries</v>
      </c>
      <c r="E1141" s="6">
        <v>11441</v>
      </c>
      <c r="F1141" s="6">
        <v>1639</v>
      </c>
      <c r="G1141" s="6">
        <v>1617</v>
      </c>
      <c r="H1141" s="6">
        <v>163</v>
      </c>
      <c r="I1141" s="6">
        <v>0</v>
      </c>
    </row>
    <row r="1142" spans="1:9">
      <c r="A1142" s="6">
        <v>35</v>
      </c>
      <c r="B1142" s="6" t="str">
        <f t="shared" si="34"/>
        <v>Iron and Steel</v>
      </c>
      <c r="C1142" s="6">
        <v>18</v>
      </c>
      <c r="D1142" s="6" t="str">
        <f t="shared" si="35"/>
        <v>Sugar Refineries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</row>
    <row r="1143" spans="1:9">
      <c r="A1143" s="6">
        <v>36</v>
      </c>
      <c r="B1143" s="6" t="str">
        <f t="shared" si="34"/>
        <v>Non-ferrous Metal</v>
      </c>
      <c r="C1143" s="6">
        <v>18</v>
      </c>
      <c r="D1143" s="6" t="str">
        <f t="shared" si="35"/>
        <v>Sugar Refineries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</row>
    <row r="1144" spans="1:9">
      <c r="A1144" s="6">
        <v>37</v>
      </c>
      <c r="B1144" s="6" t="str">
        <f t="shared" si="34"/>
        <v>Fabricated Metal Products</v>
      </c>
      <c r="C1144" s="6">
        <v>18</v>
      </c>
      <c r="D1144" s="6" t="str">
        <f t="shared" si="35"/>
        <v>Sugar Refineries</v>
      </c>
      <c r="E1144" s="6">
        <v>62514</v>
      </c>
      <c r="F1144" s="6">
        <v>706</v>
      </c>
      <c r="G1144" s="6">
        <v>1102</v>
      </c>
      <c r="H1144" s="6">
        <v>200</v>
      </c>
      <c r="I1144" s="6">
        <v>29196</v>
      </c>
    </row>
    <row r="1145" spans="1:9">
      <c r="A1145" s="6">
        <v>38</v>
      </c>
      <c r="B1145" s="6" t="str">
        <f t="shared" si="34"/>
        <v>Industrial Machinery</v>
      </c>
      <c r="C1145" s="6">
        <v>18</v>
      </c>
      <c r="D1145" s="6" t="str">
        <f t="shared" si="35"/>
        <v>Sugar Refineries</v>
      </c>
      <c r="E1145" s="6">
        <v>2117395</v>
      </c>
      <c r="F1145" s="6">
        <v>134221</v>
      </c>
      <c r="G1145" s="6">
        <v>0</v>
      </c>
      <c r="H1145" s="6">
        <v>27560</v>
      </c>
      <c r="I1145" s="6">
        <v>100691</v>
      </c>
    </row>
    <row r="1146" spans="1:9">
      <c r="A1146" s="6">
        <v>39</v>
      </c>
      <c r="B1146" s="6" t="str">
        <f t="shared" si="34"/>
        <v>Electrical Machinery and Apparatus</v>
      </c>
      <c r="C1146" s="6">
        <v>18</v>
      </c>
      <c r="D1146" s="6" t="str">
        <f t="shared" si="35"/>
        <v>Sugar Refineries</v>
      </c>
      <c r="E1146" s="6">
        <v>46303</v>
      </c>
      <c r="F1146" s="6">
        <v>1606</v>
      </c>
      <c r="G1146" s="6">
        <v>1804</v>
      </c>
      <c r="H1146" s="6">
        <v>408</v>
      </c>
      <c r="I1146" s="6">
        <v>0</v>
      </c>
    </row>
    <row r="1147" spans="1:9">
      <c r="A1147" s="6">
        <v>40</v>
      </c>
      <c r="B1147" s="6" t="str">
        <f t="shared" si="34"/>
        <v>Motor Vehicles and Repairing</v>
      </c>
      <c r="C1147" s="6">
        <v>18</v>
      </c>
      <c r="D1147" s="6" t="str">
        <f t="shared" si="35"/>
        <v>Sugar Refineries</v>
      </c>
      <c r="E1147" s="6">
        <v>247592</v>
      </c>
      <c r="F1147" s="6">
        <v>0</v>
      </c>
      <c r="G1147" s="6">
        <v>0</v>
      </c>
      <c r="H1147" s="6">
        <v>0</v>
      </c>
      <c r="I1147" s="6">
        <v>0</v>
      </c>
    </row>
    <row r="1148" spans="1:9">
      <c r="A1148" s="6">
        <v>41</v>
      </c>
      <c r="B1148" s="6" t="str">
        <f t="shared" si="34"/>
        <v>Other Transportation Equipment</v>
      </c>
      <c r="C1148" s="6">
        <v>18</v>
      </c>
      <c r="D1148" s="6" t="str">
        <f t="shared" si="35"/>
        <v>Sugar Refineries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</row>
    <row r="1149" spans="1:9">
      <c r="A1149" s="6">
        <v>42</v>
      </c>
      <c r="B1149" s="6" t="str">
        <f t="shared" si="34"/>
        <v>Leather Products</v>
      </c>
      <c r="C1149" s="6">
        <v>18</v>
      </c>
      <c r="D1149" s="6" t="str">
        <f t="shared" si="35"/>
        <v>Sugar Refineries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</row>
    <row r="1150" spans="1:9">
      <c r="A1150" s="6">
        <v>43</v>
      </c>
      <c r="B1150" s="6" t="str">
        <f t="shared" si="34"/>
        <v>Saw Mills and Wood Products</v>
      </c>
      <c r="C1150" s="6">
        <v>18</v>
      </c>
      <c r="D1150" s="6" t="str">
        <f t="shared" si="35"/>
        <v>Sugar Refineries</v>
      </c>
      <c r="E1150" s="6">
        <v>4929</v>
      </c>
      <c r="F1150" s="6">
        <v>497</v>
      </c>
      <c r="G1150" s="6">
        <v>539</v>
      </c>
      <c r="H1150" s="6">
        <v>39</v>
      </c>
      <c r="I1150" s="6">
        <v>0</v>
      </c>
    </row>
    <row r="1151" spans="1:9">
      <c r="A1151" s="6">
        <v>44</v>
      </c>
      <c r="B1151" s="6" t="str">
        <f t="shared" si="34"/>
        <v>Other Manufacturing Products</v>
      </c>
      <c r="C1151" s="6">
        <v>18</v>
      </c>
      <c r="D1151" s="6" t="str">
        <f t="shared" si="35"/>
        <v>Sugar Refineries</v>
      </c>
      <c r="E1151" s="6">
        <v>37854</v>
      </c>
      <c r="F1151" s="6">
        <v>3372</v>
      </c>
      <c r="G1151" s="6">
        <v>2522</v>
      </c>
      <c r="H1151" s="6">
        <v>332</v>
      </c>
      <c r="I1151" s="6">
        <v>0</v>
      </c>
    </row>
    <row r="1152" spans="1:9">
      <c r="A1152" s="6">
        <v>45</v>
      </c>
      <c r="B1152" s="6" t="str">
        <f t="shared" si="34"/>
        <v>Electricity and Gas</v>
      </c>
      <c r="C1152" s="6">
        <v>18</v>
      </c>
      <c r="D1152" s="6" t="str">
        <f t="shared" si="35"/>
        <v>Sugar Refineries</v>
      </c>
      <c r="E1152" s="6">
        <v>2367334</v>
      </c>
      <c r="F1152" s="6">
        <v>2673</v>
      </c>
      <c r="G1152" s="6">
        <v>8239</v>
      </c>
      <c r="H1152" s="6">
        <v>1570</v>
      </c>
      <c r="I1152" s="6">
        <v>0</v>
      </c>
    </row>
    <row r="1153" spans="1:9">
      <c r="A1153" s="6">
        <v>46</v>
      </c>
      <c r="B1153" s="6" t="str">
        <f t="shared" si="34"/>
        <v>Water Works and Supply</v>
      </c>
      <c r="C1153" s="6">
        <v>18</v>
      </c>
      <c r="D1153" s="6" t="str">
        <f t="shared" si="35"/>
        <v>Sugar Refineries</v>
      </c>
      <c r="E1153" s="6">
        <v>71699</v>
      </c>
      <c r="F1153" s="6">
        <v>0</v>
      </c>
      <c r="G1153" s="6">
        <v>0</v>
      </c>
      <c r="H1153" s="6">
        <v>0</v>
      </c>
      <c r="I1153" s="6">
        <v>0</v>
      </c>
    </row>
    <row r="1154" spans="1:9">
      <c r="A1154" s="6">
        <v>47</v>
      </c>
      <c r="B1154" s="6" t="str">
        <f t="shared" si="34"/>
        <v>Building Construction</v>
      </c>
      <c r="C1154" s="6">
        <v>18</v>
      </c>
      <c r="D1154" s="6" t="str">
        <f t="shared" si="35"/>
        <v>Sugar Refineries</v>
      </c>
      <c r="E1154" s="6">
        <v>90784</v>
      </c>
      <c r="F1154" s="6">
        <v>0</v>
      </c>
      <c r="G1154" s="6">
        <v>0</v>
      </c>
      <c r="H1154" s="6">
        <v>0</v>
      </c>
      <c r="I1154" s="6">
        <v>0</v>
      </c>
    </row>
    <row r="1155" spans="1:9">
      <c r="A1155" s="6">
        <v>48</v>
      </c>
      <c r="B1155" s="6" t="str">
        <f t="shared" si="34"/>
        <v>Public Works and Other Construction</v>
      </c>
      <c r="C1155" s="6">
        <v>18</v>
      </c>
      <c r="D1155" s="6" t="str">
        <f t="shared" si="35"/>
        <v>Sugar Refineries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</row>
    <row r="1156" spans="1:9">
      <c r="A1156" s="6">
        <v>49</v>
      </c>
      <c r="B1156" s="6" t="str">
        <f t="shared" ref="B1156:B1219" si="36">VLOOKUP(A1156,R:S,2,0)</f>
        <v>Trade</v>
      </c>
      <c r="C1156" s="6">
        <v>18</v>
      </c>
      <c r="D1156" s="6" t="str">
        <f t="shared" ref="D1156:D1219" si="37">VLOOKUP(C1156,R:S,2,0)</f>
        <v>Sugar Refineries</v>
      </c>
      <c r="E1156" s="6">
        <v>0</v>
      </c>
      <c r="F1156" s="6">
        <v>-3663050</v>
      </c>
      <c r="G1156" s="6">
        <v>-366640</v>
      </c>
      <c r="H1156" s="6">
        <v>0</v>
      </c>
      <c r="I1156" s="6">
        <v>0</v>
      </c>
    </row>
    <row r="1157" spans="1:9">
      <c r="A1157" s="6">
        <v>50</v>
      </c>
      <c r="B1157" s="6" t="str">
        <f t="shared" si="36"/>
        <v>Restaurants and Hotels</v>
      </c>
      <c r="C1157" s="6">
        <v>18</v>
      </c>
      <c r="D1157" s="6" t="str">
        <f t="shared" si="37"/>
        <v>Sugar Refineries</v>
      </c>
      <c r="E1157" s="6">
        <v>136976</v>
      </c>
      <c r="F1157" s="6">
        <v>0</v>
      </c>
      <c r="G1157" s="6">
        <v>0</v>
      </c>
      <c r="H1157" s="6">
        <v>0</v>
      </c>
      <c r="I1157" s="6">
        <v>0</v>
      </c>
    </row>
    <row r="1158" spans="1:9">
      <c r="A1158" s="6">
        <v>51</v>
      </c>
      <c r="B1158" s="6" t="str">
        <f t="shared" si="36"/>
        <v>Transportation</v>
      </c>
      <c r="C1158" s="6">
        <v>18</v>
      </c>
      <c r="D1158" s="6" t="str">
        <f t="shared" si="37"/>
        <v>Sugar Refineries</v>
      </c>
      <c r="E1158" s="6">
        <v>642914</v>
      </c>
      <c r="F1158" s="6">
        <v>0</v>
      </c>
      <c r="G1158" s="6">
        <v>0</v>
      </c>
      <c r="H1158" s="6">
        <v>-2250581</v>
      </c>
      <c r="I1158" s="6">
        <v>0</v>
      </c>
    </row>
    <row r="1159" spans="1:9">
      <c r="A1159" s="6">
        <v>52</v>
      </c>
      <c r="B1159" s="6" t="str">
        <f t="shared" si="36"/>
        <v>Communication</v>
      </c>
      <c r="C1159" s="6">
        <v>18</v>
      </c>
      <c r="D1159" s="6" t="str">
        <f t="shared" si="37"/>
        <v>Sugar Refineries</v>
      </c>
      <c r="E1159" s="6">
        <v>91163</v>
      </c>
      <c r="F1159" s="6">
        <v>0</v>
      </c>
      <c r="G1159" s="6">
        <v>0</v>
      </c>
      <c r="H1159" s="6">
        <v>0</v>
      </c>
      <c r="I1159" s="6">
        <v>0</v>
      </c>
    </row>
    <row r="1160" spans="1:9">
      <c r="A1160" s="6">
        <v>53</v>
      </c>
      <c r="B1160" s="6" t="str">
        <f t="shared" si="36"/>
        <v>Banking and Insurance</v>
      </c>
      <c r="C1160" s="6">
        <v>18</v>
      </c>
      <c r="D1160" s="6" t="str">
        <f t="shared" si="37"/>
        <v>Sugar Refineries</v>
      </c>
      <c r="E1160" s="6">
        <v>2572215</v>
      </c>
      <c r="F1160" s="6">
        <v>0</v>
      </c>
      <c r="G1160" s="6">
        <v>0</v>
      </c>
      <c r="H1160" s="6">
        <v>0</v>
      </c>
      <c r="I1160" s="6">
        <v>0</v>
      </c>
    </row>
    <row r="1161" spans="1:9">
      <c r="A1161" s="6">
        <v>54</v>
      </c>
      <c r="B1161" s="6" t="str">
        <f t="shared" si="36"/>
        <v>Real Estate</v>
      </c>
      <c r="C1161" s="6">
        <v>18</v>
      </c>
      <c r="D1161" s="6" t="str">
        <f t="shared" si="37"/>
        <v>Sugar Refineries</v>
      </c>
      <c r="E1161" s="6">
        <v>51158</v>
      </c>
      <c r="F1161" s="6">
        <v>0</v>
      </c>
      <c r="G1161" s="6">
        <v>0</v>
      </c>
      <c r="H1161" s="6">
        <v>0</v>
      </c>
      <c r="I1161" s="6">
        <v>0</v>
      </c>
    </row>
    <row r="1162" spans="1:9">
      <c r="A1162" s="6">
        <v>55</v>
      </c>
      <c r="B1162" s="6" t="str">
        <f t="shared" si="36"/>
        <v>Business Services</v>
      </c>
      <c r="C1162" s="6">
        <v>18</v>
      </c>
      <c r="D1162" s="6" t="str">
        <f t="shared" si="37"/>
        <v>Sugar Refineries</v>
      </c>
      <c r="E1162" s="6">
        <v>4760792</v>
      </c>
      <c r="F1162" s="6">
        <v>0</v>
      </c>
      <c r="G1162" s="6">
        <v>0</v>
      </c>
      <c r="H1162" s="6">
        <v>0</v>
      </c>
      <c r="I1162" s="6">
        <v>0</v>
      </c>
    </row>
    <row r="1163" spans="1:9">
      <c r="A1163" s="6">
        <v>56</v>
      </c>
      <c r="B1163" s="6" t="str">
        <f t="shared" si="36"/>
        <v>Public Services</v>
      </c>
      <c r="C1163" s="6">
        <v>18</v>
      </c>
      <c r="D1163" s="6" t="str">
        <f t="shared" si="37"/>
        <v>Sugar Refineries</v>
      </c>
      <c r="E1163" s="6">
        <v>153796</v>
      </c>
      <c r="F1163" s="6">
        <v>0</v>
      </c>
      <c r="G1163" s="6">
        <v>0</v>
      </c>
      <c r="H1163" s="6">
        <v>0</v>
      </c>
      <c r="I1163" s="6">
        <v>0</v>
      </c>
    </row>
    <row r="1164" spans="1:9">
      <c r="A1164" s="6">
        <v>57</v>
      </c>
      <c r="B1164" s="6" t="str">
        <f t="shared" si="36"/>
        <v>Other Services</v>
      </c>
      <c r="C1164" s="6">
        <v>18</v>
      </c>
      <c r="D1164" s="6" t="str">
        <f t="shared" si="37"/>
        <v>Sugar Refineries</v>
      </c>
      <c r="E1164" s="6">
        <v>247264</v>
      </c>
      <c r="F1164" s="6">
        <v>0</v>
      </c>
      <c r="G1164" s="6">
        <v>0</v>
      </c>
      <c r="H1164" s="6">
        <v>0</v>
      </c>
      <c r="I1164" s="6">
        <v>0</v>
      </c>
    </row>
    <row r="1165" spans="1:9">
      <c r="A1165" s="6">
        <v>58</v>
      </c>
      <c r="B1165" s="6" t="str">
        <f t="shared" si="36"/>
        <v>Unclassified</v>
      </c>
      <c r="C1165" s="6">
        <v>18</v>
      </c>
      <c r="D1165" s="6" t="str">
        <f t="shared" si="37"/>
        <v>Sugar Refineries</v>
      </c>
      <c r="E1165" s="6">
        <v>119857</v>
      </c>
      <c r="F1165" s="6">
        <v>0</v>
      </c>
      <c r="G1165" s="6">
        <v>0</v>
      </c>
      <c r="H1165" s="6">
        <v>0</v>
      </c>
      <c r="I1165" s="6">
        <v>13098</v>
      </c>
    </row>
    <row r="1166" spans="1:9">
      <c r="A1166" s="6">
        <v>190</v>
      </c>
      <c r="B1166" s="6" t="str">
        <f t="shared" si="36"/>
        <v>Total Intermedite Transaction</v>
      </c>
      <c r="C1166" s="6">
        <v>18</v>
      </c>
      <c r="D1166" s="6" t="str">
        <f t="shared" si="37"/>
        <v>Sugar Refineries</v>
      </c>
      <c r="E1166" s="6">
        <v>92812194</v>
      </c>
      <c r="F1166" s="6">
        <v>0</v>
      </c>
      <c r="G1166" s="6">
        <v>0</v>
      </c>
      <c r="H1166" s="6">
        <v>0</v>
      </c>
      <c r="I1166" s="6">
        <v>2556215</v>
      </c>
    </row>
    <row r="1167" spans="1:9">
      <c r="A1167" s="6">
        <v>201</v>
      </c>
      <c r="B1167" s="6" t="str">
        <f t="shared" si="36"/>
        <v>Wages and Salaries</v>
      </c>
      <c r="C1167" s="6">
        <v>18</v>
      </c>
      <c r="D1167" s="6" t="str">
        <f t="shared" si="37"/>
        <v>Sugar Refineries</v>
      </c>
      <c r="E1167" s="6">
        <v>16567714</v>
      </c>
      <c r="F1167" s="6">
        <v>0</v>
      </c>
      <c r="G1167" s="6">
        <v>0</v>
      </c>
      <c r="H1167" s="6">
        <v>0</v>
      </c>
      <c r="I1167" s="6">
        <v>0</v>
      </c>
    </row>
    <row r="1168" spans="1:9">
      <c r="A1168" s="6">
        <v>202</v>
      </c>
      <c r="B1168" s="6" t="str">
        <f t="shared" si="36"/>
        <v>Operating Surplus</v>
      </c>
      <c r="C1168" s="6">
        <v>18</v>
      </c>
      <c r="D1168" s="6" t="str">
        <f t="shared" si="37"/>
        <v>Sugar Refineries</v>
      </c>
      <c r="E1168" s="6">
        <v>26116643</v>
      </c>
      <c r="F1168" s="6">
        <v>0</v>
      </c>
      <c r="G1168" s="6">
        <v>0</v>
      </c>
      <c r="H1168" s="6">
        <v>0</v>
      </c>
      <c r="I1168" s="6">
        <v>0</v>
      </c>
    </row>
    <row r="1169" spans="1:9">
      <c r="A1169" s="6">
        <v>203</v>
      </c>
      <c r="B1169" s="6" t="str">
        <f t="shared" si="36"/>
        <v>Depreciation</v>
      </c>
      <c r="C1169" s="6">
        <v>18</v>
      </c>
      <c r="D1169" s="6" t="str">
        <f t="shared" si="37"/>
        <v>Sugar Refineries</v>
      </c>
      <c r="E1169" s="6">
        <v>16007977</v>
      </c>
      <c r="F1169" s="6">
        <v>0</v>
      </c>
      <c r="G1169" s="6">
        <v>0</v>
      </c>
      <c r="H1169" s="6">
        <v>0</v>
      </c>
      <c r="I1169" s="6">
        <v>0</v>
      </c>
    </row>
    <row r="1170" spans="1:9">
      <c r="A1170" s="6">
        <v>204</v>
      </c>
      <c r="B1170" s="6" t="str">
        <f t="shared" si="36"/>
        <v>Indirect Taxes less Subsidies</v>
      </c>
      <c r="C1170" s="6">
        <v>18</v>
      </c>
      <c r="D1170" s="6" t="str">
        <f t="shared" si="37"/>
        <v>Sugar Refineries</v>
      </c>
      <c r="E1170" s="6">
        <v>-1373182</v>
      </c>
      <c r="F1170" s="6">
        <v>0</v>
      </c>
      <c r="G1170" s="6">
        <v>0</v>
      </c>
      <c r="H1170" s="6">
        <v>0</v>
      </c>
      <c r="I1170" s="6">
        <v>0</v>
      </c>
    </row>
    <row r="1171" spans="1:9">
      <c r="A1171" s="6">
        <v>209</v>
      </c>
      <c r="B1171" s="6" t="str">
        <f t="shared" si="36"/>
        <v>Total Value Added</v>
      </c>
      <c r="C1171" s="6">
        <v>18</v>
      </c>
      <c r="D1171" s="6" t="str">
        <f t="shared" si="37"/>
        <v>Sugar Refineries</v>
      </c>
      <c r="E1171" s="6">
        <v>57319152</v>
      </c>
      <c r="F1171" s="6">
        <v>0</v>
      </c>
      <c r="G1171" s="6">
        <v>0</v>
      </c>
      <c r="H1171" s="6">
        <v>0</v>
      </c>
      <c r="I1171" s="6">
        <v>0</v>
      </c>
    </row>
    <row r="1172" spans="1:9">
      <c r="A1172" s="6">
        <v>210</v>
      </c>
      <c r="B1172" s="6" t="str">
        <f t="shared" si="36"/>
        <v>Control Total</v>
      </c>
      <c r="C1172" s="6">
        <v>18</v>
      </c>
      <c r="D1172" s="6" t="str">
        <f t="shared" si="37"/>
        <v>Sugar Refineries</v>
      </c>
      <c r="E1172" s="6">
        <v>150131346</v>
      </c>
      <c r="F1172" s="6">
        <v>0</v>
      </c>
      <c r="G1172" s="6">
        <v>0</v>
      </c>
      <c r="H1172" s="6">
        <v>0</v>
      </c>
      <c r="I1172" s="6">
        <v>0</v>
      </c>
    </row>
    <row r="1173" spans="1:9">
      <c r="A1173" s="6">
        <v>1</v>
      </c>
      <c r="B1173" s="6" t="str">
        <f t="shared" si="36"/>
        <v>Paddy</v>
      </c>
      <c r="C1173" s="6">
        <v>19</v>
      </c>
      <c r="D1173" s="6" t="str">
        <f t="shared" si="37"/>
        <v>Other Foods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</row>
    <row r="1174" spans="1:9">
      <c r="A1174" s="6">
        <v>2</v>
      </c>
      <c r="B1174" s="6" t="str">
        <f t="shared" si="36"/>
        <v>Maize</v>
      </c>
      <c r="C1174" s="6">
        <v>19</v>
      </c>
      <c r="D1174" s="6" t="str">
        <f t="shared" si="37"/>
        <v>Other Foods</v>
      </c>
      <c r="E1174" s="6">
        <v>38007</v>
      </c>
      <c r="F1174" s="6">
        <v>1292</v>
      </c>
      <c r="G1174" s="6">
        <v>0</v>
      </c>
      <c r="H1174" s="6">
        <v>239</v>
      </c>
      <c r="I1174" s="6">
        <v>23262</v>
      </c>
    </row>
    <row r="1175" spans="1:9">
      <c r="A1175" s="6">
        <v>3</v>
      </c>
      <c r="B1175" s="6" t="str">
        <f t="shared" si="36"/>
        <v>Cassava</v>
      </c>
      <c r="C1175" s="6">
        <v>19</v>
      </c>
      <c r="D1175" s="6" t="str">
        <f t="shared" si="37"/>
        <v>Other Foods</v>
      </c>
      <c r="E1175" s="6">
        <v>817601</v>
      </c>
      <c r="F1175" s="6">
        <v>13273</v>
      </c>
      <c r="G1175" s="6">
        <v>23306</v>
      </c>
      <c r="H1175" s="6">
        <v>4582</v>
      </c>
      <c r="I1175" s="6">
        <v>0</v>
      </c>
    </row>
    <row r="1176" spans="1:9">
      <c r="A1176" s="6">
        <v>4</v>
      </c>
      <c r="B1176" s="6" t="str">
        <f t="shared" si="36"/>
        <v>Beans and Nuts</v>
      </c>
      <c r="C1176" s="6">
        <v>19</v>
      </c>
      <c r="D1176" s="6" t="str">
        <f t="shared" si="37"/>
        <v>Other Foods</v>
      </c>
      <c r="E1176" s="6">
        <v>12346452</v>
      </c>
      <c r="F1176" s="6">
        <v>307623</v>
      </c>
      <c r="G1176" s="6">
        <v>330995</v>
      </c>
      <c r="H1176" s="6">
        <v>18401</v>
      </c>
      <c r="I1176" s="6">
        <v>11439645</v>
      </c>
    </row>
    <row r="1177" spans="1:9">
      <c r="A1177" s="6">
        <v>5</v>
      </c>
      <c r="B1177" s="6" t="str">
        <f t="shared" si="36"/>
        <v>Vegetables and Fruits</v>
      </c>
      <c r="C1177" s="6">
        <v>19</v>
      </c>
      <c r="D1177" s="6" t="str">
        <f t="shared" si="37"/>
        <v>Other Foods</v>
      </c>
      <c r="E1177" s="6">
        <v>8583443</v>
      </c>
      <c r="F1177" s="6">
        <v>253579</v>
      </c>
      <c r="G1177" s="6">
        <v>647406</v>
      </c>
      <c r="H1177" s="6">
        <v>138696</v>
      </c>
      <c r="I1177" s="6">
        <v>772888</v>
      </c>
    </row>
    <row r="1178" spans="1:9">
      <c r="A1178" s="6">
        <v>6</v>
      </c>
      <c r="B1178" s="6" t="str">
        <f t="shared" si="36"/>
        <v>Sugarcane</v>
      </c>
      <c r="C1178" s="6">
        <v>19</v>
      </c>
      <c r="D1178" s="6" t="str">
        <f t="shared" si="37"/>
        <v>Other Foods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</row>
    <row r="1179" spans="1:9">
      <c r="A1179" s="6">
        <v>7</v>
      </c>
      <c r="B1179" s="6" t="str">
        <f t="shared" si="36"/>
        <v>Rubber (Latex)</v>
      </c>
      <c r="C1179" s="6">
        <v>19</v>
      </c>
      <c r="D1179" s="6" t="str">
        <f t="shared" si="37"/>
        <v>Other Foods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</row>
    <row r="1180" spans="1:9">
      <c r="A1180" s="6">
        <v>8</v>
      </c>
      <c r="B1180" s="6" t="str">
        <f t="shared" si="36"/>
        <v>Other Crops</v>
      </c>
      <c r="C1180" s="6">
        <v>19</v>
      </c>
      <c r="D1180" s="6" t="str">
        <f t="shared" si="37"/>
        <v>Other Foods</v>
      </c>
      <c r="E1180" s="6">
        <v>8856829</v>
      </c>
      <c r="F1180" s="6">
        <v>540993</v>
      </c>
      <c r="G1180" s="6">
        <v>171901</v>
      </c>
      <c r="H1180" s="6">
        <v>33804</v>
      </c>
      <c r="I1180" s="6">
        <v>6294679</v>
      </c>
    </row>
    <row r="1181" spans="1:9">
      <c r="A1181" s="6">
        <v>9</v>
      </c>
      <c r="B1181" s="6" t="str">
        <f t="shared" si="36"/>
        <v>Livestock</v>
      </c>
      <c r="C1181" s="6">
        <v>19</v>
      </c>
      <c r="D1181" s="6" t="str">
        <f t="shared" si="37"/>
        <v>Other Foods</v>
      </c>
      <c r="E1181" s="6">
        <v>4161915</v>
      </c>
      <c r="F1181" s="6">
        <v>71977</v>
      </c>
      <c r="G1181" s="6">
        <v>234125</v>
      </c>
      <c r="H1181" s="6">
        <v>27795</v>
      </c>
      <c r="I1181" s="6">
        <v>0</v>
      </c>
    </row>
    <row r="1182" spans="1:9">
      <c r="A1182" s="6">
        <v>10</v>
      </c>
      <c r="B1182" s="6" t="str">
        <f t="shared" si="36"/>
        <v>Forestry</v>
      </c>
      <c r="C1182" s="6">
        <v>19</v>
      </c>
      <c r="D1182" s="6" t="str">
        <f t="shared" si="37"/>
        <v>Other Foods</v>
      </c>
      <c r="E1182" s="6">
        <v>845776</v>
      </c>
      <c r="F1182" s="6">
        <v>58488</v>
      </c>
      <c r="G1182" s="6">
        <v>16773</v>
      </c>
      <c r="H1182" s="6">
        <v>19367</v>
      </c>
      <c r="I1182" s="6">
        <v>530317</v>
      </c>
    </row>
    <row r="1183" spans="1:9">
      <c r="A1183" s="6">
        <v>11</v>
      </c>
      <c r="B1183" s="6" t="str">
        <f t="shared" si="36"/>
        <v>Fishery</v>
      </c>
      <c r="C1183" s="6">
        <v>19</v>
      </c>
      <c r="D1183" s="6" t="str">
        <f t="shared" si="37"/>
        <v>Other Foods</v>
      </c>
      <c r="E1183" s="6">
        <v>3173024</v>
      </c>
      <c r="F1183" s="6">
        <v>222932</v>
      </c>
      <c r="G1183" s="6">
        <v>202513</v>
      </c>
      <c r="H1183" s="6">
        <v>54195</v>
      </c>
      <c r="I1183" s="6">
        <v>1450685</v>
      </c>
    </row>
    <row r="1184" spans="1:9">
      <c r="A1184" s="6">
        <v>12</v>
      </c>
      <c r="B1184" s="6" t="str">
        <f t="shared" si="36"/>
        <v>Crude Oil and Coal</v>
      </c>
      <c r="C1184" s="6">
        <v>19</v>
      </c>
      <c r="D1184" s="6" t="str">
        <f t="shared" si="37"/>
        <v>Other Foods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</row>
    <row r="1185" spans="1:9">
      <c r="A1185" s="6">
        <v>13</v>
      </c>
      <c r="B1185" s="6" t="str">
        <f t="shared" si="36"/>
        <v>Metal Ore</v>
      </c>
      <c r="C1185" s="6">
        <v>19</v>
      </c>
      <c r="D1185" s="6" t="str">
        <f t="shared" si="37"/>
        <v>Other Foods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</row>
    <row r="1186" spans="1:9">
      <c r="A1186" s="6">
        <v>14</v>
      </c>
      <c r="B1186" s="6" t="str">
        <f t="shared" si="36"/>
        <v>Non-Metal Ore</v>
      </c>
      <c r="C1186" s="6">
        <v>19</v>
      </c>
      <c r="D1186" s="6" t="str">
        <f t="shared" si="37"/>
        <v>Other Foods</v>
      </c>
      <c r="E1186" s="6">
        <v>3053874</v>
      </c>
      <c r="F1186" s="6">
        <v>301136</v>
      </c>
      <c r="G1186" s="6">
        <v>268412</v>
      </c>
      <c r="H1186" s="6">
        <v>85028</v>
      </c>
      <c r="I1186" s="6">
        <v>4649</v>
      </c>
    </row>
    <row r="1187" spans="1:9">
      <c r="A1187" s="6">
        <v>15</v>
      </c>
      <c r="B1187" s="6" t="str">
        <f t="shared" si="36"/>
        <v>Slaughtering</v>
      </c>
      <c r="C1187" s="6">
        <v>19</v>
      </c>
      <c r="D1187" s="6" t="str">
        <f t="shared" si="37"/>
        <v>Other Foods</v>
      </c>
      <c r="E1187" s="6">
        <v>2124956</v>
      </c>
      <c r="F1187" s="6">
        <v>7821</v>
      </c>
      <c r="G1187" s="6">
        <v>13833</v>
      </c>
      <c r="H1187" s="6">
        <v>5823</v>
      </c>
      <c r="I1187" s="6">
        <v>0</v>
      </c>
    </row>
    <row r="1188" spans="1:9">
      <c r="A1188" s="6">
        <v>16</v>
      </c>
      <c r="B1188" s="6" t="str">
        <f t="shared" si="36"/>
        <v>Processing and Presering of Foods</v>
      </c>
      <c r="C1188" s="6">
        <v>19</v>
      </c>
      <c r="D1188" s="6" t="str">
        <f t="shared" si="37"/>
        <v>Other Foods</v>
      </c>
      <c r="E1188" s="6">
        <v>26368470</v>
      </c>
      <c r="F1188" s="6">
        <v>623671</v>
      </c>
      <c r="G1188" s="6">
        <v>826443</v>
      </c>
      <c r="H1188" s="6">
        <v>261096</v>
      </c>
      <c r="I1188" s="6">
        <v>9337623</v>
      </c>
    </row>
    <row r="1189" spans="1:9">
      <c r="A1189" s="6">
        <v>17</v>
      </c>
      <c r="B1189" s="6" t="str">
        <f t="shared" si="36"/>
        <v>Rice and Other Grain Milling</v>
      </c>
      <c r="C1189" s="6">
        <v>19</v>
      </c>
      <c r="D1189" s="6" t="str">
        <f t="shared" si="37"/>
        <v>Other Foods</v>
      </c>
      <c r="E1189" s="6">
        <v>42939182</v>
      </c>
      <c r="F1189" s="6">
        <v>2000440</v>
      </c>
      <c r="G1189" s="6">
        <v>2297273</v>
      </c>
      <c r="H1189" s="6">
        <v>674882</v>
      </c>
      <c r="I1189" s="6">
        <v>16644228</v>
      </c>
    </row>
    <row r="1190" spans="1:9">
      <c r="A1190" s="6">
        <v>18</v>
      </c>
      <c r="B1190" s="6" t="str">
        <f t="shared" si="36"/>
        <v>Sugar Refineries</v>
      </c>
      <c r="C1190" s="6">
        <v>19</v>
      </c>
      <c r="D1190" s="6" t="str">
        <f t="shared" si="37"/>
        <v>Other Foods</v>
      </c>
      <c r="E1190" s="6">
        <v>17794107</v>
      </c>
      <c r="F1190" s="6">
        <v>423137</v>
      </c>
      <c r="G1190" s="6">
        <v>697002</v>
      </c>
      <c r="H1190" s="6">
        <v>239062</v>
      </c>
      <c r="I1190" s="6">
        <v>1031203</v>
      </c>
    </row>
    <row r="1191" spans="1:9">
      <c r="A1191" s="6">
        <v>19</v>
      </c>
      <c r="B1191" s="6" t="str">
        <f t="shared" si="36"/>
        <v>Other Foods</v>
      </c>
      <c r="C1191" s="6">
        <v>19</v>
      </c>
      <c r="D1191" s="6" t="str">
        <f t="shared" si="37"/>
        <v>Other Foods</v>
      </c>
      <c r="E1191" s="6">
        <v>23474023</v>
      </c>
      <c r="F1191" s="6">
        <v>333231</v>
      </c>
      <c r="G1191" s="6">
        <v>872775</v>
      </c>
      <c r="H1191" s="6">
        <v>267791</v>
      </c>
      <c r="I1191" s="6">
        <v>8205896</v>
      </c>
    </row>
    <row r="1192" spans="1:9">
      <c r="A1192" s="6">
        <v>20</v>
      </c>
      <c r="B1192" s="6" t="str">
        <f t="shared" si="36"/>
        <v>Animal Food</v>
      </c>
      <c r="C1192" s="6">
        <v>19</v>
      </c>
      <c r="D1192" s="6" t="str">
        <f t="shared" si="37"/>
        <v>Other Foods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</row>
    <row r="1193" spans="1:9">
      <c r="A1193" s="6">
        <v>21</v>
      </c>
      <c r="B1193" s="6" t="str">
        <f t="shared" si="36"/>
        <v>Beverages</v>
      </c>
      <c r="C1193" s="6">
        <v>19</v>
      </c>
      <c r="D1193" s="6" t="str">
        <f t="shared" si="37"/>
        <v>Other Foods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</row>
    <row r="1194" spans="1:9">
      <c r="A1194" s="6">
        <v>22</v>
      </c>
      <c r="B1194" s="6" t="str">
        <f t="shared" si="36"/>
        <v>Tobacco Processing and Products</v>
      </c>
      <c r="C1194" s="6">
        <v>19</v>
      </c>
      <c r="D1194" s="6" t="str">
        <f t="shared" si="37"/>
        <v>Other Foods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</row>
    <row r="1195" spans="1:9">
      <c r="A1195" s="6">
        <v>23</v>
      </c>
      <c r="B1195" s="6" t="str">
        <f t="shared" si="36"/>
        <v>Spinning, Weaving and Bleaching</v>
      </c>
      <c r="C1195" s="6">
        <v>19</v>
      </c>
      <c r="D1195" s="6" t="str">
        <f t="shared" si="37"/>
        <v>Other Foods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</row>
    <row r="1196" spans="1:9">
      <c r="A1196" s="6">
        <v>24</v>
      </c>
      <c r="B1196" s="6" t="str">
        <f t="shared" si="36"/>
        <v>Textile Products</v>
      </c>
      <c r="C1196" s="6">
        <v>19</v>
      </c>
      <c r="D1196" s="6" t="str">
        <f t="shared" si="37"/>
        <v>Other Foods</v>
      </c>
      <c r="E1196" s="6">
        <v>2527</v>
      </c>
      <c r="F1196" s="6">
        <v>58</v>
      </c>
      <c r="G1196" s="6">
        <v>14</v>
      </c>
      <c r="H1196" s="6">
        <v>8</v>
      </c>
      <c r="I1196" s="6">
        <v>0</v>
      </c>
    </row>
    <row r="1197" spans="1:9">
      <c r="A1197" s="6">
        <v>25</v>
      </c>
      <c r="B1197" s="6" t="str">
        <f t="shared" si="36"/>
        <v>Paper and Paper Products</v>
      </c>
      <c r="C1197" s="6">
        <v>19</v>
      </c>
      <c r="D1197" s="6" t="str">
        <f t="shared" si="37"/>
        <v>Other Foods</v>
      </c>
      <c r="E1197" s="6">
        <v>1735269</v>
      </c>
      <c r="F1197" s="6">
        <v>69725</v>
      </c>
      <c r="G1197" s="6">
        <v>80998</v>
      </c>
      <c r="H1197" s="6">
        <v>18001</v>
      </c>
      <c r="I1197" s="6">
        <v>92896</v>
      </c>
    </row>
    <row r="1198" spans="1:9">
      <c r="A1198" s="6">
        <v>26</v>
      </c>
      <c r="B1198" s="6" t="str">
        <f t="shared" si="36"/>
        <v>Printing and Publishing</v>
      </c>
      <c r="C1198" s="6">
        <v>19</v>
      </c>
      <c r="D1198" s="6" t="str">
        <f t="shared" si="37"/>
        <v>Other Foods</v>
      </c>
      <c r="E1198" s="6">
        <v>2679</v>
      </c>
      <c r="F1198" s="6">
        <v>222</v>
      </c>
      <c r="G1198" s="6">
        <v>427</v>
      </c>
      <c r="H1198" s="6">
        <v>33</v>
      </c>
      <c r="I1198" s="6">
        <v>0</v>
      </c>
    </row>
    <row r="1199" spans="1:9">
      <c r="A1199" s="6">
        <v>27</v>
      </c>
      <c r="B1199" s="6" t="str">
        <f t="shared" si="36"/>
        <v>Basic Chemical Products</v>
      </c>
      <c r="C1199" s="6">
        <v>19</v>
      </c>
      <c r="D1199" s="6" t="str">
        <f t="shared" si="37"/>
        <v>Other Foods</v>
      </c>
      <c r="E1199" s="6">
        <v>5898117</v>
      </c>
      <c r="F1199" s="6">
        <v>758798</v>
      </c>
      <c r="G1199" s="6">
        <v>420487</v>
      </c>
      <c r="H1199" s="6">
        <v>143284</v>
      </c>
      <c r="I1199" s="6">
        <v>3379910</v>
      </c>
    </row>
    <row r="1200" spans="1:9">
      <c r="A1200" s="6">
        <v>28</v>
      </c>
      <c r="B1200" s="6" t="str">
        <f t="shared" si="36"/>
        <v>Fertilizer and Pesticides</v>
      </c>
      <c r="C1200" s="6">
        <v>19</v>
      </c>
      <c r="D1200" s="6" t="str">
        <f t="shared" si="37"/>
        <v>Other Foods</v>
      </c>
      <c r="E1200" s="6">
        <v>8343</v>
      </c>
      <c r="F1200" s="6">
        <v>180</v>
      </c>
      <c r="G1200" s="6">
        <v>95</v>
      </c>
      <c r="H1200" s="6">
        <v>359</v>
      </c>
      <c r="I1200" s="6">
        <v>0</v>
      </c>
    </row>
    <row r="1201" spans="1:9">
      <c r="A1201" s="6">
        <v>29</v>
      </c>
      <c r="B1201" s="6" t="str">
        <f t="shared" si="36"/>
        <v>Other Chemical Products</v>
      </c>
      <c r="C1201" s="6">
        <v>19</v>
      </c>
      <c r="D1201" s="6" t="str">
        <f t="shared" si="37"/>
        <v>Other Foods</v>
      </c>
      <c r="E1201" s="6">
        <v>1614942</v>
      </c>
      <c r="F1201" s="6">
        <v>160955</v>
      </c>
      <c r="G1201" s="6">
        <v>194693</v>
      </c>
      <c r="H1201" s="6">
        <v>18359</v>
      </c>
      <c r="I1201" s="6">
        <v>736840</v>
      </c>
    </row>
    <row r="1202" spans="1:9">
      <c r="A1202" s="6">
        <v>30</v>
      </c>
      <c r="B1202" s="6" t="str">
        <f t="shared" si="36"/>
        <v>Petroleum Refineries</v>
      </c>
      <c r="C1202" s="6">
        <v>19</v>
      </c>
      <c r="D1202" s="6" t="str">
        <f t="shared" si="37"/>
        <v>Other Foods</v>
      </c>
      <c r="E1202" s="6">
        <v>5151945</v>
      </c>
      <c r="F1202" s="6">
        <v>287393</v>
      </c>
      <c r="G1202" s="6">
        <v>323841</v>
      </c>
      <c r="H1202" s="6">
        <v>47745</v>
      </c>
      <c r="I1202" s="6">
        <v>964486</v>
      </c>
    </row>
    <row r="1203" spans="1:9">
      <c r="A1203" s="6">
        <v>31</v>
      </c>
      <c r="B1203" s="6" t="str">
        <f t="shared" si="36"/>
        <v>Rubber Products</v>
      </c>
      <c r="C1203" s="6">
        <v>19</v>
      </c>
      <c r="D1203" s="6" t="str">
        <f t="shared" si="37"/>
        <v>Other Foods</v>
      </c>
      <c r="E1203" s="6">
        <v>217</v>
      </c>
      <c r="F1203" s="6">
        <v>17</v>
      </c>
      <c r="G1203" s="6">
        <v>36</v>
      </c>
      <c r="H1203" s="6">
        <v>6</v>
      </c>
      <c r="I1203" s="6">
        <v>0</v>
      </c>
    </row>
    <row r="1204" spans="1:9">
      <c r="A1204" s="6">
        <v>32</v>
      </c>
      <c r="B1204" s="6" t="str">
        <f t="shared" si="36"/>
        <v>Plastic Wares</v>
      </c>
      <c r="C1204" s="6">
        <v>19</v>
      </c>
      <c r="D1204" s="6" t="str">
        <f t="shared" si="37"/>
        <v>Other Foods</v>
      </c>
      <c r="E1204" s="6">
        <v>8297600</v>
      </c>
      <c r="F1204" s="6">
        <v>347923</v>
      </c>
      <c r="G1204" s="6">
        <v>609036</v>
      </c>
      <c r="H1204" s="6">
        <v>68430</v>
      </c>
      <c r="I1204" s="6">
        <v>3614171</v>
      </c>
    </row>
    <row r="1205" spans="1:9">
      <c r="A1205" s="6">
        <v>33</v>
      </c>
      <c r="B1205" s="6" t="str">
        <f t="shared" si="36"/>
        <v>Cement and Concrete Products</v>
      </c>
      <c r="C1205" s="6">
        <v>19</v>
      </c>
      <c r="D1205" s="6" t="str">
        <f t="shared" si="37"/>
        <v>Other Foods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</row>
    <row r="1206" spans="1:9">
      <c r="A1206" s="6">
        <v>34</v>
      </c>
      <c r="B1206" s="6" t="str">
        <f t="shared" si="36"/>
        <v>Other Non-metallic Products</v>
      </c>
      <c r="C1206" s="6">
        <v>19</v>
      </c>
      <c r="D1206" s="6" t="str">
        <f t="shared" si="37"/>
        <v>Other Foods</v>
      </c>
      <c r="E1206" s="6">
        <v>1191317</v>
      </c>
      <c r="F1206" s="6">
        <v>94755</v>
      </c>
      <c r="G1206" s="6">
        <v>119919</v>
      </c>
      <c r="H1206" s="6">
        <v>13306</v>
      </c>
      <c r="I1206" s="6">
        <v>0</v>
      </c>
    </row>
    <row r="1207" spans="1:9">
      <c r="A1207" s="6">
        <v>35</v>
      </c>
      <c r="B1207" s="6" t="str">
        <f t="shared" si="36"/>
        <v>Iron and Steel</v>
      </c>
      <c r="C1207" s="6">
        <v>19</v>
      </c>
      <c r="D1207" s="6" t="str">
        <f t="shared" si="37"/>
        <v>Other Foods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</row>
    <row r="1208" spans="1:9">
      <c r="A1208" s="6">
        <v>36</v>
      </c>
      <c r="B1208" s="6" t="str">
        <f t="shared" si="36"/>
        <v>Non-ferrous Metal</v>
      </c>
      <c r="C1208" s="6">
        <v>19</v>
      </c>
      <c r="D1208" s="6" t="str">
        <f t="shared" si="37"/>
        <v>Other Foods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</row>
    <row r="1209" spans="1:9">
      <c r="A1209" s="6">
        <v>37</v>
      </c>
      <c r="B1209" s="6" t="str">
        <f t="shared" si="36"/>
        <v>Fabricated Metal Products</v>
      </c>
      <c r="C1209" s="6">
        <v>19</v>
      </c>
      <c r="D1209" s="6" t="str">
        <f t="shared" si="37"/>
        <v>Other Foods</v>
      </c>
      <c r="E1209" s="6">
        <v>776569</v>
      </c>
      <c r="F1209" s="6">
        <v>11410</v>
      </c>
      <c r="G1209" s="6">
        <v>23149</v>
      </c>
      <c r="H1209" s="6">
        <v>1620</v>
      </c>
      <c r="I1209" s="6">
        <v>571078</v>
      </c>
    </row>
    <row r="1210" spans="1:9">
      <c r="A1210" s="6">
        <v>38</v>
      </c>
      <c r="B1210" s="6" t="str">
        <f t="shared" si="36"/>
        <v>Industrial Machinery</v>
      </c>
      <c r="C1210" s="6">
        <v>19</v>
      </c>
      <c r="D1210" s="6" t="str">
        <f t="shared" si="37"/>
        <v>Other Foods</v>
      </c>
      <c r="E1210" s="6">
        <v>2390661</v>
      </c>
      <c r="F1210" s="6">
        <v>193583</v>
      </c>
      <c r="G1210" s="6">
        <v>0</v>
      </c>
      <c r="H1210" s="6">
        <v>32471</v>
      </c>
      <c r="I1210" s="6">
        <v>96927</v>
      </c>
    </row>
    <row r="1211" spans="1:9">
      <c r="A1211" s="6">
        <v>39</v>
      </c>
      <c r="B1211" s="6" t="str">
        <f t="shared" si="36"/>
        <v>Electrical Machinery and Apparatus</v>
      </c>
      <c r="C1211" s="6">
        <v>19</v>
      </c>
      <c r="D1211" s="6" t="str">
        <f t="shared" si="37"/>
        <v>Other Foods</v>
      </c>
      <c r="E1211" s="6">
        <v>384036</v>
      </c>
      <c r="F1211" s="6">
        <v>23559</v>
      </c>
      <c r="G1211" s="6">
        <v>5195</v>
      </c>
      <c r="H1211" s="6">
        <v>3387</v>
      </c>
      <c r="I1211" s="6">
        <v>0</v>
      </c>
    </row>
    <row r="1212" spans="1:9">
      <c r="A1212" s="6">
        <v>40</v>
      </c>
      <c r="B1212" s="6" t="str">
        <f t="shared" si="36"/>
        <v>Motor Vehicles and Repairing</v>
      </c>
      <c r="C1212" s="6">
        <v>19</v>
      </c>
      <c r="D1212" s="6" t="str">
        <f t="shared" si="37"/>
        <v>Other Foods</v>
      </c>
      <c r="E1212" s="6">
        <v>765803</v>
      </c>
      <c r="F1212" s="6">
        <v>0</v>
      </c>
      <c r="G1212" s="6">
        <v>0</v>
      </c>
      <c r="H1212" s="6">
        <v>0</v>
      </c>
      <c r="I1212" s="6">
        <v>0</v>
      </c>
    </row>
    <row r="1213" spans="1:9">
      <c r="A1213" s="6">
        <v>41</v>
      </c>
      <c r="B1213" s="6" t="str">
        <f t="shared" si="36"/>
        <v>Other Transportation Equipment</v>
      </c>
      <c r="C1213" s="6">
        <v>19</v>
      </c>
      <c r="D1213" s="6" t="str">
        <f t="shared" si="37"/>
        <v>Other Foods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</row>
    <row r="1214" spans="1:9">
      <c r="A1214" s="6">
        <v>42</v>
      </c>
      <c r="B1214" s="6" t="str">
        <f t="shared" si="36"/>
        <v>Leather Products</v>
      </c>
      <c r="C1214" s="6">
        <v>19</v>
      </c>
      <c r="D1214" s="6" t="str">
        <f t="shared" si="37"/>
        <v>Other Foods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</row>
    <row r="1215" spans="1:9">
      <c r="A1215" s="6">
        <v>43</v>
      </c>
      <c r="B1215" s="6" t="str">
        <f t="shared" si="36"/>
        <v>Saw Mills and Wood Products</v>
      </c>
      <c r="C1215" s="6">
        <v>19</v>
      </c>
      <c r="D1215" s="6" t="str">
        <f t="shared" si="37"/>
        <v>Other Foods</v>
      </c>
      <c r="E1215" s="6">
        <v>64520</v>
      </c>
      <c r="F1215" s="6">
        <v>5924</v>
      </c>
      <c r="G1215" s="6">
        <v>5812</v>
      </c>
      <c r="H1215" s="6">
        <v>591</v>
      </c>
      <c r="I1215" s="6">
        <v>0</v>
      </c>
    </row>
    <row r="1216" spans="1:9">
      <c r="A1216" s="6">
        <v>44</v>
      </c>
      <c r="B1216" s="6" t="str">
        <f t="shared" si="36"/>
        <v>Other Manufacturing Products</v>
      </c>
      <c r="C1216" s="6">
        <v>19</v>
      </c>
      <c r="D1216" s="6" t="str">
        <f t="shared" si="37"/>
        <v>Other Foods</v>
      </c>
      <c r="E1216" s="6">
        <v>278994</v>
      </c>
      <c r="F1216" s="6">
        <v>19727</v>
      </c>
      <c r="G1216" s="6">
        <v>18888</v>
      </c>
      <c r="H1216" s="6">
        <v>2901</v>
      </c>
      <c r="I1216" s="6">
        <v>0</v>
      </c>
    </row>
    <row r="1217" spans="1:9">
      <c r="A1217" s="6">
        <v>45</v>
      </c>
      <c r="B1217" s="6" t="str">
        <f t="shared" si="36"/>
        <v>Electricity and Gas</v>
      </c>
      <c r="C1217" s="6">
        <v>19</v>
      </c>
      <c r="D1217" s="6" t="str">
        <f t="shared" si="37"/>
        <v>Other Foods</v>
      </c>
      <c r="E1217" s="6">
        <v>15216086</v>
      </c>
      <c r="F1217" s="6">
        <v>13736</v>
      </c>
      <c r="G1217" s="6">
        <v>34818</v>
      </c>
      <c r="H1217" s="6">
        <v>5706</v>
      </c>
      <c r="I1217" s="6">
        <v>0</v>
      </c>
    </row>
    <row r="1218" spans="1:9">
      <c r="A1218" s="6">
        <v>46</v>
      </c>
      <c r="B1218" s="6" t="str">
        <f t="shared" si="36"/>
        <v>Water Works and Supply</v>
      </c>
      <c r="C1218" s="6">
        <v>19</v>
      </c>
      <c r="D1218" s="6" t="str">
        <f t="shared" si="37"/>
        <v>Other Foods</v>
      </c>
      <c r="E1218" s="6">
        <v>1500502</v>
      </c>
      <c r="F1218" s="6">
        <v>0</v>
      </c>
      <c r="G1218" s="6">
        <v>0</v>
      </c>
      <c r="H1218" s="6">
        <v>0</v>
      </c>
      <c r="I1218" s="6">
        <v>0</v>
      </c>
    </row>
    <row r="1219" spans="1:9">
      <c r="A1219" s="6">
        <v>47</v>
      </c>
      <c r="B1219" s="6" t="str">
        <f t="shared" si="36"/>
        <v>Building Construction</v>
      </c>
      <c r="C1219" s="6">
        <v>19</v>
      </c>
      <c r="D1219" s="6" t="str">
        <f t="shared" si="37"/>
        <v>Other Foods</v>
      </c>
      <c r="E1219" s="6">
        <v>191347</v>
      </c>
      <c r="F1219" s="6">
        <v>0</v>
      </c>
      <c r="G1219" s="6">
        <v>0</v>
      </c>
      <c r="H1219" s="6">
        <v>0</v>
      </c>
      <c r="I1219" s="6">
        <v>0</v>
      </c>
    </row>
    <row r="1220" spans="1:9">
      <c r="A1220" s="6">
        <v>48</v>
      </c>
      <c r="B1220" s="6" t="str">
        <f t="shared" ref="B1220:B1283" si="38">VLOOKUP(A1220,R:S,2,0)</f>
        <v>Public Works and Other Construction</v>
      </c>
      <c r="C1220" s="6">
        <v>19</v>
      </c>
      <c r="D1220" s="6" t="str">
        <f t="shared" ref="D1220:D1283" si="39">VLOOKUP(C1220,R:S,2,0)</f>
        <v>Other Foods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</row>
    <row r="1221" spans="1:9">
      <c r="A1221" s="6">
        <v>49</v>
      </c>
      <c r="B1221" s="6" t="str">
        <f t="shared" si="38"/>
        <v>Trade</v>
      </c>
      <c r="C1221" s="6">
        <v>19</v>
      </c>
      <c r="D1221" s="6" t="str">
        <f t="shared" si="39"/>
        <v>Other Foods</v>
      </c>
      <c r="E1221" s="6">
        <v>0</v>
      </c>
      <c r="F1221" s="6">
        <v>-7147558</v>
      </c>
      <c r="G1221" s="6">
        <v>-8440165</v>
      </c>
      <c r="H1221" s="6">
        <v>0</v>
      </c>
      <c r="I1221" s="6">
        <v>0</v>
      </c>
    </row>
    <row r="1222" spans="1:9">
      <c r="A1222" s="6">
        <v>50</v>
      </c>
      <c r="B1222" s="6" t="str">
        <f t="shared" si="38"/>
        <v>Restaurants and Hotels</v>
      </c>
      <c r="C1222" s="6">
        <v>19</v>
      </c>
      <c r="D1222" s="6" t="str">
        <f t="shared" si="39"/>
        <v>Other Foods</v>
      </c>
      <c r="E1222" s="6">
        <v>677928</v>
      </c>
      <c r="F1222" s="6">
        <v>0</v>
      </c>
      <c r="G1222" s="6">
        <v>0</v>
      </c>
      <c r="H1222" s="6">
        <v>0</v>
      </c>
      <c r="I1222" s="6">
        <v>0</v>
      </c>
    </row>
    <row r="1223" spans="1:9">
      <c r="A1223" s="6">
        <v>51</v>
      </c>
      <c r="B1223" s="6" t="str">
        <f t="shared" si="38"/>
        <v>Transportation</v>
      </c>
      <c r="C1223" s="6">
        <v>19</v>
      </c>
      <c r="D1223" s="6" t="str">
        <f t="shared" si="39"/>
        <v>Other Foods</v>
      </c>
      <c r="E1223" s="6">
        <v>1228318</v>
      </c>
      <c r="F1223" s="6">
        <v>0</v>
      </c>
      <c r="G1223" s="6">
        <v>0</v>
      </c>
      <c r="H1223" s="6">
        <v>-2186968</v>
      </c>
      <c r="I1223" s="6">
        <v>0</v>
      </c>
    </row>
    <row r="1224" spans="1:9">
      <c r="A1224" s="6">
        <v>52</v>
      </c>
      <c r="B1224" s="6" t="str">
        <f t="shared" si="38"/>
        <v>Communication</v>
      </c>
      <c r="C1224" s="6">
        <v>19</v>
      </c>
      <c r="D1224" s="6" t="str">
        <f t="shared" si="39"/>
        <v>Other Foods</v>
      </c>
      <c r="E1224" s="6">
        <v>437762</v>
      </c>
      <c r="F1224" s="6">
        <v>0</v>
      </c>
      <c r="G1224" s="6">
        <v>0</v>
      </c>
      <c r="H1224" s="6">
        <v>0</v>
      </c>
      <c r="I1224" s="6">
        <v>0</v>
      </c>
    </row>
    <row r="1225" spans="1:9">
      <c r="A1225" s="6">
        <v>53</v>
      </c>
      <c r="B1225" s="6" t="str">
        <f t="shared" si="38"/>
        <v>Banking and Insurance</v>
      </c>
      <c r="C1225" s="6">
        <v>19</v>
      </c>
      <c r="D1225" s="6" t="str">
        <f t="shared" si="39"/>
        <v>Other Foods</v>
      </c>
      <c r="E1225" s="6">
        <v>2436948</v>
      </c>
      <c r="F1225" s="6">
        <v>0</v>
      </c>
      <c r="G1225" s="6">
        <v>0</v>
      </c>
      <c r="H1225" s="6">
        <v>0</v>
      </c>
      <c r="I1225" s="6">
        <v>0</v>
      </c>
    </row>
    <row r="1226" spans="1:9">
      <c r="A1226" s="6">
        <v>54</v>
      </c>
      <c r="B1226" s="6" t="str">
        <f t="shared" si="38"/>
        <v>Real Estate</v>
      </c>
      <c r="C1226" s="6">
        <v>19</v>
      </c>
      <c r="D1226" s="6" t="str">
        <f t="shared" si="39"/>
        <v>Other Foods</v>
      </c>
      <c r="E1226" s="6">
        <v>342969</v>
      </c>
      <c r="F1226" s="6">
        <v>0</v>
      </c>
      <c r="G1226" s="6">
        <v>0</v>
      </c>
      <c r="H1226" s="6">
        <v>0</v>
      </c>
      <c r="I1226" s="6">
        <v>0</v>
      </c>
    </row>
    <row r="1227" spans="1:9">
      <c r="A1227" s="6">
        <v>55</v>
      </c>
      <c r="B1227" s="6" t="str">
        <f t="shared" si="38"/>
        <v>Business Services</v>
      </c>
      <c r="C1227" s="6">
        <v>19</v>
      </c>
      <c r="D1227" s="6" t="str">
        <f t="shared" si="39"/>
        <v>Other Foods</v>
      </c>
      <c r="E1227" s="6">
        <v>7615910</v>
      </c>
      <c r="F1227" s="6">
        <v>0</v>
      </c>
      <c r="G1227" s="6">
        <v>0</v>
      </c>
      <c r="H1227" s="6">
        <v>0</v>
      </c>
      <c r="I1227" s="6">
        <v>0</v>
      </c>
    </row>
    <row r="1228" spans="1:9">
      <c r="A1228" s="6">
        <v>56</v>
      </c>
      <c r="B1228" s="6" t="str">
        <f t="shared" si="38"/>
        <v>Public Services</v>
      </c>
      <c r="C1228" s="6">
        <v>19</v>
      </c>
      <c r="D1228" s="6" t="str">
        <f t="shared" si="39"/>
        <v>Other Foods</v>
      </c>
      <c r="E1228" s="6">
        <v>265772</v>
      </c>
      <c r="F1228" s="6">
        <v>0</v>
      </c>
      <c r="G1228" s="6">
        <v>0</v>
      </c>
      <c r="H1228" s="6">
        <v>0</v>
      </c>
      <c r="I1228" s="6">
        <v>0</v>
      </c>
    </row>
    <row r="1229" spans="1:9">
      <c r="A1229" s="6">
        <v>57</v>
      </c>
      <c r="B1229" s="6" t="str">
        <f t="shared" si="38"/>
        <v>Other Services</v>
      </c>
      <c r="C1229" s="6">
        <v>19</v>
      </c>
      <c r="D1229" s="6" t="str">
        <f t="shared" si="39"/>
        <v>Other Foods</v>
      </c>
      <c r="E1229" s="6">
        <v>208565</v>
      </c>
      <c r="F1229" s="6">
        <v>0</v>
      </c>
      <c r="G1229" s="6">
        <v>0</v>
      </c>
      <c r="H1229" s="6">
        <v>0</v>
      </c>
      <c r="I1229" s="6">
        <v>0</v>
      </c>
    </row>
    <row r="1230" spans="1:9">
      <c r="A1230" s="6">
        <v>58</v>
      </c>
      <c r="B1230" s="6" t="str">
        <f t="shared" si="38"/>
        <v>Unclassified</v>
      </c>
      <c r="C1230" s="6">
        <v>19</v>
      </c>
      <c r="D1230" s="6" t="str">
        <f t="shared" si="39"/>
        <v>Other Foods</v>
      </c>
      <c r="E1230" s="6">
        <v>865684</v>
      </c>
      <c r="F1230" s="6">
        <v>0</v>
      </c>
      <c r="G1230" s="6">
        <v>0</v>
      </c>
      <c r="H1230" s="6">
        <v>0</v>
      </c>
      <c r="I1230" s="6">
        <v>93769</v>
      </c>
    </row>
    <row r="1231" spans="1:9">
      <c r="A1231" s="6">
        <v>190</v>
      </c>
      <c r="B1231" s="6" t="str">
        <f t="shared" si="38"/>
        <v>Total Intermedite Transaction</v>
      </c>
      <c r="C1231" s="6">
        <v>19</v>
      </c>
      <c r="D1231" s="6" t="str">
        <f t="shared" si="39"/>
        <v>Other Foods</v>
      </c>
      <c r="E1231" s="6">
        <v>214128989</v>
      </c>
      <c r="F1231" s="6">
        <v>0</v>
      </c>
      <c r="G1231" s="6">
        <v>0</v>
      </c>
      <c r="H1231" s="6">
        <v>0</v>
      </c>
      <c r="I1231" s="6">
        <v>65285152</v>
      </c>
    </row>
    <row r="1232" spans="1:9">
      <c r="A1232" s="6">
        <v>201</v>
      </c>
      <c r="B1232" s="6" t="str">
        <f t="shared" si="38"/>
        <v>Wages and Salaries</v>
      </c>
      <c r="C1232" s="6">
        <v>19</v>
      </c>
      <c r="D1232" s="6" t="str">
        <f t="shared" si="39"/>
        <v>Other Foods</v>
      </c>
      <c r="E1232" s="6">
        <v>25110263</v>
      </c>
      <c r="F1232" s="6">
        <v>0</v>
      </c>
      <c r="G1232" s="6">
        <v>0</v>
      </c>
      <c r="H1232" s="6">
        <v>0</v>
      </c>
      <c r="I1232" s="6">
        <v>0</v>
      </c>
    </row>
    <row r="1233" spans="1:9">
      <c r="A1233" s="6">
        <v>202</v>
      </c>
      <c r="B1233" s="6" t="str">
        <f t="shared" si="38"/>
        <v>Operating Surplus</v>
      </c>
      <c r="C1233" s="6">
        <v>19</v>
      </c>
      <c r="D1233" s="6" t="str">
        <f t="shared" si="39"/>
        <v>Other Foods</v>
      </c>
      <c r="E1233" s="6">
        <v>41579323</v>
      </c>
      <c r="F1233" s="6">
        <v>0</v>
      </c>
      <c r="G1233" s="6">
        <v>0</v>
      </c>
      <c r="H1233" s="6">
        <v>0</v>
      </c>
      <c r="I1233" s="6">
        <v>0</v>
      </c>
    </row>
    <row r="1234" spans="1:9">
      <c r="A1234" s="6">
        <v>203</v>
      </c>
      <c r="B1234" s="6" t="str">
        <f t="shared" si="38"/>
        <v>Depreciation</v>
      </c>
      <c r="C1234" s="6">
        <v>19</v>
      </c>
      <c r="D1234" s="6" t="str">
        <f t="shared" si="39"/>
        <v>Other Foods</v>
      </c>
      <c r="E1234" s="6">
        <v>16841816</v>
      </c>
      <c r="F1234" s="6">
        <v>0</v>
      </c>
      <c r="G1234" s="6">
        <v>0</v>
      </c>
      <c r="H1234" s="6">
        <v>0</v>
      </c>
      <c r="I1234" s="6">
        <v>0</v>
      </c>
    </row>
    <row r="1235" spans="1:9">
      <c r="A1235" s="6">
        <v>204</v>
      </c>
      <c r="B1235" s="6" t="str">
        <f t="shared" si="38"/>
        <v>Indirect Taxes less Subsidies</v>
      </c>
      <c r="C1235" s="6">
        <v>19</v>
      </c>
      <c r="D1235" s="6" t="str">
        <f t="shared" si="39"/>
        <v>Other Foods</v>
      </c>
      <c r="E1235" s="6">
        <v>6513021</v>
      </c>
      <c r="F1235" s="6">
        <v>0</v>
      </c>
      <c r="G1235" s="6">
        <v>0</v>
      </c>
      <c r="H1235" s="6">
        <v>0</v>
      </c>
      <c r="I1235" s="6">
        <v>0</v>
      </c>
    </row>
    <row r="1236" spans="1:9">
      <c r="A1236" s="6">
        <v>209</v>
      </c>
      <c r="B1236" s="6" t="str">
        <f t="shared" si="38"/>
        <v>Total Value Added</v>
      </c>
      <c r="C1236" s="6">
        <v>19</v>
      </c>
      <c r="D1236" s="6" t="str">
        <f t="shared" si="39"/>
        <v>Other Foods</v>
      </c>
      <c r="E1236" s="6">
        <v>90044423</v>
      </c>
      <c r="F1236" s="6">
        <v>0</v>
      </c>
      <c r="G1236" s="6">
        <v>0</v>
      </c>
      <c r="H1236" s="6">
        <v>0</v>
      </c>
      <c r="I1236" s="6">
        <v>0</v>
      </c>
    </row>
    <row r="1237" spans="1:9">
      <c r="A1237" s="6">
        <v>210</v>
      </c>
      <c r="B1237" s="6" t="str">
        <f t="shared" si="38"/>
        <v>Control Total</v>
      </c>
      <c r="C1237" s="6">
        <v>19</v>
      </c>
      <c r="D1237" s="6" t="str">
        <f t="shared" si="39"/>
        <v>Other Foods</v>
      </c>
      <c r="E1237" s="6">
        <v>304173412</v>
      </c>
      <c r="F1237" s="6">
        <v>0</v>
      </c>
      <c r="G1237" s="6">
        <v>0</v>
      </c>
      <c r="H1237" s="6">
        <v>0</v>
      </c>
      <c r="I1237" s="6">
        <v>0</v>
      </c>
    </row>
    <row r="1238" spans="1:9">
      <c r="A1238" s="6">
        <v>1</v>
      </c>
      <c r="B1238" s="6" t="str">
        <f t="shared" si="38"/>
        <v>Paddy</v>
      </c>
      <c r="C1238" s="6">
        <v>20</v>
      </c>
      <c r="D1238" s="6" t="str">
        <f t="shared" si="39"/>
        <v>Animal Food</v>
      </c>
      <c r="E1238" s="6">
        <v>3103</v>
      </c>
      <c r="F1238" s="6">
        <v>122</v>
      </c>
      <c r="G1238" s="6">
        <v>0</v>
      </c>
      <c r="H1238" s="6">
        <v>21</v>
      </c>
      <c r="I1238" s="6">
        <v>0</v>
      </c>
    </row>
    <row r="1239" spans="1:9">
      <c r="A1239" s="6">
        <v>2</v>
      </c>
      <c r="B1239" s="6" t="str">
        <f t="shared" si="38"/>
        <v>Maize</v>
      </c>
      <c r="C1239" s="6">
        <v>20</v>
      </c>
      <c r="D1239" s="6" t="str">
        <f t="shared" si="39"/>
        <v>Animal Food</v>
      </c>
      <c r="E1239" s="6">
        <v>15692851</v>
      </c>
      <c r="F1239" s="6">
        <v>476124</v>
      </c>
      <c r="G1239" s="6">
        <v>0</v>
      </c>
      <c r="H1239" s="6">
        <v>140406</v>
      </c>
      <c r="I1239" s="6">
        <v>13230981</v>
      </c>
    </row>
    <row r="1240" spans="1:9">
      <c r="A1240" s="6">
        <v>3</v>
      </c>
      <c r="B1240" s="6" t="str">
        <f t="shared" si="38"/>
        <v>Cassava</v>
      </c>
      <c r="C1240" s="6">
        <v>20</v>
      </c>
      <c r="D1240" s="6" t="str">
        <f t="shared" si="39"/>
        <v>Animal Food</v>
      </c>
      <c r="E1240" s="6">
        <v>609291</v>
      </c>
      <c r="F1240" s="6">
        <v>15642</v>
      </c>
      <c r="G1240" s="6">
        <v>0</v>
      </c>
      <c r="H1240" s="6">
        <v>3854</v>
      </c>
      <c r="I1240" s="6">
        <v>0</v>
      </c>
    </row>
    <row r="1241" spans="1:9">
      <c r="A1241" s="6">
        <v>4</v>
      </c>
      <c r="B1241" s="6" t="str">
        <f t="shared" si="38"/>
        <v>Beans and Nuts</v>
      </c>
      <c r="C1241" s="6">
        <v>20</v>
      </c>
      <c r="D1241" s="6" t="str">
        <f t="shared" si="39"/>
        <v>Animal Food</v>
      </c>
      <c r="E1241" s="6">
        <v>1388919</v>
      </c>
      <c r="F1241" s="6">
        <v>37515</v>
      </c>
      <c r="G1241" s="6">
        <v>34573</v>
      </c>
      <c r="H1241" s="6">
        <v>2203</v>
      </c>
      <c r="I1241" s="6">
        <v>1127672</v>
      </c>
    </row>
    <row r="1242" spans="1:9">
      <c r="A1242" s="6">
        <v>5</v>
      </c>
      <c r="B1242" s="6" t="str">
        <f t="shared" si="38"/>
        <v>Vegetables and Fruits</v>
      </c>
      <c r="C1242" s="6">
        <v>20</v>
      </c>
      <c r="D1242" s="6" t="str">
        <f t="shared" si="39"/>
        <v>Animal Food</v>
      </c>
      <c r="E1242" s="6">
        <v>534552</v>
      </c>
      <c r="F1242" s="6">
        <v>67045</v>
      </c>
      <c r="G1242" s="6">
        <v>86223</v>
      </c>
      <c r="H1242" s="6">
        <v>12488</v>
      </c>
      <c r="I1242" s="6">
        <v>0</v>
      </c>
    </row>
    <row r="1243" spans="1:9">
      <c r="A1243" s="6">
        <v>6</v>
      </c>
      <c r="B1243" s="6" t="str">
        <f t="shared" si="38"/>
        <v>Sugarcane</v>
      </c>
      <c r="C1243" s="6">
        <v>20</v>
      </c>
      <c r="D1243" s="6" t="str">
        <f t="shared" si="39"/>
        <v>Animal Food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</row>
    <row r="1244" spans="1:9">
      <c r="A1244" s="6">
        <v>7</v>
      </c>
      <c r="B1244" s="6" t="str">
        <f t="shared" si="38"/>
        <v>Rubber (Latex)</v>
      </c>
      <c r="C1244" s="6">
        <v>20</v>
      </c>
      <c r="D1244" s="6" t="str">
        <f t="shared" si="39"/>
        <v>Animal Food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</row>
    <row r="1245" spans="1:9">
      <c r="A1245" s="6">
        <v>8</v>
      </c>
      <c r="B1245" s="6" t="str">
        <f t="shared" si="38"/>
        <v>Other Crops</v>
      </c>
      <c r="C1245" s="6">
        <v>20</v>
      </c>
      <c r="D1245" s="6" t="str">
        <f t="shared" si="39"/>
        <v>Animal Food</v>
      </c>
      <c r="E1245" s="6">
        <v>255989</v>
      </c>
      <c r="F1245" s="6">
        <v>11769</v>
      </c>
      <c r="G1245" s="6">
        <v>15903</v>
      </c>
      <c r="H1245" s="6">
        <v>2527</v>
      </c>
      <c r="I1245" s="6">
        <v>126282</v>
      </c>
    </row>
    <row r="1246" spans="1:9">
      <c r="A1246" s="6">
        <v>9</v>
      </c>
      <c r="B1246" s="6" t="str">
        <f t="shared" si="38"/>
        <v>Livestock</v>
      </c>
      <c r="C1246" s="6">
        <v>20</v>
      </c>
      <c r="D1246" s="6" t="str">
        <f t="shared" si="39"/>
        <v>Animal Food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</row>
    <row r="1247" spans="1:9">
      <c r="A1247" s="6">
        <v>10</v>
      </c>
      <c r="B1247" s="6" t="str">
        <f t="shared" si="38"/>
        <v>Forestry</v>
      </c>
      <c r="C1247" s="6">
        <v>20</v>
      </c>
      <c r="D1247" s="6" t="str">
        <f t="shared" si="39"/>
        <v>Animal Food</v>
      </c>
      <c r="E1247" s="6">
        <v>23963</v>
      </c>
      <c r="F1247" s="6">
        <v>1324</v>
      </c>
      <c r="G1247" s="6">
        <v>0</v>
      </c>
      <c r="H1247" s="6">
        <v>241</v>
      </c>
      <c r="I1247" s="6">
        <v>0</v>
      </c>
    </row>
    <row r="1248" spans="1:9">
      <c r="A1248" s="6">
        <v>11</v>
      </c>
      <c r="B1248" s="6" t="str">
        <f t="shared" si="38"/>
        <v>Fishery</v>
      </c>
      <c r="C1248" s="6">
        <v>20</v>
      </c>
      <c r="D1248" s="6" t="str">
        <f t="shared" si="39"/>
        <v>Animal Food</v>
      </c>
      <c r="E1248" s="6">
        <v>2091654</v>
      </c>
      <c r="F1248" s="6">
        <v>182678</v>
      </c>
      <c r="G1248" s="6">
        <v>175739</v>
      </c>
      <c r="H1248" s="6">
        <v>41848</v>
      </c>
      <c r="I1248" s="6">
        <v>0</v>
      </c>
    </row>
    <row r="1249" spans="1:9">
      <c r="A1249" s="6">
        <v>12</v>
      </c>
      <c r="B1249" s="6" t="str">
        <f t="shared" si="38"/>
        <v>Crude Oil and Coal</v>
      </c>
      <c r="C1249" s="6">
        <v>20</v>
      </c>
      <c r="D1249" s="6" t="str">
        <f t="shared" si="39"/>
        <v>Animal Food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</row>
    <row r="1250" spans="1:9">
      <c r="A1250" s="6">
        <v>13</v>
      </c>
      <c r="B1250" s="6" t="str">
        <f t="shared" si="38"/>
        <v>Metal Ore</v>
      </c>
      <c r="C1250" s="6">
        <v>20</v>
      </c>
      <c r="D1250" s="6" t="str">
        <f t="shared" si="39"/>
        <v>Animal Food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</row>
    <row r="1251" spans="1:9">
      <c r="A1251" s="6">
        <v>14</v>
      </c>
      <c r="B1251" s="6" t="str">
        <f t="shared" si="38"/>
        <v>Non-Metal Ore</v>
      </c>
      <c r="C1251" s="6">
        <v>20</v>
      </c>
      <c r="D1251" s="6" t="str">
        <f t="shared" si="39"/>
        <v>Animal Food</v>
      </c>
      <c r="E1251" s="6">
        <v>58554</v>
      </c>
      <c r="F1251" s="6">
        <v>5533</v>
      </c>
      <c r="G1251" s="6">
        <v>4137</v>
      </c>
      <c r="H1251" s="6">
        <v>1282</v>
      </c>
      <c r="I1251" s="6">
        <v>0</v>
      </c>
    </row>
    <row r="1252" spans="1:9">
      <c r="A1252" s="6">
        <v>15</v>
      </c>
      <c r="B1252" s="6" t="str">
        <f t="shared" si="38"/>
        <v>Slaughtering</v>
      </c>
      <c r="C1252" s="6">
        <v>20</v>
      </c>
      <c r="D1252" s="6" t="str">
        <f t="shared" si="39"/>
        <v>Animal Food</v>
      </c>
      <c r="E1252" s="6">
        <v>575708</v>
      </c>
      <c r="F1252" s="6">
        <v>2047</v>
      </c>
      <c r="G1252" s="6">
        <v>3869</v>
      </c>
      <c r="H1252" s="6">
        <v>1858</v>
      </c>
      <c r="I1252" s="6">
        <v>68381</v>
      </c>
    </row>
    <row r="1253" spans="1:9">
      <c r="A1253" s="6">
        <v>16</v>
      </c>
      <c r="B1253" s="6" t="str">
        <f t="shared" si="38"/>
        <v>Processing and Presering of Foods</v>
      </c>
      <c r="C1253" s="6">
        <v>20</v>
      </c>
      <c r="D1253" s="6" t="str">
        <f t="shared" si="39"/>
        <v>Animal Food</v>
      </c>
      <c r="E1253" s="6">
        <v>20565241</v>
      </c>
      <c r="F1253" s="6">
        <v>315220</v>
      </c>
      <c r="G1253" s="6">
        <v>221120</v>
      </c>
      <c r="H1253" s="6">
        <v>149837</v>
      </c>
      <c r="I1253" s="6">
        <v>18771473</v>
      </c>
    </row>
    <row r="1254" spans="1:9">
      <c r="A1254" s="6">
        <v>17</v>
      </c>
      <c r="B1254" s="6" t="str">
        <f t="shared" si="38"/>
        <v>Rice and Other Grain Milling</v>
      </c>
      <c r="C1254" s="6">
        <v>20</v>
      </c>
      <c r="D1254" s="6" t="str">
        <f t="shared" si="39"/>
        <v>Animal Food</v>
      </c>
      <c r="E1254" s="6">
        <v>5871071</v>
      </c>
      <c r="F1254" s="6">
        <v>226316</v>
      </c>
      <c r="G1254" s="6">
        <v>248480</v>
      </c>
      <c r="H1254" s="6">
        <v>104605</v>
      </c>
      <c r="I1254" s="6">
        <v>2330251</v>
      </c>
    </row>
    <row r="1255" spans="1:9">
      <c r="A1255" s="6">
        <v>18</v>
      </c>
      <c r="B1255" s="6" t="str">
        <f t="shared" si="38"/>
        <v>Sugar Refineries</v>
      </c>
      <c r="C1255" s="6">
        <v>20</v>
      </c>
      <c r="D1255" s="6" t="str">
        <f t="shared" si="39"/>
        <v>Animal Food</v>
      </c>
      <c r="E1255" s="6">
        <v>100558</v>
      </c>
      <c r="F1255" s="6">
        <v>850</v>
      </c>
      <c r="G1255" s="6">
        <v>1297</v>
      </c>
      <c r="H1255" s="6">
        <v>1111</v>
      </c>
      <c r="I1255" s="6">
        <v>56649</v>
      </c>
    </row>
    <row r="1256" spans="1:9">
      <c r="A1256" s="6">
        <v>19</v>
      </c>
      <c r="B1256" s="6" t="str">
        <f t="shared" si="38"/>
        <v>Other Foods</v>
      </c>
      <c r="C1256" s="6">
        <v>20</v>
      </c>
      <c r="D1256" s="6" t="str">
        <f t="shared" si="39"/>
        <v>Animal Food</v>
      </c>
      <c r="E1256" s="6">
        <v>65394</v>
      </c>
      <c r="F1256" s="6">
        <v>286</v>
      </c>
      <c r="G1256" s="6">
        <v>2048</v>
      </c>
      <c r="H1256" s="6">
        <v>668</v>
      </c>
      <c r="I1256" s="6">
        <v>0</v>
      </c>
    </row>
    <row r="1257" spans="1:9">
      <c r="A1257" s="6">
        <v>20</v>
      </c>
      <c r="B1257" s="6" t="str">
        <f t="shared" si="38"/>
        <v>Animal Food</v>
      </c>
      <c r="C1257" s="6">
        <v>20</v>
      </c>
      <c r="D1257" s="6" t="str">
        <f t="shared" si="39"/>
        <v>Animal Food</v>
      </c>
      <c r="E1257" s="6">
        <v>2319341</v>
      </c>
      <c r="F1257" s="6">
        <v>171207</v>
      </c>
      <c r="G1257" s="6">
        <v>201896</v>
      </c>
      <c r="H1257" s="6">
        <v>24436</v>
      </c>
      <c r="I1257" s="6">
        <v>1558831</v>
      </c>
    </row>
    <row r="1258" spans="1:9">
      <c r="A1258" s="6">
        <v>21</v>
      </c>
      <c r="B1258" s="6" t="str">
        <f t="shared" si="38"/>
        <v>Beverages</v>
      </c>
      <c r="C1258" s="6">
        <v>20</v>
      </c>
      <c r="D1258" s="6" t="str">
        <f t="shared" si="39"/>
        <v>Animal Food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</row>
    <row r="1259" spans="1:9">
      <c r="A1259" s="6">
        <v>22</v>
      </c>
      <c r="B1259" s="6" t="str">
        <f t="shared" si="38"/>
        <v>Tobacco Processing and Products</v>
      </c>
      <c r="C1259" s="6">
        <v>20</v>
      </c>
      <c r="D1259" s="6" t="str">
        <f t="shared" si="39"/>
        <v>Animal Food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</row>
    <row r="1260" spans="1:9">
      <c r="A1260" s="6">
        <v>23</v>
      </c>
      <c r="B1260" s="6" t="str">
        <f t="shared" si="38"/>
        <v>Spinning, Weaving and Bleaching</v>
      </c>
      <c r="C1260" s="6">
        <v>20</v>
      </c>
      <c r="D1260" s="6" t="str">
        <f t="shared" si="39"/>
        <v>Animal Food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</row>
    <row r="1261" spans="1:9">
      <c r="A1261" s="6">
        <v>24</v>
      </c>
      <c r="B1261" s="6" t="str">
        <f t="shared" si="38"/>
        <v>Textile Products</v>
      </c>
      <c r="C1261" s="6">
        <v>20</v>
      </c>
      <c r="D1261" s="6" t="str">
        <f t="shared" si="39"/>
        <v>Animal Food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</row>
    <row r="1262" spans="1:9">
      <c r="A1262" s="6">
        <v>25</v>
      </c>
      <c r="B1262" s="6" t="str">
        <f t="shared" si="38"/>
        <v>Paper and Paper Products</v>
      </c>
      <c r="C1262" s="6">
        <v>20</v>
      </c>
      <c r="D1262" s="6" t="str">
        <f t="shared" si="39"/>
        <v>Animal Food</v>
      </c>
      <c r="E1262" s="6">
        <v>43244</v>
      </c>
      <c r="F1262" s="6">
        <v>7616</v>
      </c>
      <c r="G1262" s="6">
        <v>3679</v>
      </c>
      <c r="H1262" s="6">
        <v>729</v>
      </c>
      <c r="I1262" s="6">
        <v>0</v>
      </c>
    </row>
    <row r="1263" spans="1:9">
      <c r="A1263" s="6">
        <v>26</v>
      </c>
      <c r="B1263" s="6" t="str">
        <f t="shared" si="38"/>
        <v>Printing and Publishing</v>
      </c>
      <c r="C1263" s="6">
        <v>20</v>
      </c>
      <c r="D1263" s="6" t="str">
        <f t="shared" si="39"/>
        <v>Animal Food</v>
      </c>
      <c r="E1263" s="6">
        <v>869</v>
      </c>
      <c r="F1263" s="6">
        <v>112</v>
      </c>
      <c r="G1263" s="6">
        <v>163</v>
      </c>
      <c r="H1263" s="6">
        <v>9</v>
      </c>
      <c r="I1263" s="6">
        <v>0</v>
      </c>
    </row>
    <row r="1264" spans="1:9">
      <c r="A1264" s="6">
        <v>27</v>
      </c>
      <c r="B1264" s="6" t="str">
        <f t="shared" si="38"/>
        <v>Basic Chemical Products</v>
      </c>
      <c r="C1264" s="6">
        <v>20</v>
      </c>
      <c r="D1264" s="6" t="str">
        <f t="shared" si="39"/>
        <v>Animal Food</v>
      </c>
      <c r="E1264" s="6">
        <v>646046</v>
      </c>
      <c r="F1264" s="6">
        <v>77022</v>
      </c>
      <c r="G1264" s="6">
        <v>65970</v>
      </c>
      <c r="H1264" s="6">
        <v>15682</v>
      </c>
      <c r="I1264" s="6">
        <v>420383</v>
      </c>
    </row>
    <row r="1265" spans="1:9">
      <c r="A1265" s="6">
        <v>28</v>
      </c>
      <c r="B1265" s="6" t="str">
        <f t="shared" si="38"/>
        <v>Fertilizer and Pesticides</v>
      </c>
      <c r="C1265" s="6">
        <v>20</v>
      </c>
      <c r="D1265" s="6" t="str">
        <f t="shared" si="39"/>
        <v>Animal Food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</row>
    <row r="1266" spans="1:9">
      <c r="A1266" s="6">
        <v>29</v>
      </c>
      <c r="B1266" s="6" t="str">
        <f t="shared" si="38"/>
        <v>Other Chemical Products</v>
      </c>
      <c r="C1266" s="6">
        <v>20</v>
      </c>
      <c r="D1266" s="6" t="str">
        <f t="shared" si="39"/>
        <v>Animal Food</v>
      </c>
      <c r="E1266" s="6">
        <v>2915631</v>
      </c>
      <c r="F1266" s="6">
        <v>228378</v>
      </c>
      <c r="G1266" s="6">
        <v>395922</v>
      </c>
      <c r="H1266" s="6">
        <v>22679</v>
      </c>
      <c r="I1266" s="6">
        <v>6988</v>
      </c>
    </row>
    <row r="1267" spans="1:9">
      <c r="A1267" s="6">
        <v>30</v>
      </c>
      <c r="B1267" s="6" t="str">
        <f t="shared" si="38"/>
        <v>Petroleum Refineries</v>
      </c>
      <c r="C1267" s="6">
        <v>20</v>
      </c>
      <c r="D1267" s="6" t="str">
        <f t="shared" si="39"/>
        <v>Animal Food</v>
      </c>
      <c r="E1267" s="6">
        <v>268424</v>
      </c>
      <c r="F1267" s="6">
        <v>12427</v>
      </c>
      <c r="G1267" s="6">
        <v>11978</v>
      </c>
      <c r="H1267" s="6">
        <v>2518</v>
      </c>
      <c r="I1267" s="6">
        <v>46416</v>
      </c>
    </row>
    <row r="1268" spans="1:9">
      <c r="A1268" s="6">
        <v>31</v>
      </c>
      <c r="B1268" s="6" t="str">
        <f t="shared" si="38"/>
        <v>Rubber Products</v>
      </c>
      <c r="C1268" s="6">
        <v>20</v>
      </c>
      <c r="D1268" s="6" t="str">
        <f t="shared" si="39"/>
        <v>Animal Food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</row>
    <row r="1269" spans="1:9">
      <c r="A1269" s="6">
        <v>32</v>
      </c>
      <c r="B1269" s="6" t="str">
        <f t="shared" si="38"/>
        <v>Plastic Wares</v>
      </c>
      <c r="C1269" s="6">
        <v>20</v>
      </c>
      <c r="D1269" s="6" t="str">
        <f t="shared" si="39"/>
        <v>Animal Food</v>
      </c>
      <c r="E1269" s="6">
        <v>1209418</v>
      </c>
      <c r="F1269" s="6">
        <v>32725</v>
      </c>
      <c r="G1269" s="6">
        <v>75242</v>
      </c>
      <c r="H1269" s="6">
        <v>8429</v>
      </c>
      <c r="I1269" s="6">
        <v>491174</v>
      </c>
    </row>
    <row r="1270" spans="1:9">
      <c r="A1270" s="6">
        <v>33</v>
      </c>
      <c r="B1270" s="6" t="str">
        <f t="shared" si="38"/>
        <v>Cement and Concrete Products</v>
      </c>
      <c r="C1270" s="6">
        <v>20</v>
      </c>
      <c r="D1270" s="6" t="str">
        <f t="shared" si="39"/>
        <v>Animal Food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</row>
    <row r="1271" spans="1:9">
      <c r="A1271" s="6">
        <v>34</v>
      </c>
      <c r="B1271" s="6" t="str">
        <f t="shared" si="38"/>
        <v>Other Non-metallic Products</v>
      </c>
      <c r="C1271" s="6">
        <v>20</v>
      </c>
      <c r="D1271" s="6" t="str">
        <f t="shared" si="39"/>
        <v>Animal Food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</row>
    <row r="1272" spans="1:9">
      <c r="A1272" s="6">
        <v>35</v>
      </c>
      <c r="B1272" s="6" t="str">
        <f t="shared" si="38"/>
        <v>Iron and Steel</v>
      </c>
      <c r="C1272" s="6">
        <v>20</v>
      </c>
      <c r="D1272" s="6" t="str">
        <f t="shared" si="39"/>
        <v>Animal Food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</row>
    <row r="1273" spans="1:9">
      <c r="A1273" s="6">
        <v>36</v>
      </c>
      <c r="B1273" s="6" t="str">
        <f t="shared" si="38"/>
        <v>Non-ferrous Metal</v>
      </c>
      <c r="C1273" s="6">
        <v>20</v>
      </c>
      <c r="D1273" s="6" t="str">
        <f t="shared" si="39"/>
        <v>Animal Food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</row>
    <row r="1274" spans="1:9">
      <c r="A1274" s="6">
        <v>37</v>
      </c>
      <c r="B1274" s="6" t="str">
        <f t="shared" si="38"/>
        <v>Fabricated Metal Products</v>
      </c>
      <c r="C1274" s="6">
        <v>20</v>
      </c>
      <c r="D1274" s="6" t="str">
        <f t="shared" si="39"/>
        <v>Animal Food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</row>
    <row r="1275" spans="1:9">
      <c r="A1275" s="6">
        <v>38</v>
      </c>
      <c r="B1275" s="6" t="str">
        <f t="shared" si="38"/>
        <v>Industrial Machinery</v>
      </c>
      <c r="C1275" s="6">
        <v>20</v>
      </c>
      <c r="D1275" s="6" t="str">
        <f t="shared" si="39"/>
        <v>Animal Food</v>
      </c>
      <c r="E1275" s="6">
        <v>329081</v>
      </c>
      <c r="F1275" s="6">
        <v>16932</v>
      </c>
      <c r="G1275" s="6">
        <v>0</v>
      </c>
      <c r="H1275" s="6">
        <v>4503</v>
      </c>
      <c r="I1275" s="6">
        <v>25571</v>
      </c>
    </row>
    <row r="1276" spans="1:9">
      <c r="A1276" s="6">
        <v>39</v>
      </c>
      <c r="B1276" s="6" t="str">
        <f t="shared" si="38"/>
        <v>Electrical Machinery and Apparatus</v>
      </c>
      <c r="C1276" s="6">
        <v>20</v>
      </c>
      <c r="D1276" s="6" t="str">
        <f t="shared" si="39"/>
        <v>Animal Food</v>
      </c>
      <c r="E1276" s="6">
        <v>25330</v>
      </c>
      <c r="F1276" s="6">
        <v>1412</v>
      </c>
      <c r="G1276" s="6">
        <v>0</v>
      </c>
      <c r="H1276" s="6">
        <v>207</v>
      </c>
      <c r="I1276" s="6">
        <v>0</v>
      </c>
    </row>
    <row r="1277" spans="1:9">
      <c r="A1277" s="6">
        <v>40</v>
      </c>
      <c r="B1277" s="6" t="str">
        <f t="shared" si="38"/>
        <v>Motor Vehicles and Repairing</v>
      </c>
      <c r="C1277" s="6">
        <v>20</v>
      </c>
      <c r="D1277" s="6" t="str">
        <f t="shared" si="39"/>
        <v>Animal Food</v>
      </c>
      <c r="E1277" s="6">
        <v>85323</v>
      </c>
      <c r="F1277" s="6">
        <v>0</v>
      </c>
      <c r="G1277" s="6">
        <v>0</v>
      </c>
      <c r="H1277" s="6">
        <v>0</v>
      </c>
      <c r="I1277" s="6">
        <v>0</v>
      </c>
    </row>
    <row r="1278" spans="1:9">
      <c r="A1278" s="6">
        <v>41</v>
      </c>
      <c r="B1278" s="6" t="str">
        <f t="shared" si="38"/>
        <v>Other Transportation Equipment</v>
      </c>
      <c r="C1278" s="6">
        <v>20</v>
      </c>
      <c r="D1278" s="6" t="str">
        <f t="shared" si="39"/>
        <v>Animal Food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</row>
    <row r="1279" spans="1:9">
      <c r="A1279" s="6">
        <v>42</v>
      </c>
      <c r="B1279" s="6" t="str">
        <f t="shared" si="38"/>
        <v>Leather Products</v>
      </c>
      <c r="C1279" s="6">
        <v>20</v>
      </c>
      <c r="D1279" s="6" t="str">
        <f t="shared" si="39"/>
        <v>Animal Food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</row>
    <row r="1280" spans="1:9">
      <c r="A1280" s="6">
        <v>43</v>
      </c>
      <c r="B1280" s="6" t="str">
        <f t="shared" si="38"/>
        <v>Saw Mills and Wood Products</v>
      </c>
      <c r="C1280" s="6">
        <v>20</v>
      </c>
      <c r="D1280" s="6" t="str">
        <f t="shared" si="39"/>
        <v>Animal Food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</row>
    <row r="1281" spans="1:9">
      <c r="A1281" s="6">
        <v>44</v>
      </c>
      <c r="B1281" s="6" t="str">
        <f t="shared" si="38"/>
        <v>Other Manufacturing Products</v>
      </c>
      <c r="C1281" s="6">
        <v>20</v>
      </c>
      <c r="D1281" s="6" t="str">
        <f t="shared" si="39"/>
        <v>Animal Food</v>
      </c>
      <c r="E1281" s="6">
        <v>12998</v>
      </c>
      <c r="F1281" s="6">
        <v>586</v>
      </c>
      <c r="G1281" s="6">
        <v>1155</v>
      </c>
      <c r="H1281" s="6">
        <v>114</v>
      </c>
      <c r="I1281" s="6">
        <v>0</v>
      </c>
    </row>
    <row r="1282" spans="1:9">
      <c r="A1282" s="6">
        <v>45</v>
      </c>
      <c r="B1282" s="6" t="str">
        <f t="shared" si="38"/>
        <v>Electricity and Gas</v>
      </c>
      <c r="C1282" s="6">
        <v>20</v>
      </c>
      <c r="D1282" s="6" t="str">
        <f t="shared" si="39"/>
        <v>Animal Food</v>
      </c>
      <c r="E1282" s="6">
        <v>1346367</v>
      </c>
      <c r="F1282" s="6">
        <v>1082</v>
      </c>
      <c r="G1282" s="6">
        <v>2431</v>
      </c>
      <c r="H1282" s="6">
        <v>596</v>
      </c>
      <c r="I1282" s="6">
        <v>0</v>
      </c>
    </row>
    <row r="1283" spans="1:9">
      <c r="A1283" s="6">
        <v>46</v>
      </c>
      <c r="B1283" s="6" t="str">
        <f t="shared" si="38"/>
        <v>Water Works and Supply</v>
      </c>
      <c r="C1283" s="6">
        <v>20</v>
      </c>
      <c r="D1283" s="6" t="str">
        <f t="shared" si="39"/>
        <v>Animal Food</v>
      </c>
      <c r="E1283" s="6">
        <v>17019</v>
      </c>
      <c r="F1283" s="6">
        <v>0</v>
      </c>
      <c r="G1283" s="6">
        <v>0</v>
      </c>
      <c r="H1283" s="6">
        <v>0</v>
      </c>
      <c r="I1283" s="6">
        <v>0</v>
      </c>
    </row>
    <row r="1284" spans="1:9">
      <c r="A1284" s="6">
        <v>47</v>
      </c>
      <c r="B1284" s="6" t="str">
        <f t="shared" ref="B1284:B1347" si="40">VLOOKUP(A1284,R:S,2,0)</f>
        <v>Building Construction</v>
      </c>
      <c r="C1284" s="6">
        <v>20</v>
      </c>
      <c r="D1284" s="6" t="str">
        <f t="shared" ref="D1284:D1347" si="41">VLOOKUP(C1284,R:S,2,0)</f>
        <v>Animal Food</v>
      </c>
      <c r="E1284" s="6">
        <v>32709</v>
      </c>
      <c r="F1284" s="6">
        <v>0</v>
      </c>
      <c r="G1284" s="6">
        <v>0</v>
      </c>
      <c r="H1284" s="6">
        <v>0</v>
      </c>
      <c r="I1284" s="6">
        <v>0</v>
      </c>
    </row>
    <row r="1285" spans="1:9">
      <c r="A1285" s="6">
        <v>48</v>
      </c>
      <c r="B1285" s="6" t="str">
        <f t="shared" si="40"/>
        <v>Public Works and Other Construction</v>
      </c>
      <c r="C1285" s="6">
        <v>20</v>
      </c>
      <c r="D1285" s="6" t="str">
        <f t="shared" si="41"/>
        <v>Animal Food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</row>
    <row r="1286" spans="1:9">
      <c r="A1286" s="6">
        <v>49</v>
      </c>
      <c r="B1286" s="6" t="str">
        <f t="shared" si="40"/>
        <v>Trade</v>
      </c>
      <c r="C1286" s="6">
        <v>20</v>
      </c>
      <c r="D1286" s="6" t="str">
        <f t="shared" si="41"/>
        <v>Animal Food</v>
      </c>
      <c r="E1286" s="6">
        <v>0</v>
      </c>
      <c r="F1286" s="6">
        <v>-1891970</v>
      </c>
      <c r="G1286" s="6">
        <v>-1551825</v>
      </c>
      <c r="H1286" s="6">
        <v>0</v>
      </c>
      <c r="I1286" s="6">
        <v>0</v>
      </c>
    </row>
    <row r="1287" spans="1:9">
      <c r="A1287" s="6">
        <v>50</v>
      </c>
      <c r="B1287" s="6" t="str">
        <f t="shared" si="40"/>
        <v>Restaurants and Hotels</v>
      </c>
      <c r="C1287" s="6">
        <v>20</v>
      </c>
      <c r="D1287" s="6" t="str">
        <f t="shared" si="41"/>
        <v>Animal Food</v>
      </c>
      <c r="E1287" s="6">
        <v>37447</v>
      </c>
      <c r="F1287" s="6">
        <v>0</v>
      </c>
      <c r="G1287" s="6">
        <v>0</v>
      </c>
      <c r="H1287" s="6">
        <v>0</v>
      </c>
      <c r="I1287" s="6">
        <v>0</v>
      </c>
    </row>
    <row r="1288" spans="1:9">
      <c r="A1288" s="6">
        <v>51</v>
      </c>
      <c r="B1288" s="6" t="str">
        <f t="shared" si="40"/>
        <v>Transportation</v>
      </c>
      <c r="C1288" s="6">
        <v>20</v>
      </c>
      <c r="D1288" s="6" t="str">
        <f t="shared" si="41"/>
        <v>Animal Food</v>
      </c>
      <c r="E1288" s="6">
        <v>55286</v>
      </c>
      <c r="F1288" s="6">
        <v>0</v>
      </c>
      <c r="G1288" s="6">
        <v>0</v>
      </c>
      <c r="H1288" s="6">
        <v>-542851</v>
      </c>
      <c r="I1288" s="6">
        <v>0</v>
      </c>
    </row>
    <row r="1289" spans="1:9">
      <c r="A1289" s="6">
        <v>52</v>
      </c>
      <c r="B1289" s="6" t="str">
        <f t="shared" si="40"/>
        <v>Communication</v>
      </c>
      <c r="C1289" s="6">
        <v>20</v>
      </c>
      <c r="D1289" s="6" t="str">
        <f t="shared" si="41"/>
        <v>Animal Food</v>
      </c>
      <c r="E1289" s="6">
        <v>65247</v>
      </c>
      <c r="F1289" s="6">
        <v>0</v>
      </c>
      <c r="G1289" s="6">
        <v>0</v>
      </c>
      <c r="H1289" s="6">
        <v>0</v>
      </c>
      <c r="I1289" s="6">
        <v>0</v>
      </c>
    </row>
    <row r="1290" spans="1:9">
      <c r="A1290" s="6">
        <v>53</v>
      </c>
      <c r="B1290" s="6" t="str">
        <f t="shared" si="40"/>
        <v>Banking and Insurance</v>
      </c>
      <c r="C1290" s="6">
        <v>20</v>
      </c>
      <c r="D1290" s="6" t="str">
        <f t="shared" si="41"/>
        <v>Animal Food</v>
      </c>
      <c r="E1290" s="6">
        <v>363017</v>
      </c>
      <c r="F1290" s="6">
        <v>0</v>
      </c>
      <c r="G1290" s="6">
        <v>0</v>
      </c>
      <c r="H1290" s="6">
        <v>0</v>
      </c>
      <c r="I1290" s="6">
        <v>0</v>
      </c>
    </row>
    <row r="1291" spans="1:9">
      <c r="A1291" s="6">
        <v>54</v>
      </c>
      <c r="B1291" s="6" t="str">
        <f t="shared" si="40"/>
        <v>Real Estate</v>
      </c>
      <c r="C1291" s="6">
        <v>20</v>
      </c>
      <c r="D1291" s="6" t="str">
        <f t="shared" si="41"/>
        <v>Animal Food</v>
      </c>
      <c r="E1291" s="6">
        <v>15877</v>
      </c>
      <c r="F1291" s="6">
        <v>0</v>
      </c>
      <c r="G1291" s="6">
        <v>0</v>
      </c>
      <c r="H1291" s="6">
        <v>0</v>
      </c>
      <c r="I1291" s="6">
        <v>0</v>
      </c>
    </row>
    <row r="1292" spans="1:9">
      <c r="A1292" s="6">
        <v>55</v>
      </c>
      <c r="B1292" s="6" t="str">
        <f t="shared" si="40"/>
        <v>Business Services</v>
      </c>
      <c r="C1292" s="6">
        <v>20</v>
      </c>
      <c r="D1292" s="6" t="str">
        <f t="shared" si="41"/>
        <v>Animal Food</v>
      </c>
      <c r="E1292" s="6">
        <v>1107626</v>
      </c>
      <c r="F1292" s="6">
        <v>0</v>
      </c>
      <c r="G1292" s="6">
        <v>0</v>
      </c>
      <c r="H1292" s="6">
        <v>0</v>
      </c>
      <c r="I1292" s="6">
        <v>0</v>
      </c>
    </row>
    <row r="1293" spans="1:9">
      <c r="A1293" s="6">
        <v>56</v>
      </c>
      <c r="B1293" s="6" t="str">
        <f t="shared" si="40"/>
        <v>Public Services</v>
      </c>
      <c r="C1293" s="6">
        <v>20</v>
      </c>
      <c r="D1293" s="6" t="str">
        <f t="shared" si="41"/>
        <v>Animal Food</v>
      </c>
      <c r="E1293" s="6">
        <v>22538</v>
      </c>
      <c r="F1293" s="6">
        <v>0</v>
      </c>
      <c r="G1293" s="6">
        <v>0</v>
      </c>
      <c r="H1293" s="6">
        <v>0</v>
      </c>
      <c r="I1293" s="6">
        <v>0</v>
      </c>
    </row>
    <row r="1294" spans="1:9">
      <c r="A1294" s="6">
        <v>57</v>
      </c>
      <c r="B1294" s="6" t="str">
        <f t="shared" si="40"/>
        <v>Other Services</v>
      </c>
      <c r="C1294" s="6">
        <v>20</v>
      </c>
      <c r="D1294" s="6" t="str">
        <f t="shared" si="41"/>
        <v>Animal Food</v>
      </c>
      <c r="E1294" s="6">
        <v>31053</v>
      </c>
      <c r="F1294" s="6">
        <v>0</v>
      </c>
      <c r="G1294" s="6">
        <v>0</v>
      </c>
      <c r="H1294" s="6">
        <v>0</v>
      </c>
      <c r="I1294" s="6">
        <v>0</v>
      </c>
    </row>
    <row r="1295" spans="1:9">
      <c r="A1295" s="6">
        <v>58</v>
      </c>
      <c r="B1295" s="6" t="str">
        <f t="shared" si="40"/>
        <v>Unclassified</v>
      </c>
      <c r="C1295" s="6">
        <v>20</v>
      </c>
      <c r="D1295" s="6" t="str">
        <f t="shared" si="41"/>
        <v>Animal Food</v>
      </c>
      <c r="E1295" s="6">
        <v>104995</v>
      </c>
      <c r="F1295" s="6">
        <v>0</v>
      </c>
      <c r="G1295" s="6">
        <v>0</v>
      </c>
      <c r="H1295" s="6">
        <v>0</v>
      </c>
      <c r="I1295" s="6">
        <v>10797</v>
      </c>
    </row>
    <row r="1296" spans="1:9">
      <c r="A1296" s="6">
        <v>190</v>
      </c>
      <c r="B1296" s="6" t="str">
        <f t="shared" si="40"/>
        <v>Total Intermedite Transaction</v>
      </c>
      <c r="C1296" s="6">
        <v>20</v>
      </c>
      <c r="D1296" s="6" t="str">
        <f t="shared" si="41"/>
        <v>Animal Food</v>
      </c>
      <c r="E1296" s="6">
        <v>58891734</v>
      </c>
      <c r="F1296" s="6">
        <v>0</v>
      </c>
      <c r="G1296" s="6">
        <v>0</v>
      </c>
      <c r="H1296" s="6">
        <v>0</v>
      </c>
      <c r="I1296" s="6">
        <v>38271849</v>
      </c>
    </row>
    <row r="1297" spans="1:9">
      <c r="A1297" s="6">
        <v>201</v>
      </c>
      <c r="B1297" s="6" t="str">
        <f t="shared" si="40"/>
        <v>Wages and Salaries</v>
      </c>
      <c r="C1297" s="6">
        <v>20</v>
      </c>
      <c r="D1297" s="6" t="str">
        <f t="shared" si="41"/>
        <v>Animal Food</v>
      </c>
      <c r="E1297" s="6">
        <v>3185990</v>
      </c>
      <c r="F1297" s="6">
        <v>0</v>
      </c>
      <c r="G1297" s="6">
        <v>0</v>
      </c>
      <c r="H1297" s="6">
        <v>0</v>
      </c>
      <c r="I1297" s="6">
        <v>0</v>
      </c>
    </row>
    <row r="1298" spans="1:9">
      <c r="A1298" s="6">
        <v>202</v>
      </c>
      <c r="B1298" s="6" t="str">
        <f t="shared" si="40"/>
        <v>Operating Surplus</v>
      </c>
      <c r="C1298" s="6">
        <v>20</v>
      </c>
      <c r="D1298" s="6" t="str">
        <f t="shared" si="41"/>
        <v>Animal Food</v>
      </c>
      <c r="E1298" s="6">
        <v>5546964</v>
      </c>
      <c r="F1298" s="6">
        <v>0</v>
      </c>
      <c r="G1298" s="6">
        <v>0</v>
      </c>
      <c r="H1298" s="6">
        <v>0</v>
      </c>
      <c r="I1298" s="6">
        <v>0</v>
      </c>
    </row>
    <row r="1299" spans="1:9">
      <c r="A1299" s="6">
        <v>203</v>
      </c>
      <c r="B1299" s="6" t="str">
        <f t="shared" si="40"/>
        <v>Depreciation</v>
      </c>
      <c r="C1299" s="6">
        <v>20</v>
      </c>
      <c r="D1299" s="6" t="str">
        <f t="shared" si="41"/>
        <v>Animal Food</v>
      </c>
      <c r="E1299" s="6">
        <v>2177845</v>
      </c>
      <c r="F1299" s="6">
        <v>0</v>
      </c>
      <c r="G1299" s="6">
        <v>0</v>
      </c>
      <c r="H1299" s="6">
        <v>0</v>
      </c>
      <c r="I1299" s="6">
        <v>0</v>
      </c>
    </row>
    <row r="1300" spans="1:9">
      <c r="A1300" s="6">
        <v>204</v>
      </c>
      <c r="B1300" s="6" t="str">
        <f t="shared" si="40"/>
        <v>Indirect Taxes less Subsidies</v>
      </c>
      <c r="C1300" s="6">
        <v>20</v>
      </c>
      <c r="D1300" s="6" t="str">
        <f t="shared" si="41"/>
        <v>Animal Food</v>
      </c>
      <c r="E1300" s="6">
        <v>1506350</v>
      </c>
      <c r="F1300" s="6">
        <v>0</v>
      </c>
      <c r="G1300" s="6">
        <v>0</v>
      </c>
      <c r="H1300" s="6">
        <v>0</v>
      </c>
      <c r="I1300" s="6">
        <v>0</v>
      </c>
    </row>
    <row r="1301" spans="1:9">
      <c r="A1301" s="6">
        <v>209</v>
      </c>
      <c r="B1301" s="6" t="str">
        <f t="shared" si="40"/>
        <v>Total Value Added</v>
      </c>
      <c r="C1301" s="6">
        <v>20</v>
      </c>
      <c r="D1301" s="6" t="str">
        <f t="shared" si="41"/>
        <v>Animal Food</v>
      </c>
      <c r="E1301" s="6">
        <v>12417149</v>
      </c>
      <c r="F1301" s="6">
        <v>0</v>
      </c>
      <c r="G1301" s="6">
        <v>0</v>
      </c>
      <c r="H1301" s="6">
        <v>0</v>
      </c>
      <c r="I1301" s="6">
        <v>0</v>
      </c>
    </row>
    <row r="1302" spans="1:9">
      <c r="A1302" s="6">
        <v>210</v>
      </c>
      <c r="B1302" s="6" t="str">
        <f t="shared" si="40"/>
        <v>Control Total</v>
      </c>
      <c r="C1302" s="6">
        <v>20</v>
      </c>
      <c r="D1302" s="6" t="str">
        <f t="shared" si="41"/>
        <v>Animal Food</v>
      </c>
      <c r="E1302" s="6">
        <v>71308883</v>
      </c>
      <c r="F1302" s="6">
        <v>0</v>
      </c>
      <c r="G1302" s="6">
        <v>0</v>
      </c>
      <c r="H1302" s="6">
        <v>0</v>
      </c>
      <c r="I1302" s="6">
        <v>0</v>
      </c>
    </row>
    <row r="1303" spans="1:9">
      <c r="A1303" s="6">
        <v>1</v>
      </c>
      <c r="B1303" s="6" t="str">
        <f t="shared" si="40"/>
        <v>Paddy</v>
      </c>
      <c r="C1303" s="6">
        <v>21</v>
      </c>
      <c r="D1303" s="6" t="str">
        <f t="shared" si="41"/>
        <v>Beverages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</row>
    <row r="1304" spans="1:9">
      <c r="A1304" s="6">
        <v>2</v>
      </c>
      <c r="B1304" s="6" t="str">
        <f t="shared" si="40"/>
        <v>Maize</v>
      </c>
      <c r="C1304" s="6">
        <v>21</v>
      </c>
      <c r="D1304" s="6" t="str">
        <f t="shared" si="41"/>
        <v>Beverages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</row>
    <row r="1305" spans="1:9">
      <c r="A1305" s="6">
        <v>3</v>
      </c>
      <c r="B1305" s="6" t="str">
        <f t="shared" si="40"/>
        <v>Cassava</v>
      </c>
      <c r="C1305" s="6">
        <v>21</v>
      </c>
      <c r="D1305" s="6" t="str">
        <f t="shared" si="41"/>
        <v>Beverages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</row>
    <row r="1306" spans="1:9">
      <c r="A1306" s="6">
        <v>4</v>
      </c>
      <c r="B1306" s="6" t="str">
        <f t="shared" si="40"/>
        <v>Beans and Nuts</v>
      </c>
      <c r="C1306" s="6">
        <v>21</v>
      </c>
      <c r="D1306" s="6" t="str">
        <f t="shared" si="41"/>
        <v>Beverages</v>
      </c>
      <c r="E1306" s="6">
        <v>5136281</v>
      </c>
      <c r="F1306" s="6">
        <v>106703</v>
      </c>
      <c r="G1306" s="6">
        <v>63319</v>
      </c>
      <c r="H1306" s="6">
        <v>7597</v>
      </c>
      <c r="I1306" s="6">
        <v>4791091</v>
      </c>
    </row>
    <row r="1307" spans="1:9">
      <c r="A1307" s="6">
        <v>5</v>
      </c>
      <c r="B1307" s="6" t="str">
        <f t="shared" si="40"/>
        <v>Vegetables and Fruits</v>
      </c>
      <c r="C1307" s="6">
        <v>21</v>
      </c>
      <c r="D1307" s="6" t="str">
        <f t="shared" si="41"/>
        <v>Beverages</v>
      </c>
      <c r="E1307" s="6">
        <v>7016675</v>
      </c>
      <c r="F1307" s="6">
        <v>462201</v>
      </c>
      <c r="G1307" s="6">
        <v>1311613</v>
      </c>
      <c r="H1307" s="6">
        <v>31624</v>
      </c>
      <c r="I1307" s="6">
        <v>0</v>
      </c>
    </row>
    <row r="1308" spans="1:9">
      <c r="A1308" s="6">
        <v>6</v>
      </c>
      <c r="B1308" s="6" t="str">
        <f t="shared" si="40"/>
        <v>Sugarcane</v>
      </c>
      <c r="C1308" s="6">
        <v>21</v>
      </c>
      <c r="D1308" s="6" t="str">
        <f t="shared" si="41"/>
        <v>Beverages</v>
      </c>
      <c r="E1308" s="6">
        <v>206684</v>
      </c>
      <c r="F1308" s="6">
        <v>678</v>
      </c>
      <c r="G1308" s="6">
        <v>0</v>
      </c>
      <c r="H1308" s="6">
        <v>4901</v>
      </c>
      <c r="I1308" s="6">
        <v>0</v>
      </c>
    </row>
    <row r="1309" spans="1:9">
      <c r="A1309" s="6">
        <v>7</v>
      </c>
      <c r="B1309" s="6" t="str">
        <f t="shared" si="40"/>
        <v>Rubber (Latex)</v>
      </c>
      <c r="C1309" s="6">
        <v>21</v>
      </c>
      <c r="D1309" s="6" t="str">
        <f t="shared" si="41"/>
        <v>Beverages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</row>
    <row r="1310" spans="1:9">
      <c r="A1310" s="6">
        <v>8</v>
      </c>
      <c r="B1310" s="6" t="str">
        <f t="shared" si="40"/>
        <v>Other Crops</v>
      </c>
      <c r="C1310" s="6">
        <v>21</v>
      </c>
      <c r="D1310" s="6" t="str">
        <f t="shared" si="41"/>
        <v>Beverages</v>
      </c>
      <c r="E1310" s="6">
        <v>28781423</v>
      </c>
      <c r="F1310" s="6">
        <v>2643183</v>
      </c>
      <c r="G1310" s="6">
        <v>1154027</v>
      </c>
      <c r="H1310" s="6">
        <v>533109</v>
      </c>
      <c r="I1310" s="6">
        <v>17703561</v>
      </c>
    </row>
    <row r="1311" spans="1:9">
      <c r="A1311" s="6">
        <v>9</v>
      </c>
      <c r="B1311" s="6" t="str">
        <f t="shared" si="40"/>
        <v>Livestock</v>
      </c>
      <c r="C1311" s="6">
        <v>21</v>
      </c>
      <c r="D1311" s="6" t="str">
        <f t="shared" si="41"/>
        <v>Beverages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</row>
    <row r="1312" spans="1:9">
      <c r="A1312" s="6">
        <v>10</v>
      </c>
      <c r="B1312" s="6" t="str">
        <f t="shared" si="40"/>
        <v>Forestry</v>
      </c>
      <c r="C1312" s="6">
        <v>21</v>
      </c>
      <c r="D1312" s="6" t="str">
        <f t="shared" si="41"/>
        <v>Beverages</v>
      </c>
      <c r="E1312" s="6">
        <v>33440</v>
      </c>
      <c r="F1312" s="6">
        <v>868</v>
      </c>
      <c r="G1312" s="6">
        <v>499</v>
      </c>
      <c r="H1312" s="6">
        <v>770</v>
      </c>
      <c r="I1312" s="6">
        <v>0</v>
      </c>
    </row>
    <row r="1313" spans="1:9">
      <c r="A1313" s="6">
        <v>11</v>
      </c>
      <c r="B1313" s="6" t="str">
        <f t="shared" si="40"/>
        <v>Fishery</v>
      </c>
      <c r="C1313" s="6">
        <v>21</v>
      </c>
      <c r="D1313" s="6" t="str">
        <f t="shared" si="41"/>
        <v>Beverages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</row>
    <row r="1314" spans="1:9">
      <c r="A1314" s="6">
        <v>12</v>
      </c>
      <c r="B1314" s="6" t="str">
        <f t="shared" si="40"/>
        <v>Crude Oil and Coal</v>
      </c>
      <c r="C1314" s="6">
        <v>21</v>
      </c>
      <c r="D1314" s="6" t="str">
        <f t="shared" si="41"/>
        <v>Beverages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</row>
    <row r="1315" spans="1:9">
      <c r="A1315" s="6">
        <v>13</v>
      </c>
      <c r="B1315" s="6" t="str">
        <f t="shared" si="40"/>
        <v>Metal Ore</v>
      </c>
      <c r="C1315" s="6">
        <v>21</v>
      </c>
      <c r="D1315" s="6" t="str">
        <f t="shared" si="41"/>
        <v>Beverages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</row>
    <row r="1316" spans="1:9">
      <c r="A1316" s="6">
        <v>14</v>
      </c>
      <c r="B1316" s="6" t="str">
        <f t="shared" si="40"/>
        <v>Non-Metal Ore</v>
      </c>
      <c r="C1316" s="6">
        <v>21</v>
      </c>
      <c r="D1316" s="6" t="str">
        <f t="shared" si="41"/>
        <v>Beverages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</row>
    <row r="1317" spans="1:9">
      <c r="A1317" s="6">
        <v>15</v>
      </c>
      <c r="B1317" s="6" t="str">
        <f t="shared" si="40"/>
        <v>Slaughtering</v>
      </c>
      <c r="C1317" s="6">
        <v>21</v>
      </c>
      <c r="D1317" s="6" t="str">
        <f t="shared" si="41"/>
        <v>Beverages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</row>
    <row r="1318" spans="1:9">
      <c r="A1318" s="6">
        <v>16</v>
      </c>
      <c r="B1318" s="6" t="str">
        <f t="shared" si="40"/>
        <v>Processing and Presering of Foods</v>
      </c>
      <c r="C1318" s="6">
        <v>21</v>
      </c>
      <c r="D1318" s="6" t="str">
        <f t="shared" si="41"/>
        <v>Beverages</v>
      </c>
      <c r="E1318" s="6">
        <v>295788</v>
      </c>
      <c r="F1318" s="6">
        <v>12571</v>
      </c>
      <c r="G1318" s="6">
        <v>9091</v>
      </c>
      <c r="H1318" s="6">
        <v>4571</v>
      </c>
      <c r="I1318" s="6">
        <v>0</v>
      </c>
    </row>
    <row r="1319" spans="1:9">
      <c r="A1319" s="6">
        <v>17</v>
      </c>
      <c r="B1319" s="6" t="str">
        <f t="shared" si="40"/>
        <v>Rice and Other Grain Milling</v>
      </c>
      <c r="C1319" s="6">
        <v>21</v>
      </c>
      <c r="D1319" s="6" t="str">
        <f t="shared" si="41"/>
        <v>Beverages</v>
      </c>
      <c r="E1319" s="6">
        <v>3162941</v>
      </c>
      <c r="F1319" s="6">
        <v>70755</v>
      </c>
      <c r="G1319" s="6">
        <v>133245</v>
      </c>
      <c r="H1319" s="6">
        <v>49834</v>
      </c>
      <c r="I1319" s="6">
        <v>0</v>
      </c>
    </row>
    <row r="1320" spans="1:9">
      <c r="A1320" s="6">
        <v>18</v>
      </c>
      <c r="B1320" s="6" t="str">
        <f t="shared" si="40"/>
        <v>Sugar Refineries</v>
      </c>
      <c r="C1320" s="6">
        <v>21</v>
      </c>
      <c r="D1320" s="6" t="str">
        <f t="shared" si="41"/>
        <v>Beverages</v>
      </c>
      <c r="E1320" s="6">
        <v>46659247</v>
      </c>
      <c r="F1320" s="6">
        <v>1108928</v>
      </c>
      <c r="G1320" s="6">
        <v>1799859</v>
      </c>
      <c r="H1320" s="6">
        <v>640069</v>
      </c>
      <c r="I1320" s="6">
        <v>8938635</v>
      </c>
    </row>
    <row r="1321" spans="1:9">
      <c r="A1321" s="6">
        <v>19</v>
      </c>
      <c r="B1321" s="6" t="str">
        <f t="shared" si="40"/>
        <v>Other Foods</v>
      </c>
      <c r="C1321" s="6">
        <v>21</v>
      </c>
      <c r="D1321" s="6" t="str">
        <f t="shared" si="41"/>
        <v>Beverages</v>
      </c>
      <c r="E1321" s="6">
        <v>17786538</v>
      </c>
      <c r="F1321" s="6">
        <v>872163</v>
      </c>
      <c r="G1321" s="6">
        <v>662212</v>
      </c>
      <c r="H1321" s="6">
        <v>257141</v>
      </c>
      <c r="I1321" s="6">
        <v>11011320</v>
      </c>
    </row>
    <row r="1322" spans="1:9">
      <c r="A1322" s="6">
        <v>20</v>
      </c>
      <c r="B1322" s="6" t="str">
        <f t="shared" si="40"/>
        <v>Animal Food</v>
      </c>
      <c r="C1322" s="6">
        <v>21</v>
      </c>
      <c r="D1322" s="6" t="str">
        <f t="shared" si="41"/>
        <v>Beverages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</row>
    <row r="1323" spans="1:9">
      <c r="A1323" s="6">
        <v>21</v>
      </c>
      <c r="B1323" s="6" t="str">
        <f t="shared" si="40"/>
        <v>Beverages</v>
      </c>
      <c r="C1323" s="6">
        <v>21</v>
      </c>
      <c r="D1323" s="6" t="str">
        <f t="shared" si="41"/>
        <v>Beverages</v>
      </c>
      <c r="E1323" s="6">
        <v>43970950</v>
      </c>
      <c r="F1323" s="6">
        <v>2895330</v>
      </c>
      <c r="G1323" s="6">
        <v>1856740</v>
      </c>
      <c r="H1323" s="6">
        <v>574210</v>
      </c>
      <c r="I1323" s="6">
        <v>4335335</v>
      </c>
    </row>
    <row r="1324" spans="1:9">
      <c r="A1324" s="6">
        <v>22</v>
      </c>
      <c r="B1324" s="6" t="str">
        <f t="shared" si="40"/>
        <v>Tobacco Processing and Products</v>
      </c>
      <c r="C1324" s="6">
        <v>21</v>
      </c>
      <c r="D1324" s="6" t="str">
        <f t="shared" si="41"/>
        <v>Beverages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</row>
    <row r="1325" spans="1:9">
      <c r="A1325" s="6">
        <v>23</v>
      </c>
      <c r="B1325" s="6" t="str">
        <f t="shared" si="40"/>
        <v>Spinning, Weaving and Bleaching</v>
      </c>
      <c r="C1325" s="6">
        <v>21</v>
      </c>
      <c r="D1325" s="6" t="str">
        <f t="shared" si="41"/>
        <v>Beverages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</row>
    <row r="1326" spans="1:9">
      <c r="A1326" s="6">
        <v>24</v>
      </c>
      <c r="B1326" s="6" t="str">
        <f t="shared" si="40"/>
        <v>Textile Products</v>
      </c>
      <c r="C1326" s="6">
        <v>21</v>
      </c>
      <c r="D1326" s="6" t="str">
        <f t="shared" si="41"/>
        <v>Beverages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</row>
    <row r="1327" spans="1:9">
      <c r="A1327" s="6">
        <v>25</v>
      </c>
      <c r="B1327" s="6" t="str">
        <f t="shared" si="40"/>
        <v>Paper and Paper Products</v>
      </c>
      <c r="C1327" s="6">
        <v>21</v>
      </c>
      <c r="D1327" s="6" t="str">
        <f t="shared" si="41"/>
        <v>Beverages</v>
      </c>
      <c r="E1327" s="6">
        <v>2405839</v>
      </c>
      <c r="F1327" s="6">
        <v>115961</v>
      </c>
      <c r="G1327" s="6">
        <v>66345</v>
      </c>
      <c r="H1327" s="6">
        <v>23849</v>
      </c>
      <c r="I1327" s="6">
        <v>257312</v>
      </c>
    </row>
    <row r="1328" spans="1:9">
      <c r="A1328" s="6">
        <v>26</v>
      </c>
      <c r="B1328" s="6" t="str">
        <f t="shared" si="40"/>
        <v>Printing and Publishing</v>
      </c>
      <c r="C1328" s="6">
        <v>21</v>
      </c>
      <c r="D1328" s="6" t="str">
        <f t="shared" si="41"/>
        <v>Beverages</v>
      </c>
      <c r="E1328" s="6">
        <v>8654</v>
      </c>
      <c r="F1328" s="6">
        <v>897</v>
      </c>
      <c r="G1328" s="6">
        <v>1782</v>
      </c>
      <c r="H1328" s="6">
        <v>103</v>
      </c>
      <c r="I1328" s="6">
        <v>0</v>
      </c>
    </row>
    <row r="1329" spans="1:9">
      <c r="A1329" s="6">
        <v>27</v>
      </c>
      <c r="B1329" s="6" t="str">
        <f t="shared" si="40"/>
        <v>Basic Chemical Products</v>
      </c>
      <c r="C1329" s="6">
        <v>21</v>
      </c>
      <c r="D1329" s="6" t="str">
        <f t="shared" si="41"/>
        <v>Beverages</v>
      </c>
      <c r="E1329" s="6">
        <v>18751645</v>
      </c>
      <c r="F1329" s="6">
        <v>1937699</v>
      </c>
      <c r="G1329" s="6">
        <v>1455110</v>
      </c>
      <c r="H1329" s="6">
        <v>435888</v>
      </c>
      <c r="I1329" s="6">
        <v>12119316</v>
      </c>
    </row>
    <row r="1330" spans="1:9">
      <c r="A1330" s="6">
        <v>28</v>
      </c>
      <c r="B1330" s="6" t="str">
        <f t="shared" si="40"/>
        <v>Fertilizer and Pesticides</v>
      </c>
      <c r="C1330" s="6">
        <v>21</v>
      </c>
      <c r="D1330" s="6" t="str">
        <f t="shared" si="41"/>
        <v>Beverages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</row>
    <row r="1331" spans="1:9">
      <c r="A1331" s="6">
        <v>29</v>
      </c>
      <c r="B1331" s="6" t="str">
        <f t="shared" si="40"/>
        <v>Other Chemical Products</v>
      </c>
      <c r="C1331" s="6">
        <v>21</v>
      </c>
      <c r="D1331" s="6" t="str">
        <f t="shared" si="41"/>
        <v>Beverages</v>
      </c>
      <c r="E1331" s="6">
        <v>3580693</v>
      </c>
      <c r="F1331" s="6">
        <v>336737</v>
      </c>
      <c r="G1331" s="6">
        <v>414114</v>
      </c>
      <c r="H1331" s="6">
        <v>41943</v>
      </c>
      <c r="I1331" s="6">
        <v>1527824</v>
      </c>
    </row>
    <row r="1332" spans="1:9">
      <c r="A1332" s="6">
        <v>30</v>
      </c>
      <c r="B1332" s="6" t="str">
        <f t="shared" si="40"/>
        <v>Petroleum Refineries</v>
      </c>
      <c r="C1332" s="6">
        <v>21</v>
      </c>
      <c r="D1332" s="6" t="str">
        <f t="shared" si="41"/>
        <v>Beverages</v>
      </c>
      <c r="E1332" s="6">
        <v>6815001</v>
      </c>
      <c r="F1332" s="6">
        <v>171765</v>
      </c>
      <c r="G1332" s="6">
        <v>213487</v>
      </c>
      <c r="H1332" s="6">
        <v>55982</v>
      </c>
      <c r="I1332" s="6">
        <v>1205204</v>
      </c>
    </row>
    <row r="1333" spans="1:9">
      <c r="A1333" s="6">
        <v>31</v>
      </c>
      <c r="B1333" s="6" t="str">
        <f t="shared" si="40"/>
        <v>Rubber Products</v>
      </c>
      <c r="C1333" s="6">
        <v>21</v>
      </c>
      <c r="D1333" s="6" t="str">
        <f t="shared" si="41"/>
        <v>Beverages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</row>
    <row r="1334" spans="1:9">
      <c r="A1334" s="6">
        <v>32</v>
      </c>
      <c r="B1334" s="6" t="str">
        <f t="shared" si="40"/>
        <v>Plastic Wares</v>
      </c>
      <c r="C1334" s="6">
        <v>21</v>
      </c>
      <c r="D1334" s="6" t="str">
        <f t="shared" si="41"/>
        <v>Beverages</v>
      </c>
      <c r="E1334" s="6">
        <v>16192344</v>
      </c>
      <c r="F1334" s="6">
        <v>287621</v>
      </c>
      <c r="G1334" s="6">
        <v>448340</v>
      </c>
      <c r="H1334" s="6">
        <v>107929</v>
      </c>
      <c r="I1334" s="6">
        <v>7170291</v>
      </c>
    </row>
    <row r="1335" spans="1:9">
      <c r="A1335" s="6">
        <v>33</v>
      </c>
      <c r="B1335" s="6" t="str">
        <f t="shared" si="40"/>
        <v>Cement and Concrete Products</v>
      </c>
      <c r="C1335" s="6">
        <v>21</v>
      </c>
      <c r="D1335" s="6" t="str">
        <f t="shared" si="41"/>
        <v>Beverages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</row>
    <row r="1336" spans="1:9">
      <c r="A1336" s="6">
        <v>34</v>
      </c>
      <c r="B1336" s="6" t="str">
        <f t="shared" si="40"/>
        <v>Other Non-metallic Products</v>
      </c>
      <c r="C1336" s="6">
        <v>21</v>
      </c>
      <c r="D1336" s="6" t="str">
        <f t="shared" si="41"/>
        <v>Beverages</v>
      </c>
      <c r="E1336" s="6">
        <v>17835717</v>
      </c>
      <c r="F1336" s="6">
        <v>1421716</v>
      </c>
      <c r="G1336" s="6">
        <v>1206855</v>
      </c>
      <c r="H1336" s="6">
        <v>203429</v>
      </c>
      <c r="I1336" s="6">
        <v>162450</v>
      </c>
    </row>
    <row r="1337" spans="1:9">
      <c r="A1337" s="6">
        <v>35</v>
      </c>
      <c r="B1337" s="6" t="str">
        <f t="shared" si="40"/>
        <v>Iron and Steel</v>
      </c>
      <c r="C1337" s="6">
        <v>21</v>
      </c>
      <c r="D1337" s="6" t="str">
        <f t="shared" si="41"/>
        <v>Beverages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</row>
    <row r="1338" spans="1:9">
      <c r="A1338" s="6">
        <v>36</v>
      </c>
      <c r="B1338" s="6" t="str">
        <f t="shared" si="40"/>
        <v>Non-ferrous Metal</v>
      </c>
      <c r="C1338" s="6">
        <v>21</v>
      </c>
      <c r="D1338" s="6" t="str">
        <f t="shared" si="41"/>
        <v>Beverages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</row>
    <row r="1339" spans="1:9">
      <c r="A1339" s="6">
        <v>37</v>
      </c>
      <c r="B1339" s="6" t="str">
        <f t="shared" si="40"/>
        <v>Fabricated Metal Products</v>
      </c>
      <c r="C1339" s="6">
        <v>21</v>
      </c>
      <c r="D1339" s="6" t="str">
        <f t="shared" si="41"/>
        <v>Beverages</v>
      </c>
      <c r="E1339" s="6">
        <v>28085433</v>
      </c>
      <c r="F1339" s="6">
        <v>603449</v>
      </c>
      <c r="G1339" s="6">
        <v>952323</v>
      </c>
      <c r="H1339" s="6">
        <v>47865</v>
      </c>
      <c r="I1339" s="6">
        <v>25090064</v>
      </c>
    </row>
    <row r="1340" spans="1:9">
      <c r="A1340" s="6">
        <v>38</v>
      </c>
      <c r="B1340" s="6" t="str">
        <f t="shared" si="40"/>
        <v>Industrial Machinery</v>
      </c>
      <c r="C1340" s="6">
        <v>21</v>
      </c>
      <c r="D1340" s="6" t="str">
        <f t="shared" si="41"/>
        <v>Beverages</v>
      </c>
      <c r="E1340" s="6">
        <v>3214595</v>
      </c>
      <c r="F1340" s="6">
        <v>215851</v>
      </c>
      <c r="G1340" s="6">
        <v>0</v>
      </c>
      <c r="H1340" s="6">
        <v>36129</v>
      </c>
      <c r="I1340" s="6">
        <v>416258</v>
      </c>
    </row>
    <row r="1341" spans="1:9">
      <c r="A1341" s="6">
        <v>39</v>
      </c>
      <c r="B1341" s="6" t="str">
        <f t="shared" si="40"/>
        <v>Electrical Machinery and Apparatus</v>
      </c>
      <c r="C1341" s="6">
        <v>21</v>
      </c>
      <c r="D1341" s="6" t="str">
        <f t="shared" si="41"/>
        <v>Beverages</v>
      </c>
      <c r="E1341" s="6">
        <v>243245</v>
      </c>
      <c r="F1341" s="6">
        <v>11206</v>
      </c>
      <c r="G1341" s="6">
        <v>7189</v>
      </c>
      <c r="H1341" s="6">
        <v>1900</v>
      </c>
      <c r="I1341" s="6">
        <v>0</v>
      </c>
    </row>
    <row r="1342" spans="1:9">
      <c r="A1342" s="6">
        <v>40</v>
      </c>
      <c r="B1342" s="6" t="str">
        <f t="shared" si="40"/>
        <v>Motor Vehicles and Repairing</v>
      </c>
      <c r="C1342" s="6">
        <v>21</v>
      </c>
      <c r="D1342" s="6" t="str">
        <f t="shared" si="41"/>
        <v>Beverages</v>
      </c>
      <c r="E1342" s="6">
        <v>2181959</v>
      </c>
      <c r="F1342" s="6">
        <v>0</v>
      </c>
      <c r="G1342" s="6">
        <v>0</v>
      </c>
      <c r="H1342" s="6">
        <v>0</v>
      </c>
      <c r="I1342" s="6">
        <v>0</v>
      </c>
    </row>
    <row r="1343" spans="1:9">
      <c r="A1343" s="6">
        <v>41</v>
      </c>
      <c r="B1343" s="6" t="str">
        <f t="shared" si="40"/>
        <v>Other Transportation Equipment</v>
      </c>
      <c r="C1343" s="6">
        <v>21</v>
      </c>
      <c r="D1343" s="6" t="str">
        <f t="shared" si="41"/>
        <v>Beverages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</row>
    <row r="1344" spans="1:9">
      <c r="A1344" s="6">
        <v>42</v>
      </c>
      <c r="B1344" s="6" t="str">
        <f t="shared" si="40"/>
        <v>Leather Products</v>
      </c>
      <c r="C1344" s="6">
        <v>21</v>
      </c>
      <c r="D1344" s="6" t="str">
        <f t="shared" si="41"/>
        <v>Beverages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</row>
    <row r="1345" spans="1:9">
      <c r="A1345" s="6">
        <v>43</v>
      </c>
      <c r="B1345" s="6" t="str">
        <f t="shared" si="40"/>
        <v>Saw Mills and Wood Products</v>
      </c>
      <c r="C1345" s="6">
        <v>21</v>
      </c>
      <c r="D1345" s="6" t="str">
        <f t="shared" si="41"/>
        <v>Beverages</v>
      </c>
      <c r="E1345" s="6">
        <v>67293</v>
      </c>
      <c r="F1345" s="6">
        <v>6898</v>
      </c>
      <c r="G1345" s="6">
        <v>1750</v>
      </c>
      <c r="H1345" s="6">
        <v>721</v>
      </c>
      <c r="I1345" s="6">
        <v>0</v>
      </c>
    </row>
    <row r="1346" spans="1:9">
      <c r="A1346" s="6">
        <v>44</v>
      </c>
      <c r="B1346" s="6" t="str">
        <f t="shared" si="40"/>
        <v>Other Manufacturing Products</v>
      </c>
      <c r="C1346" s="6">
        <v>21</v>
      </c>
      <c r="D1346" s="6" t="str">
        <f t="shared" si="41"/>
        <v>Beverages</v>
      </c>
      <c r="E1346" s="6">
        <v>420253</v>
      </c>
      <c r="F1346" s="6">
        <v>19233</v>
      </c>
      <c r="G1346" s="6">
        <v>35539</v>
      </c>
      <c r="H1346" s="6">
        <v>4279</v>
      </c>
      <c r="I1346" s="6">
        <v>0</v>
      </c>
    </row>
    <row r="1347" spans="1:9">
      <c r="A1347" s="6">
        <v>45</v>
      </c>
      <c r="B1347" s="6" t="str">
        <f t="shared" si="40"/>
        <v>Electricity and Gas</v>
      </c>
      <c r="C1347" s="6">
        <v>21</v>
      </c>
      <c r="D1347" s="6" t="str">
        <f t="shared" si="41"/>
        <v>Beverages</v>
      </c>
      <c r="E1347" s="6">
        <v>7883063</v>
      </c>
      <c r="F1347" s="6">
        <v>10328</v>
      </c>
      <c r="G1347" s="6">
        <v>18214</v>
      </c>
      <c r="H1347" s="6">
        <v>1905</v>
      </c>
      <c r="I1347" s="6">
        <v>0</v>
      </c>
    </row>
    <row r="1348" spans="1:9">
      <c r="A1348" s="6">
        <v>46</v>
      </c>
      <c r="B1348" s="6" t="str">
        <f t="shared" ref="B1348:B1411" si="42">VLOOKUP(A1348,R:S,2,0)</f>
        <v>Water Works and Supply</v>
      </c>
      <c r="C1348" s="6">
        <v>21</v>
      </c>
      <c r="D1348" s="6" t="str">
        <f t="shared" ref="D1348:D1411" si="43">VLOOKUP(C1348,R:S,2,0)</f>
        <v>Beverages</v>
      </c>
      <c r="E1348" s="6">
        <v>1716650</v>
      </c>
      <c r="F1348" s="6">
        <v>0</v>
      </c>
      <c r="G1348" s="6">
        <v>0</v>
      </c>
      <c r="H1348" s="6">
        <v>0</v>
      </c>
      <c r="I1348" s="6">
        <v>0</v>
      </c>
    </row>
    <row r="1349" spans="1:9">
      <c r="A1349" s="6">
        <v>47</v>
      </c>
      <c r="B1349" s="6" t="str">
        <f t="shared" si="42"/>
        <v>Building Construction</v>
      </c>
      <c r="C1349" s="6">
        <v>21</v>
      </c>
      <c r="D1349" s="6" t="str">
        <f t="shared" si="43"/>
        <v>Beverages</v>
      </c>
      <c r="E1349" s="6">
        <v>251228</v>
      </c>
      <c r="F1349" s="6">
        <v>0</v>
      </c>
      <c r="G1349" s="6">
        <v>0</v>
      </c>
      <c r="H1349" s="6">
        <v>0</v>
      </c>
      <c r="I1349" s="6">
        <v>0</v>
      </c>
    </row>
    <row r="1350" spans="1:9">
      <c r="A1350" s="6">
        <v>48</v>
      </c>
      <c r="B1350" s="6" t="str">
        <f t="shared" si="42"/>
        <v>Public Works and Other Construction</v>
      </c>
      <c r="C1350" s="6">
        <v>21</v>
      </c>
      <c r="D1350" s="6" t="str">
        <f t="shared" si="43"/>
        <v>Beverages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</row>
    <row r="1351" spans="1:9">
      <c r="A1351" s="6">
        <v>49</v>
      </c>
      <c r="B1351" s="6" t="str">
        <f t="shared" si="42"/>
        <v>Trade</v>
      </c>
      <c r="C1351" s="6">
        <v>21</v>
      </c>
      <c r="D1351" s="6" t="str">
        <f t="shared" si="43"/>
        <v>Beverages</v>
      </c>
      <c r="E1351" s="6">
        <v>0</v>
      </c>
      <c r="F1351" s="6">
        <v>-13312741</v>
      </c>
      <c r="G1351" s="6">
        <v>-11811653</v>
      </c>
      <c r="H1351" s="6">
        <v>0</v>
      </c>
      <c r="I1351" s="6">
        <v>0</v>
      </c>
    </row>
    <row r="1352" spans="1:9">
      <c r="A1352" s="6">
        <v>50</v>
      </c>
      <c r="B1352" s="6" t="str">
        <f t="shared" si="42"/>
        <v>Restaurants and Hotels</v>
      </c>
      <c r="C1352" s="6">
        <v>21</v>
      </c>
      <c r="D1352" s="6" t="str">
        <f t="shared" si="43"/>
        <v>Beverages</v>
      </c>
      <c r="E1352" s="6">
        <v>1151470</v>
      </c>
      <c r="F1352" s="6">
        <v>0</v>
      </c>
      <c r="G1352" s="6">
        <v>0</v>
      </c>
      <c r="H1352" s="6">
        <v>0</v>
      </c>
      <c r="I1352" s="6">
        <v>0</v>
      </c>
    </row>
    <row r="1353" spans="1:9">
      <c r="A1353" s="6">
        <v>51</v>
      </c>
      <c r="B1353" s="6" t="str">
        <f t="shared" si="42"/>
        <v>Transportation</v>
      </c>
      <c r="C1353" s="6">
        <v>21</v>
      </c>
      <c r="D1353" s="6" t="str">
        <f t="shared" si="43"/>
        <v>Beverages</v>
      </c>
      <c r="E1353" s="6">
        <v>3067723</v>
      </c>
      <c r="F1353" s="6">
        <v>0</v>
      </c>
      <c r="G1353" s="6">
        <v>0</v>
      </c>
      <c r="H1353" s="6">
        <v>-3065748</v>
      </c>
      <c r="I1353" s="6">
        <v>0</v>
      </c>
    </row>
    <row r="1354" spans="1:9">
      <c r="A1354" s="6">
        <v>52</v>
      </c>
      <c r="B1354" s="6" t="str">
        <f t="shared" si="42"/>
        <v>Communication</v>
      </c>
      <c r="C1354" s="6">
        <v>21</v>
      </c>
      <c r="D1354" s="6" t="str">
        <f t="shared" si="43"/>
        <v>Beverages</v>
      </c>
      <c r="E1354" s="6">
        <v>222566</v>
      </c>
      <c r="F1354" s="6">
        <v>0</v>
      </c>
      <c r="G1354" s="6">
        <v>0</v>
      </c>
      <c r="H1354" s="6">
        <v>0</v>
      </c>
      <c r="I1354" s="6">
        <v>0</v>
      </c>
    </row>
    <row r="1355" spans="1:9">
      <c r="A1355" s="6">
        <v>53</v>
      </c>
      <c r="B1355" s="6" t="str">
        <f t="shared" si="42"/>
        <v>Banking and Insurance</v>
      </c>
      <c r="C1355" s="6">
        <v>21</v>
      </c>
      <c r="D1355" s="6" t="str">
        <f t="shared" si="43"/>
        <v>Beverages</v>
      </c>
      <c r="E1355" s="6">
        <v>6599057</v>
      </c>
      <c r="F1355" s="6">
        <v>0</v>
      </c>
      <c r="G1355" s="6">
        <v>0</v>
      </c>
      <c r="H1355" s="6">
        <v>0</v>
      </c>
      <c r="I1355" s="6">
        <v>0</v>
      </c>
    </row>
    <row r="1356" spans="1:9">
      <c r="A1356" s="6">
        <v>54</v>
      </c>
      <c r="B1356" s="6" t="str">
        <f t="shared" si="42"/>
        <v>Real Estate</v>
      </c>
      <c r="C1356" s="6">
        <v>21</v>
      </c>
      <c r="D1356" s="6" t="str">
        <f t="shared" si="43"/>
        <v>Beverages</v>
      </c>
      <c r="E1356" s="6">
        <v>127331</v>
      </c>
      <c r="F1356" s="6">
        <v>0</v>
      </c>
      <c r="G1356" s="6">
        <v>0</v>
      </c>
      <c r="H1356" s="6">
        <v>0</v>
      </c>
      <c r="I1356" s="6">
        <v>0</v>
      </c>
    </row>
    <row r="1357" spans="1:9">
      <c r="A1357" s="6">
        <v>55</v>
      </c>
      <c r="B1357" s="6" t="str">
        <f t="shared" si="42"/>
        <v>Business Services</v>
      </c>
      <c r="C1357" s="6">
        <v>21</v>
      </c>
      <c r="D1357" s="6" t="str">
        <f t="shared" si="43"/>
        <v>Beverages</v>
      </c>
      <c r="E1357" s="6">
        <v>16009802</v>
      </c>
      <c r="F1357" s="6">
        <v>0</v>
      </c>
      <c r="G1357" s="6">
        <v>0</v>
      </c>
      <c r="H1357" s="6">
        <v>0</v>
      </c>
      <c r="I1357" s="6">
        <v>0</v>
      </c>
    </row>
    <row r="1358" spans="1:9">
      <c r="A1358" s="6">
        <v>56</v>
      </c>
      <c r="B1358" s="6" t="str">
        <f t="shared" si="42"/>
        <v>Public Services</v>
      </c>
      <c r="C1358" s="6">
        <v>21</v>
      </c>
      <c r="D1358" s="6" t="str">
        <f t="shared" si="43"/>
        <v>Beverages</v>
      </c>
      <c r="E1358" s="6">
        <v>238829</v>
      </c>
      <c r="F1358" s="6">
        <v>0</v>
      </c>
      <c r="G1358" s="6">
        <v>0</v>
      </c>
      <c r="H1358" s="6">
        <v>0</v>
      </c>
      <c r="I1358" s="6">
        <v>0</v>
      </c>
    </row>
    <row r="1359" spans="1:9">
      <c r="A1359" s="6">
        <v>57</v>
      </c>
      <c r="B1359" s="6" t="str">
        <f t="shared" si="42"/>
        <v>Other Services</v>
      </c>
      <c r="C1359" s="6">
        <v>21</v>
      </c>
      <c r="D1359" s="6" t="str">
        <f t="shared" si="43"/>
        <v>Beverages</v>
      </c>
      <c r="E1359" s="6">
        <v>530144</v>
      </c>
      <c r="F1359" s="6">
        <v>0</v>
      </c>
      <c r="G1359" s="6">
        <v>0</v>
      </c>
      <c r="H1359" s="6">
        <v>0</v>
      </c>
      <c r="I1359" s="6">
        <v>0</v>
      </c>
    </row>
    <row r="1360" spans="1:9">
      <c r="A1360" s="6">
        <v>58</v>
      </c>
      <c r="B1360" s="6" t="str">
        <f t="shared" si="42"/>
        <v>Unclassified</v>
      </c>
      <c r="C1360" s="6">
        <v>21</v>
      </c>
      <c r="D1360" s="6" t="str">
        <f t="shared" si="43"/>
        <v>Beverages</v>
      </c>
      <c r="E1360" s="6">
        <v>1799732</v>
      </c>
      <c r="F1360" s="6">
        <v>0</v>
      </c>
      <c r="G1360" s="6">
        <v>0</v>
      </c>
      <c r="H1360" s="6">
        <v>0</v>
      </c>
      <c r="I1360" s="6">
        <v>188354</v>
      </c>
    </row>
    <row r="1361" spans="1:9">
      <c r="A1361" s="6">
        <v>190</v>
      </c>
      <c r="B1361" s="6" t="str">
        <f t="shared" si="42"/>
        <v>Total Intermedite Transaction</v>
      </c>
      <c r="C1361" s="6">
        <v>21</v>
      </c>
      <c r="D1361" s="6" t="str">
        <f t="shared" si="43"/>
        <v>Beverages</v>
      </c>
      <c r="E1361" s="6">
        <v>292450233</v>
      </c>
      <c r="F1361" s="6">
        <v>0</v>
      </c>
      <c r="G1361" s="6">
        <v>0</v>
      </c>
      <c r="H1361" s="6">
        <v>0</v>
      </c>
      <c r="I1361" s="6">
        <v>94917015</v>
      </c>
    </row>
    <row r="1362" spans="1:9">
      <c r="A1362" s="6">
        <v>201</v>
      </c>
      <c r="B1362" s="6" t="str">
        <f t="shared" si="42"/>
        <v>Wages and Salaries</v>
      </c>
      <c r="C1362" s="6">
        <v>21</v>
      </c>
      <c r="D1362" s="6" t="str">
        <f t="shared" si="43"/>
        <v>Beverages</v>
      </c>
      <c r="E1362" s="6">
        <v>28569844</v>
      </c>
      <c r="F1362" s="6">
        <v>0</v>
      </c>
      <c r="G1362" s="6">
        <v>0</v>
      </c>
      <c r="H1362" s="6">
        <v>0</v>
      </c>
      <c r="I1362" s="6">
        <v>0</v>
      </c>
    </row>
    <row r="1363" spans="1:9">
      <c r="A1363" s="6">
        <v>202</v>
      </c>
      <c r="B1363" s="6" t="str">
        <f t="shared" si="42"/>
        <v>Operating Surplus</v>
      </c>
      <c r="C1363" s="6">
        <v>21</v>
      </c>
      <c r="D1363" s="6" t="str">
        <f t="shared" si="43"/>
        <v>Beverages</v>
      </c>
      <c r="E1363" s="6">
        <v>55224412</v>
      </c>
      <c r="F1363" s="6">
        <v>0</v>
      </c>
      <c r="G1363" s="6">
        <v>0</v>
      </c>
      <c r="H1363" s="6">
        <v>0</v>
      </c>
      <c r="I1363" s="6">
        <v>0</v>
      </c>
    </row>
    <row r="1364" spans="1:9">
      <c r="A1364" s="6">
        <v>203</v>
      </c>
      <c r="B1364" s="6" t="str">
        <f t="shared" si="42"/>
        <v>Depreciation</v>
      </c>
      <c r="C1364" s="6">
        <v>21</v>
      </c>
      <c r="D1364" s="6" t="str">
        <f t="shared" si="43"/>
        <v>Beverages</v>
      </c>
      <c r="E1364" s="6">
        <v>29391696</v>
      </c>
      <c r="F1364" s="6">
        <v>0</v>
      </c>
      <c r="G1364" s="6">
        <v>0</v>
      </c>
      <c r="H1364" s="6">
        <v>0</v>
      </c>
      <c r="I1364" s="6">
        <v>0</v>
      </c>
    </row>
    <row r="1365" spans="1:9">
      <c r="A1365" s="6">
        <v>204</v>
      </c>
      <c r="B1365" s="6" t="str">
        <f t="shared" si="42"/>
        <v>Indirect Taxes less Subsidies</v>
      </c>
      <c r="C1365" s="6">
        <v>21</v>
      </c>
      <c r="D1365" s="6" t="str">
        <f t="shared" si="43"/>
        <v>Beverages</v>
      </c>
      <c r="E1365" s="6">
        <v>152310138</v>
      </c>
      <c r="F1365" s="6">
        <v>0</v>
      </c>
      <c r="G1365" s="6">
        <v>0</v>
      </c>
      <c r="H1365" s="6">
        <v>0</v>
      </c>
      <c r="I1365" s="6">
        <v>0</v>
      </c>
    </row>
    <row r="1366" spans="1:9">
      <c r="A1366" s="6">
        <v>209</v>
      </c>
      <c r="B1366" s="6" t="str">
        <f t="shared" si="42"/>
        <v>Total Value Added</v>
      </c>
      <c r="C1366" s="6">
        <v>21</v>
      </c>
      <c r="D1366" s="6" t="str">
        <f t="shared" si="43"/>
        <v>Beverages</v>
      </c>
      <c r="E1366" s="6">
        <v>265496090</v>
      </c>
      <c r="F1366" s="6">
        <v>0</v>
      </c>
      <c r="G1366" s="6">
        <v>0</v>
      </c>
      <c r="H1366" s="6">
        <v>0</v>
      </c>
      <c r="I1366" s="6">
        <v>0</v>
      </c>
    </row>
    <row r="1367" spans="1:9">
      <c r="A1367" s="6">
        <v>210</v>
      </c>
      <c r="B1367" s="6" t="str">
        <f t="shared" si="42"/>
        <v>Control Total</v>
      </c>
      <c r="C1367" s="6">
        <v>21</v>
      </c>
      <c r="D1367" s="6" t="str">
        <f t="shared" si="43"/>
        <v>Beverages</v>
      </c>
      <c r="E1367" s="6">
        <v>557946323</v>
      </c>
      <c r="F1367" s="6">
        <v>0</v>
      </c>
      <c r="G1367" s="6">
        <v>0</v>
      </c>
      <c r="H1367" s="6">
        <v>0</v>
      </c>
      <c r="I1367" s="6">
        <v>0</v>
      </c>
    </row>
    <row r="1368" spans="1:9">
      <c r="A1368" s="6">
        <v>1</v>
      </c>
      <c r="B1368" s="6" t="str">
        <f t="shared" si="42"/>
        <v>Paddy</v>
      </c>
      <c r="C1368" s="6">
        <v>22</v>
      </c>
      <c r="D1368" s="6" t="str">
        <f t="shared" si="43"/>
        <v>Tobacco Processing and Products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</row>
    <row r="1369" spans="1:9">
      <c r="A1369" s="6">
        <v>2</v>
      </c>
      <c r="B1369" s="6" t="str">
        <f t="shared" si="42"/>
        <v>Maize</v>
      </c>
      <c r="C1369" s="6">
        <v>22</v>
      </c>
      <c r="D1369" s="6" t="str">
        <f t="shared" si="43"/>
        <v>Tobacco Processing and Products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</row>
    <row r="1370" spans="1:9">
      <c r="A1370" s="6">
        <v>3</v>
      </c>
      <c r="B1370" s="6" t="str">
        <f t="shared" si="42"/>
        <v>Cassava</v>
      </c>
      <c r="C1370" s="6">
        <v>22</v>
      </c>
      <c r="D1370" s="6" t="str">
        <f t="shared" si="43"/>
        <v>Tobacco Processing and Products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</row>
    <row r="1371" spans="1:9">
      <c r="A1371" s="6">
        <v>4</v>
      </c>
      <c r="B1371" s="6" t="str">
        <f t="shared" si="42"/>
        <v>Beans and Nuts</v>
      </c>
      <c r="C1371" s="6">
        <v>22</v>
      </c>
      <c r="D1371" s="6" t="str">
        <f t="shared" si="43"/>
        <v>Tobacco Processing and Products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</row>
    <row r="1372" spans="1:9">
      <c r="A1372" s="6">
        <v>5</v>
      </c>
      <c r="B1372" s="6" t="str">
        <f t="shared" si="42"/>
        <v>Vegetables and Fruits</v>
      </c>
      <c r="C1372" s="6">
        <v>22</v>
      </c>
      <c r="D1372" s="6" t="str">
        <f t="shared" si="43"/>
        <v>Tobacco Processing and Products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</row>
    <row r="1373" spans="1:9">
      <c r="A1373" s="6">
        <v>6</v>
      </c>
      <c r="B1373" s="6" t="str">
        <f t="shared" si="42"/>
        <v>Sugarcane</v>
      </c>
      <c r="C1373" s="6">
        <v>22</v>
      </c>
      <c r="D1373" s="6" t="str">
        <f t="shared" si="43"/>
        <v>Tobacco Processing and Products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</row>
    <row r="1374" spans="1:9">
      <c r="A1374" s="6">
        <v>7</v>
      </c>
      <c r="B1374" s="6" t="str">
        <f t="shared" si="42"/>
        <v>Rubber (Latex)</v>
      </c>
      <c r="C1374" s="6">
        <v>22</v>
      </c>
      <c r="D1374" s="6" t="str">
        <f t="shared" si="43"/>
        <v>Tobacco Processing and Products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</row>
    <row r="1375" spans="1:9">
      <c r="A1375" s="6">
        <v>8</v>
      </c>
      <c r="B1375" s="6" t="str">
        <f t="shared" si="42"/>
        <v>Other Crops</v>
      </c>
      <c r="C1375" s="6">
        <v>22</v>
      </c>
      <c r="D1375" s="6" t="str">
        <f t="shared" si="43"/>
        <v>Tobacco Processing and Products</v>
      </c>
      <c r="E1375" s="6">
        <v>1479335</v>
      </c>
      <c r="F1375" s="6">
        <v>83067</v>
      </c>
      <c r="G1375" s="6">
        <v>20492</v>
      </c>
      <c r="H1375" s="6">
        <v>11985</v>
      </c>
      <c r="I1375" s="6">
        <v>94892</v>
      </c>
    </row>
    <row r="1376" spans="1:9">
      <c r="A1376" s="6">
        <v>9</v>
      </c>
      <c r="B1376" s="6" t="str">
        <f t="shared" si="42"/>
        <v>Livestock</v>
      </c>
      <c r="C1376" s="6">
        <v>22</v>
      </c>
      <c r="D1376" s="6" t="str">
        <f t="shared" si="43"/>
        <v>Tobacco Processing and Products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</row>
    <row r="1377" spans="1:9">
      <c r="A1377" s="6">
        <v>10</v>
      </c>
      <c r="B1377" s="6" t="str">
        <f t="shared" si="42"/>
        <v>Forestry</v>
      </c>
      <c r="C1377" s="6">
        <v>22</v>
      </c>
      <c r="D1377" s="6" t="str">
        <f t="shared" si="43"/>
        <v>Tobacco Processing and Products</v>
      </c>
      <c r="E1377" s="6">
        <v>5016</v>
      </c>
      <c r="F1377" s="6">
        <v>333</v>
      </c>
      <c r="G1377" s="6">
        <v>0</v>
      </c>
      <c r="H1377" s="6">
        <v>41</v>
      </c>
      <c r="I1377" s="6">
        <v>0</v>
      </c>
    </row>
    <row r="1378" spans="1:9">
      <c r="A1378" s="6">
        <v>11</v>
      </c>
      <c r="B1378" s="6" t="str">
        <f t="shared" si="42"/>
        <v>Fishery</v>
      </c>
      <c r="C1378" s="6">
        <v>22</v>
      </c>
      <c r="D1378" s="6" t="str">
        <f t="shared" si="43"/>
        <v>Tobacco Processing and Products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</row>
    <row r="1379" spans="1:9">
      <c r="A1379" s="6">
        <v>12</v>
      </c>
      <c r="B1379" s="6" t="str">
        <f t="shared" si="42"/>
        <v>Crude Oil and Coal</v>
      </c>
      <c r="C1379" s="6">
        <v>22</v>
      </c>
      <c r="D1379" s="6" t="str">
        <f t="shared" si="43"/>
        <v>Tobacco Processing and Products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</row>
    <row r="1380" spans="1:9">
      <c r="A1380" s="6">
        <v>13</v>
      </c>
      <c r="B1380" s="6" t="str">
        <f t="shared" si="42"/>
        <v>Metal Ore</v>
      </c>
      <c r="C1380" s="6">
        <v>22</v>
      </c>
      <c r="D1380" s="6" t="str">
        <f t="shared" si="43"/>
        <v>Tobacco Processing and Products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</row>
    <row r="1381" spans="1:9">
      <c r="A1381" s="6">
        <v>14</v>
      </c>
      <c r="B1381" s="6" t="str">
        <f t="shared" si="42"/>
        <v>Non-Metal Ore</v>
      </c>
      <c r="C1381" s="6">
        <v>22</v>
      </c>
      <c r="D1381" s="6" t="str">
        <f t="shared" si="43"/>
        <v>Tobacco Processing and Products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</row>
    <row r="1382" spans="1:9">
      <c r="A1382" s="6">
        <v>15</v>
      </c>
      <c r="B1382" s="6" t="str">
        <f t="shared" si="42"/>
        <v>Slaughtering</v>
      </c>
      <c r="C1382" s="6">
        <v>22</v>
      </c>
      <c r="D1382" s="6" t="str">
        <f t="shared" si="43"/>
        <v>Tobacco Processing and Products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</row>
    <row r="1383" spans="1:9">
      <c r="A1383" s="6">
        <v>16</v>
      </c>
      <c r="B1383" s="6" t="str">
        <f t="shared" si="42"/>
        <v>Processing and Presering of Foods</v>
      </c>
      <c r="C1383" s="6">
        <v>22</v>
      </c>
      <c r="D1383" s="6" t="str">
        <f t="shared" si="43"/>
        <v>Tobacco Processing and Products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</row>
    <row r="1384" spans="1:9">
      <c r="A1384" s="6">
        <v>17</v>
      </c>
      <c r="B1384" s="6" t="str">
        <f t="shared" si="42"/>
        <v>Rice and Other Grain Milling</v>
      </c>
      <c r="C1384" s="6">
        <v>22</v>
      </c>
      <c r="D1384" s="6" t="str">
        <f t="shared" si="43"/>
        <v>Tobacco Processing and Products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</row>
    <row r="1385" spans="1:9">
      <c r="A1385" s="6">
        <v>18</v>
      </c>
      <c r="B1385" s="6" t="str">
        <f t="shared" si="42"/>
        <v>Sugar Refineries</v>
      </c>
      <c r="C1385" s="6">
        <v>22</v>
      </c>
      <c r="D1385" s="6" t="str">
        <f t="shared" si="43"/>
        <v>Tobacco Processing and Products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</row>
    <row r="1386" spans="1:9">
      <c r="A1386" s="6">
        <v>19</v>
      </c>
      <c r="B1386" s="6" t="str">
        <f t="shared" si="42"/>
        <v>Other Foods</v>
      </c>
      <c r="C1386" s="6">
        <v>22</v>
      </c>
      <c r="D1386" s="6" t="str">
        <f t="shared" si="43"/>
        <v>Tobacco Processing and Products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</row>
    <row r="1387" spans="1:9">
      <c r="A1387" s="6">
        <v>20</v>
      </c>
      <c r="B1387" s="6" t="str">
        <f t="shared" si="42"/>
        <v>Animal Food</v>
      </c>
      <c r="C1387" s="6">
        <v>22</v>
      </c>
      <c r="D1387" s="6" t="str">
        <f t="shared" si="43"/>
        <v>Tobacco Processing and Products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</row>
    <row r="1388" spans="1:9">
      <c r="A1388" s="6">
        <v>21</v>
      </c>
      <c r="B1388" s="6" t="str">
        <f t="shared" si="42"/>
        <v>Beverages</v>
      </c>
      <c r="C1388" s="6">
        <v>22</v>
      </c>
      <c r="D1388" s="6" t="str">
        <f t="shared" si="43"/>
        <v>Tobacco Processing and Products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</row>
    <row r="1389" spans="1:9">
      <c r="A1389" s="6">
        <v>22</v>
      </c>
      <c r="B1389" s="6" t="str">
        <f t="shared" si="42"/>
        <v>Tobacco Processing and Products</v>
      </c>
      <c r="C1389" s="6">
        <v>22</v>
      </c>
      <c r="D1389" s="6" t="str">
        <f t="shared" si="43"/>
        <v>Tobacco Processing and Products</v>
      </c>
      <c r="E1389" s="6">
        <v>6234431</v>
      </c>
      <c r="F1389" s="6">
        <v>266644</v>
      </c>
      <c r="G1389" s="6">
        <v>0</v>
      </c>
      <c r="H1389" s="6">
        <v>141972</v>
      </c>
      <c r="I1389" s="6">
        <v>142716</v>
      </c>
    </row>
    <row r="1390" spans="1:9">
      <c r="A1390" s="6">
        <v>23</v>
      </c>
      <c r="B1390" s="6" t="str">
        <f t="shared" si="42"/>
        <v>Spinning, Weaving and Bleaching</v>
      </c>
      <c r="C1390" s="6">
        <v>22</v>
      </c>
      <c r="D1390" s="6" t="str">
        <f t="shared" si="43"/>
        <v>Tobacco Processing and Products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</row>
    <row r="1391" spans="1:9">
      <c r="A1391" s="6">
        <v>24</v>
      </c>
      <c r="B1391" s="6" t="str">
        <f t="shared" si="42"/>
        <v>Textile Products</v>
      </c>
      <c r="C1391" s="6">
        <v>22</v>
      </c>
      <c r="D1391" s="6" t="str">
        <f t="shared" si="43"/>
        <v>Tobacco Processing and Products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</row>
    <row r="1392" spans="1:9">
      <c r="A1392" s="6">
        <v>25</v>
      </c>
      <c r="B1392" s="6" t="str">
        <f t="shared" si="42"/>
        <v>Paper and Paper Products</v>
      </c>
      <c r="C1392" s="6">
        <v>22</v>
      </c>
      <c r="D1392" s="6" t="str">
        <f t="shared" si="43"/>
        <v>Tobacco Processing and Products</v>
      </c>
      <c r="E1392" s="6">
        <v>991499</v>
      </c>
      <c r="F1392" s="6">
        <v>48927</v>
      </c>
      <c r="G1392" s="6">
        <v>48700</v>
      </c>
      <c r="H1392" s="6">
        <v>16438</v>
      </c>
      <c r="I1392" s="6">
        <v>323260</v>
      </c>
    </row>
    <row r="1393" spans="1:9">
      <c r="A1393" s="6">
        <v>26</v>
      </c>
      <c r="B1393" s="6" t="str">
        <f t="shared" si="42"/>
        <v>Printing and Publishing</v>
      </c>
      <c r="C1393" s="6">
        <v>22</v>
      </c>
      <c r="D1393" s="6" t="str">
        <f t="shared" si="43"/>
        <v>Tobacco Processing and Products</v>
      </c>
      <c r="E1393" s="6">
        <v>770</v>
      </c>
      <c r="F1393" s="6">
        <v>71</v>
      </c>
      <c r="G1393" s="6">
        <v>93</v>
      </c>
      <c r="H1393" s="6">
        <v>7</v>
      </c>
      <c r="I1393" s="6">
        <v>0</v>
      </c>
    </row>
    <row r="1394" spans="1:9">
      <c r="A1394" s="6">
        <v>27</v>
      </c>
      <c r="B1394" s="6" t="str">
        <f t="shared" si="42"/>
        <v>Basic Chemical Products</v>
      </c>
      <c r="C1394" s="6">
        <v>22</v>
      </c>
      <c r="D1394" s="6" t="str">
        <f t="shared" si="43"/>
        <v>Tobacco Processing and Products</v>
      </c>
      <c r="E1394" s="6">
        <v>47098</v>
      </c>
      <c r="F1394" s="6">
        <v>3386</v>
      </c>
      <c r="G1394" s="6">
        <v>1567</v>
      </c>
      <c r="H1394" s="6">
        <v>914</v>
      </c>
      <c r="I1394" s="6">
        <v>26054</v>
      </c>
    </row>
    <row r="1395" spans="1:9">
      <c r="A1395" s="6">
        <v>28</v>
      </c>
      <c r="B1395" s="6" t="str">
        <f t="shared" si="42"/>
        <v>Fertilizer and Pesticides</v>
      </c>
      <c r="C1395" s="6">
        <v>22</v>
      </c>
      <c r="D1395" s="6" t="str">
        <f t="shared" si="43"/>
        <v>Tobacco Processing and Products</v>
      </c>
      <c r="E1395" s="6">
        <v>573</v>
      </c>
      <c r="F1395" s="6">
        <v>50</v>
      </c>
      <c r="G1395" s="6">
        <v>48</v>
      </c>
      <c r="H1395" s="6">
        <v>20</v>
      </c>
      <c r="I1395" s="6">
        <v>0</v>
      </c>
    </row>
    <row r="1396" spans="1:9">
      <c r="A1396" s="6">
        <v>29</v>
      </c>
      <c r="B1396" s="6" t="str">
        <f t="shared" si="42"/>
        <v>Other Chemical Products</v>
      </c>
      <c r="C1396" s="6">
        <v>22</v>
      </c>
      <c r="D1396" s="6" t="str">
        <f t="shared" si="43"/>
        <v>Tobacco Processing and Products</v>
      </c>
      <c r="E1396" s="6">
        <v>48631</v>
      </c>
      <c r="F1396" s="6">
        <v>3821</v>
      </c>
      <c r="G1396" s="6">
        <v>6974</v>
      </c>
      <c r="H1396" s="6">
        <v>358</v>
      </c>
      <c r="I1396" s="6">
        <v>1903</v>
      </c>
    </row>
    <row r="1397" spans="1:9">
      <c r="A1397" s="6">
        <v>30</v>
      </c>
      <c r="B1397" s="6" t="str">
        <f t="shared" si="42"/>
        <v>Petroleum Refineries</v>
      </c>
      <c r="C1397" s="6">
        <v>22</v>
      </c>
      <c r="D1397" s="6" t="str">
        <f t="shared" si="43"/>
        <v>Tobacco Processing and Products</v>
      </c>
      <c r="E1397" s="6">
        <v>49718</v>
      </c>
      <c r="F1397" s="6">
        <v>2444</v>
      </c>
      <c r="G1397" s="6">
        <v>3587</v>
      </c>
      <c r="H1397" s="6">
        <v>511</v>
      </c>
      <c r="I1397" s="6">
        <v>8744</v>
      </c>
    </row>
    <row r="1398" spans="1:9">
      <c r="A1398" s="6">
        <v>31</v>
      </c>
      <c r="B1398" s="6" t="str">
        <f t="shared" si="42"/>
        <v>Rubber Products</v>
      </c>
      <c r="C1398" s="6">
        <v>22</v>
      </c>
      <c r="D1398" s="6" t="str">
        <f t="shared" si="43"/>
        <v>Tobacco Processing and Products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</row>
    <row r="1399" spans="1:9">
      <c r="A1399" s="6">
        <v>32</v>
      </c>
      <c r="B1399" s="6" t="str">
        <f t="shared" si="42"/>
        <v>Plastic Wares</v>
      </c>
      <c r="C1399" s="6">
        <v>22</v>
      </c>
      <c r="D1399" s="6" t="str">
        <f t="shared" si="43"/>
        <v>Tobacco Processing and Products</v>
      </c>
      <c r="E1399" s="6">
        <v>15779</v>
      </c>
      <c r="F1399" s="6">
        <v>671</v>
      </c>
      <c r="G1399" s="6">
        <v>596</v>
      </c>
      <c r="H1399" s="6">
        <v>113</v>
      </c>
      <c r="I1399" s="6">
        <v>3914</v>
      </c>
    </row>
    <row r="1400" spans="1:9">
      <c r="A1400" s="6">
        <v>33</v>
      </c>
      <c r="B1400" s="6" t="str">
        <f t="shared" si="42"/>
        <v>Cement and Concrete Products</v>
      </c>
      <c r="C1400" s="6">
        <v>22</v>
      </c>
      <c r="D1400" s="6" t="str">
        <f t="shared" si="43"/>
        <v>Tobacco Processing and Products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</row>
    <row r="1401" spans="1:9">
      <c r="A1401" s="6">
        <v>34</v>
      </c>
      <c r="B1401" s="6" t="str">
        <f t="shared" si="42"/>
        <v>Other Non-metallic Products</v>
      </c>
      <c r="C1401" s="6">
        <v>22</v>
      </c>
      <c r="D1401" s="6" t="str">
        <f t="shared" si="43"/>
        <v>Tobacco Processing and Products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</row>
    <row r="1402" spans="1:9">
      <c r="A1402" s="6">
        <v>35</v>
      </c>
      <c r="B1402" s="6" t="str">
        <f t="shared" si="42"/>
        <v>Iron and Steel</v>
      </c>
      <c r="C1402" s="6">
        <v>22</v>
      </c>
      <c r="D1402" s="6" t="str">
        <f t="shared" si="43"/>
        <v>Tobacco Processing and Products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</row>
    <row r="1403" spans="1:9">
      <c r="A1403" s="6">
        <v>36</v>
      </c>
      <c r="B1403" s="6" t="str">
        <f t="shared" si="42"/>
        <v>Non-ferrous Metal</v>
      </c>
      <c r="C1403" s="6">
        <v>22</v>
      </c>
      <c r="D1403" s="6" t="str">
        <f t="shared" si="43"/>
        <v>Tobacco Processing and Products</v>
      </c>
      <c r="E1403" s="6">
        <v>40345</v>
      </c>
      <c r="F1403" s="6">
        <v>1720</v>
      </c>
      <c r="G1403" s="6">
        <v>840</v>
      </c>
      <c r="H1403" s="6">
        <v>76</v>
      </c>
      <c r="I1403" s="6">
        <v>24170</v>
      </c>
    </row>
    <row r="1404" spans="1:9">
      <c r="A1404" s="6">
        <v>37</v>
      </c>
      <c r="B1404" s="6" t="str">
        <f t="shared" si="42"/>
        <v>Fabricated Metal Products</v>
      </c>
      <c r="C1404" s="6">
        <v>22</v>
      </c>
      <c r="D1404" s="6" t="str">
        <f t="shared" si="43"/>
        <v>Tobacco Processing and Products</v>
      </c>
      <c r="E1404" s="6">
        <v>1553</v>
      </c>
      <c r="F1404" s="6">
        <v>64</v>
      </c>
      <c r="G1404" s="6">
        <v>73</v>
      </c>
      <c r="H1404" s="6">
        <v>12</v>
      </c>
      <c r="I1404" s="6">
        <v>198</v>
      </c>
    </row>
    <row r="1405" spans="1:9">
      <c r="A1405" s="6">
        <v>38</v>
      </c>
      <c r="B1405" s="6" t="str">
        <f t="shared" si="42"/>
        <v>Industrial Machinery</v>
      </c>
      <c r="C1405" s="6">
        <v>22</v>
      </c>
      <c r="D1405" s="6" t="str">
        <f t="shared" si="43"/>
        <v>Tobacco Processing and Products</v>
      </c>
      <c r="E1405" s="6">
        <v>168565</v>
      </c>
      <c r="F1405" s="6">
        <v>13671</v>
      </c>
      <c r="G1405" s="6">
        <v>0</v>
      </c>
      <c r="H1405" s="6">
        <v>2538</v>
      </c>
      <c r="I1405" s="6">
        <v>0</v>
      </c>
    </row>
    <row r="1406" spans="1:9">
      <c r="A1406" s="6">
        <v>39</v>
      </c>
      <c r="B1406" s="6" t="str">
        <f t="shared" si="42"/>
        <v>Electrical Machinery and Apparatus</v>
      </c>
      <c r="C1406" s="6">
        <v>22</v>
      </c>
      <c r="D1406" s="6" t="str">
        <f t="shared" si="43"/>
        <v>Tobacco Processing and Products</v>
      </c>
      <c r="E1406" s="6">
        <v>910</v>
      </c>
      <c r="F1406" s="6">
        <v>27</v>
      </c>
      <c r="G1406" s="6">
        <v>0</v>
      </c>
      <c r="H1406" s="6">
        <v>0</v>
      </c>
      <c r="I1406" s="6">
        <v>0</v>
      </c>
    </row>
    <row r="1407" spans="1:9">
      <c r="A1407" s="6">
        <v>40</v>
      </c>
      <c r="B1407" s="6" t="str">
        <f t="shared" si="42"/>
        <v>Motor Vehicles and Repairing</v>
      </c>
      <c r="C1407" s="6">
        <v>22</v>
      </c>
      <c r="D1407" s="6" t="str">
        <f t="shared" si="43"/>
        <v>Tobacco Processing and Products</v>
      </c>
      <c r="E1407" s="6">
        <v>2238</v>
      </c>
      <c r="F1407" s="6">
        <v>0</v>
      </c>
      <c r="G1407" s="6">
        <v>0</v>
      </c>
      <c r="H1407" s="6">
        <v>0</v>
      </c>
      <c r="I1407" s="6">
        <v>0</v>
      </c>
    </row>
    <row r="1408" spans="1:9">
      <c r="A1408" s="6">
        <v>41</v>
      </c>
      <c r="B1408" s="6" t="str">
        <f t="shared" si="42"/>
        <v>Other Transportation Equipment</v>
      </c>
      <c r="C1408" s="6">
        <v>22</v>
      </c>
      <c r="D1408" s="6" t="str">
        <f t="shared" si="43"/>
        <v>Tobacco Processing and Products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</row>
    <row r="1409" spans="1:9">
      <c r="A1409" s="6">
        <v>42</v>
      </c>
      <c r="B1409" s="6" t="str">
        <f t="shared" si="42"/>
        <v>Leather Products</v>
      </c>
      <c r="C1409" s="6">
        <v>22</v>
      </c>
      <c r="D1409" s="6" t="str">
        <f t="shared" si="43"/>
        <v>Tobacco Processing and Products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</row>
    <row r="1410" spans="1:9">
      <c r="A1410" s="6">
        <v>43</v>
      </c>
      <c r="B1410" s="6" t="str">
        <f t="shared" si="42"/>
        <v>Saw Mills and Wood Products</v>
      </c>
      <c r="C1410" s="6">
        <v>22</v>
      </c>
      <c r="D1410" s="6" t="str">
        <f t="shared" si="43"/>
        <v>Tobacco Processing and Products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</row>
    <row r="1411" spans="1:9">
      <c r="A1411" s="6">
        <v>44</v>
      </c>
      <c r="B1411" s="6" t="str">
        <f t="shared" si="42"/>
        <v>Other Manufacturing Products</v>
      </c>
      <c r="C1411" s="6">
        <v>22</v>
      </c>
      <c r="D1411" s="6" t="str">
        <f t="shared" si="43"/>
        <v>Tobacco Processing and Products</v>
      </c>
      <c r="E1411" s="6">
        <v>3722</v>
      </c>
      <c r="F1411" s="6">
        <v>46</v>
      </c>
      <c r="G1411" s="6">
        <v>64</v>
      </c>
      <c r="H1411" s="6">
        <v>40</v>
      </c>
      <c r="I1411" s="6">
        <v>0</v>
      </c>
    </row>
    <row r="1412" spans="1:9">
      <c r="A1412" s="6">
        <v>45</v>
      </c>
      <c r="B1412" s="6" t="str">
        <f t="shared" ref="B1412:B1475" si="44">VLOOKUP(A1412,R:S,2,0)</f>
        <v>Electricity and Gas</v>
      </c>
      <c r="C1412" s="6">
        <v>22</v>
      </c>
      <c r="D1412" s="6" t="str">
        <f t="shared" ref="D1412:D1475" si="45">VLOOKUP(C1412,R:S,2,0)</f>
        <v>Tobacco Processing and Products</v>
      </c>
      <c r="E1412" s="6">
        <v>111186</v>
      </c>
      <c r="F1412" s="6">
        <v>28</v>
      </c>
      <c r="G1412" s="6">
        <v>51</v>
      </c>
      <c r="H1412" s="6">
        <v>6</v>
      </c>
      <c r="I1412" s="6">
        <v>0</v>
      </c>
    </row>
    <row r="1413" spans="1:9">
      <c r="A1413" s="6">
        <v>46</v>
      </c>
      <c r="B1413" s="6" t="str">
        <f t="shared" si="44"/>
        <v>Water Works and Supply</v>
      </c>
      <c r="C1413" s="6">
        <v>22</v>
      </c>
      <c r="D1413" s="6" t="str">
        <f t="shared" si="45"/>
        <v>Tobacco Processing and Products</v>
      </c>
      <c r="E1413" s="6">
        <v>3552</v>
      </c>
      <c r="F1413" s="6">
        <v>0</v>
      </c>
      <c r="G1413" s="6">
        <v>0</v>
      </c>
      <c r="H1413" s="6">
        <v>0</v>
      </c>
      <c r="I1413" s="6">
        <v>0</v>
      </c>
    </row>
    <row r="1414" spans="1:9">
      <c r="A1414" s="6">
        <v>47</v>
      </c>
      <c r="B1414" s="6" t="str">
        <f t="shared" si="44"/>
        <v>Building Construction</v>
      </c>
      <c r="C1414" s="6">
        <v>22</v>
      </c>
      <c r="D1414" s="6" t="str">
        <f t="shared" si="45"/>
        <v>Tobacco Processing and Products</v>
      </c>
      <c r="E1414" s="6">
        <v>6298</v>
      </c>
      <c r="F1414" s="6">
        <v>0</v>
      </c>
      <c r="G1414" s="6">
        <v>0</v>
      </c>
      <c r="H1414" s="6">
        <v>0</v>
      </c>
      <c r="I1414" s="6">
        <v>0</v>
      </c>
    </row>
    <row r="1415" spans="1:9">
      <c r="A1415" s="6">
        <v>48</v>
      </c>
      <c r="B1415" s="6" t="str">
        <f t="shared" si="44"/>
        <v>Public Works and Other Construction</v>
      </c>
      <c r="C1415" s="6">
        <v>22</v>
      </c>
      <c r="D1415" s="6" t="str">
        <f t="shared" si="45"/>
        <v>Tobacco Processing and Products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</row>
    <row r="1416" spans="1:9">
      <c r="A1416" s="6">
        <v>49</v>
      </c>
      <c r="B1416" s="6" t="str">
        <f t="shared" si="44"/>
        <v>Trade</v>
      </c>
      <c r="C1416" s="6">
        <v>22</v>
      </c>
      <c r="D1416" s="6" t="str">
        <f t="shared" si="45"/>
        <v>Tobacco Processing and Products</v>
      </c>
      <c r="E1416" s="6">
        <v>0</v>
      </c>
      <c r="F1416" s="6">
        <v>-424970</v>
      </c>
      <c r="G1416" s="6">
        <v>-83085</v>
      </c>
      <c r="H1416" s="6">
        <v>0</v>
      </c>
      <c r="I1416" s="6">
        <v>0</v>
      </c>
    </row>
    <row r="1417" spans="1:9">
      <c r="A1417" s="6">
        <v>50</v>
      </c>
      <c r="B1417" s="6" t="str">
        <f t="shared" si="44"/>
        <v>Restaurants and Hotels</v>
      </c>
      <c r="C1417" s="6">
        <v>22</v>
      </c>
      <c r="D1417" s="6" t="str">
        <f t="shared" si="45"/>
        <v>Tobacco Processing and Products</v>
      </c>
      <c r="E1417" s="6">
        <v>16990</v>
      </c>
      <c r="F1417" s="6">
        <v>0</v>
      </c>
      <c r="G1417" s="6">
        <v>0</v>
      </c>
      <c r="H1417" s="6">
        <v>0</v>
      </c>
      <c r="I1417" s="6">
        <v>0</v>
      </c>
    </row>
    <row r="1418" spans="1:9">
      <c r="A1418" s="6">
        <v>51</v>
      </c>
      <c r="B1418" s="6" t="str">
        <f t="shared" si="44"/>
        <v>Transportation</v>
      </c>
      <c r="C1418" s="6">
        <v>22</v>
      </c>
      <c r="D1418" s="6" t="str">
        <f t="shared" si="45"/>
        <v>Tobacco Processing and Products</v>
      </c>
      <c r="E1418" s="6">
        <v>19163</v>
      </c>
      <c r="F1418" s="6">
        <v>0</v>
      </c>
      <c r="G1418" s="6">
        <v>0</v>
      </c>
      <c r="H1418" s="6">
        <v>-175031</v>
      </c>
      <c r="I1418" s="6">
        <v>0</v>
      </c>
    </row>
    <row r="1419" spans="1:9">
      <c r="A1419" s="6">
        <v>52</v>
      </c>
      <c r="B1419" s="6" t="str">
        <f t="shared" si="44"/>
        <v>Communication</v>
      </c>
      <c r="C1419" s="6">
        <v>22</v>
      </c>
      <c r="D1419" s="6" t="str">
        <f t="shared" si="45"/>
        <v>Tobacco Processing and Products</v>
      </c>
      <c r="E1419" s="6">
        <v>3516</v>
      </c>
      <c r="F1419" s="6">
        <v>0</v>
      </c>
      <c r="G1419" s="6">
        <v>0</v>
      </c>
      <c r="H1419" s="6">
        <v>0</v>
      </c>
      <c r="I1419" s="6">
        <v>0</v>
      </c>
    </row>
    <row r="1420" spans="1:9">
      <c r="A1420" s="6">
        <v>53</v>
      </c>
      <c r="B1420" s="6" t="str">
        <f t="shared" si="44"/>
        <v>Banking and Insurance</v>
      </c>
      <c r="C1420" s="6">
        <v>22</v>
      </c>
      <c r="D1420" s="6" t="str">
        <f t="shared" si="45"/>
        <v>Tobacco Processing and Products</v>
      </c>
      <c r="E1420" s="6">
        <v>33589</v>
      </c>
      <c r="F1420" s="6">
        <v>0</v>
      </c>
      <c r="G1420" s="6">
        <v>0</v>
      </c>
      <c r="H1420" s="6">
        <v>0</v>
      </c>
      <c r="I1420" s="6">
        <v>0</v>
      </c>
    </row>
    <row r="1421" spans="1:9">
      <c r="A1421" s="6">
        <v>54</v>
      </c>
      <c r="B1421" s="6" t="str">
        <f t="shared" si="44"/>
        <v>Real Estate</v>
      </c>
      <c r="C1421" s="6">
        <v>22</v>
      </c>
      <c r="D1421" s="6" t="str">
        <f t="shared" si="45"/>
        <v>Tobacco Processing and Products</v>
      </c>
      <c r="E1421" s="6">
        <v>11853</v>
      </c>
      <c r="F1421" s="6">
        <v>0</v>
      </c>
      <c r="G1421" s="6">
        <v>0</v>
      </c>
      <c r="H1421" s="6">
        <v>0</v>
      </c>
      <c r="I1421" s="6">
        <v>0</v>
      </c>
    </row>
    <row r="1422" spans="1:9">
      <c r="A1422" s="6">
        <v>55</v>
      </c>
      <c r="B1422" s="6" t="str">
        <f t="shared" si="44"/>
        <v>Business Services</v>
      </c>
      <c r="C1422" s="6">
        <v>22</v>
      </c>
      <c r="D1422" s="6" t="str">
        <f t="shared" si="45"/>
        <v>Tobacco Processing and Products</v>
      </c>
      <c r="E1422" s="6">
        <v>610914</v>
      </c>
      <c r="F1422" s="6">
        <v>0</v>
      </c>
      <c r="G1422" s="6">
        <v>0</v>
      </c>
      <c r="H1422" s="6">
        <v>0</v>
      </c>
      <c r="I1422" s="6">
        <v>0</v>
      </c>
    </row>
    <row r="1423" spans="1:9">
      <c r="A1423" s="6">
        <v>56</v>
      </c>
      <c r="B1423" s="6" t="str">
        <f t="shared" si="44"/>
        <v>Public Services</v>
      </c>
      <c r="C1423" s="6">
        <v>22</v>
      </c>
      <c r="D1423" s="6" t="str">
        <f t="shared" si="45"/>
        <v>Tobacco Processing and Products</v>
      </c>
      <c r="E1423" s="6">
        <v>15906</v>
      </c>
      <c r="F1423" s="6">
        <v>0</v>
      </c>
      <c r="G1423" s="6">
        <v>0</v>
      </c>
      <c r="H1423" s="6">
        <v>0</v>
      </c>
      <c r="I1423" s="6">
        <v>0</v>
      </c>
    </row>
    <row r="1424" spans="1:9">
      <c r="A1424" s="6">
        <v>57</v>
      </c>
      <c r="B1424" s="6" t="str">
        <f t="shared" si="44"/>
        <v>Other Services</v>
      </c>
      <c r="C1424" s="6">
        <v>22</v>
      </c>
      <c r="D1424" s="6" t="str">
        <f t="shared" si="45"/>
        <v>Tobacco Processing and Products</v>
      </c>
      <c r="E1424" s="6">
        <v>613500</v>
      </c>
      <c r="F1424" s="6">
        <v>0</v>
      </c>
      <c r="G1424" s="6">
        <v>0</v>
      </c>
      <c r="H1424" s="6">
        <v>0</v>
      </c>
      <c r="I1424" s="6">
        <v>0</v>
      </c>
    </row>
    <row r="1425" spans="1:9">
      <c r="A1425" s="6">
        <v>58</v>
      </c>
      <c r="B1425" s="6" t="str">
        <f t="shared" si="44"/>
        <v>Unclassified</v>
      </c>
      <c r="C1425" s="6">
        <v>22</v>
      </c>
      <c r="D1425" s="6" t="str">
        <f t="shared" si="45"/>
        <v>Tobacco Processing and Products</v>
      </c>
      <c r="E1425" s="6">
        <v>56212</v>
      </c>
      <c r="F1425" s="6">
        <v>0</v>
      </c>
      <c r="G1425" s="6">
        <v>0</v>
      </c>
      <c r="H1425" s="6">
        <v>0</v>
      </c>
      <c r="I1425" s="6">
        <v>6526</v>
      </c>
    </row>
    <row r="1426" spans="1:9">
      <c r="A1426" s="6">
        <v>190</v>
      </c>
      <c r="B1426" s="6" t="str">
        <f t="shared" si="44"/>
        <v>Total Intermedite Transaction</v>
      </c>
      <c r="C1426" s="6">
        <v>22</v>
      </c>
      <c r="D1426" s="6" t="str">
        <f t="shared" si="45"/>
        <v>Tobacco Processing and Products</v>
      </c>
      <c r="E1426" s="6">
        <v>10592862</v>
      </c>
      <c r="F1426" s="6">
        <v>0</v>
      </c>
      <c r="G1426" s="6">
        <v>0</v>
      </c>
      <c r="H1426" s="6">
        <v>0</v>
      </c>
      <c r="I1426" s="6">
        <v>632377</v>
      </c>
    </row>
    <row r="1427" spans="1:9">
      <c r="A1427" s="6">
        <v>201</v>
      </c>
      <c r="B1427" s="6" t="str">
        <f t="shared" si="44"/>
        <v>Wages and Salaries</v>
      </c>
      <c r="C1427" s="6">
        <v>22</v>
      </c>
      <c r="D1427" s="6" t="str">
        <f t="shared" si="45"/>
        <v>Tobacco Processing and Products</v>
      </c>
      <c r="E1427" s="6">
        <v>2936191</v>
      </c>
      <c r="F1427" s="6">
        <v>0</v>
      </c>
      <c r="G1427" s="6">
        <v>0</v>
      </c>
      <c r="H1427" s="6">
        <v>0</v>
      </c>
      <c r="I1427" s="6">
        <v>0</v>
      </c>
    </row>
    <row r="1428" spans="1:9">
      <c r="A1428" s="6">
        <v>202</v>
      </c>
      <c r="B1428" s="6" t="str">
        <f t="shared" si="44"/>
        <v>Operating Surplus</v>
      </c>
      <c r="C1428" s="6">
        <v>22</v>
      </c>
      <c r="D1428" s="6" t="str">
        <f t="shared" si="45"/>
        <v>Tobacco Processing and Products</v>
      </c>
      <c r="E1428" s="6">
        <v>5869258</v>
      </c>
      <c r="F1428" s="6">
        <v>0</v>
      </c>
      <c r="G1428" s="6">
        <v>0</v>
      </c>
      <c r="H1428" s="6">
        <v>0</v>
      </c>
      <c r="I1428" s="6">
        <v>0</v>
      </c>
    </row>
    <row r="1429" spans="1:9">
      <c r="A1429" s="6">
        <v>203</v>
      </c>
      <c r="B1429" s="6" t="str">
        <f t="shared" si="44"/>
        <v>Depreciation</v>
      </c>
      <c r="C1429" s="6">
        <v>22</v>
      </c>
      <c r="D1429" s="6" t="str">
        <f t="shared" si="45"/>
        <v>Tobacco Processing and Products</v>
      </c>
      <c r="E1429" s="6">
        <v>1342188</v>
      </c>
      <c r="F1429" s="6">
        <v>0</v>
      </c>
      <c r="G1429" s="6">
        <v>0</v>
      </c>
      <c r="H1429" s="6">
        <v>0</v>
      </c>
      <c r="I1429" s="6">
        <v>0</v>
      </c>
    </row>
    <row r="1430" spans="1:9">
      <c r="A1430" s="6">
        <v>204</v>
      </c>
      <c r="B1430" s="6" t="str">
        <f t="shared" si="44"/>
        <v>Indirect Taxes less Subsidies</v>
      </c>
      <c r="C1430" s="6">
        <v>22</v>
      </c>
      <c r="D1430" s="6" t="str">
        <f t="shared" si="45"/>
        <v>Tobacco Processing and Products</v>
      </c>
      <c r="E1430" s="6">
        <v>29375406</v>
      </c>
      <c r="F1430" s="6">
        <v>0</v>
      </c>
      <c r="G1430" s="6">
        <v>0</v>
      </c>
      <c r="H1430" s="6">
        <v>0</v>
      </c>
      <c r="I1430" s="6">
        <v>0</v>
      </c>
    </row>
    <row r="1431" spans="1:9">
      <c r="A1431" s="6">
        <v>209</v>
      </c>
      <c r="B1431" s="6" t="str">
        <f t="shared" si="44"/>
        <v>Total Value Added</v>
      </c>
      <c r="C1431" s="6">
        <v>22</v>
      </c>
      <c r="D1431" s="6" t="str">
        <f t="shared" si="45"/>
        <v>Tobacco Processing and Products</v>
      </c>
      <c r="E1431" s="6">
        <v>39523043</v>
      </c>
      <c r="F1431" s="6">
        <v>0</v>
      </c>
      <c r="G1431" s="6">
        <v>0</v>
      </c>
      <c r="H1431" s="6">
        <v>0</v>
      </c>
      <c r="I1431" s="6">
        <v>0</v>
      </c>
    </row>
    <row r="1432" spans="1:9">
      <c r="A1432" s="6">
        <v>210</v>
      </c>
      <c r="B1432" s="6" t="str">
        <f t="shared" si="44"/>
        <v>Control Total</v>
      </c>
      <c r="C1432" s="6">
        <v>22</v>
      </c>
      <c r="D1432" s="6" t="str">
        <f t="shared" si="45"/>
        <v>Tobacco Processing and Products</v>
      </c>
      <c r="E1432" s="6">
        <v>50115905</v>
      </c>
      <c r="F1432" s="6">
        <v>0</v>
      </c>
      <c r="G1432" s="6">
        <v>0</v>
      </c>
      <c r="H1432" s="6">
        <v>0</v>
      </c>
      <c r="I1432" s="6">
        <v>0</v>
      </c>
    </row>
    <row r="1433" spans="1:9">
      <c r="A1433" s="6">
        <v>1</v>
      </c>
      <c r="B1433" s="6" t="str">
        <f t="shared" si="44"/>
        <v>Paddy</v>
      </c>
      <c r="C1433" s="6">
        <v>23</v>
      </c>
      <c r="D1433" s="6" t="str">
        <f t="shared" si="45"/>
        <v>Spinning, Weaving and Bleaching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</row>
    <row r="1434" spans="1:9">
      <c r="A1434" s="6">
        <v>2</v>
      </c>
      <c r="B1434" s="6" t="str">
        <f t="shared" si="44"/>
        <v>Maize</v>
      </c>
      <c r="C1434" s="6">
        <v>23</v>
      </c>
      <c r="D1434" s="6" t="str">
        <f t="shared" si="45"/>
        <v>Spinning, Weaving and Bleaching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</row>
    <row r="1435" spans="1:9">
      <c r="A1435" s="6">
        <v>3</v>
      </c>
      <c r="B1435" s="6" t="str">
        <f t="shared" si="44"/>
        <v>Cassava</v>
      </c>
      <c r="C1435" s="6">
        <v>23</v>
      </c>
      <c r="D1435" s="6" t="str">
        <f t="shared" si="45"/>
        <v>Spinning, Weaving and Bleaching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</row>
    <row r="1436" spans="1:9">
      <c r="A1436" s="6">
        <v>4</v>
      </c>
      <c r="B1436" s="6" t="str">
        <f t="shared" si="44"/>
        <v>Beans and Nuts</v>
      </c>
      <c r="C1436" s="6">
        <v>23</v>
      </c>
      <c r="D1436" s="6" t="str">
        <f t="shared" si="45"/>
        <v>Spinning, Weaving and Bleaching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</row>
    <row r="1437" spans="1:9">
      <c r="A1437" s="6">
        <v>5</v>
      </c>
      <c r="B1437" s="6" t="str">
        <f t="shared" si="44"/>
        <v>Vegetables and Fruits</v>
      </c>
      <c r="C1437" s="6">
        <v>23</v>
      </c>
      <c r="D1437" s="6" t="str">
        <f t="shared" si="45"/>
        <v>Spinning, Weaving and Bleaching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</row>
    <row r="1438" spans="1:9">
      <c r="A1438" s="6">
        <v>6</v>
      </c>
      <c r="B1438" s="6" t="str">
        <f t="shared" si="44"/>
        <v>Sugarcane</v>
      </c>
      <c r="C1438" s="6">
        <v>23</v>
      </c>
      <c r="D1438" s="6" t="str">
        <f t="shared" si="45"/>
        <v>Spinning, Weaving and Bleaching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</row>
    <row r="1439" spans="1:9">
      <c r="A1439" s="6">
        <v>7</v>
      </c>
      <c r="B1439" s="6" t="str">
        <f t="shared" si="44"/>
        <v>Rubber (Latex)</v>
      </c>
      <c r="C1439" s="6">
        <v>23</v>
      </c>
      <c r="D1439" s="6" t="str">
        <f t="shared" si="45"/>
        <v>Spinning, Weaving and Bleaching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</row>
    <row r="1440" spans="1:9">
      <c r="A1440" s="6">
        <v>8</v>
      </c>
      <c r="B1440" s="6" t="str">
        <f t="shared" si="44"/>
        <v>Other Crops</v>
      </c>
      <c r="C1440" s="6">
        <v>23</v>
      </c>
      <c r="D1440" s="6" t="str">
        <f t="shared" si="45"/>
        <v>Spinning, Weaving and Bleaching</v>
      </c>
      <c r="E1440" s="6">
        <v>89683</v>
      </c>
      <c r="F1440" s="6">
        <v>4196</v>
      </c>
      <c r="G1440" s="6">
        <v>2486</v>
      </c>
      <c r="H1440" s="6">
        <v>691</v>
      </c>
      <c r="I1440" s="6">
        <v>4158</v>
      </c>
    </row>
    <row r="1441" spans="1:9">
      <c r="A1441" s="6">
        <v>9</v>
      </c>
      <c r="B1441" s="6" t="str">
        <f t="shared" si="44"/>
        <v>Livestock</v>
      </c>
      <c r="C1441" s="6">
        <v>23</v>
      </c>
      <c r="D1441" s="6" t="str">
        <f t="shared" si="45"/>
        <v>Spinning, Weaving and Bleaching</v>
      </c>
      <c r="E1441" s="6">
        <v>6667100</v>
      </c>
      <c r="F1441" s="6">
        <v>112780</v>
      </c>
      <c r="G1441" s="6">
        <v>0</v>
      </c>
      <c r="H1441" s="6">
        <v>3144</v>
      </c>
      <c r="I1441" s="6">
        <v>1075316</v>
      </c>
    </row>
    <row r="1442" spans="1:9">
      <c r="A1442" s="6">
        <v>10</v>
      </c>
      <c r="B1442" s="6" t="str">
        <f t="shared" si="44"/>
        <v>Forestry</v>
      </c>
      <c r="C1442" s="6">
        <v>23</v>
      </c>
      <c r="D1442" s="6" t="str">
        <f t="shared" si="45"/>
        <v>Spinning, Weaving and Bleaching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</row>
    <row r="1443" spans="1:9">
      <c r="A1443" s="6">
        <v>11</v>
      </c>
      <c r="B1443" s="6" t="str">
        <f t="shared" si="44"/>
        <v>Fishery</v>
      </c>
      <c r="C1443" s="6">
        <v>23</v>
      </c>
      <c r="D1443" s="6" t="str">
        <f t="shared" si="45"/>
        <v>Spinning, Weaving and Bleaching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</row>
    <row r="1444" spans="1:9">
      <c r="A1444" s="6">
        <v>12</v>
      </c>
      <c r="B1444" s="6" t="str">
        <f t="shared" si="44"/>
        <v>Crude Oil and Coal</v>
      </c>
      <c r="C1444" s="6">
        <v>23</v>
      </c>
      <c r="D1444" s="6" t="str">
        <f t="shared" si="45"/>
        <v>Spinning, Weaving and Bleaching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</row>
    <row r="1445" spans="1:9">
      <c r="A1445" s="6">
        <v>13</v>
      </c>
      <c r="B1445" s="6" t="str">
        <f t="shared" si="44"/>
        <v>Metal Ore</v>
      </c>
      <c r="C1445" s="6">
        <v>23</v>
      </c>
      <c r="D1445" s="6" t="str">
        <f t="shared" si="45"/>
        <v>Spinning, Weaving and Bleaching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</row>
    <row r="1446" spans="1:9">
      <c r="A1446" s="6">
        <v>14</v>
      </c>
      <c r="B1446" s="6" t="str">
        <f t="shared" si="44"/>
        <v>Non-Metal Ore</v>
      </c>
      <c r="C1446" s="6">
        <v>23</v>
      </c>
      <c r="D1446" s="6" t="str">
        <f t="shared" si="45"/>
        <v>Spinning, Weaving and Bleaching</v>
      </c>
      <c r="E1446" s="6">
        <v>2739</v>
      </c>
      <c r="F1446" s="6">
        <v>0</v>
      </c>
      <c r="G1446" s="6">
        <v>0</v>
      </c>
      <c r="H1446" s="6">
        <v>0</v>
      </c>
      <c r="I1446" s="6">
        <v>0</v>
      </c>
    </row>
    <row r="1447" spans="1:9">
      <c r="A1447" s="6">
        <v>15</v>
      </c>
      <c r="B1447" s="6" t="str">
        <f t="shared" si="44"/>
        <v>Slaughtering</v>
      </c>
      <c r="C1447" s="6">
        <v>23</v>
      </c>
      <c r="D1447" s="6" t="str">
        <f t="shared" si="45"/>
        <v>Spinning, Weaving and Bleaching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</row>
    <row r="1448" spans="1:9">
      <c r="A1448" s="6">
        <v>16</v>
      </c>
      <c r="B1448" s="6" t="str">
        <f t="shared" si="44"/>
        <v>Processing and Presering of Foods</v>
      </c>
      <c r="C1448" s="6">
        <v>23</v>
      </c>
      <c r="D1448" s="6" t="str">
        <f t="shared" si="45"/>
        <v>Spinning, Weaving and Bleaching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</row>
    <row r="1449" spans="1:9">
      <c r="A1449" s="6">
        <v>17</v>
      </c>
      <c r="B1449" s="6" t="str">
        <f t="shared" si="44"/>
        <v>Rice and Other Grain Milling</v>
      </c>
      <c r="C1449" s="6">
        <v>23</v>
      </c>
      <c r="D1449" s="6" t="str">
        <f t="shared" si="45"/>
        <v>Spinning, Weaving and Bleaching</v>
      </c>
      <c r="E1449" s="6">
        <v>116920</v>
      </c>
      <c r="F1449" s="6">
        <v>299</v>
      </c>
      <c r="G1449" s="6">
        <v>10514</v>
      </c>
      <c r="H1449" s="6">
        <v>863</v>
      </c>
      <c r="I1449" s="6">
        <v>0</v>
      </c>
    </row>
    <row r="1450" spans="1:9">
      <c r="A1450" s="6">
        <v>18</v>
      </c>
      <c r="B1450" s="6" t="str">
        <f t="shared" si="44"/>
        <v>Sugar Refineries</v>
      </c>
      <c r="C1450" s="6">
        <v>23</v>
      </c>
      <c r="D1450" s="6" t="str">
        <f t="shared" si="45"/>
        <v>Spinning, Weaving and Bleaching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</row>
    <row r="1451" spans="1:9">
      <c r="A1451" s="6">
        <v>19</v>
      </c>
      <c r="B1451" s="6" t="str">
        <f t="shared" si="44"/>
        <v>Other Foods</v>
      </c>
      <c r="C1451" s="6">
        <v>23</v>
      </c>
      <c r="D1451" s="6" t="str">
        <f t="shared" si="45"/>
        <v>Spinning, Weaving and Bleaching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</row>
    <row r="1452" spans="1:9">
      <c r="A1452" s="6">
        <v>20</v>
      </c>
      <c r="B1452" s="6" t="str">
        <f t="shared" si="44"/>
        <v>Animal Food</v>
      </c>
      <c r="C1452" s="6">
        <v>23</v>
      </c>
      <c r="D1452" s="6" t="str">
        <f t="shared" si="45"/>
        <v>Spinning, Weaving and Bleaching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</row>
    <row r="1453" spans="1:9">
      <c r="A1453" s="6">
        <v>21</v>
      </c>
      <c r="B1453" s="6" t="str">
        <f t="shared" si="44"/>
        <v>Beverages</v>
      </c>
      <c r="C1453" s="6">
        <v>23</v>
      </c>
      <c r="D1453" s="6" t="str">
        <f t="shared" si="45"/>
        <v>Spinning, Weaving and Bleaching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</row>
    <row r="1454" spans="1:9">
      <c r="A1454" s="6">
        <v>22</v>
      </c>
      <c r="B1454" s="6" t="str">
        <f t="shared" si="44"/>
        <v>Tobacco Processing and Products</v>
      </c>
      <c r="C1454" s="6">
        <v>23</v>
      </c>
      <c r="D1454" s="6" t="str">
        <f t="shared" si="45"/>
        <v>Spinning, Weaving and Bleaching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</row>
    <row r="1455" spans="1:9">
      <c r="A1455" s="6">
        <v>23</v>
      </c>
      <c r="B1455" s="6" t="str">
        <f t="shared" si="44"/>
        <v>Spinning, Weaving and Bleaching</v>
      </c>
      <c r="C1455" s="6">
        <v>23</v>
      </c>
      <c r="D1455" s="6" t="str">
        <f t="shared" si="45"/>
        <v>Spinning, Weaving and Bleaching</v>
      </c>
      <c r="E1455" s="6">
        <v>53298110</v>
      </c>
      <c r="F1455" s="6">
        <v>2963472</v>
      </c>
      <c r="G1455" s="6">
        <v>2041186</v>
      </c>
      <c r="H1455" s="6">
        <v>93749</v>
      </c>
      <c r="I1455" s="6">
        <v>34164640</v>
      </c>
    </row>
    <row r="1456" spans="1:9">
      <c r="A1456" s="6">
        <v>24</v>
      </c>
      <c r="B1456" s="6" t="str">
        <f t="shared" si="44"/>
        <v>Textile Products</v>
      </c>
      <c r="C1456" s="6">
        <v>23</v>
      </c>
      <c r="D1456" s="6" t="str">
        <f t="shared" si="45"/>
        <v>Spinning, Weaving and Bleaching</v>
      </c>
      <c r="E1456" s="6">
        <v>27954</v>
      </c>
      <c r="F1456" s="6">
        <v>4435</v>
      </c>
      <c r="G1456" s="6">
        <v>5601</v>
      </c>
      <c r="H1456" s="6">
        <v>180</v>
      </c>
      <c r="I1456" s="6">
        <v>0</v>
      </c>
    </row>
    <row r="1457" spans="1:9">
      <c r="A1457" s="6">
        <v>25</v>
      </c>
      <c r="B1457" s="6" t="str">
        <f t="shared" si="44"/>
        <v>Paper and Paper Products</v>
      </c>
      <c r="C1457" s="6">
        <v>23</v>
      </c>
      <c r="D1457" s="6" t="str">
        <f t="shared" si="45"/>
        <v>Spinning, Weaving and Bleaching</v>
      </c>
      <c r="E1457" s="6">
        <v>471020</v>
      </c>
      <c r="F1457" s="6">
        <v>36422</v>
      </c>
      <c r="G1457" s="6">
        <v>31805</v>
      </c>
      <c r="H1457" s="6">
        <v>5462</v>
      </c>
      <c r="I1457" s="6">
        <v>205597</v>
      </c>
    </row>
    <row r="1458" spans="1:9">
      <c r="A1458" s="6">
        <v>26</v>
      </c>
      <c r="B1458" s="6" t="str">
        <f t="shared" si="44"/>
        <v>Printing and Publishing</v>
      </c>
      <c r="C1458" s="6">
        <v>23</v>
      </c>
      <c r="D1458" s="6" t="str">
        <f t="shared" si="45"/>
        <v>Spinning, Weaving and Bleaching</v>
      </c>
      <c r="E1458" s="6">
        <v>4885</v>
      </c>
      <c r="F1458" s="6">
        <v>597</v>
      </c>
      <c r="G1458" s="6">
        <v>1251</v>
      </c>
      <c r="H1458" s="6">
        <v>57</v>
      </c>
      <c r="I1458" s="6">
        <v>0</v>
      </c>
    </row>
    <row r="1459" spans="1:9">
      <c r="A1459" s="6">
        <v>27</v>
      </c>
      <c r="B1459" s="6" t="str">
        <f t="shared" si="44"/>
        <v>Basic Chemical Products</v>
      </c>
      <c r="C1459" s="6">
        <v>23</v>
      </c>
      <c r="D1459" s="6" t="str">
        <f t="shared" si="45"/>
        <v>Spinning, Weaving and Bleaching</v>
      </c>
      <c r="E1459" s="6">
        <v>33647196</v>
      </c>
      <c r="F1459" s="6">
        <v>1785221</v>
      </c>
      <c r="G1459" s="6">
        <v>1169812</v>
      </c>
      <c r="H1459" s="6">
        <v>274044</v>
      </c>
      <c r="I1459" s="6">
        <v>4256064</v>
      </c>
    </row>
    <row r="1460" spans="1:9">
      <c r="A1460" s="6">
        <v>28</v>
      </c>
      <c r="B1460" s="6" t="str">
        <f t="shared" si="44"/>
        <v>Fertilizer and Pesticides</v>
      </c>
      <c r="C1460" s="6">
        <v>23</v>
      </c>
      <c r="D1460" s="6" t="str">
        <f t="shared" si="45"/>
        <v>Spinning, Weaving and Bleaching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</row>
    <row r="1461" spans="1:9">
      <c r="A1461" s="6">
        <v>29</v>
      </c>
      <c r="B1461" s="6" t="str">
        <f t="shared" si="44"/>
        <v>Other Chemical Products</v>
      </c>
      <c r="C1461" s="6">
        <v>23</v>
      </c>
      <c r="D1461" s="6" t="str">
        <f t="shared" si="45"/>
        <v>Spinning, Weaving and Bleaching</v>
      </c>
      <c r="E1461" s="6">
        <v>3087959</v>
      </c>
      <c r="F1461" s="6">
        <v>315543</v>
      </c>
      <c r="G1461" s="6">
        <v>338435</v>
      </c>
      <c r="H1461" s="6">
        <v>40403</v>
      </c>
      <c r="I1461" s="6">
        <v>2219971</v>
      </c>
    </row>
    <row r="1462" spans="1:9">
      <c r="A1462" s="6">
        <v>30</v>
      </c>
      <c r="B1462" s="6" t="str">
        <f t="shared" si="44"/>
        <v>Petroleum Refineries</v>
      </c>
      <c r="C1462" s="6">
        <v>23</v>
      </c>
      <c r="D1462" s="6" t="str">
        <f t="shared" si="45"/>
        <v>Spinning, Weaving and Bleaching</v>
      </c>
      <c r="E1462" s="6">
        <v>2830743</v>
      </c>
      <c r="F1462" s="6">
        <v>116804</v>
      </c>
      <c r="G1462" s="6">
        <v>140306</v>
      </c>
      <c r="H1462" s="6">
        <v>25745</v>
      </c>
      <c r="I1462" s="6">
        <v>517327</v>
      </c>
    </row>
    <row r="1463" spans="1:9">
      <c r="A1463" s="6">
        <v>31</v>
      </c>
      <c r="B1463" s="6" t="str">
        <f t="shared" si="44"/>
        <v>Rubber Products</v>
      </c>
      <c r="C1463" s="6">
        <v>23</v>
      </c>
      <c r="D1463" s="6" t="str">
        <f t="shared" si="45"/>
        <v>Spinning, Weaving and Bleaching</v>
      </c>
      <c r="E1463" s="6">
        <v>3606</v>
      </c>
      <c r="F1463" s="6">
        <v>320</v>
      </c>
      <c r="G1463" s="6">
        <v>426</v>
      </c>
      <c r="H1463" s="6">
        <v>110</v>
      </c>
      <c r="I1463" s="6">
        <v>0</v>
      </c>
    </row>
    <row r="1464" spans="1:9">
      <c r="A1464" s="6">
        <v>32</v>
      </c>
      <c r="B1464" s="6" t="str">
        <f t="shared" si="44"/>
        <v>Plastic Wares</v>
      </c>
      <c r="C1464" s="6">
        <v>23</v>
      </c>
      <c r="D1464" s="6" t="str">
        <f t="shared" si="45"/>
        <v>Spinning, Weaving and Bleaching</v>
      </c>
      <c r="E1464" s="6">
        <v>1052641</v>
      </c>
      <c r="F1464" s="6">
        <v>49821</v>
      </c>
      <c r="G1464" s="6">
        <v>43389</v>
      </c>
      <c r="H1464" s="6">
        <v>7880</v>
      </c>
      <c r="I1464" s="6">
        <v>438945</v>
      </c>
    </row>
    <row r="1465" spans="1:9">
      <c r="A1465" s="6">
        <v>33</v>
      </c>
      <c r="B1465" s="6" t="str">
        <f t="shared" si="44"/>
        <v>Cement and Concrete Products</v>
      </c>
      <c r="C1465" s="6">
        <v>23</v>
      </c>
      <c r="D1465" s="6" t="str">
        <f t="shared" si="45"/>
        <v>Spinning, Weaving and Bleaching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</row>
    <row r="1466" spans="1:9">
      <c r="A1466" s="6">
        <v>34</v>
      </c>
      <c r="B1466" s="6" t="str">
        <f t="shared" si="44"/>
        <v>Other Non-metallic Products</v>
      </c>
      <c r="C1466" s="6">
        <v>23</v>
      </c>
      <c r="D1466" s="6" t="str">
        <f t="shared" si="45"/>
        <v>Spinning, Weaving and Bleaching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</row>
    <row r="1467" spans="1:9">
      <c r="A1467" s="6">
        <v>35</v>
      </c>
      <c r="B1467" s="6" t="str">
        <f t="shared" si="44"/>
        <v>Iron and Steel</v>
      </c>
      <c r="C1467" s="6">
        <v>23</v>
      </c>
      <c r="D1467" s="6" t="str">
        <f t="shared" si="45"/>
        <v>Spinning, Weaving and Bleaching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</row>
    <row r="1468" spans="1:9">
      <c r="A1468" s="6">
        <v>36</v>
      </c>
      <c r="B1468" s="6" t="str">
        <f t="shared" si="44"/>
        <v>Non-ferrous Metal</v>
      </c>
      <c r="C1468" s="6">
        <v>23</v>
      </c>
      <c r="D1468" s="6" t="str">
        <f t="shared" si="45"/>
        <v>Spinning, Weaving and Bleaching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</row>
    <row r="1469" spans="1:9">
      <c r="A1469" s="6">
        <v>37</v>
      </c>
      <c r="B1469" s="6" t="str">
        <f t="shared" si="44"/>
        <v>Fabricated Metal Products</v>
      </c>
      <c r="C1469" s="6">
        <v>23</v>
      </c>
      <c r="D1469" s="6" t="str">
        <f t="shared" si="45"/>
        <v>Spinning, Weaving and Bleaching</v>
      </c>
      <c r="E1469" s="6">
        <v>542951</v>
      </c>
      <c r="F1469" s="6">
        <v>12711</v>
      </c>
      <c r="G1469" s="6">
        <v>17665</v>
      </c>
      <c r="H1469" s="6">
        <v>1308</v>
      </c>
      <c r="I1469" s="6">
        <v>432536</v>
      </c>
    </row>
    <row r="1470" spans="1:9">
      <c r="A1470" s="6">
        <v>38</v>
      </c>
      <c r="B1470" s="6" t="str">
        <f t="shared" si="44"/>
        <v>Industrial Machinery</v>
      </c>
      <c r="C1470" s="6">
        <v>23</v>
      </c>
      <c r="D1470" s="6" t="str">
        <f t="shared" si="45"/>
        <v>Spinning, Weaving and Bleaching</v>
      </c>
      <c r="E1470" s="6">
        <v>1602602</v>
      </c>
      <c r="F1470" s="6">
        <v>122409</v>
      </c>
      <c r="G1470" s="6">
        <v>0</v>
      </c>
      <c r="H1470" s="6">
        <v>20197</v>
      </c>
      <c r="I1470" s="6">
        <v>0</v>
      </c>
    </row>
    <row r="1471" spans="1:9">
      <c r="A1471" s="6">
        <v>39</v>
      </c>
      <c r="B1471" s="6" t="str">
        <f t="shared" si="44"/>
        <v>Electrical Machinery and Apparatus</v>
      </c>
      <c r="C1471" s="6">
        <v>23</v>
      </c>
      <c r="D1471" s="6" t="str">
        <f t="shared" si="45"/>
        <v>Spinning, Weaving and Bleaching</v>
      </c>
      <c r="E1471" s="6">
        <v>91482</v>
      </c>
      <c r="F1471" s="6">
        <v>6215</v>
      </c>
      <c r="G1471" s="6">
        <v>1212</v>
      </c>
      <c r="H1471" s="6">
        <v>775</v>
      </c>
      <c r="I1471" s="6">
        <v>0</v>
      </c>
    </row>
    <row r="1472" spans="1:9">
      <c r="A1472" s="6">
        <v>40</v>
      </c>
      <c r="B1472" s="6" t="str">
        <f t="shared" si="44"/>
        <v>Motor Vehicles and Repairing</v>
      </c>
      <c r="C1472" s="6">
        <v>23</v>
      </c>
      <c r="D1472" s="6" t="str">
        <f t="shared" si="45"/>
        <v>Spinning, Weaving and Bleaching</v>
      </c>
      <c r="E1472" s="6">
        <v>157489</v>
      </c>
      <c r="F1472" s="6">
        <v>0</v>
      </c>
      <c r="G1472" s="6">
        <v>0</v>
      </c>
      <c r="H1472" s="6">
        <v>0</v>
      </c>
      <c r="I1472" s="6">
        <v>0</v>
      </c>
    </row>
    <row r="1473" spans="1:9">
      <c r="A1473" s="6">
        <v>41</v>
      </c>
      <c r="B1473" s="6" t="str">
        <f t="shared" si="44"/>
        <v>Other Transportation Equipment</v>
      </c>
      <c r="C1473" s="6">
        <v>23</v>
      </c>
      <c r="D1473" s="6" t="str">
        <f t="shared" si="45"/>
        <v>Spinning, Weaving and Bleaching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</row>
    <row r="1474" spans="1:9">
      <c r="A1474" s="6">
        <v>42</v>
      </c>
      <c r="B1474" s="6" t="str">
        <f t="shared" si="44"/>
        <v>Leather Products</v>
      </c>
      <c r="C1474" s="6">
        <v>23</v>
      </c>
      <c r="D1474" s="6" t="str">
        <f t="shared" si="45"/>
        <v>Spinning, Weaving and Bleaching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</row>
    <row r="1475" spans="1:9">
      <c r="A1475" s="6">
        <v>43</v>
      </c>
      <c r="B1475" s="6" t="str">
        <f t="shared" si="44"/>
        <v>Saw Mills and Wood Products</v>
      </c>
      <c r="C1475" s="6">
        <v>23</v>
      </c>
      <c r="D1475" s="6" t="str">
        <f t="shared" si="45"/>
        <v>Spinning, Weaving and Bleaching</v>
      </c>
      <c r="E1475" s="6">
        <v>16079</v>
      </c>
      <c r="F1475" s="6">
        <v>2225</v>
      </c>
      <c r="G1475" s="6">
        <v>2017</v>
      </c>
      <c r="H1475" s="6">
        <v>160</v>
      </c>
      <c r="I1475" s="6">
        <v>0</v>
      </c>
    </row>
    <row r="1476" spans="1:9">
      <c r="A1476" s="6">
        <v>44</v>
      </c>
      <c r="B1476" s="6" t="str">
        <f t="shared" ref="B1476:B1539" si="46">VLOOKUP(A1476,R:S,2,0)</f>
        <v>Other Manufacturing Products</v>
      </c>
      <c r="C1476" s="6">
        <v>23</v>
      </c>
      <c r="D1476" s="6" t="str">
        <f t="shared" ref="D1476:D1539" si="47">VLOOKUP(C1476,R:S,2,0)</f>
        <v>Spinning, Weaving and Bleaching</v>
      </c>
      <c r="E1476" s="6">
        <v>74562</v>
      </c>
      <c r="F1476" s="6">
        <v>3548</v>
      </c>
      <c r="G1476" s="6">
        <v>4740</v>
      </c>
      <c r="H1476" s="6">
        <v>715</v>
      </c>
      <c r="I1476" s="6">
        <v>0</v>
      </c>
    </row>
    <row r="1477" spans="1:9">
      <c r="A1477" s="6">
        <v>45</v>
      </c>
      <c r="B1477" s="6" t="str">
        <f t="shared" si="46"/>
        <v>Electricity and Gas</v>
      </c>
      <c r="C1477" s="6">
        <v>23</v>
      </c>
      <c r="D1477" s="6" t="str">
        <f t="shared" si="47"/>
        <v>Spinning, Weaving and Bleaching</v>
      </c>
      <c r="E1477" s="6">
        <v>13167223</v>
      </c>
      <c r="F1477" s="6">
        <v>2705</v>
      </c>
      <c r="G1477" s="6">
        <v>4609</v>
      </c>
      <c r="H1477" s="6">
        <v>795</v>
      </c>
      <c r="I1477" s="6">
        <v>0</v>
      </c>
    </row>
    <row r="1478" spans="1:9">
      <c r="A1478" s="6">
        <v>46</v>
      </c>
      <c r="B1478" s="6" t="str">
        <f t="shared" si="46"/>
        <v>Water Works and Supply</v>
      </c>
      <c r="C1478" s="6">
        <v>23</v>
      </c>
      <c r="D1478" s="6" t="str">
        <f t="shared" si="47"/>
        <v>Spinning, Weaving and Bleaching</v>
      </c>
      <c r="E1478" s="6">
        <v>117784</v>
      </c>
      <c r="F1478" s="6">
        <v>0</v>
      </c>
      <c r="G1478" s="6">
        <v>0</v>
      </c>
      <c r="H1478" s="6">
        <v>0</v>
      </c>
      <c r="I1478" s="6">
        <v>0</v>
      </c>
    </row>
    <row r="1479" spans="1:9">
      <c r="A1479" s="6">
        <v>47</v>
      </c>
      <c r="B1479" s="6" t="str">
        <f t="shared" si="46"/>
        <v>Building Construction</v>
      </c>
      <c r="C1479" s="6">
        <v>23</v>
      </c>
      <c r="D1479" s="6" t="str">
        <f t="shared" si="47"/>
        <v>Spinning, Weaving and Bleaching</v>
      </c>
      <c r="E1479" s="6">
        <v>110734</v>
      </c>
      <c r="F1479" s="6">
        <v>0</v>
      </c>
      <c r="G1479" s="6">
        <v>0</v>
      </c>
      <c r="H1479" s="6">
        <v>0</v>
      </c>
      <c r="I1479" s="6">
        <v>0</v>
      </c>
    </row>
    <row r="1480" spans="1:9">
      <c r="A1480" s="6">
        <v>48</v>
      </c>
      <c r="B1480" s="6" t="str">
        <f t="shared" si="46"/>
        <v>Public Works and Other Construction</v>
      </c>
      <c r="C1480" s="6">
        <v>23</v>
      </c>
      <c r="D1480" s="6" t="str">
        <f t="shared" si="47"/>
        <v>Spinning, Weaving and Bleaching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</row>
    <row r="1481" spans="1:9">
      <c r="A1481" s="6">
        <v>49</v>
      </c>
      <c r="B1481" s="6" t="str">
        <f t="shared" si="46"/>
        <v>Trade</v>
      </c>
      <c r="C1481" s="6">
        <v>23</v>
      </c>
      <c r="D1481" s="6" t="str">
        <f t="shared" si="47"/>
        <v>Spinning, Weaving and Bleaching</v>
      </c>
      <c r="E1481" s="6">
        <v>0</v>
      </c>
      <c r="F1481" s="6">
        <v>-5539723</v>
      </c>
      <c r="G1481" s="6">
        <v>-3815454</v>
      </c>
      <c r="H1481" s="6">
        <v>0</v>
      </c>
      <c r="I1481" s="6">
        <v>0</v>
      </c>
    </row>
    <row r="1482" spans="1:9">
      <c r="A1482" s="6">
        <v>50</v>
      </c>
      <c r="B1482" s="6" t="str">
        <f t="shared" si="46"/>
        <v>Restaurants and Hotels</v>
      </c>
      <c r="C1482" s="6">
        <v>23</v>
      </c>
      <c r="D1482" s="6" t="str">
        <f t="shared" si="47"/>
        <v>Spinning, Weaving and Bleaching</v>
      </c>
      <c r="E1482" s="6">
        <v>223426</v>
      </c>
      <c r="F1482" s="6">
        <v>0</v>
      </c>
      <c r="G1482" s="6">
        <v>0</v>
      </c>
      <c r="H1482" s="6">
        <v>0</v>
      </c>
      <c r="I1482" s="6">
        <v>0</v>
      </c>
    </row>
    <row r="1483" spans="1:9">
      <c r="A1483" s="6">
        <v>51</v>
      </c>
      <c r="B1483" s="6" t="str">
        <f t="shared" si="46"/>
        <v>Transportation</v>
      </c>
      <c r="C1483" s="6">
        <v>23</v>
      </c>
      <c r="D1483" s="6" t="str">
        <f t="shared" si="47"/>
        <v>Spinning, Weaving and Bleaching</v>
      </c>
      <c r="E1483" s="6">
        <v>687077</v>
      </c>
      <c r="F1483" s="6">
        <v>0</v>
      </c>
      <c r="G1483" s="6">
        <v>0</v>
      </c>
      <c r="H1483" s="6">
        <v>-476278</v>
      </c>
      <c r="I1483" s="6">
        <v>0</v>
      </c>
    </row>
    <row r="1484" spans="1:9">
      <c r="A1484" s="6">
        <v>52</v>
      </c>
      <c r="B1484" s="6" t="str">
        <f t="shared" si="46"/>
        <v>Communication</v>
      </c>
      <c r="C1484" s="6">
        <v>23</v>
      </c>
      <c r="D1484" s="6" t="str">
        <f t="shared" si="47"/>
        <v>Spinning, Weaving and Bleaching</v>
      </c>
      <c r="E1484" s="6">
        <v>171017</v>
      </c>
      <c r="F1484" s="6">
        <v>0</v>
      </c>
      <c r="G1484" s="6">
        <v>0</v>
      </c>
      <c r="H1484" s="6">
        <v>0</v>
      </c>
      <c r="I1484" s="6">
        <v>0</v>
      </c>
    </row>
    <row r="1485" spans="1:9">
      <c r="A1485" s="6">
        <v>53</v>
      </c>
      <c r="B1485" s="6" t="str">
        <f t="shared" si="46"/>
        <v>Banking and Insurance</v>
      </c>
      <c r="C1485" s="6">
        <v>23</v>
      </c>
      <c r="D1485" s="6" t="str">
        <f t="shared" si="47"/>
        <v>Spinning, Weaving and Bleaching</v>
      </c>
      <c r="E1485" s="6">
        <v>3576568</v>
      </c>
      <c r="F1485" s="6">
        <v>0</v>
      </c>
      <c r="G1485" s="6">
        <v>0</v>
      </c>
      <c r="H1485" s="6">
        <v>0</v>
      </c>
      <c r="I1485" s="6">
        <v>0</v>
      </c>
    </row>
    <row r="1486" spans="1:9">
      <c r="A1486" s="6">
        <v>54</v>
      </c>
      <c r="B1486" s="6" t="str">
        <f t="shared" si="46"/>
        <v>Real Estate</v>
      </c>
      <c r="C1486" s="6">
        <v>23</v>
      </c>
      <c r="D1486" s="6" t="str">
        <f t="shared" si="47"/>
        <v>Spinning, Weaving and Bleaching</v>
      </c>
      <c r="E1486" s="6">
        <v>210976</v>
      </c>
      <c r="F1486" s="6">
        <v>0</v>
      </c>
      <c r="G1486" s="6">
        <v>0</v>
      </c>
      <c r="H1486" s="6">
        <v>0</v>
      </c>
      <c r="I1486" s="6">
        <v>0</v>
      </c>
    </row>
    <row r="1487" spans="1:9">
      <c r="A1487" s="6">
        <v>55</v>
      </c>
      <c r="B1487" s="6" t="str">
        <f t="shared" si="46"/>
        <v>Business Services</v>
      </c>
      <c r="C1487" s="6">
        <v>23</v>
      </c>
      <c r="D1487" s="6" t="str">
        <f t="shared" si="47"/>
        <v>Spinning, Weaving and Bleaching</v>
      </c>
      <c r="E1487" s="6">
        <v>1655866</v>
      </c>
      <c r="F1487" s="6">
        <v>0</v>
      </c>
      <c r="G1487" s="6">
        <v>0</v>
      </c>
      <c r="H1487" s="6">
        <v>0</v>
      </c>
      <c r="I1487" s="6">
        <v>0</v>
      </c>
    </row>
    <row r="1488" spans="1:9">
      <c r="A1488" s="6">
        <v>56</v>
      </c>
      <c r="B1488" s="6" t="str">
        <f t="shared" si="46"/>
        <v>Public Services</v>
      </c>
      <c r="C1488" s="6">
        <v>23</v>
      </c>
      <c r="D1488" s="6" t="str">
        <f t="shared" si="47"/>
        <v>Spinning, Weaving and Bleaching</v>
      </c>
      <c r="E1488" s="6">
        <v>90928</v>
      </c>
      <c r="F1488" s="6">
        <v>0</v>
      </c>
      <c r="G1488" s="6">
        <v>0</v>
      </c>
      <c r="H1488" s="6">
        <v>0</v>
      </c>
      <c r="I1488" s="6">
        <v>0</v>
      </c>
    </row>
    <row r="1489" spans="1:9">
      <c r="A1489" s="6">
        <v>57</v>
      </c>
      <c r="B1489" s="6" t="str">
        <f t="shared" si="46"/>
        <v>Other Services</v>
      </c>
      <c r="C1489" s="6">
        <v>23</v>
      </c>
      <c r="D1489" s="6" t="str">
        <f t="shared" si="47"/>
        <v>Spinning, Weaving and Bleaching</v>
      </c>
      <c r="E1489" s="6">
        <v>261020</v>
      </c>
      <c r="F1489" s="6">
        <v>0</v>
      </c>
      <c r="G1489" s="6">
        <v>0</v>
      </c>
      <c r="H1489" s="6">
        <v>0</v>
      </c>
      <c r="I1489" s="6">
        <v>0</v>
      </c>
    </row>
    <row r="1490" spans="1:9">
      <c r="A1490" s="6">
        <v>58</v>
      </c>
      <c r="B1490" s="6" t="str">
        <f t="shared" si="46"/>
        <v>Unclassified</v>
      </c>
      <c r="C1490" s="6">
        <v>23</v>
      </c>
      <c r="D1490" s="6" t="str">
        <f t="shared" si="47"/>
        <v>Spinning, Weaving and Bleaching</v>
      </c>
      <c r="E1490" s="6">
        <v>890457</v>
      </c>
      <c r="F1490" s="6">
        <v>0</v>
      </c>
      <c r="G1490" s="6">
        <v>0</v>
      </c>
      <c r="H1490" s="6">
        <v>0</v>
      </c>
      <c r="I1490" s="6">
        <v>97865</v>
      </c>
    </row>
    <row r="1491" spans="1:9">
      <c r="A1491" s="6">
        <v>190</v>
      </c>
      <c r="B1491" s="6" t="str">
        <f t="shared" si="46"/>
        <v>Total Intermedite Transaction</v>
      </c>
      <c r="C1491" s="6">
        <v>23</v>
      </c>
      <c r="D1491" s="6" t="str">
        <f t="shared" si="47"/>
        <v>Spinning, Weaving and Bleaching</v>
      </c>
      <c r="E1491" s="6">
        <v>124948797</v>
      </c>
      <c r="F1491" s="6">
        <v>0</v>
      </c>
      <c r="G1491" s="6">
        <v>0</v>
      </c>
      <c r="H1491" s="6">
        <v>0</v>
      </c>
      <c r="I1491" s="6">
        <v>43412419</v>
      </c>
    </row>
    <row r="1492" spans="1:9">
      <c r="A1492" s="6">
        <v>201</v>
      </c>
      <c r="B1492" s="6" t="str">
        <f t="shared" si="46"/>
        <v>Wages and Salaries</v>
      </c>
      <c r="C1492" s="6">
        <v>23</v>
      </c>
      <c r="D1492" s="6" t="str">
        <f t="shared" si="47"/>
        <v>Spinning, Weaving and Bleaching</v>
      </c>
      <c r="E1492" s="6">
        <v>17141312</v>
      </c>
      <c r="F1492" s="6">
        <v>0</v>
      </c>
      <c r="G1492" s="6">
        <v>0</v>
      </c>
      <c r="H1492" s="6">
        <v>0</v>
      </c>
      <c r="I1492" s="6">
        <v>0</v>
      </c>
    </row>
    <row r="1493" spans="1:9">
      <c r="A1493" s="6">
        <v>202</v>
      </c>
      <c r="B1493" s="6" t="str">
        <f t="shared" si="46"/>
        <v>Operating Surplus</v>
      </c>
      <c r="C1493" s="6">
        <v>23</v>
      </c>
      <c r="D1493" s="6" t="str">
        <f t="shared" si="47"/>
        <v>Spinning, Weaving and Bleaching</v>
      </c>
      <c r="E1493" s="6">
        <v>25551965</v>
      </c>
      <c r="F1493" s="6">
        <v>0</v>
      </c>
      <c r="G1493" s="6">
        <v>0</v>
      </c>
      <c r="H1493" s="6">
        <v>0</v>
      </c>
      <c r="I1493" s="6">
        <v>0</v>
      </c>
    </row>
    <row r="1494" spans="1:9">
      <c r="A1494" s="6">
        <v>203</v>
      </c>
      <c r="B1494" s="6" t="str">
        <f t="shared" si="46"/>
        <v>Depreciation</v>
      </c>
      <c r="C1494" s="6">
        <v>23</v>
      </c>
      <c r="D1494" s="6" t="str">
        <f t="shared" si="47"/>
        <v>Spinning, Weaving and Bleaching</v>
      </c>
      <c r="E1494" s="6">
        <v>16210599</v>
      </c>
      <c r="F1494" s="6">
        <v>0</v>
      </c>
      <c r="G1494" s="6">
        <v>0</v>
      </c>
      <c r="H1494" s="6">
        <v>0</v>
      </c>
      <c r="I1494" s="6">
        <v>0</v>
      </c>
    </row>
    <row r="1495" spans="1:9">
      <c r="A1495" s="6">
        <v>204</v>
      </c>
      <c r="B1495" s="6" t="str">
        <f t="shared" si="46"/>
        <v>Indirect Taxes less Subsidies</v>
      </c>
      <c r="C1495" s="6">
        <v>23</v>
      </c>
      <c r="D1495" s="6" t="str">
        <f t="shared" si="47"/>
        <v>Spinning, Weaving and Bleaching</v>
      </c>
      <c r="E1495" s="6">
        <v>3967570</v>
      </c>
      <c r="F1495" s="6">
        <v>0</v>
      </c>
      <c r="G1495" s="6">
        <v>0</v>
      </c>
      <c r="H1495" s="6">
        <v>0</v>
      </c>
      <c r="I1495" s="6">
        <v>0</v>
      </c>
    </row>
    <row r="1496" spans="1:9">
      <c r="A1496" s="6">
        <v>209</v>
      </c>
      <c r="B1496" s="6" t="str">
        <f t="shared" si="46"/>
        <v>Total Value Added</v>
      </c>
      <c r="C1496" s="6">
        <v>23</v>
      </c>
      <c r="D1496" s="6" t="str">
        <f t="shared" si="47"/>
        <v>Spinning, Weaving and Bleaching</v>
      </c>
      <c r="E1496" s="6">
        <v>62871446</v>
      </c>
      <c r="F1496" s="6">
        <v>0</v>
      </c>
      <c r="G1496" s="6">
        <v>0</v>
      </c>
      <c r="H1496" s="6">
        <v>0</v>
      </c>
      <c r="I1496" s="6">
        <v>0</v>
      </c>
    </row>
    <row r="1497" spans="1:9">
      <c r="A1497" s="6">
        <v>210</v>
      </c>
      <c r="B1497" s="6" t="str">
        <f t="shared" si="46"/>
        <v>Control Total</v>
      </c>
      <c r="C1497" s="6">
        <v>23</v>
      </c>
      <c r="D1497" s="6" t="str">
        <f t="shared" si="47"/>
        <v>Spinning, Weaving and Bleaching</v>
      </c>
      <c r="E1497" s="6">
        <v>187820243</v>
      </c>
      <c r="F1497" s="6">
        <v>0</v>
      </c>
      <c r="G1497" s="6">
        <v>0</v>
      </c>
      <c r="H1497" s="6">
        <v>0</v>
      </c>
      <c r="I1497" s="6">
        <v>0</v>
      </c>
    </row>
    <row r="1498" spans="1:9">
      <c r="A1498" s="6">
        <v>1</v>
      </c>
      <c r="B1498" s="6" t="str">
        <f t="shared" si="46"/>
        <v>Paddy</v>
      </c>
      <c r="C1498" s="6">
        <v>24</v>
      </c>
      <c r="D1498" s="6" t="str">
        <f t="shared" si="47"/>
        <v>Textile Products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</row>
    <row r="1499" spans="1:9">
      <c r="A1499" s="6">
        <v>2</v>
      </c>
      <c r="B1499" s="6" t="str">
        <f t="shared" si="46"/>
        <v>Maize</v>
      </c>
      <c r="C1499" s="6">
        <v>24</v>
      </c>
      <c r="D1499" s="6" t="str">
        <f t="shared" si="47"/>
        <v>Textile Products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</row>
    <row r="1500" spans="1:9">
      <c r="A1500" s="6">
        <v>3</v>
      </c>
      <c r="B1500" s="6" t="str">
        <f t="shared" si="46"/>
        <v>Cassava</v>
      </c>
      <c r="C1500" s="6">
        <v>24</v>
      </c>
      <c r="D1500" s="6" t="str">
        <f t="shared" si="47"/>
        <v>Textile Products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</row>
    <row r="1501" spans="1:9">
      <c r="A1501" s="6">
        <v>4</v>
      </c>
      <c r="B1501" s="6" t="str">
        <f t="shared" si="46"/>
        <v>Beans and Nuts</v>
      </c>
      <c r="C1501" s="6">
        <v>24</v>
      </c>
      <c r="D1501" s="6" t="str">
        <f t="shared" si="47"/>
        <v>Textile Products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</row>
    <row r="1502" spans="1:9">
      <c r="A1502" s="6">
        <v>5</v>
      </c>
      <c r="B1502" s="6" t="str">
        <f t="shared" si="46"/>
        <v>Vegetables and Fruits</v>
      </c>
      <c r="C1502" s="6">
        <v>24</v>
      </c>
      <c r="D1502" s="6" t="str">
        <f t="shared" si="47"/>
        <v>Textile Products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</row>
    <row r="1503" spans="1:9">
      <c r="A1503" s="6">
        <v>6</v>
      </c>
      <c r="B1503" s="6" t="str">
        <f t="shared" si="46"/>
        <v>Sugarcane</v>
      </c>
      <c r="C1503" s="6">
        <v>24</v>
      </c>
      <c r="D1503" s="6" t="str">
        <f t="shared" si="47"/>
        <v>Textile Products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</row>
    <row r="1504" spans="1:9">
      <c r="A1504" s="6">
        <v>7</v>
      </c>
      <c r="B1504" s="6" t="str">
        <f t="shared" si="46"/>
        <v>Rubber (Latex)</v>
      </c>
      <c r="C1504" s="6">
        <v>24</v>
      </c>
      <c r="D1504" s="6" t="str">
        <f t="shared" si="47"/>
        <v>Textile Products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</row>
    <row r="1505" spans="1:9">
      <c r="A1505" s="6">
        <v>8</v>
      </c>
      <c r="B1505" s="6" t="str">
        <f t="shared" si="46"/>
        <v>Other Crops</v>
      </c>
      <c r="C1505" s="6">
        <v>24</v>
      </c>
      <c r="D1505" s="6" t="str">
        <f t="shared" si="47"/>
        <v>Textile Products</v>
      </c>
      <c r="E1505" s="6">
        <v>12982</v>
      </c>
      <c r="F1505" s="6">
        <v>958</v>
      </c>
      <c r="G1505" s="6">
        <v>510</v>
      </c>
      <c r="H1505" s="6">
        <v>228</v>
      </c>
      <c r="I1505" s="6">
        <v>4570</v>
      </c>
    </row>
    <row r="1506" spans="1:9">
      <c r="A1506" s="6">
        <v>9</v>
      </c>
      <c r="B1506" s="6" t="str">
        <f t="shared" si="46"/>
        <v>Livestock</v>
      </c>
      <c r="C1506" s="6">
        <v>24</v>
      </c>
      <c r="D1506" s="6" t="str">
        <f t="shared" si="47"/>
        <v>Textile Products</v>
      </c>
      <c r="E1506" s="6">
        <v>18311</v>
      </c>
      <c r="F1506" s="6">
        <v>339</v>
      </c>
      <c r="G1506" s="6">
        <v>0</v>
      </c>
      <c r="H1506" s="6">
        <v>19</v>
      </c>
      <c r="I1506" s="6">
        <v>0</v>
      </c>
    </row>
    <row r="1507" spans="1:9">
      <c r="A1507" s="6">
        <v>10</v>
      </c>
      <c r="B1507" s="6" t="str">
        <f t="shared" si="46"/>
        <v>Forestry</v>
      </c>
      <c r="C1507" s="6">
        <v>24</v>
      </c>
      <c r="D1507" s="6" t="str">
        <f t="shared" si="47"/>
        <v>Textile Products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</row>
    <row r="1508" spans="1:9">
      <c r="A1508" s="6">
        <v>11</v>
      </c>
      <c r="B1508" s="6" t="str">
        <f t="shared" si="46"/>
        <v>Fishery</v>
      </c>
      <c r="C1508" s="6">
        <v>24</v>
      </c>
      <c r="D1508" s="6" t="str">
        <f t="shared" si="47"/>
        <v>Textile Products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</row>
    <row r="1509" spans="1:9">
      <c r="A1509" s="6">
        <v>12</v>
      </c>
      <c r="B1509" s="6" t="str">
        <f t="shared" si="46"/>
        <v>Crude Oil and Coal</v>
      </c>
      <c r="C1509" s="6">
        <v>24</v>
      </c>
      <c r="D1509" s="6" t="str">
        <f t="shared" si="47"/>
        <v>Textile Products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</row>
    <row r="1510" spans="1:9">
      <c r="A1510" s="6">
        <v>13</v>
      </c>
      <c r="B1510" s="6" t="str">
        <f t="shared" si="46"/>
        <v>Metal Ore</v>
      </c>
      <c r="C1510" s="6">
        <v>24</v>
      </c>
      <c r="D1510" s="6" t="str">
        <f t="shared" si="47"/>
        <v>Textile Products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</row>
    <row r="1511" spans="1:9">
      <c r="A1511" s="6">
        <v>14</v>
      </c>
      <c r="B1511" s="6" t="str">
        <f t="shared" si="46"/>
        <v>Non-Metal Ore</v>
      </c>
      <c r="C1511" s="6">
        <v>24</v>
      </c>
      <c r="D1511" s="6" t="str">
        <f t="shared" si="47"/>
        <v>Textile Products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</row>
    <row r="1512" spans="1:9">
      <c r="A1512" s="6">
        <v>15</v>
      </c>
      <c r="B1512" s="6" t="str">
        <f t="shared" si="46"/>
        <v>Slaughtering</v>
      </c>
      <c r="C1512" s="6">
        <v>24</v>
      </c>
      <c r="D1512" s="6" t="str">
        <f t="shared" si="47"/>
        <v>Textile Products</v>
      </c>
      <c r="E1512" s="6">
        <v>381545</v>
      </c>
      <c r="F1512" s="6">
        <v>6175</v>
      </c>
      <c r="G1512" s="6">
        <v>9960</v>
      </c>
      <c r="H1512" s="6">
        <v>1120</v>
      </c>
      <c r="I1512" s="6">
        <v>120039</v>
      </c>
    </row>
    <row r="1513" spans="1:9">
      <c r="A1513" s="6">
        <v>16</v>
      </c>
      <c r="B1513" s="6" t="str">
        <f t="shared" si="46"/>
        <v>Processing and Presering of Foods</v>
      </c>
      <c r="C1513" s="6">
        <v>24</v>
      </c>
      <c r="D1513" s="6" t="str">
        <f t="shared" si="47"/>
        <v>Textile Products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</row>
    <row r="1514" spans="1:9">
      <c r="A1514" s="6">
        <v>17</v>
      </c>
      <c r="B1514" s="6" t="str">
        <f t="shared" si="46"/>
        <v>Rice and Other Grain Milling</v>
      </c>
      <c r="C1514" s="6">
        <v>24</v>
      </c>
      <c r="D1514" s="6" t="str">
        <f t="shared" si="47"/>
        <v>Textile Products</v>
      </c>
      <c r="E1514" s="6">
        <v>9255</v>
      </c>
      <c r="F1514" s="6">
        <v>82</v>
      </c>
      <c r="G1514" s="6">
        <v>253</v>
      </c>
      <c r="H1514" s="6">
        <v>69</v>
      </c>
      <c r="I1514" s="6">
        <v>0</v>
      </c>
    </row>
    <row r="1515" spans="1:9">
      <c r="A1515" s="6">
        <v>18</v>
      </c>
      <c r="B1515" s="6" t="str">
        <f t="shared" si="46"/>
        <v>Sugar Refineries</v>
      </c>
      <c r="C1515" s="6">
        <v>24</v>
      </c>
      <c r="D1515" s="6" t="str">
        <f t="shared" si="47"/>
        <v>Textile Products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</row>
    <row r="1516" spans="1:9">
      <c r="A1516" s="6">
        <v>19</v>
      </c>
      <c r="B1516" s="6" t="str">
        <f t="shared" si="46"/>
        <v>Other Foods</v>
      </c>
      <c r="C1516" s="6">
        <v>24</v>
      </c>
      <c r="D1516" s="6" t="str">
        <f t="shared" si="47"/>
        <v>Textile Products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</row>
    <row r="1517" spans="1:9">
      <c r="A1517" s="6">
        <v>20</v>
      </c>
      <c r="B1517" s="6" t="str">
        <f t="shared" si="46"/>
        <v>Animal Food</v>
      </c>
      <c r="C1517" s="6">
        <v>24</v>
      </c>
      <c r="D1517" s="6" t="str">
        <f t="shared" si="47"/>
        <v>Textile Products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</row>
    <row r="1518" spans="1:9">
      <c r="A1518" s="6">
        <v>21</v>
      </c>
      <c r="B1518" s="6" t="str">
        <f t="shared" si="46"/>
        <v>Beverages</v>
      </c>
      <c r="C1518" s="6">
        <v>24</v>
      </c>
      <c r="D1518" s="6" t="str">
        <f t="shared" si="47"/>
        <v>Textile Products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</row>
    <row r="1519" spans="1:9">
      <c r="A1519" s="6">
        <v>22</v>
      </c>
      <c r="B1519" s="6" t="str">
        <f t="shared" si="46"/>
        <v>Tobacco Processing and Products</v>
      </c>
      <c r="C1519" s="6">
        <v>24</v>
      </c>
      <c r="D1519" s="6" t="str">
        <f t="shared" si="47"/>
        <v>Textile Products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</row>
    <row r="1520" spans="1:9">
      <c r="A1520" s="6">
        <v>23</v>
      </c>
      <c r="B1520" s="6" t="str">
        <f t="shared" si="46"/>
        <v>Spinning, Weaving and Bleaching</v>
      </c>
      <c r="C1520" s="6">
        <v>24</v>
      </c>
      <c r="D1520" s="6" t="str">
        <f t="shared" si="47"/>
        <v>Textile Products</v>
      </c>
      <c r="E1520" s="6">
        <v>121519644</v>
      </c>
      <c r="F1520" s="6">
        <v>11926827</v>
      </c>
      <c r="G1520" s="6">
        <v>9435354</v>
      </c>
      <c r="H1520" s="6">
        <v>1400284</v>
      </c>
      <c r="I1520" s="6">
        <v>34250874</v>
      </c>
    </row>
    <row r="1521" spans="1:9">
      <c r="A1521" s="6">
        <v>24</v>
      </c>
      <c r="B1521" s="6" t="str">
        <f t="shared" si="46"/>
        <v>Textile Products</v>
      </c>
      <c r="C1521" s="6">
        <v>24</v>
      </c>
      <c r="D1521" s="6" t="str">
        <f t="shared" si="47"/>
        <v>Textile Products</v>
      </c>
      <c r="E1521" s="6">
        <v>10864185</v>
      </c>
      <c r="F1521" s="6">
        <v>368970</v>
      </c>
      <c r="G1521" s="6">
        <v>580498</v>
      </c>
      <c r="H1521" s="6">
        <v>55238</v>
      </c>
      <c r="I1521" s="6">
        <v>5247509</v>
      </c>
    </row>
    <row r="1522" spans="1:9">
      <c r="A1522" s="6">
        <v>25</v>
      </c>
      <c r="B1522" s="6" t="str">
        <f t="shared" si="46"/>
        <v>Paper and Paper Products</v>
      </c>
      <c r="C1522" s="6">
        <v>24</v>
      </c>
      <c r="D1522" s="6" t="str">
        <f t="shared" si="47"/>
        <v>Textile Products</v>
      </c>
      <c r="E1522" s="6">
        <v>1206367</v>
      </c>
      <c r="F1522" s="6">
        <v>85697</v>
      </c>
      <c r="G1522" s="6">
        <v>79459</v>
      </c>
      <c r="H1522" s="6">
        <v>13692</v>
      </c>
      <c r="I1522" s="6">
        <v>280538</v>
      </c>
    </row>
    <row r="1523" spans="1:9">
      <c r="A1523" s="6">
        <v>26</v>
      </c>
      <c r="B1523" s="6" t="str">
        <f t="shared" si="46"/>
        <v>Printing and Publishing</v>
      </c>
      <c r="C1523" s="6">
        <v>24</v>
      </c>
      <c r="D1523" s="6" t="str">
        <f t="shared" si="47"/>
        <v>Textile Products</v>
      </c>
      <c r="E1523" s="6">
        <v>6598</v>
      </c>
      <c r="F1523" s="6">
        <v>689</v>
      </c>
      <c r="G1523" s="6">
        <v>1411</v>
      </c>
      <c r="H1523" s="6">
        <v>53</v>
      </c>
      <c r="I1523" s="6">
        <v>0</v>
      </c>
    </row>
    <row r="1524" spans="1:9">
      <c r="A1524" s="6">
        <v>27</v>
      </c>
      <c r="B1524" s="6" t="str">
        <f t="shared" si="46"/>
        <v>Basic Chemical Products</v>
      </c>
      <c r="C1524" s="6">
        <v>24</v>
      </c>
      <c r="D1524" s="6" t="str">
        <f t="shared" si="47"/>
        <v>Textile Products</v>
      </c>
      <c r="E1524" s="6">
        <v>1680749</v>
      </c>
      <c r="F1524" s="6">
        <v>171571</v>
      </c>
      <c r="G1524" s="6">
        <v>76193</v>
      </c>
      <c r="H1524" s="6">
        <v>24978</v>
      </c>
      <c r="I1524" s="6">
        <v>462654</v>
      </c>
    </row>
    <row r="1525" spans="1:9">
      <c r="A1525" s="6">
        <v>28</v>
      </c>
      <c r="B1525" s="6" t="str">
        <f t="shared" si="46"/>
        <v>Fertilizer and Pesticides</v>
      </c>
      <c r="C1525" s="6">
        <v>24</v>
      </c>
      <c r="D1525" s="6" t="str">
        <f t="shared" si="47"/>
        <v>Textile Products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</row>
    <row r="1526" spans="1:9">
      <c r="A1526" s="6">
        <v>29</v>
      </c>
      <c r="B1526" s="6" t="str">
        <f t="shared" si="46"/>
        <v>Other Chemical Products</v>
      </c>
      <c r="C1526" s="6">
        <v>24</v>
      </c>
      <c r="D1526" s="6" t="str">
        <f t="shared" si="47"/>
        <v>Textile Products</v>
      </c>
      <c r="E1526" s="6">
        <v>2578792</v>
      </c>
      <c r="F1526" s="6">
        <v>274226</v>
      </c>
      <c r="G1526" s="6">
        <v>376735</v>
      </c>
      <c r="H1526" s="6">
        <v>32652</v>
      </c>
      <c r="I1526" s="6">
        <v>1482338</v>
      </c>
    </row>
    <row r="1527" spans="1:9">
      <c r="A1527" s="6">
        <v>30</v>
      </c>
      <c r="B1527" s="6" t="str">
        <f t="shared" si="46"/>
        <v>Petroleum Refineries</v>
      </c>
      <c r="C1527" s="6">
        <v>24</v>
      </c>
      <c r="D1527" s="6" t="str">
        <f t="shared" si="47"/>
        <v>Textile Products</v>
      </c>
      <c r="E1527" s="6">
        <v>2852018</v>
      </c>
      <c r="F1527" s="6">
        <v>105850</v>
      </c>
      <c r="G1527" s="6">
        <v>98720</v>
      </c>
      <c r="H1527" s="6">
        <v>24535</v>
      </c>
      <c r="I1527" s="6">
        <v>559361</v>
      </c>
    </row>
    <row r="1528" spans="1:9">
      <c r="A1528" s="6">
        <v>31</v>
      </c>
      <c r="B1528" s="6" t="str">
        <f t="shared" si="46"/>
        <v>Rubber Products</v>
      </c>
      <c r="C1528" s="6">
        <v>24</v>
      </c>
      <c r="D1528" s="6" t="str">
        <f t="shared" si="47"/>
        <v>Textile Products</v>
      </c>
      <c r="E1528" s="6">
        <v>5227090</v>
      </c>
      <c r="F1528" s="6">
        <v>513615</v>
      </c>
      <c r="G1528" s="6">
        <v>729336</v>
      </c>
      <c r="H1528" s="6">
        <v>142566</v>
      </c>
      <c r="I1528" s="6">
        <v>3066930</v>
      </c>
    </row>
    <row r="1529" spans="1:9">
      <c r="A1529" s="6">
        <v>32</v>
      </c>
      <c r="B1529" s="6" t="str">
        <f t="shared" si="46"/>
        <v>Plastic Wares</v>
      </c>
      <c r="C1529" s="6">
        <v>24</v>
      </c>
      <c r="D1529" s="6" t="str">
        <f t="shared" si="47"/>
        <v>Textile Products</v>
      </c>
      <c r="E1529" s="6">
        <v>4151893</v>
      </c>
      <c r="F1529" s="6">
        <v>135088</v>
      </c>
      <c r="G1529" s="6">
        <v>141231</v>
      </c>
      <c r="H1529" s="6">
        <v>32020</v>
      </c>
      <c r="I1529" s="6">
        <v>1825753</v>
      </c>
    </row>
    <row r="1530" spans="1:9">
      <c r="A1530" s="6">
        <v>33</v>
      </c>
      <c r="B1530" s="6" t="str">
        <f t="shared" si="46"/>
        <v>Cement and Concrete Products</v>
      </c>
      <c r="C1530" s="6">
        <v>24</v>
      </c>
      <c r="D1530" s="6" t="str">
        <f t="shared" si="47"/>
        <v>Textile Products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</row>
    <row r="1531" spans="1:9">
      <c r="A1531" s="6">
        <v>34</v>
      </c>
      <c r="B1531" s="6" t="str">
        <f t="shared" si="46"/>
        <v>Other Non-metallic Products</v>
      </c>
      <c r="C1531" s="6">
        <v>24</v>
      </c>
      <c r="D1531" s="6" t="str">
        <f t="shared" si="47"/>
        <v>Textile Products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</row>
    <row r="1532" spans="1:9">
      <c r="A1532" s="6">
        <v>35</v>
      </c>
      <c r="B1532" s="6" t="str">
        <f t="shared" si="46"/>
        <v>Iron and Steel</v>
      </c>
      <c r="C1532" s="6">
        <v>24</v>
      </c>
      <c r="D1532" s="6" t="str">
        <f t="shared" si="47"/>
        <v>Textile Products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</row>
    <row r="1533" spans="1:9">
      <c r="A1533" s="6">
        <v>36</v>
      </c>
      <c r="B1533" s="6" t="str">
        <f t="shared" si="46"/>
        <v>Non-ferrous Metal</v>
      </c>
      <c r="C1533" s="6">
        <v>24</v>
      </c>
      <c r="D1533" s="6" t="str">
        <f t="shared" si="47"/>
        <v>Textile Products</v>
      </c>
      <c r="E1533" s="6">
        <v>396</v>
      </c>
      <c r="F1533" s="6">
        <v>19</v>
      </c>
      <c r="G1533" s="6">
        <v>9</v>
      </c>
      <c r="H1533" s="6">
        <v>1</v>
      </c>
      <c r="I1533" s="6">
        <v>0</v>
      </c>
    </row>
    <row r="1534" spans="1:9">
      <c r="A1534" s="6">
        <v>37</v>
      </c>
      <c r="B1534" s="6" t="str">
        <f t="shared" si="46"/>
        <v>Fabricated Metal Products</v>
      </c>
      <c r="C1534" s="6">
        <v>24</v>
      </c>
      <c r="D1534" s="6" t="str">
        <f t="shared" si="47"/>
        <v>Textile Products</v>
      </c>
      <c r="E1534" s="6">
        <v>1825167</v>
      </c>
      <c r="F1534" s="6">
        <v>59463</v>
      </c>
      <c r="G1534" s="6">
        <v>96745</v>
      </c>
      <c r="H1534" s="6">
        <v>5770</v>
      </c>
      <c r="I1534" s="6">
        <v>1051379</v>
      </c>
    </row>
    <row r="1535" spans="1:9">
      <c r="A1535" s="6">
        <v>38</v>
      </c>
      <c r="B1535" s="6" t="str">
        <f t="shared" si="46"/>
        <v>Industrial Machinery</v>
      </c>
      <c r="C1535" s="6">
        <v>24</v>
      </c>
      <c r="D1535" s="6" t="str">
        <f t="shared" si="47"/>
        <v>Textile Products</v>
      </c>
      <c r="E1535" s="6">
        <v>1397941</v>
      </c>
      <c r="F1535" s="6">
        <v>108065</v>
      </c>
      <c r="G1535" s="6">
        <v>0</v>
      </c>
      <c r="H1535" s="6">
        <v>16400</v>
      </c>
      <c r="I1535" s="6">
        <v>0</v>
      </c>
    </row>
    <row r="1536" spans="1:9">
      <c r="A1536" s="6">
        <v>39</v>
      </c>
      <c r="B1536" s="6" t="str">
        <f t="shared" si="46"/>
        <v>Electrical Machinery and Apparatus</v>
      </c>
      <c r="C1536" s="6">
        <v>24</v>
      </c>
      <c r="D1536" s="6" t="str">
        <f t="shared" si="47"/>
        <v>Textile Products</v>
      </c>
      <c r="E1536" s="6">
        <v>427701</v>
      </c>
      <c r="F1536" s="6">
        <v>16929</v>
      </c>
      <c r="G1536" s="6">
        <v>12194</v>
      </c>
      <c r="H1536" s="6">
        <v>4178</v>
      </c>
      <c r="I1536" s="6">
        <v>0</v>
      </c>
    </row>
    <row r="1537" spans="1:9">
      <c r="A1537" s="6">
        <v>40</v>
      </c>
      <c r="B1537" s="6" t="str">
        <f t="shared" si="46"/>
        <v>Motor Vehicles and Repairing</v>
      </c>
      <c r="C1537" s="6">
        <v>24</v>
      </c>
      <c r="D1537" s="6" t="str">
        <f t="shared" si="47"/>
        <v>Textile Products</v>
      </c>
      <c r="E1537" s="6">
        <v>494754</v>
      </c>
      <c r="F1537" s="6">
        <v>0</v>
      </c>
      <c r="G1537" s="6">
        <v>0</v>
      </c>
      <c r="H1537" s="6">
        <v>0</v>
      </c>
      <c r="I1537" s="6">
        <v>0</v>
      </c>
    </row>
    <row r="1538" spans="1:9">
      <c r="A1538" s="6">
        <v>41</v>
      </c>
      <c r="B1538" s="6" t="str">
        <f t="shared" si="46"/>
        <v>Other Transportation Equipment</v>
      </c>
      <c r="C1538" s="6">
        <v>24</v>
      </c>
      <c r="D1538" s="6" t="str">
        <f t="shared" si="47"/>
        <v>Textile Products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</row>
    <row r="1539" spans="1:9">
      <c r="A1539" s="6">
        <v>42</v>
      </c>
      <c r="B1539" s="6" t="str">
        <f t="shared" si="46"/>
        <v>Leather Products</v>
      </c>
      <c r="C1539" s="6">
        <v>24</v>
      </c>
      <c r="D1539" s="6" t="str">
        <f t="shared" si="47"/>
        <v>Textile Products</v>
      </c>
      <c r="E1539" s="6">
        <v>8841183</v>
      </c>
      <c r="F1539" s="6">
        <v>868263</v>
      </c>
      <c r="G1539" s="6">
        <v>446753</v>
      </c>
      <c r="H1539" s="6">
        <v>40007</v>
      </c>
      <c r="I1539" s="6">
        <v>6719224</v>
      </c>
    </row>
    <row r="1540" spans="1:9">
      <c r="A1540" s="6">
        <v>43</v>
      </c>
      <c r="B1540" s="6" t="str">
        <f t="shared" ref="B1540:B1603" si="48">VLOOKUP(A1540,R:S,2,0)</f>
        <v>Saw Mills and Wood Products</v>
      </c>
      <c r="C1540" s="6">
        <v>24</v>
      </c>
      <c r="D1540" s="6" t="str">
        <f t="shared" ref="D1540:D1603" si="49">VLOOKUP(C1540,R:S,2,0)</f>
        <v>Textile Products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</row>
    <row r="1541" spans="1:9">
      <c r="A1541" s="6">
        <v>44</v>
      </c>
      <c r="B1541" s="6" t="str">
        <f t="shared" si="48"/>
        <v>Other Manufacturing Products</v>
      </c>
      <c r="C1541" s="6">
        <v>24</v>
      </c>
      <c r="D1541" s="6" t="str">
        <f t="shared" si="49"/>
        <v>Textile Products</v>
      </c>
      <c r="E1541" s="6">
        <v>10617466</v>
      </c>
      <c r="F1541" s="6">
        <v>791310</v>
      </c>
      <c r="G1541" s="6">
        <v>1185098</v>
      </c>
      <c r="H1541" s="6">
        <v>146968</v>
      </c>
      <c r="I1541" s="6">
        <v>4444375</v>
      </c>
    </row>
    <row r="1542" spans="1:9">
      <c r="A1542" s="6">
        <v>45</v>
      </c>
      <c r="B1542" s="6" t="str">
        <f t="shared" si="48"/>
        <v>Electricity and Gas</v>
      </c>
      <c r="C1542" s="6">
        <v>24</v>
      </c>
      <c r="D1542" s="6" t="str">
        <f t="shared" si="49"/>
        <v>Textile Products</v>
      </c>
      <c r="E1542" s="6">
        <v>7346637</v>
      </c>
      <c r="F1542" s="6">
        <v>1855</v>
      </c>
      <c r="G1542" s="6">
        <v>3170</v>
      </c>
      <c r="H1542" s="6">
        <v>342</v>
      </c>
      <c r="I1542" s="6">
        <v>0</v>
      </c>
    </row>
    <row r="1543" spans="1:9">
      <c r="A1543" s="6">
        <v>46</v>
      </c>
      <c r="B1543" s="6" t="str">
        <f t="shared" si="48"/>
        <v>Water Works and Supply</v>
      </c>
      <c r="C1543" s="6">
        <v>24</v>
      </c>
      <c r="D1543" s="6" t="str">
        <f t="shared" si="49"/>
        <v>Textile Products</v>
      </c>
      <c r="E1543" s="6">
        <v>109091</v>
      </c>
      <c r="F1543" s="6">
        <v>0</v>
      </c>
      <c r="G1543" s="6">
        <v>0</v>
      </c>
      <c r="H1543" s="6">
        <v>0</v>
      </c>
      <c r="I1543" s="6">
        <v>0</v>
      </c>
    </row>
    <row r="1544" spans="1:9">
      <c r="A1544" s="6">
        <v>47</v>
      </c>
      <c r="B1544" s="6" t="str">
        <f t="shared" si="48"/>
        <v>Building Construction</v>
      </c>
      <c r="C1544" s="6">
        <v>24</v>
      </c>
      <c r="D1544" s="6" t="str">
        <f t="shared" si="49"/>
        <v>Textile Products</v>
      </c>
      <c r="E1544" s="6">
        <v>160077</v>
      </c>
      <c r="F1544" s="6">
        <v>0</v>
      </c>
      <c r="G1544" s="6">
        <v>0</v>
      </c>
      <c r="H1544" s="6">
        <v>0</v>
      </c>
      <c r="I1544" s="6">
        <v>0</v>
      </c>
    </row>
    <row r="1545" spans="1:9">
      <c r="A1545" s="6">
        <v>48</v>
      </c>
      <c r="B1545" s="6" t="str">
        <f t="shared" si="48"/>
        <v>Public Works and Other Construction</v>
      </c>
      <c r="C1545" s="6">
        <v>24</v>
      </c>
      <c r="D1545" s="6" t="str">
        <f t="shared" si="49"/>
        <v>Textile Products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</row>
    <row r="1546" spans="1:9">
      <c r="A1546" s="6">
        <v>49</v>
      </c>
      <c r="B1546" s="6" t="str">
        <f t="shared" si="48"/>
        <v>Trade</v>
      </c>
      <c r="C1546" s="6">
        <v>24</v>
      </c>
      <c r="D1546" s="6" t="str">
        <f t="shared" si="49"/>
        <v>Textile Products</v>
      </c>
      <c r="E1546" s="6">
        <v>0</v>
      </c>
      <c r="F1546" s="6">
        <v>-15435991</v>
      </c>
      <c r="G1546" s="6">
        <v>-13273629</v>
      </c>
      <c r="H1546" s="6">
        <v>0</v>
      </c>
      <c r="I1546" s="6">
        <v>0</v>
      </c>
    </row>
    <row r="1547" spans="1:9">
      <c r="A1547" s="6">
        <v>50</v>
      </c>
      <c r="B1547" s="6" t="str">
        <f t="shared" si="48"/>
        <v>Restaurants and Hotels</v>
      </c>
      <c r="C1547" s="6">
        <v>24</v>
      </c>
      <c r="D1547" s="6" t="str">
        <f t="shared" si="49"/>
        <v>Textile Products</v>
      </c>
      <c r="E1547" s="6">
        <v>1677548</v>
      </c>
      <c r="F1547" s="6">
        <v>0</v>
      </c>
      <c r="G1547" s="6">
        <v>0</v>
      </c>
      <c r="H1547" s="6">
        <v>0</v>
      </c>
      <c r="I1547" s="6">
        <v>0</v>
      </c>
    </row>
    <row r="1548" spans="1:9">
      <c r="A1548" s="6">
        <v>51</v>
      </c>
      <c r="B1548" s="6" t="str">
        <f t="shared" si="48"/>
        <v>Transportation</v>
      </c>
      <c r="C1548" s="6">
        <v>24</v>
      </c>
      <c r="D1548" s="6" t="str">
        <f t="shared" si="49"/>
        <v>Textile Products</v>
      </c>
      <c r="E1548" s="6">
        <v>1435690</v>
      </c>
      <c r="F1548" s="6">
        <v>0</v>
      </c>
      <c r="G1548" s="6">
        <v>0</v>
      </c>
      <c r="H1548" s="6">
        <v>-1941120</v>
      </c>
      <c r="I1548" s="6">
        <v>0</v>
      </c>
    </row>
    <row r="1549" spans="1:9">
      <c r="A1549" s="6">
        <v>52</v>
      </c>
      <c r="B1549" s="6" t="str">
        <f t="shared" si="48"/>
        <v>Communication</v>
      </c>
      <c r="C1549" s="6">
        <v>24</v>
      </c>
      <c r="D1549" s="6" t="str">
        <f t="shared" si="49"/>
        <v>Textile Products</v>
      </c>
      <c r="E1549" s="6">
        <v>418565</v>
      </c>
      <c r="F1549" s="6">
        <v>0</v>
      </c>
      <c r="G1549" s="6">
        <v>0</v>
      </c>
      <c r="H1549" s="6">
        <v>0</v>
      </c>
      <c r="I1549" s="6">
        <v>0</v>
      </c>
    </row>
    <row r="1550" spans="1:9">
      <c r="A1550" s="6">
        <v>53</v>
      </c>
      <c r="B1550" s="6" t="str">
        <f t="shared" si="48"/>
        <v>Banking and Insurance</v>
      </c>
      <c r="C1550" s="6">
        <v>24</v>
      </c>
      <c r="D1550" s="6" t="str">
        <f t="shared" si="49"/>
        <v>Textile Products</v>
      </c>
      <c r="E1550" s="6">
        <v>4914198</v>
      </c>
      <c r="F1550" s="6">
        <v>0</v>
      </c>
      <c r="G1550" s="6">
        <v>0</v>
      </c>
      <c r="H1550" s="6">
        <v>0</v>
      </c>
      <c r="I1550" s="6">
        <v>0</v>
      </c>
    </row>
    <row r="1551" spans="1:9">
      <c r="A1551" s="6">
        <v>54</v>
      </c>
      <c r="B1551" s="6" t="str">
        <f t="shared" si="48"/>
        <v>Real Estate</v>
      </c>
      <c r="C1551" s="6">
        <v>24</v>
      </c>
      <c r="D1551" s="6" t="str">
        <f t="shared" si="49"/>
        <v>Textile Products</v>
      </c>
      <c r="E1551" s="6">
        <v>408720</v>
      </c>
      <c r="F1551" s="6">
        <v>0</v>
      </c>
      <c r="G1551" s="6">
        <v>0</v>
      </c>
      <c r="H1551" s="6">
        <v>0</v>
      </c>
      <c r="I1551" s="6">
        <v>0</v>
      </c>
    </row>
    <row r="1552" spans="1:9">
      <c r="A1552" s="6">
        <v>55</v>
      </c>
      <c r="B1552" s="6" t="str">
        <f t="shared" si="48"/>
        <v>Business Services</v>
      </c>
      <c r="C1552" s="6">
        <v>24</v>
      </c>
      <c r="D1552" s="6" t="str">
        <f t="shared" si="49"/>
        <v>Textile Products</v>
      </c>
      <c r="E1552" s="6">
        <v>7412918</v>
      </c>
      <c r="F1552" s="6">
        <v>0</v>
      </c>
      <c r="G1552" s="6">
        <v>0</v>
      </c>
      <c r="H1552" s="6">
        <v>0</v>
      </c>
      <c r="I1552" s="6">
        <v>0</v>
      </c>
    </row>
    <row r="1553" spans="1:9">
      <c r="A1553" s="6">
        <v>56</v>
      </c>
      <c r="B1553" s="6" t="str">
        <f t="shared" si="48"/>
        <v>Public Services</v>
      </c>
      <c r="C1553" s="6">
        <v>24</v>
      </c>
      <c r="D1553" s="6" t="str">
        <f t="shared" si="49"/>
        <v>Textile Products</v>
      </c>
      <c r="E1553" s="6">
        <v>182325</v>
      </c>
      <c r="F1553" s="6">
        <v>0</v>
      </c>
      <c r="G1553" s="6">
        <v>0</v>
      </c>
      <c r="H1553" s="6">
        <v>0</v>
      </c>
      <c r="I1553" s="6">
        <v>0</v>
      </c>
    </row>
    <row r="1554" spans="1:9">
      <c r="A1554" s="6">
        <v>57</v>
      </c>
      <c r="B1554" s="6" t="str">
        <f t="shared" si="48"/>
        <v>Other Services</v>
      </c>
      <c r="C1554" s="6">
        <v>24</v>
      </c>
      <c r="D1554" s="6" t="str">
        <f t="shared" si="49"/>
        <v>Textile Products</v>
      </c>
      <c r="E1554" s="6">
        <v>245927</v>
      </c>
      <c r="F1554" s="6">
        <v>0</v>
      </c>
      <c r="G1554" s="6">
        <v>0</v>
      </c>
      <c r="H1554" s="6">
        <v>0</v>
      </c>
      <c r="I1554" s="6">
        <v>0</v>
      </c>
    </row>
    <row r="1555" spans="1:9">
      <c r="A1555" s="6">
        <v>58</v>
      </c>
      <c r="B1555" s="6" t="str">
        <f t="shared" si="48"/>
        <v>Unclassified</v>
      </c>
      <c r="C1555" s="6">
        <v>24</v>
      </c>
      <c r="D1555" s="6" t="str">
        <f t="shared" si="49"/>
        <v>Textile Products</v>
      </c>
      <c r="E1555" s="6">
        <v>1958628</v>
      </c>
      <c r="F1555" s="6">
        <v>0</v>
      </c>
      <c r="G1555" s="6">
        <v>0</v>
      </c>
      <c r="H1555" s="6">
        <v>0</v>
      </c>
      <c r="I1555" s="6">
        <v>175168</v>
      </c>
    </row>
    <row r="1556" spans="1:9">
      <c r="A1556" s="6">
        <v>190</v>
      </c>
      <c r="B1556" s="6" t="str">
        <f t="shared" si="48"/>
        <v>Total Intermedite Transaction</v>
      </c>
      <c r="C1556" s="6">
        <v>24</v>
      </c>
      <c r="D1556" s="6" t="str">
        <f t="shared" si="49"/>
        <v>Textile Products</v>
      </c>
      <c r="E1556" s="6">
        <v>200384361</v>
      </c>
      <c r="F1556" s="6">
        <v>0</v>
      </c>
      <c r="G1556" s="6">
        <v>0</v>
      </c>
      <c r="H1556" s="6">
        <v>0</v>
      </c>
      <c r="I1556" s="6">
        <v>59690712</v>
      </c>
    </row>
    <row r="1557" spans="1:9">
      <c r="A1557" s="6">
        <v>201</v>
      </c>
      <c r="B1557" s="6" t="str">
        <f t="shared" si="48"/>
        <v>Wages and Salaries</v>
      </c>
      <c r="C1557" s="6">
        <v>24</v>
      </c>
      <c r="D1557" s="6" t="str">
        <f t="shared" si="49"/>
        <v>Textile Products</v>
      </c>
      <c r="E1557" s="6">
        <v>29888490</v>
      </c>
      <c r="F1557" s="6">
        <v>0</v>
      </c>
      <c r="G1557" s="6">
        <v>0</v>
      </c>
      <c r="H1557" s="6">
        <v>0</v>
      </c>
      <c r="I1557" s="6">
        <v>0</v>
      </c>
    </row>
    <row r="1558" spans="1:9">
      <c r="A1558" s="6">
        <v>202</v>
      </c>
      <c r="B1558" s="6" t="str">
        <f t="shared" si="48"/>
        <v>Operating Surplus</v>
      </c>
      <c r="C1558" s="6">
        <v>24</v>
      </c>
      <c r="D1558" s="6" t="str">
        <f t="shared" si="49"/>
        <v>Textile Products</v>
      </c>
      <c r="E1558" s="6">
        <v>37597366</v>
      </c>
      <c r="F1558" s="6">
        <v>0</v>
      </c>
      <c r="G1558" s="6">
        <v>0</v>
      </c>
      <c r="H1558" s="6">
        <v>0</v>
      </c>
      <c r="I1558" s="6">
        <v>0</v>
      </c>
    </row>
    <row r="1559" spans="1:9">
      <c r="A1559" s="6">
        <v>203</v>
      </c>
      <c r="B1559" s="6" t="str">
        <f t="shared" si="48"/>
        <v>Depreciation</v>
      </c>
      <c r="C1559" s="6">
        <v>24</v>
      </c>
      <c r="D1559" s="6" t="str">
        <f t="shared" si="49"/>
        <v>Textile Products</v>
      </c>
      <c r="E1559" s="6">
        <v>15295478</v>
      </c>
      <c r="F1559" s="6">
        <v>0</v>
      </c>
      <c r="G1559" s="6">
        <v>0</v>
      </c>
      <c r="H1559" s="6">
        <v>0</v>
      </c>
      <c r="I1559" s="6">
        <v>0</v>
      </c>
    </row>
    <row r="1560" spans="1:9">
      <c r="A1560" s="6">
        <v>204</v>
      </c>
      <c r="B1560" s="6" t="str">
        <f t="shared" si="48"/>
        <v>Indirect Taxes less Subsidies</v>
      </c>
      <c r="C1560" s="6">
        <v>24</v>
      </c>
      <c r="D1560" s="6" t="str">
        <f t="shared" si="49"/>
        <v>Textile Products</v>
      </c>
      <c r="E1560" s="6">
        <v>8664710</v>
      </c>
      <c r="F1560" s="6">
        <v>0</v>
      </c>
      <c r="G1560" s="6">
        <v>0</v>
      </c>
      <c r="H1560" s="6">
        <v>0</v>
      </c>
      <c r="I1560" s="6">
        <v>0</v>
      </c>
    </row>
    <row r="1561" spans="1:9">
      <c r="A1561" s="6">
        <v>209</v>
      </c>
      <c r="B1561" s="6" t="str">
        <f t="shared" si="48"/>
        <v>Total Value Added</v>
      </c>
      <c r="C1561" s="6">
        <v>24</v>
      </c>
      <c r="D1561" s="6" t="str">
        <f t="shared" si="49"/>
        <v>Textile Products</v>
      </c>
      <c r="E1561" s="6">
        <v>91446044</v>
      </c>
      <c r="F1561" s="6">
        <v>0</v>
      </c>
      <c r="G1561" s="6">
        <v>0</v>
      </c>
      <c r="H1561" s="6">
        <v>0</v>
      </c>
      <c r="I1561" s="6">
        <v>0</v>
      </c>
    </row>
    <row r="1562" spans="1:9">
      <c r="A1562" s="6">
        <v>210</v>
      </c>
      <c r="B1562" s="6" t="str">
        <f t="shared" si="48"/>
        <v>Control Total</v>
      </c>
      <c r="C1562" s="6">
        <v>24</v>
      </c>
      <c r="D1562" s="6" t="str">
        <f t="shared" si="49"/>
        <v>Textile Products</v>
      </c>
      <c r="E1562" s="6">
        <v>291830405</v>
      </c>
      <c r="F1562" s="6">
        <v>0</v>
      </c>
      <c r="G1562" s="6">
        <v>0</v>
      </c>
      <c r="H1562" s="6">
        <v>0</v>
      </c>
      <c r="I1562" s="6">
        <v>0</v>
      </c>
    </row>
    <row r="1563" spans="1:9">
      <c r="A1563" s="6">
        <v>1</v>
      </c>
      <c r="B1563" s="6" t="str">
        <f t="shared" si="48"/>
        <v>Paddy</v>
      </c>
      <c r="C1563" s="6">
        <v>25</v>
      </c>
      <c r="D1563" s="6" t="str">
        <f t="shared" si="49"/>
        <v>Paper and Paper Products</v>
      </c>
      <c r="E1563" s="6">
        <v>187802</v>
      </c>
      <c r="F1563" s="6">
        <v>14388</v>
      </c>
      <c r="G1563" s="6">
        <v>0</v>
      </c>
      <c r="H1563" s="6">
        <v>1434</v>
      </c>
      <c r="I1563" s="6">
        <v>0</v>
      </c>
    </row>
    <row r="1564" spans="1:9">
      <c r="A1564" s="6">
        <v>2</v>
      </c>
      <c r="B1564" s="6" t="str">
        <f t="shared" si="48"/>
        <v>Maize</v>
      </c>
      <c r="C1564" s="6">
        <v>25</v>
      </c>
      <c r="D1564" s="6" t="str">
        <f t="shared" si="49"/>
        <v>Paper and Paper Products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</row>
    <row r="1565" spans="1:9">
      <c r="A1565" s="6">
        <v>3</v>
      </c>
      <c r="B1565" s="6" t="str">
        <f t="shared" si="48"/>
        <v>Cassava</v>
      </c>
      <c r="C1565" s="6">
        <v>25</v>
      </c>
      <c r="D1565" s="6" t="str">
        <f t="shared" si="49"/>
        <v>Paper and Paper Products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</row>
    <row r="1566" spans="1:9">
      <c r="A1566" s="6">
        <v>4</v>
      </c>
      <c r="B1566" s="6" t="str">
        <f t="shared" si="48"/>
        <v>Beans and Nuts</v>
      </c>
      <c r="C1566" s="6">
        <v>25</v>
      </c>
      <c r="D1566" s="6" t="str">
        <f t="shared" si="49"/>
        <v>Paper and Paper Products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</row>
    <row r="1567" spans="1:9">
      <c r="A1567" s="6">
        <v>5</v>
      </c>
      <c r="B1567" s="6" t="str">
        <f t="shared" si="48"/>
        <v>Vegetables and Fruits</v>
      </c>
      <c r="C1567" s="6">
        <v>25</v>
      </c>
      <c r="D1567" s="6" t="str">
        <f t="shared" si="49"/>
        <v>Paper and Paper Products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</row>
    <row r="1568" spans="1:9">
      <c r="A1568" s="6">
        <v>6</v>
      </c>
      <c r="B1568" s="6" t="str">
        <f t="shared" si="48"/>
        <v>Sugarcane</v>
      </c>
      <c r="C1568" s="6">
        <v>25</v>
      </c>
      <c r="D1568" s="6" t="str">
        <f t="shared" si="49"/>
        <v>Paper and Paper Products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</row>
    <row r="1569" spans="1:9">
      <c r="A1569" s="6">
        <v>7</v>
      </c>
      <c r="B1569" s="6" t="str">
        <f t="shared" si="48"/>
        <v>Rubber (Latex)</v>
      </c>
      <c r="C1569" s="6">
        <v>25</v>
      </c>
      <c r="D1569" s="6" t="str">
        <f t="shared" si="49"/>
        <v>Paper and Paper Products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</row>
    <row r="1570" spans="1:9">
      <c r="A1570" s="6">
        <v>8</v>
      </c>
      <c r="B1570" s="6" t="str">
        <f t="shared" si="48"/>
        <v>Other Crops</v>
      </c>
      <c r="C1570" s="6">
        <v>25</v>
      </c>
      <c r="D1570" s="6" t="str">
        <f t="shared" si="49"/>
        <v>Paper and Paper Products</v>
      </c>
      <c r="E1570" s="6">
        <v>3128</v>
      </c>
      <c r="F1570" s="6">
        <v>143</v>
      </c>
      <c r="G1570" s="6">
        <v>0</v>
      </c>
      <c r="H1570" s="6">
        <v>20</v>
      </c>
      <c r="I1570" s="6">
        <v>2796</v>
      </c>
    </row>
    <row r="1571" spans="1:9">
      <c r="A1571" s="6">
        <v>9</v>
      </c>
      <c r="B1571" s="6" t="str">
        <f t="shared" si="48"/>
        <v>Livestock</v>
      </c>
      <c r="C1571" s="6">
        <v>25</v>
      </c>
      <c r="D1571" s="6" t="str">
        <f t="shared" si="49"/>
        <v>Paper and Paper Products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</row>
    <row r="1572" spans="1:9">
      <c r="A1572" s="6">
        <v>10</v>
      </c>
      <c r="B1572" s="6" t="str">
        <f t="shared" si="48"/>
        <v>Forestry</v>
      </c>
      <c r="C1572" s="6">
        <v>25</v>
      </c>
      <c r="D1572" s="6" t="str">
        <f t="shared" si="49"/>
        <v>Paper and Paper Products</v>
      </c>
      <c r="E1572" s="6">
        <v>6063713</v>
      </c>
      <c r="F1572" s="6">
        <v>388354</v>
      </c>
      <c r="G1572" s="6">
        <v>0</v>
      </c>
      <c r="H1572" s="6">
        <v>81019</v>
      </c>
      <c r="I1572" s="6">
        <v>0</v>
      </c>
    </row>
    <row r="1573" spans="1:9">
      <c r="A1573" s="6">
        <v>11</v>
      </c>
      <c r="B1573" s="6" t="str">
        <f t="shared" si="48"/>
        <v>Fishery</v>
      </c>
      <c r="C1573" s="6">
        <v>25</v>
      </c>
      <c r="D1573" s="6" t="str">
        <f t="shared" si="49"/>
        <v>Paper and Paper Products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</row>
    <row r="1574" spans="1:9">
      <c r="A1574" s="6">
        <v>12</v>
      </c>
      <c r="B1574" s="6" t="str">
        <f t="shared" si="48"/>
        <v>Crude Oil and Coal</v>
      </c>
      <c r="C1574" s="6">
        <v>25</v>
      </c>
      <c r="D1574" s="6" t="str">
        <f t="shared" si="49"/>
        <v>Paper and Paper Products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</row>
    <row r="1575" spans="1:9">
      <c r="A1575" s="6">
        <v>13</v>
      </c>
      <c r="B1575" s="6" t="str">
        <f t="shared" si="48"/>
        <v>Metal Ore</v>
      </c>
      <c r="C1575" s="6">
        <v>25</v>
      </c>
      <c r="D1575" s="6" t="str">
        <f t="shared" si="49"/>
        <v>Paper and Paper Products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</row>
    <row r="1576" spans="1:9">
      <c r="A1576" s="6">
        <v>14</v>
      </c>
      <c r="B1576" s="6" t="str">
        <f t="shared" si="48"/>
        <v>Non-Metal Ore</v>
      </c>
      <c r="C1576" s="6">
        <v>25</v>
      </c>
      <c r="D1576" s="6" t="str">
        <f t="shared" si="49"/>
        <v>Paper and Paper Products</v>
      </c>
      <c r="E1576" s="6">
        <v>410497</v>
      </c>
      <c r="F1576" s="6">
        <v>43886</v>
      </c>
      <c r="G1576" s="6">
        <v>0</v>
      </c>
      <c r="H1576" s="6">
        <v>38553</v>
      </c>
      <c r="I1576" s="6">
        <v>36439</v>
      </c>
    </row>
    <row r="1577" spans="1:9">
      <c r="A1577" s="6">
        <v>15</v>
      </c>
      <c r="B1577" s="6" t="str">
        <f t="shared" si="48"/>
        <v>Slaughtering</v>
      </c>
      <c r="C1577" s="6">
        <v>25</v>
      </c>
      <c r="D1577" s="6" t="str">
        <f t="shared" si="49"/>
        <v>Paper and Paper Products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</row>
    <row r="1578" spans="1:9">
      <c r="A1578" s="6">
        <v>16</v>
      </c>
      <c r="B1578" s="6" t="str">
        <f t="shared" si="48"/>
        <v>Processing and Presering of Foods</v>
      </c>
      <c r="C1578" s="6">
        <v>25</v>
      </c>
      <c r="D1578" s="6" t="str">
        <f t="shared" si="49"/>
        <v>Paper and Paper Products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</row>
    <row r="1579" spans="1:9">
      <c r="A1579" s="6">
        <v>17</v>
      </c>
      <c r="B1579" s="6" t="str">
        <f t="shared" si="48"/>
        <v>Rice and Other Grain Milling</v>
      </c>
      <c r="C1579" s="6">
        <v>25</v>
      </c>
      <c r="D1579" s="6" t="str">
        <f t="shared" si="49"/>
        <v>Paper and Paper Products</v>
      </c>
      <c r="E1579" s="6">
        <v>327252</v>
      </c>
      <c r="F1579" s="6">
        <v>213</v>
      </c>
      <c r="G1579" s="6">
        <v>27962</v>
      </c>
      <c r="H1579" s="6">
        <v>3157</v>
      </c>
      <c r="I1579" s="6">
        <v>77258</v>
      </c>
    </row>
    <row r="1580" spans="1:9">
      <c r="A1580" s="6">
        <v>18</v>
      </c>
      <c r="B1580" s="6" t="str">
        <f t="shared" si="48"/>
        <v>Sugar Refineries</v>
      </c>
      <c r="C1580" s="6">
        <v>25</v>
      </c>
      <c r="D1580" s="6" t="str">
        <f t="shared" si="49"/>
        <v>Paper and Paper Products</v>
      </c>
      <c r="E1580" s="6">
        <v>1572475</v>
      </c>
      <c r="F1580" s="6">
        <v>101313</v>
      </c>
      <c r="G1580" s="6">
        <v>100717</v>
      </c>
      <c r="H1580" s="6">
        <v>29048</v>
      </c>
      <c r="I1580" s="6">
        <v>0</v>
      </c>
    </row>
    <row r="1581" spans="1:9">
      <c r="A1581" s="6">
        <v>19</v>
      </c>
      <c r="B1581" s="6" t="str">
        <f t="shared" si="48"/>
        <v>Other Foods</v>
      </c>
      <c r="C1581" s="6">
        <v>25</v>
      </c>
      <c r="D1581" s="6" t="str">
        <f t="shared" si="49"/>
        <v>Paper and Paper Products</v>
      </c>
      <c r="E1581" s="6">
        <v>10757</v>
      </c>
      <c r="F1581" s="6">
        <v>1020</v>
      </c>
      <c r="G1581" s="6">
        <v>336</v>
      </c>
      <c r="H1581" s="6">
        <v>151</v>
      </c>
      <c r="I1581" s="6">
        <v>0</v>
      </c>
    </row>
    <row r="1582" spans="1:9">
      <c r="A1582" s="6">
        <v>20</v>
      </c>
      <c r="B1582" s="6" t="str">
        <f t="shared" si="48"/>
        <v>Animal Food</v>
      </c>
      <c r="C1582" s="6">
        <v>25</v>
      </c>
      <c r="D1582" s="6" t="str">
        <f t="shared" si="49"/>
        <v>Paper and Paper Products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</row>
    <row r="1583" spans="1:9">
      <c r="A1583" s="6">
        <v>21</v>
      </c>
      <c r="B1583" s="6" t="str">
        <f t="shared" si="48"/>
        <v>Beverages</v>
      </c>
      <c r="C1583" s="6">
        <v>25</v>
      </c>
      <c r="D1583" s="6" t="str">
        <f t="shared" si="49"/>
        <v>Paper and Paper Products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</row>
    <row r="1584" spans="1:9">
      <c r="A1584" s="6">
        <v>22</v>
      </c>
      <c r="B1584" s="6" t="str">
        <f t="shared" si="48"/>
        <v>Tobacco Processing and Products</v>
      </c>
      <c r="C1584" s="6">
        <v>25</v>
      </c>
      <c r="D1584" s="6" t="str">
        <f t="shared" si="49"/>
        <v>Paper and Paper Products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</row>
    <row r="1585" spans="1:9">
      <c r="A1585" s="6">
        <v>23</v>
      </c>
      <c r="B1585" s="6" t="str">
        <f t="shared" si="48"/>
        <v>Spinning, Weaving and Bleaching</v>
      </c>
      <c r="C1585" s="6">
        <v>25</v>
      </c>
      <c r="D1585" s="6" t="str">
        <f t="shared" si="49"/>
        <v>Paper and Paper Products</v>
      </c>
      <c r="E1585" s="6">
        <v>28378</v>
      </c>
      <c r="F1585" s="6">
        <v>155</v>
      </c>
      <c r="G1585" s="6">
        <v>99</v>
      </c>
      <c r="H1585" s="6">
        <v>86</v>
      </c>
      <c r="I1585" s="6">
        <v>0</v>
      </c>
    </row>
    <row r="1586" spans="1:9">
      <c r="A1586" s="6">
        <v>24</v>
      </c>
      <c r="B1586" s="6" t="str">
        <f t="shared" si="48"/>
        <v>Textile Products</v>
      </c>
      <c r="C1586" s="6">
        <v>25</v>
      </c>
      <c r="D1586" s="6" t="str">
        <f t="shared" si="49"/>
        <v>Paper and Paper Products</v>
      </c>
      <c r="E1586" s="6">
        <v>18632</v>
      </c>
      <c r="F1586" s="6">
        <v>3533</v>
      </c>
      <c r="G1586" s="6">
        <v>3717</v>
      </c>
      <c r="H1586" s="6">
        <v>100</v>
      </c>
      <c r="I1586" s="6">
        <v>0</v>
      </c>
    </row>
    <row r="1587" spans="1:9">
      <c r="A1587" s="6">
        <v>25</v>
      </c>
      <c r="B1587" s="6" t="str">
        <f t="shared" si="48"/>
        <v>Paper and Paper Products</v>
      </c>
      <c r="C1587" s="6">
        <v>25</v>
      </c>
      <c r="D1587" s="6" t="str">
        <f t="shared" si="49"/>
        <v>Paper and Paper Products</v>
      </c>
      <c r="E1587" s="6">
        <v>88412212</v>
      </c>
      <c r="F1587" s="6">
        <v>6919846</v>
      </c>
      <c r="G1587" s="6">
        <v>6690020</v>
      </c>
      <c r="H1587" s="6">
        <v>1610924</v>
      </c>
      <c r="I1587" s="6">
        <v>65383657</v>
      </c>
    </row>
    <row r="1588" spans="1:9">
      <c r="A1588" s="6">
        <v>26</v>
      </c>
      <c r="B1588" s="6" t="str">
        <f t="shared" si="48"/>
        <v>Printing and Publishing</v>
      </c>
      <c r="C1588" s="6">
        <v>25</v>
      </c>
      <c r="D1588" s="6" t="str">
        <f t="shared" si="49"/>
        <v>Paper and Paper Products</v>
      </c>
      <c r="E1588" s="6">
        <v>5709</v>
      </c>
      <c r="F1588" s="6">
        <v>363</v>
      </c>
      <c r="G1588" s="6">
        <v>567</v>
      </c>
      <c r="H1588" s="6">
        <v>51</v>
      </c>
      <c r="I1588" s="6">
        <v>0</v>
      </c>
    </row>
    <row r="1589" spans="1:9">
      <c r="A1589" s="6">
        <v>27</v>
      </c>
      <c r="B1589" s="6" t="str">
        <f t="shared" si="48"/>
        <v>Basic Chemical Products</v>
      </c>
      <c r="C1589" s="6">
        <v>25</v>
      </c>
      <c r="D1589" s="6" t="str">
        <f t="shared" si="49"/>
        <v>Paper and Paper Products</v>
      </c>
      <c r="E1589" s="6">
        <v>10463460</v>
      </c>
      <c r="F1589" s="6">
        <v>1290179</v>
      </c>
      <c r="G1589" s="6">
        <v>893131</v>
      </c>
      <c r="H1589" s="6">
        <v>237014</v>
      </c>
      <c r="I1589" s="6">
        <v>6133387</v>
      </c>
    </row>
    <row r="1590" spans="1:9">
      <c r="A1590" s="6">
        <v>28</v>
      </c>
      <c r="B1590" s="6" t="str">
        <f t="shared" si="48"/>
        <v>Fertilizer and Pesticides</v>
      </c>
      <c r="C1590" s="6">
        <v>25</v>
      </c>
      <c r="D1590" s="6" t="str">
        <f t="shared" si="49"/>
        <v>Paper and Paper Products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</row>
    <row r="1591" spans="1:9">
      <c r="A1591" s="6">
        <v>29</v>
      </c>
      <c r="B1591" s="6" t="str">
        <f t="shared" si="48"/>
        <v>Other Chemical Products</v>
      </c>
      <c r="C1591" s="6">
        <v>25</v>
      </c>
      <c r="D1591" s="6" t="str">
        <f t="shared" si="49"/>
        <v>Paper and Paper Products</v>
      </c>
      <c r="E1591" s="6">
        <v>8219020</v>
      </c>
      <c r="F1591" s="6">
        <v>1123431</v>
      </c>
      <c r="G1591" s="6">
        <v>947057</v>
      </c>
      <c r="H1591" s="6">
        <v>130168</v>
      </c>
      <c r="I1591" s="6">
        <v>4934856</v>
      </c>
    </row>
    <row r="1592" spans="1:9">
      <c r="A1592" s="6">
        <v>30</v>
      </c>
      <c r="B1592" s="6" t="str">
        <f t="shared" si="48"/>
        <v>Petroleum Refineries</v>
      </c>
      <c r="C1592" s="6">
        <v>25</v>
      </c>
      <c r="D1592" s="6" t="str">
        <f t="shared" si="49"/>
        <v>Paper and Paper Products</v>
      </c>
      <c r="E1592" s="6">
        <v>1807902</v>
      </c>
      <c r="F1592" s="6">
        <v>141482</v>
      </c>
      <c r="G1592" s="6">
        <v>120548</v>
      </c>
      <c r="H1592" s="6">
        <v>22231</v>
      </c>
      <c r="I1592" s="6">
        <v>325827</v>
      </c>
    </row>
    <row r="1593" spans="1:9">
      <c r="A1593" s="6">
        <v>31</v>
      </c>
      <c r="B1593" s="6" t="str">
        <f t="shared" si="48"/>
        <v>Rubber Products</v>
      </c>
      <c r="C1593" s="6">
        <v>25</v>
      </c>
      <c r="D1593" s="6" t="str">
        <f t="shared" si="49"/>
        <v>Paper and Paper Products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</row>
    <row r="1594" spans="1:9">
      <c r="A1594" s="6">
        <v>32</v>
      </c>
      <c r="B1594" s="6" t="str">
        <f t="shared" si="48"/>
        <v>Plastic Wares</v>
      </c>
      <c r="C1594" s="6">
        <v>25</v>
      </c>
      <c r="D1594" s="6" t="str">
        <f t="shared" si="49"/>
        <v>Paper and Paper Products</v>
      </c>
      <c r="E1594" s="6">
        <v>1890973</v>
      </c>
      <c r="F1594" s="6">
        <v>32897</v>
      </c>
      <c r="G1594" s="6">
        <v>45072</v>
      </c>
      <c r="H1594" s="6">
        <v>14756</v>
      </c>
      <c r="I1594" s="6">
        <v>876662</v>
      </c>
    </row>
    <row r="1595" spans="1:9">
      <c r="A1595" s="6">
        <v>33</v>
      </c>
      <c r="B1595" s="6" t="str">
        <f t="shared" si="48"/>
        <v>Cement and Concrete Products</v>
      </c>
      <c r="C1595" s="6">
        <v>25</v>
      </c>
      <c r="D1595" s="6" t="str">
        <f t="shared" si="49"/>
        <v>Paper and Paper Products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</row>
    <row r="1596" spans="1:9">
      <c r="A1596" s="6">
        <v>34</v>
      </c>
      <c r="B1596" s="6" t="str">
        <f t="shared" si="48"/>
        <v>Other Non-metallic Products</v>
      </c>
      <c r="C1596" s="6">
        <v>25</v>
      </c>
      <c r="D1596" s="6" t="str">
        <f t="shared" si="49"/>
        <v>Paper and Paper Products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</row>
    <row r="1597" spans="1:9">
      <c r="A1597" s="6">
        <v>35</v>
      </c>
      <c r="B1597" s="6" t="str">
        <f t="shared" si="48"/>
        <v>Iron and Steel</v>
      </c>
      <c r="C1597" s="6">
        <v>25</v>
      </c>
      <c r="D1597" s="6" t="str">
        <f t="shared" si="49"/>
        <v>Paper and Paper Products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</row>
    <row r="1598" spans="1:9">
      <c r="A1598" s="6">
        <v>36</v>
      </c>
      <c r="B1598" s="6" t="str">
        <f t="shared" si="48"/>
        <v>Non-ferrous Metal</v>
      </c>
      <c r="C1598" s="6">
        <v>25</v>
      </c>
      <c r="D1598" s="6" t="str">
        <f t="shared" si="49"/>
        <v>Paper and Paper Products</v>
      </c>
      <c r="E1598" s="6">
        <v>15867</v>
      </c>
      <c r="F1598" s="6">
        <v>514</v>
      </c>
      <c r="G1598" s="6">
        <v>495</v>
      </c>
      <c r="H1598" s="6">
        <v>0</v>
      </c>
      <c r="I1598" s="6">
        <v>9468</v>
      </c>
    </row>
    <row r="1599" spans="1:9">
      <c r="A1599" s="6">
        <v>37</v>
      </c>
      <c r="B1599" s="6" t="str">
        <f t="shared" si="48"/>
        <v>Fabricated Metal Products</v>
      </c>
      <c r="C1599" s="6">
        <v>25</v>
      </c>
      <c r="D1599" s="6" t="str">
        <f t="shared" si="49"/>
        <v>Paper and Paper Products</v>
      </c>
      <c r="E1599" s="6">
        <v>1398979</v>
      </c>
      <c r="F1599" s="6">
        <v>18862</v>
      </c>
      <c r="G1599" s="6">
        <v>39967</v>
      </c>
      <c r="H1599" s="6">
        <v>2683</v>
      </c>
      <c r="I1599" s="6">
        <v>1121681</v>
      </c>
    </row>
    <row r="1600" spans="1:9">
      <c r="A1600" s="6">
        <v>38</v>
      </c>
      <c r="B1600" s="6" t="str">
        <f t="shared" si="48"/>
        <v>Industrial Machinery</v>
      </c>
      <c r="C1600" s="6">
        <v>25</v>
      </c>
      <c r="D1600" s="6" t="str">
        <f t="shared" si="49"/>
        <v>Paper and Paper Products</v>
      </c>
      <c r="E1600" s="6">
        <v>1075781</v>
      </c>
      <c r="F1600" s="6">
        <v>39918</v>
      </c>
      <c r="G1600" s="6">
        <v>0</v>
      </c>
      <c r="H1600" s="6">
        <v>10559</v>
      </c>
      <c r="I1600" s="6">
        <v>0</v>
      </c>
    </row>
    <row r="1601" spans="1:9">
      <c r="A1601" s="6">
        <v>39</v>
      </c>
      <c r="B1601" s="6" t="str">
        <f t="shared" si="48"/>
        <v>Electrical Machinery and Apparatus</v>
      </c>
      <c r="C1601" s="6">
        <v>25</v>
      </c>
      <c r="D1601" s="6" t="str">
        <f t="shared" si="49"/>
        <v>Paper and Paper Products</v>
      </c>
      <c r="E1601" s="6">
        <v>188390</v>
      </c>
      <c r="F1601" s="6">
        <v>6430</v>
      </c>
      <c r="G1601" s="6">
        <v>0</v>
      </c>
      <c r="H1601" s="6">
        <v>1572</v>
      </c>
      <c r="I1601" s="6">
        <v>0</v>
      </c>
    </row>
    <row r="1602" spans="1:9">
      <c r="A1602" s="6">
        <v>40</v>
      </c>
      <c r="B1602" s="6" t="str">
        <f t="shared" si="48"/>
        <v>Motor Vehicles and Repairing</v>
      </c>
      <c r="C1602" s="6">
        <v>25</v>
      </c>
      <c r="D1602" s="6" t="str">
        <f t="shared" si="49"/>
        <v>Paper and Paper Products</v>
      </c>
      <c r="E1602" s="6">
        <v>222659</v>
      </c>
      <c r="F1602" s="6">
        <v>0</v>
      </c>
      <c r="G1602" s="6">
        <v>0</v>
      </c>
      <c r="H1602" s="6">
        <v>0</v>
      </c>
      <c r="I1602" s="6">
        <v>0</v>
      </c>
    </row>
    <row r="1603" spans="1:9">
      <c r="A1603" s="6">
        <v>41</v>
      </c>
      <c r="B1603" s="6" t="str">
        <f t="shared" si="48"/>
        <v>Other Transportation Equipment</v>
      </c>
      <c r="C1603" s="6">
        <v>25</v>
      </c>
      <c r="D1603" s="6" t="str">
        <f t="shared" si="49"/>
        <v>Paper and Paper Products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</row>
    <row r="1604" spans="1:9">
      <c r="A1604" s="6">
        <v>42</v>
      </c>
      <c r="B1604" s="6" t="str">
        <f t="shared" ref="B1604:B1667" si="50">VLOOKUP(A1604,R:S,2,0)</f>
        <v>Leather Products</v>
      </c>
      <c r="C1604" s="6">
        <v>25</v>
      </c>
      <c r="D1604" s="6" t="str">
        <f t="shared" ref="D1604:D1667" si="51">VLOOKUP(C1604,R:S,2,0)</f>
        <v>Paper and Paper Products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</row>
    <row r="1605" spans="1:9">
      <c r="A1605" s="6">
        <v>43</v>
      </c>
      <c r="B1605" s="6" t="str">
        <f t="shared" si="50"/>
        <v>Saw Mills and Wood Products</v>
      </c>
      <c r="C1605" s="6">
        <v>25</v>
      </c>
      <c r="D1605" s="6" t="str">
        <f t="shared" si="51"/>
        <v>Paper and Paper Products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</row>
    <row r="1606" spans="1:9">
      <c r="A1606" s="6">
        <v>44</v>
      </c>
      <c r="B1606" s="6" t="str">
        <f t="shared" si="50"/>
        <v>Other Manufacturing Products</v>
      </c>
      <c r="C1606" s="6">
        <v>25</v>
      </c>
      <c r="D1606" s="6" t="str">
        <f t="shared" si="51"/>
        <v>Paper and Paper Products</v>
      </c>
      <c r="E1606" s="6">
        <v>390953</v>
      </c>
      <c r="F1606" s="6">
        <v>31611</v>
      </c>
      <c r="G1606" s="6">
        <v>51688</v>
      </c>
      <c r="H1606" s="6">
        <v>4080</v>
      </c>
      <c r="I1606" s="6">
        <v>0</v>
      </c>
    </row>
    <row r="1607" spans="1:9">
      <c r="A1607" s="6">
        <v>45</v>
      </c>
      <c r="B1607" s="6" t="str">
        <f t="shared" si="50"/>
        <v>Electricity and Gas</v>
      </c>
      <c r="C1607" s="6">
        <v>25</v>
      </c>
      <c r="D1607" s="6" t="str">
        <f t="shared" si="51"/>
        <v>Paper and Paper Products</v>
      </c>
      <c r="E1607" s="6">
        <v>5747087</v>
      </c>
      <c r="F1607" s="6">
        <v>3219</v>
      </c>
      <c r="G1607" s="6">
        <v>6157</v>
      </c>
      <c r="H1607" s="6">
        <v>1883</v>
      </c>
      <c r="I1607" s="6">
        <v>0</v>
      </c>
    </row>
    <row r="1608" spans="1:9">
      <c r="A1608" s="6">
        <v>46</v>
      </c>
      <c r="B1608" s="6" t="str">
        <f t="shared" si="50"/>
        <v>Water Works and Supply</v>
      </c>
      <c r="C1608" s="6">
        <v>25</v>
      </c>
      <c r="D1608" s="6" t="str">
        <f t="shared" si="51"/>
        <v>Paper and Paper Products</v>
      </c>
      <c r="E1608" s="6">
        <v>240453</v>
      </c>
      <c r="F1608" s="6">
        <v>0</v>
      </c>
      <c r="G1608" s="6">
        <v>0</v>
      </c>
      <c r="H1608" s="6">
        <v>0</v>
      </c>
      <c r="I1608" s="6">
        <v>0</v>
      </c>
    </row>
    <row r="1609" spans="1:9">
      <c r="A1609" s="6">
        <v>47</v>
      </c>
      <c r="B1609" s="6" t="str">
        <f t="shared" si="50"/>
        <v>Building Construction</v>
      </c>
      <c r="C1609" s="6">
        <v>25</v>
      </c>
      <c r="D1609" s="6" t="str">
        <f t="shared" si="51"/>
        <v>Paper and Paper Products</v>
      </c>
      <c r="E1609" s="6">
        <v>166994</v>
      </c>
      <c r="F1609" s="6">
        <v>0</v>
      </c>
      <c r="G1609" s="6">
        <v>0</v>
      </c>
      <c r="H1609" s="6">
        <v>0</v>
      </c>
      <c r="I1609" s="6">
        <v>0</v>
      </c>
    </row>
    <row r="1610" spans="1:9">
      <c r="A1610" s="6">
        <v>48</v>
      </c>
      <c r="B1610" s="6" t="str">
        <f t="shared" si="50"/>
        <v>Public Works and Other Construction</v>
      </c>
      <c r="C1610" s="6">
        <v>25</v>
      </c>
      <c r="D1610" s="6" t="str">
        <f t="shared" si="51"/>
        <v>Paper and Paper Products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</row>
    <row r="1611" spans="1:9">
      <c r="A1611" s="6">
        <v>49</v>
      </c>
      <c r="B1611" s="6" t="str">
        <f t="shared" si="50"/>
        <v>Trade</v>
      </c>
      <c r="C1611" s="6">
        <v>25</v>
      </c>
      <c r="D1611" s="6" t="str">
        <f t="shared" si="51"/>
        <v>Paper and Paper Products</v>
      </c>
      <c r="E1611" s="6">
        <v>0</v>
      </c>
      <c r="F1611" s="6">
        <v>-10161757</v>
      </c>
      <c r="G1611" s="6">
        <v>-8927533</v>
      </c>
      <c r="H1611" s="6">
        <v>0</v>
      </c>
      <c r="I1611" s="6">
        <v>0</v>
      </c>
    </row>
    <row r="1612" spans="1:9">
      <c r="A1612" s="6">
        <v>50</v>
      </c>
      <c r="B1612" s="6" t="str">
        <f t="shared" si="50"/>
        <v>Restaurants and Hotels</v>
      </c>
      <c r="C1612" s="6">
        <v>25</v>
      </c>
      <c r="D1612" s="6" t="str">
        <f t="shared" si="51"/>
        <v>Paper and Paper Products</v>
      </c>
      <c r="E1612" s="6">
        <v>240779</v>
      </c>
      <c r="F1612" s="6">
        <v>0</v>
      </c>
      <c r="G1612" s="6">
        <v>0</v>
      </c>
      <c r="H1612" s="6">
        <v>0</v>
      </c>
      <c r="I1612" s="6">
        <v>0</v>
      </c>
    </row>
    <row r="1613" spans="1:9">
      <c r="A1613" s="6">
        <v>51</v>
      </c>
      <c r="B1613" s="6" t="str">
        <f t="shared" si="50"/>
        <v>Transportation</v>
      </c>
      <c r="C1613" s="6">
        <v>25</v>
      </c>
      <c r="D1613" s="6" t="str">
        <f t="shared" si="51"/>
        <v>Paper and Paper Products</v>
      </c>
      <c r="E1613" s="6">
        <v>418455</v>
      </c>
      <c r="F1613" s="6">
        <v>0</v>
      </c>
      <c r="G1613" s="6">
        <v>0</v>
      </c>
      <c r="H1613" s="6">
        <v>-2189489</v>
      </c>
      <c r="I1613" s="6">
        <v>0</v>
      </c>
    </row>
    <row r="1614" spans="1:9">
      <c r="A1614" s="6">
        <v>52</v>
      </c>
      <c r="B1614" s="6" t="str">
        <f t="shared" si="50"/>
        <v>Communication</v>
      </c>
      <c r="C1614" s="6">
        <v>25</v>
      </c>
      <c r="D1614" s="6" t="str">
        <f t="shared" si="51"/>
        <v>Paper and Paper Products</v>
      </c>
      <c r="E1614" s="6">
        <v>410663</v>
      </c>
      <c r="F1614" s="6">
        <v>0</v>
      </c>
      <c r="G1614" s="6">
        <v>0</v>
      </c>
      <c r="H1614" s="6">
        <v>0</v>
      </c>
      <c r="I1614" s="6">
        <v>0</v>
      </c>
    </row>
    <row r="1615" spans="1:9">
      <c r="A1615" s="6">
        <v>53</v>
      </c>
      <c r="B1615" s="6" t="str">
        <f t="shared" si="50"/>
        <v>Banking and Insurance</v>
      </c>
      <c r="C1615" s="6">
        <v>25</v>
      </c>
      <c r="D1615" s="6" t="str">
        <f t="shared" si="51"/>
        <v>Paper and Paper Products</v>
      </c>
      <c r="E1615" s="6">
        <v>3399780</v>
      </c>
      <c r="F1615" s="6">
        <v>0</v>
      </c>
      <c r="G1615" s="6">
        <v>0</v>
      </c>
      <c r="H1615" s="6">
        <v>0</v>
      </c>
      <c r="I1615" s="6">
        <v>0</v>
      </c>
    </row>
    <row r="1616" spans="1:9">
      <c r="A1616" s="6">
        <v>54</v>
      </c>
      <c r="B1616" s="6" t="str">
        <f t="shared" si="50"/>
        <v>Real Estate</v>
      </c>
      <c r="C1616" s="6">
        <v>25</v>
      </c>
      <c r="D1616" s="6" t="str">
        <f t="shared" si="51"/>
        <v>Paper and Paper Products</v>
      </c>
      <c r="E1616" s="6">
        <v>143569</v>
      </c>
      <c r="F1616" s="6">
        <v>0</v>
      </c>
      <c r="G1616" s="6">
        <v>0</v>
      </c>
      <c r="H1616" s="6">
        <v>0</v>
      </c>
      <c r="I1616" s="6">
        <v>0</v>
      </c>
    </row>
    <row r="1617" spans="1:9">
      <c r="A1617" s="6">
        <v>55</v>
      </c>
      <c r="B1617" s="6" t="str">
        <f t="shared" si="50"/>
        <v>Business Services</v>
      </c>
      <c r="C1617" s="6">
        <v>25</v>
      </c>
      <c r="D1617" s="6" t="str">
        <f t="shared" si="51"/>
        <v>Paper and Paper Products</v>
      </c>
      <c r="E1617" s="6">
        <v>5334616</v>
      </c>
      <c r="F1617" s="6">
        <v>0</v>
      </c>
      <c r="G1617" s="6">
        <v>0</v>
      </c>
      <c r="H1617" s="6">
        <v>0</v>
      </c>
      <c r="I1617" s="6">
        <v>0</v>
      </c>
    </row>
    <row r="1618" spans="1:9">
      <c r="A1618" s="6">
        <v>56</v>
      </c>
      <c r="B1618" s="6" t="str">
        <f t="shared" si="50"/>
        <v>Public Services</v>
      </c>
      <c r="C1618" s="6">
        <v>25</v>
      </c>
      <c r="D1618" s="6" t="str">
        <f t="shared" si="51"/>
        <v>Paper and Paper Products</v>
      </c>
      <c r="E1618" s="6">
        <v>279363</v>
      </c>
      <c r="F1618" s="6">
        <v>0</v>
      </c>
      <c r="G1618" s="6">
        <v>0</v>
      </c>
      <c r="H1618" s="6">
        <v>0</v>
      </c>
      <c r="I1618" s="6">
        <v>0</v>
      </c>
    </row>
    <row r="1619" spans="1:9">
      <c r="A1619" s="6">
        <v>57</v>
      </c>
      <c r="B1619" s="6" t="str">
        <f t="shared" si="50"/>
        <v>Other Services</v>
      </c>
      <c r="C1619" s="6">
        <v>25</v>
      </c>
      <c r="D1619" s="6" t="str">
        <f t="shared" si="51"/>
        <v>Paper and Paper Products</v>
      </c>
      <c r="E1619" s="6">
        <v>163777</v>
      </c>
      <c r="F1619" s="6">
        <v>0</v>
      </c>
      <c r="G1619" s="6">
        <v>0</v>
      </c>
      <c r="H1619" s="6">
        <v>0</v>
      </c>
      <c r="I1619" s="6">
        <v>0</v>
      </c>
    </row>
    <row r="1620" spans="1:9">
      <c r="A1620" s="6">
        <v>58</v>
      </c>
      <c r="B1620" s="6" t="str">
        <f t="shared" si="50"/>
        <v>Unclassified</v>
      </c>
      <c r="C1620" s="6">
        <v>25</v>
      </c>
      <c r="D1620" s="6" t="str">
        <f t="shared" si="51"/>
        <v>Paper and Paper Products</v>
      </c>
      <c r="E1620" s="6">
        <v>885677</v>
      </c>
      <c r="F1620" s="6">
        <v>0</v>
      </c>
      <c r="G1620" s="6">
        <v>0</v>
      </c>
      <c r="H1620" s="6">
        <v>0</v>
      </c>
      <c r="I1620" s="6">
        <v>102627</v>
      </c>
    </row>
    <row r="1621" spans="1:9">
      <c r="A1621" s="6">
        <v>190</v>
      </c>
      <c r="B1621" s="6" t="str">
        <f t="shared" si="50"/>
        <v>Total Intermedite Transaction</v>
      </c>
      <c r="C1621" s="6">
        <v>25</v>
      </c>
      <c r="D1621" s="6" t="str">
        <f t="shared" si="51"/>
        <v>Paper and Paper Products</v>
      </c>
      <c r="E1621" s="6">
        <v>140145752</v>
      </c>
      <c r="F1621" s="6">
        <v>0</v>
      </c>
      <c r="G1621" s="6">
        <v>0</v>
      </c>
      <c r="H1621" s="6">
        <v>0</v>
      </c>
      <c r="I1621" s="6">
        <v>79004658</v>
      </c>
    </row>
    <row r="1622" spans="1:9">
      <c r="A1622" s="6">
        <v>201</v>
      </c>
      <c r="B1622" s="6" t="str">
        <f t="shared" si="50"/>
        <v>Wages and Salaries</v>
      </c>
      <c r="C1622" s="6">
        <v>25</v>
      </c>
      <c r="D1622" s="6" t="str">
        <f t="shared" si="51"/>
        <v>Paper and Paper Products</v>
      </c>
      <c r="E1622" s="6">
        <v>16018297</v>
      </c>
      <c r="F1622" s="6">
        <v>0</v>
      </c>
      <c r="G1622" s="6">
        <v>0</v>
      </c>
      <c r="H1622" s="6">
        <v>0</v>
      </c>
      <c r="I1622" s="6">
        <v>0</v>
      </c>
    </row>
    <row r="1623" spans="1:9">
      <c r="A1623" s="6">
        <v>202</v>
      </c>
      <c r="B1623" s="6" t="str">
        <f t="shared" si="50"/>
        <v>Operating Surplus</v>
      </c>
      <c r="C1623" s="6">
        <v>25</v>
      </c>
      <c r="D1623" s="6" t="str">
        <f t="shared" si="51"/>
        <v>Paper and Paper Products</v>
      </c>
      <c r="E1623" s="6">
        <v>26432469</v>
      </c>
      <c r="F1623" s="6">
        <v>0</v>
      </c>
      <c r="G1623" s="6">
        <v>0</v>
      </c>
      <c r="H1623" s="6">
        <v>0</v>
      </c>
      <c r="I1623" s="6">
        <v>0</v>
      </c>
    </row>
    <row r="1624" spans="1:9">
      <c r="A1624" s="6">
        <v>203</v>
      </c>
      <c r="B1624" s="6" t="str">
        <f t="shared" si="50"/>
        <v>Depreciation</v>
      </c>
      <c r="C1624" s="6">
        <v>25</v>
      </c>
      <c r="D1624" s="6" t="str">
        <f t="shared" si="51"/>
        <v>Paper and Paper Products</v>
      </c>
      <c r="E1624" s="6">
        <v>13748888</v>
      </c>
      <c r="F1624" s="6">
        <v>0</v>
      </c>
      <c r="G1624" s="6">
        <v>0</v>
      </c>
      <c r="H1624" s="6">
        <v>0</v>
      </c>
      <c r="I1624" s="6">
        <v>0</v>
      </c>
    </row>
    <row r="1625" spans="1:9">
      <c r="A1625" s="6">
        <v>204</v>
      </c>
      <c r="B1625" s="6" t="str">
        <f t="shared" si="50"/>
        <v>Indirect Taxes less Subsidies</v>
      </c>
      <c r="C1625" s="6">
        <v>25</v>
      </c>
      <c r="D1625" s="6" t="str">
        <f t="shared" si="51"/>
        <v>Paper and Paper Products</v>
      </c>
      <c r="E1625" s="6">
        <v>4237165</v>
      </c>
      <c r="F1625" s="6">
        <v>0</v>
      </c>
      <c r="G1625" s="6">
        <v>0</v>
      </c>
      <c r="H1625" s="6">
        <v>0</v>
      </c>
      <c r="I1625" s="6">
        <v>0</v>
      </c>
    </row>
    <row r="1626" spans="1:9">
      <c r="A1626" s="6">
        <v>209</v>
      </c>
      <c r="B1626" s="6" t="str">
        <f t="shared" si="50"/>
        <v>Total Value Added</v>
      </c>
      <c r="C1626" s="6">
        <v>25</v>
      </c>
      <c r="D1626" s="6" t="str">
        <f t="shared" si="51"/>
        <v>Paper and Paper Products</v>
      </c>
      <c r="E1626" s="6">
        <v>60436819</v>
      </c>
      <c r="F1626" s="6">
        <v>0</v>
      </c>
      <c r="G1626" s="6">
        <v>0</v>
      </c>
      <c r="H1626" s="6">
        <v>0</v>
      </c>
      <c r="I1626" s="6">
        <v>0</v>
      </c>
    </row>
    <row r="1627" spans="1:9">
      <c r="A1627" s="6">
        <v>210</v>
      </c>
      <c r="B1627" s="6" t="str">
        <f t="shared" si="50"/>
        <v>Control Total</v>
      </c>
      <c r="C1627" s="6">
        <v>25</v>
      </c>
      <c r="D1627" s="6" t="str">
        <f t="shared" si="51"/>
        <v>Paper and Paper Products</v>
      </c>
      <c r="E1627" s="6">
        <v>200582571</v>
      </c>
      <c r="F1627" s="6">
        <v>0</v>
      </c>
      <c r="G1627" s="6">
        <v>0</v>
      </c>
      <c r="H1627" s="6">
        <v>0</v>
      </c>
      <c r="I1627" s="6">
        <v>0</v>
      </c>
    </row>
    <row r="1628" spans="1:9">
      <c r="A1628" s="6">
        <v>1</v>
      </c>
      <c r="B1628" s="6" t="str">
        <f t="shared" si="50"/>
        <v>Paddy</v>
      </c>
      <c r="C1628" s="6">
        <v>26</v>
      </c>
      <c r="D1628" s="6" t="str">
        <f t="shared" si="51"/>
        <v>Printing and Publishing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</row>
    <row r="1629" spans="1:9">
      <c r="A1629" s="6">
        <v>2</v>
      </c>
      <c r="B1629" s="6" t="str">
        <f t="shared" si="50"/>
        <v>Maize</v>
      </c>
      <c r="C1629" s="6">
        <v>26</v>
      </c>
      <c r="D1629" s="6" t="str">
        <f t="shared" si="51"/>
        <v>Printing and Publishing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</row>
    <row r="1630" spans="1:9">
      <c r="A1630" s="6">
        <v>3</v>
      </c>
      <c r="B1630" s="6" t="str">
        <f t="shared" si="50"/>
        <v>Cassava</v>
      </c>
      <c r="C1630" s="6">
        <v>26</v>
      </c>
      <c r="D1630" s="6" t="str">
        <f t="shared" si="51"/>
        <v>Printing and Publishing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</row>
    <row r="1631" spans="1:9">
      <c r="A1631" s="6">
        <v>4</v>
      </c>
      <c r="B1631" s="6" t="str">
        <f t="shared" si="50"/>
        <v>Beans and Nuts</v>
      </c>
      <c r="C1631" s="6">
        <v>26</v>
      </c>
      <c r="D1631" s="6" t="str">
        <f t="shared" si="51"/>
        <v>Printing and Publishing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</row>
    <row r="1632" spans="1:9">
      <c r="A1632" s="6">
        <v>5</v>
      </c>
      <c r="B1632" s="6" t="str">
        <f t="shared" si="50"/>
        <v>Vegetables and Fruits</v>
      </c>
      <c r="C1632" s="6">
        <v>26</v>
      </c>
      <c r="D1632" s="6" t="str">
        <f t="shared" si="51"/>
        <v>Printing and Publishing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</row>
    <row r="1633" spans="1:9">
      <c r="A1633" s="6">
        <v>6</v>
      </c>
      <c r="B1633" s="6" t="str">
        <f t="shared" si="50"/>
        <v>Sugarcane</v>
      </c>
      <c r="C1633" s="6">
        <v>26</v>
      </c>
      <c r="D1633" s="6" t="str">
        <f t="shared" si="51"/>
        <v>Printing and Publishing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</row>
    <row r="1634" spans="1:9">
      <c r="A1634" s="6">
        <v>7</v>
      </c>
      <c r="B1634" s="6" t="str">
        <f t="shared" si="50"/>
        <v>Rubber (Latex)</v>
      </c>
      <c r="C1634" s="6">
        <v>26</v>
      </c>
      <c r="D1634" s="6" t="str">
        <f t="shared" si="51"/>
        <v>Printing and Publishing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</row>
    <row r="1635" spans="1:9">
      <c r="A1635" s="6">
        <v>8</v>
      </c>
      <c r="B1635" s="6" t="str">
        <f t="shared" si="50"/>
        <v>Other Crops</v>
      </c>
      <c r="C1635" s="6">
        <v>26</v>
      </c>
      <c r="D1635" s="6" t="str">
        <f t="shared" si="51"/>
        <v>Printing and Publishing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</row>
    <row r="1636" spans="1:9">
      <c r="A1636" s="6">
        <v>9</v>
      </c>
      <c r="B1636" s="6" t="str">
        <f t="shared" si="50"/>
        <v>Livestock</v>
      </c>
      <c r="C1636" s="6">
        <v>26</v>
      </c>
      <c r="D1636" s="6" t="str">
        <f t="shared" si="51"/>
        <v>Printing and Publishing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</row>
    <row r="1637" spans="1:9">
      <c r="A1637" s="6">
        <v>10</v>
      </c>
      <c r="B1637" s="6" t="str">
        <f t="shared" si="50"/>
        <v>Forestry</v>
      </c>
      <c r="C1637" s="6">
        <v>26</v>
      </c>
      <c r="D1637" s="6" t="str">
        <f t="shared" si="51"/>
        <v>Printing and Publishing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</row>
    <row r="1638" spans="1:9">
      <c r="A1638" s="6">
        <v>11</v>
      </c>
      <c r="B1638" s="6" t="str">
        <f t="shared" si="50"/>
        <v>Fishery</v>
      </c>
      <c r="C1638" s="6">
        <v>26</v>
      </c>
      <c r="D1638" s="6" t="str">
        <f t="shared" si="51"/>
        <v>Printing and Publishing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</row>
    <row r="1639" spans="1:9">
      <c r="A1639" s="6">
        <v>12</v>
      </c>
      <c r="B1639" s="6" t="str">
        <f t="shared" si="50"/>
        <v>Crude Oil and Coal</v>
      </c>
      <c r="C1639" s="6">
        <v>26</v>
      </c>
      <c r="D1639" s="6" t="str">
        <f t="shared" si="51"/>
        <v>Printing and Publishing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</row>
    <row r="1640" spans="1:9">
      <c r="A1640" s="6">
        <v>13</v>
      </c>
      <c r="B1640" s="6" t="str">
        <f t="shared" si="50"/>
        <v>Metal Ore</v>
      </c>
      <c r="C1640" s="6">
        <v>26</v>
      </c>
      <c r="D1640" s="6" t="str">
        <f t="shared" si="51"/>
        <v>Printing and Publishing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</row>
    <row r="1641" spans="1:9">
      <c r="A1641" s="6">
        <v>14</v>
      </c>
      <c r="B1641" s="6" t="str">
        <f t="shared" si="50"/>
        <v>Non-Metal Ore</v>
      </c>
      <c r="C1641" s="6">
        <v>26</v>
      </c>
      <c r="D1641" s="6" t="str">
        <f t="shared" si="51"/>
        <v>Printing and Publishing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</row>
    <row r="1642" spans="1:9">
      <c r="A1642" s="6">
        <v>15</v>
      </c>
      <c r="B1642" s="6" t="str">
        <f t="shared" si="50"/>
        <v>Slaughtering</v>
      </c>
      <c r="C1642" s="6">
        <v>26</v>
      </c>
      <c r="D1642" s="6" t="str">
        <f t="shared" si="51"/>
        <v>Printing and Publishing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</row>
    <row r="1643" spans="1:9">
      <c r="A1643" s="6">
        <v>16</v>
      </c>
      <c r="B1643" s="6" t="str">
        <f t="shared" si="50"/>
        <v>Processing and Presering of Foods</v>
      </c>
      <c r="C1643" s="6">
        <v>26</v>
      </c>
      <c r="D1643" s="6" t="str">
        <f t="shared" si="51"/>
        <v>Printing and Publishing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</row>
    <row r="1644" spans="1:9">
      <c r="A1644" s="6">
        <v>17</v>
      </c>
      <c r="B1644" s="6" t="str">
        <f t="shared" si="50"/>
        <v>Rice and Other Grain Milling</v>
      </c>
      <c r="C1644" s="6">
        <v>26</v>
      </c>
      <c r="D1644" s="6" t="str">
        <f t="shared" si="51"/>
        <v>Printing and Publishing</v>
      </c>
      <c r="E1644" s="6">
        <v>679</v>
      </c>
      <c r="F1644" s="6">
        <v>26</v>
      </c>
      <c r="G1644" s="6">
        <v>128</v>
      </c>
      <c r="H1644" s="6">
        <v>5</v>
      </c>
      <c r="I1644" s="6">
        <v>0</v>
      </c>
    </row>
    <row r="1645" spans="1:9">
      <c r="A1645" s="6">
        <v>18</v>
      </c>
      <c r="B1645" s="6" t="str">
        <f t="shared" si="50"/>
        <v>Sugar Refineries</v>
      </c>
      <c r="C1645" s="6">
        <v>26</v>
      </c>
      <c r="D1645" s="6" t="str">
        <f t="shared" si="51"/>
        <v>Printing and Publishing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</row>
    <row r="1646" spans="1:9">
      <c r="A1646" s="6">
        <v>19</v>
      </c>
      <c r="B1646" s="6" t="str">
        <f t="shared" si="50"/>
        <v>Other Foods</v>
      </c>
      <c r="C1646" s="6">
        <v>26</v>
      </c>
      <c r="D1646" s="6" t="str">
        <f t="shared" si="51"/>
        <v>Printing and Publishing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</row>
    <row r="1647" spans="1:9">
      <c r="A1647" s="6">
        <v>20</v>
      </c>
      <c r="B1647" s="6" t="str">
        <f t="shared" si="50"/>
        <v>Animal Food</v>
      </c>
      <c r="C1647" s="6">
        <v>26</v>
      </c>
      <c r="D1647" s="6" t="str">
        <f t="shared" si="51"/>
        <v>Printing and Publishing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</row>
    <row r="1648" spans="1:9">
      <c r="A1648" s="6">
        <v>21</v>
      </c>
      <c r="B1648" s="6" t="str">
        <f t="shared" si="50"/>
        <v>Beverages</v>
      </c>
      <c r="C1648" s="6">
        <v>26</v>
      </c>
      <c r="D1648" s="6" t="str">
        <f t="shared" si="51"/>
        <v>Printing and Publishing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</row>
    <row r="1649" spans="1:9">
      <c r="A1649" s="6">
        <v>22</v>
      </c>
      <c r="B1649" s="6" t="str">
        <f t="shared" si="50"/>
        <v>Tobacco Processing and Products</v>
      </c>
      <c r="C1649" s="6">
        <v>26</v>
      </c>
      <c r="D1649" s="6" t="str">
        <f t="shared" si="51"/>
        <v>Printing and Publishing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</row>
    <row r="1650" spans="1:9">
      <c r="A1650" s="6">
        <v>23</v>
      </c>
      <c r="B1650" s="6" t="str">
        <f t="shared" si="50"/>
        <v>Spinning, Weaving and Bleaching</v>
      </c>
      <c r="C1650" s="6">
        <v>26</v>
      </c>
      <c r="D1650" s="6" t="str">
        <f t="shared" si="51"/>
        <v>Printing and Publishing</v>
      </c>
      <c r="E1650" s="6">
        <v>8508</v>
      </c>
      <c r="F1650" s="6">
        <v>1171</v>
      </c>
      <c r="G1650" s="6">
        <v>388</v>
      </c>
      <c r="H1650" s="6">
        <v>19</v>
      </c>
      <c r="I1650" s="6">
        <v>0</v>
      </c>
    </row>
    <row r="1651" spans="1:9">
      <c r="A1651" s="6">
        <v>24</v>
      </c>
      <c r="B1651" s="6" t="str">
        <f t="shared" si="50"/>
        <v>Textile Products</v>
      </c>
      <c r="C1651" s="6">
        <v>26</v>
      </c>
      <c r="D1651" s="6" t="str">
        <f t="shared" si="51"/>
        <v>Printing and Publishing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</row>
    <row r="1652" spans="1:9">
      <c r="A1652" s="6">
        <v>25</v>
      </c>
      <c r="B1652" s="6" t="str">
        <f t="shared" si="50"/>
        <v>Paper and Paper Products</v>
      </c>
      <c r="C1652" s="6">
        <v>26</v>
      </c>
      <c r="D1652" s="6" t="str">
        <f t="shared" si="51"/>
        <v>Printing and Publishing</v>
      </c>
      <c r="E1652" s="6">
        <v>28566506</v>
      </c>
      <c r="F1652" s="6">
        <v>2896181</v>
      </c>
      <c r="G1652" s="6">
        <v>1707876</v>
      </c>
      <c r="H1652" s="6">
        <v>479595</v>
      </c>
      <c r="I1652" s="6">
        <v>19521956</v>
      </c>
    </row>
    <row r="1653" spans="1:9">
      <c r="A1653" s="6">
        <v>26</v>
      </c>
      <c r="B1653" s="6" t="str">
        <f t="shared" si="50"/>
        <v>Printing and Publishing</v>
      </c>
      <c r="C1653" s="6">
        <v>26</v>
      </c>
      <c r="D1653" s="6" t="str">
        <f t="shared" si="51"/>
        <v>Printing and Publishing</v>
      </c>
      <c r="E1653" s="6">
        <v>88813</v>
      </c>
      <c r="F1653" s="6">
        <v>9331</v>
      </c>
      <c r="G1653" s="6">
        <v>18663</v>
      </c>
      <c r="H1653" s="6">
        <v>955</v>
      </c>
      <c r="I1653" s="6">
        <v>37262</v>
      </c>
    </row>
    <row r="1654" spans="1:9">
      <c r="A1654" s="6">
        <v>27</v>
      </c>
      <c r="B1654" s="6" t="str">
        <f t="shared" si="50"/>
        <v>Basic Chemical Products</v>
      </c>
      <c r="C1654" s="6">
        <v>26</v>
      </c>
      <c r="D1654" s="6" t="str">
        <f t="shared" si="51"/>
        <v>Printing and Publishing</v>
      </c>
      <c r="E1654" s="6">
        <v>128175</v>
      </c>
      <c r="F1654" s="6">
        <v>11487</v>
      </c>
      <c r="G1654" s="6">
        <v>7782</v>
      </c>
      <c r="H1654" s="6">
        <v>2034</v>
      </c>
      <c r="I1654" s="6">
        <v>51591</v>
      </c>
    </row>
    <row r="1655" spans="1:9">
      <c r="A1655" s="6">
        <v>28</v>
      </c>
      <c r="B1655" s="6" t="str">
        <f t="shared" si="50"/>
        <v>Fertilizer and Pesticides</v>
      </c>
      <c r="C1655" s="6">
        <v>26</v>
      </c>
      <c r="D1655" s="6" t="str">
        <f t="shared" si="51"/>
        <v>Printing and Publishing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</row>
    <row r="1656" spans="1:9">
      <c r="A1656" s="6">
        <v>29</v>
      </c>
      <c r="B1656" s="6" t="str">
        <f t="shared" si="50"/>
        <v>Other Chemical Products</v>
      </c>
      <c r="C1656" s="6">
        <v>26</v>
      </c>
      <c r="D1656" s="6" t="str">
        <f t="shared" si="51"/>
        <v>Printing and Publishing</v>
      </c>
      <c r="E1656" s="6">
        <v>14181536</v>
      </c>
      <c r="F1656" s="6">
        <v>1282445</v>
      </c>
      <c r="G1656" s="6">
        <v>1246364</v>
      </c>
      <c r="H1656" s="6">
        <v>181757</v>
      </c>
      <c r="I1656" s="6">
        <v>10678065</v>
      </c>
    </row>
    <row r="1657" spans="1:9">
      <c r="A1657" s="6">
        <v>30</v>
      </c>
      <c r="B1657" s="6" t="str">
        <f t="shared" si="50"/>
        <v>Petroleum Refineries</v>
      </c>
      <c r="C1657" s="6">
        <v>26</v>
      </c>
      <c r="D1657" s="6" t="str">
        <f t="shared" si="51"/>
        <v>Printing and Publishing</v>
      </c>
      <c r="E1657" s="6">
        <v>376511</v>
      </c>
      <c r="F1657" s="6">
        <v>28914</v>
      </c>
      <c r="G1657" s="6">
        <v>28662</v>
      </c>
      <c r="H1657" s="6">
        <v>3418</v>
      </c>
      <c r="I1657" s="6">
        <v>66074</v>
      </c>
    </row>
    <row r="1658" spans="1:9">
      <c r="A1658" s="6">
        <v>31</v>
      </c>
      <c r="B1658" s="6" t="str">
        <f t="shared" si="50"/>
        <v>Rubber Products</v>
      </c>
      <c r="C1658" s="6">
        <v>26</v>
      </c>
      <c r="D1658" s="6" t="str">
        <f t="shared" si="51"/>
        <v>Printing and Publishing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</row>
    <row r="1659" spans="1:9">
      <c r="A1659" s="6">
        <v>32</v>
      </c>
      <c r="B1659" s="6" t="str">
        <f t="shared" si="50"/>
        <v>Plastic Wares</v>
      </c>
      <c r="C1659" s="6">
        <v>26</v>
      </c>
      <c r="D1659" s="6" t="str">
        <f t="shared" si="51"/>
        <v>Printing and Publishing</v>
      </c>
      <c r="E1659" s="6">
        <v>2314611</v>
      </c>
      <c r="F1659" s="6">
        <v>75969</v>
      </c>
      <c r="G1659" s="6">
        <v>80631</v>
      </c>
      <c r="H1659" s="6">
        <v>16550</v>
      </c>
      <c r="I1659" s="6">
        <v>1105522</v>
      </c>
    </row>
    <row r="1660" spans="1:9">
      <c r="A1660" s="6">
        <v>33</v>
      </c>
      <c r="B1660" s="6" t="str">
        <f t="shared" si="50"/>
        <v>Cement and Concrete Products</v>
      </c>
      <c r="C1660" s="6">
        <v>26</v>
      </c>
      <c r="D1660" s="6" t="str">
        <f t="shared" si="51"/>
        <v>Printing and Publishing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</row>
    <row r="1661" spans="1:9">
      <c r="A1661" s="6">
        <v>34</v>
      </c>
      <c r="B1661" s="6" t="str">
        <f t="shared" si="50"/>
        <v>Other Non-metallic Products</v>
      </c>
      <c r="C1661" s="6">
        <v>26</v>
      </c>
      <c r="D1661" s="6" t="str">
        <f t="shared" si="51"/>
        <v>Printing and Publishing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</row>
    <row r="1662" spans="1:9">
      <c r="A1662" s="6">
        <v>35</v>
      </c>
      <c r="B1662" s="6" t="str">
        <f t="shared" si="50"/>
        <v>Iron and Steel</v>
      </c>
      <c r="C1662" s="6">
        <v>26</v>
      </c>
      <c r="D1662" s="6" t="str">
        <f t="shared" si="51"/>
        <v>Printing and Publishing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</row>
    <row r="1663" spans="1:9">
      <c r="A1663" s="6">
        <v>36</v>
      </c>
      <c r="B1663" s="6" t="str">
        <f t="shared" si="50"/>
        <v>Non-ferrous Metal</v>
      </c>
      <c r="C1663" s="6">
        <v>26</v>
      </c>
      <c r="D1663" s="6" t="str">
        <f t="shared" si="51"/>
        <v>Printing and Publishing</v>
      </c>
      <c r="E1663" s="6">
        <v>204007</v>
      </c>
      <c r="F1663" s="6">
        <v>12065</v>
      </c>
      <c r="G1663" s="6">
        <v>4246</v>
      </c>
      <c r="H1663" s="6">
        <v>320</v>
      </c>
      <c r="I1663" s="6">
        <v>121360</v>
      </c>
    </row>
    <row r="1664" spans="1:9">
      <c r="A1664" s="6">
        <v>37</v>
      </c>
      <c r="B1664" s="6" t="str">
        <f t="shared" si="50"/>
        <v>Fabricated Metal Products</v>
      </c>
      <c r="C1664" s="6">
        <v>26</v>
      </c>
      <c r="D1664" s="6" t="str">
        <f t="shared" si="51"/>
        <v>Printing and Publishing</v>
      </c>
      <c r="E1664" s="6">
        <v>886601</v>
      </c>
      <c r="F1664" s="6">
        <v>15977</v>
      </c>
      <c r="G1664" s="6">
        <v>29343</v>
      </c>
      <c r="H1664" s="6">
        <v>1935</v>
      </c>
      <c r="I1664" s="6">
        <v>699630</v>
      </c>
    </row>
    <row r="1665" spans="1:9">
      <c r="A1665" s="6">
        <v>38</v>
      </c>
      <c r="B1665" s="6" t="str">
        <f t="shared" si="50"/>
        <v>Industrial Machinery</v>
      </c>
      <c r="C1665" s="6">
        <v>26</v>
      </c>
      <c r="D1665" s="6" t="str">
        <f t="shared" si="51"/>
        <v>Printing and Publishing</v>
      </c>
      <c r="E1665" s="6">
        <v>424837</v>
      </c>
      <c r="F1665" s="6">
        <v>30028</v>
      </c>
      <c r="G1665" s="6">
        <v>0</v>
      </c>
      <c r="H1665" s="6">
        <v>6809</v>
      </c>
      <c r="I1665" s="6">
        <v>0</v>
      </c>
    </row>
    <row r="1666" spans="1:9">
      <c r="A1666" s="6">
        <v>39</v>
      </c>
      <c r="B1666" s="6" t="str">
        <f t="shared" si="50"/>
        <v>Electrical Machinery and Apparatus</v>
      </c>
      <c r="C1666" s="6">
        <v>26</v>
      </c>
      <c r="D1666" s="6" t="str">
        <f t="shared" si="51"/>
        <v>Printing and Publishing</v>
      </c>
      <c r="E1666" s="6">
        <v>250248</v>
      </c>
      <c r="F1666" s="6">
        <v>9359</v>
      </c>
      <c r="G1666" s="6">
        <v>0</v>
      </c>
      <c r="H1666" s="6">
        <v>2138</v>
      </c>
      <c r="I1666" s="6">
        <v>0</v>
      </c>
    </row>
    <row r="1667" spans="1:9">
      <c r="A1667" s="6">
        <v>40</v>
      </c>
      <c r="B1667" s="6" t="str">
        <f t="shared" si="50"/>
        <v>Motor Vehicles and Repairing</v>
      </c>
      <c r="C1667" s="6">
        <v>26</v>
      </c>
      <c r="D1667" s="6" t="str">
        <f t="shared" si="51"/>
        <v>Printing and Publishing</v>
      </c>
      <c r="E1667" s="6">
        <v>62601</v>
      </c>
      <c r="F1667" s="6">
        <v>0</v>
      </c>
      <c r="G1667" s="6">
        <v>0</v>
      </c>
      <c r="H1667" s="6">
        <v>0</v>
      </c>
      <c r="I1667" s="6">
        <v>0</v>
      </c>
    </row>
    <row r="1668" spans="1:9">
      <c r="A1668" s="6">
        <v>41</v>
      </c>
      <c r="B1668" s="6" t="str">
        <f t="shared" ref="B1668:B1731" si="52">VLOOKUP(A1668,R:S,2,0)</f>
        <v>Other Transportation Equipment</v>
      </c>
      <c r="C1668" s="6">
        <v>26</v>
      </c>
      <c r="D1668" s="6" t="str">
        <f t="shared" ref="D1668:D1731" si="53">VLOOKUP(C1668,R:S,2,0)</f>
        <v>Printing and Publishing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</row>
    <row r="1669" spans="1:9">
      <c r="A1669" s="6">
        <v>42</v>
      </c>
      <c r="B1669" s="6" t="str">
        <f t="shared" si="52"/>
        <v>Leather Products</v>
      </c>
      <c r="C1669" s="6">
        <v>26</v>
      </c>
      <c r="D1669" s="6" t="str">
        <f t="shared" si="53"/>
        <v>Printing and Publishing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</row>
    <row r="1670" spans="1:9">
      <c r="A1670" s="6">
        <v>43</v>
      </c>
      <c r="B1670" s="6" t="str">
        <f t="shared" si="52"/>
        <v>Saw Mills and Wood Products</v>
      </c>
      <c r="C1670" s="6">
        <v>26</v>
      </c>
      <c r="D1670" s="6" t="str">
        <f t="shared" si="53"/>
        <v>Printing and Publishing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</row>
    <row r="1671" spans="1:9">
      <c r="A1671" s="6">
        <v>44</v>
      </c>
      <c r="B1671" s="6" t="str">
        <f t="shared" si="52"/>
        <v>Other Manufacturing Products</v>
      </c>
      <c r="C1671" s="6">
        <v>26</v>
      </c>
      <c r="D1671" s="6" t="str">
        <f t="shared" si="53"/>
        <v>Printing and Publishing</v>
      </c>
      <c r="E1671" s="6">
        <v>665214</v>
      </c>
      <c r="F1671" s="6">
        <v>44009</v>
      </c>
      <c r="G1671" s="6">
        <v>40307</v>
      </c>
      <c r="H1671" s="6">
        <v>7103</v>
      </c>
      <c r="I1671" s="6">
        <v>244248</v>
      </c>
    </row>
    <row r="1672" spans="1:9">
      <c r="A1672" s="6">
        <v>45</v>
      </c>
      <c r="B1672" s="6" t="str">
        <f t="shared" si="52"/>
        <v>Electricity and Gas</v>
      </c>
      <c r="C1672" s="6">
        <v>26</v>
      </c>
      <c r="D1672" s="6" t="str">
        <f t="shared" si="53"/>
        <v>Printing and Publishing</v>
      </c>
      <c r="E1672" s="6">
        <v>1632622</v>
      </c>
      <c r="F1672" s="6">
        <v>44</v>
      </c>
      <c r="G1672" s="6">
        <v>96</v>
      </c>
      <c r="H1672" s="6">
        <v>27</v>
      </c>
      <c r="I1672" s="6">
        <v>0</v>
      </c>
    </row>
    <row r="1673" spans="1:9">
      <c r="A1673" s="6">
        <v>46</v>
      </c>
      <c r="B1673" s="6" t="str">
        <f t="shared" si="52"/>
        <v>Water Works and Supply</v>
      </c>
      <c r="C1673" s="6">
        <v>26</v>
      </c>
      <c r="D1673" s="6" t="str">
        <f t="shared" si="53"/>
        <v>Printing and Publishing</v>
      </c>
      <c r="E1673" s="6">
        <v>21459</v>
      </c>
      <c r="F1673" s="6">
        <v>0</v>
      </c>
      <c r="G1673" s="6">
        <v>0</v>
      </c>
      <c r="H1673" s="6">
        <v>0</v>
      </c>
      <c r="I1673" s="6">
        <v>0</v>
      </c>
    </row>
    <row r="1674" spans="1:9">
      <c r="A1674" s="6">
        <v>47</v>
      </c>
      <c r="B1674" s="6" t="str">
        <f t="shared" si="52"/>
        <v>Building Construction</v>
      </c>
      <c r="C1674" s="6">
        <v>26</v>
      </c>
      <c r="D1674" s="6" t="str">
        <f t="shared" si="53"/>
        <v>Printing and Publishing</v>
      </c>
      <c r="E1674" s="6">
        <v>76735</v>
      </c>
      <c r="F1674" s="6">
        <v>0</v>
      </c>
      <c r="G1674" s="6">
        <v>0</v>
      </c>
      <c r="H1674" s="6">
        <v>0</v>
      </c>
      <c r="I1674" s="6">
        <v>0</v>
      </c>
    </row>
    <row r="1675" spans="1:9">
      <c r="A1675" s="6">
        <v>48</v>
      </c>
      <c r="B1675" s="6" t="str">
        <f t="shared" si="52"/>
        <v>Public Works and Other Construction</v>
      </c>
      <c r="C1675" s="6">
        <v>26</v>
      </c>
      <c r="D1675" s="6" t="str">
        <f t="shared" si="53"/>
        <v>Printing and Publishing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</row>
    <row r="1676" spans="1:9">
      <c r="A1676" s="6">
        <v>49</v>
      </c>
      <c r="B1676" s="6" t="str">
        <f t="shared" si="52"/>
        <v>Trade</v>
      </c>
      <c r="C1676" s="6">
        <v>26</v>
      </c>
      <c r="D1676" s="6" t="str">
        <f t="shared" si="53"/>
        <v>Printing and Publishing</v>
      </c>
      <c r="E1676" s="6">
        <v>0</v>
      </c>
      <c r="F1676" s="6">
        <v>-4417006</v>
      </c>
      <c r="G1676" s="6">
        <v>-3164486</v>
      </c>
      <c r="H1676" s="6">
        <v>0</v>
      </c>
      <c r="I1676" s="6">
        <v>0</v>
      </c>
    </row>
    <row r="1677" spans="1:9">
      <c r="A1677" s="6">
        <v>50</v>
      </c>
      <c r="B1677" s="6" t="str">
        <f t="shared" si="52"/>
        <v>Restaurants and Hotels</v>
      </c>
      <c r="C1677" s="6">
        <v>26</v>
      </c>
      <c r="D1677" s="6" t="str">
        <f t="shared" si="53"/>
        <v>Printing and Publishing</v>
      </c>
      <c r="E1677" s="6">
        <v>93809</v>
      </c>
      <c r="F1677" s="6">
        <v>0</v>
      </c>
      <c r="G1677" s="6">
        <v>0</v>
      </c>
      <c r="H1677" s="6">
        <v>0</v>
      </c>
      <c r="I1677" s="6">
        <v>0</v>
      </c>
    </row>
    <row r="1678" spans="1:9">
      <c r="A1678" s="6">
        <v>51</v>
      </c>
      <c r="B1678" s="6" t="str">
        <f t="shared" si="52"/>
        <v>Transportation</v>
      </c>
      <c r="C1678" s="6">
        <v>26</v>
      </c>
      <c r="D1678" s="6" t="str">
        <f t="shared" si="53"/>
        <v>Printing and Publishing</v>
      </c>
      <c r="E1678" s="6">
        <v>68875</v>
      </c>
      <c r="F1678" s="6">
        <v>0</v>
      </c>
      <c r="G1678" s="6">
        <v>0</v>
      </c>
      <c r="H1678" s="6">
        <v>-702665</v>
      </c>
      <c r="I1678" s="6">
        <v>0</v>
      </c>
    </row>
    <row r="1679" spans="1:9">
      <c r="A1679" s="6">
        <v>52</v>
      </c>
      <c r="B1679" s="6" t="str">
        <f t="shared" si="52"/>
        <v>Communication</v>
      </c>
      <c r="C1679" s="6">
        <v>26</v>
      </c>
      <c r="D1679" s="6" t="str">
        <f t="shared" si="53"/>
        <v>Printing and Publishing</v>
      </c>
      <c r="E1679" s="6">
        <v>68918</v>
      </c>
      <c r="F1679" s="6">
        <v>0</v>
      </c>
      <c r="G1679" s="6">
        <v>0</v>
      </c>
      <c r="H1679" s="6">
        <v>0</v>
      </c>
      <c r="I1679" s="6">
        <v>0</v>
      </c>
    </row>
    <row r="1680" spans="1:9">
      <c r="A1680" s="6">
        <v>53</v>
      </c>
      <c r="B1680" s="6" t="str">
        <f t="shared" si="52"/>
        <v>Banking and Insurance</v>
      </c>
      <c r="C1680" s="6">
        <v>26</v>
      </c>
      <c r="D1680" s="6" t="str">
        <f t="shared" si="53"/>
        <v>Printing and Publishing</v>
      </c>
      <c r="E1680" s="6">
        <v>777491</v>
      </c>
      <c r="F1680" s="6">
        <v>0</v>
      </c>
      <c r="G1680" s="6">
        <v>0</v>
      </c>
      <c r="H1680" s="6">
        <v>0</v>
      </c>
      <c r="I1680" s="6">
        <v>0</v>
      </c>
    </row>
    <row r="1681" spans="1:9">
      <c r="A1681" s="6">
        <v>54</v>
      </c>
      <c r="B1681" s="6" t="str">
        <f t="shared" si="52"/>
        <v>Real Estate</v>
      </c>
      <c r="C1681" s="6">
        <v>26</v>
      </c>
      <c r="D1681" s="6" t="str">
        <f t="shared" si="53"/>
        <v>Printing and Publishing</v>
      </c>
      <c r="E1681" s="6">
        <v>109412</v>
      </c>
      <c r="F1681" s="6">
        <v>0</v>
      </c>
      <c r="G1681" s="6">
        <v>0</v>
      </c>
      <c r="H1681" s="6">
        <v>0</v>
      </c>
      <c r="I1681" s="6">
        <v>0</v>
      </c>
    </row>
    <row r="1682" spans="1:9">
      <c r="A1682" s="6">
        <v>55</v>
      </c>
      <c r="B1682" s="6" t="str">
        <f t="shared" si="52"/>
        <v>Business Services</v>
      </c>
      <c r="C1682" s="6">
        <v>26</v>
      </c>
      <c r="D1682" s="6" t="str">
        <f t="shared" si="53"/>
        <v>Printing and Publishing</v>
      </c>
      <c r="E1682" s="6">
        <v>1498435</v>
      </c>
      <c r="F1682" s="6">
        <v>0</v>
      </c>
      <c r="G1682" s="6">
        <v>0</v>
      </c>
      <c r="H1682" s="6">
        <v>0</v>
      </c>
      <c r="I1682" s="6">
        <v>0</v>
      </c>
    </row>
    <row r="1683" spans="1:9">
      <c r="A1683" s="6">
        <v>56</v>
      </c>
      <c r="B1683" s="6" t="str">
        <f t="shared" si="52"/>
        <v>Public Services</v>
      </c>
      <c r="C1683" s="6">
        <v>26</v>
      </c>
      <c r="D1683" s="6" t="str">
        <f t="shared" si="53"/>
        <v>Printing and Publishing</v>
      </c>
      <c r="E1683" s="6">
        <v>24482</v>
      </c>
      <c r="F1683" s="6">
        <v>0</v>
      </c>
      <c r="G1683" s="6">
        <v>0</v>
      </c>
      <c r="H1683" s="6">
        <v>0</v>
      </c>
      <c r="I1683" s="6">
        <v>0</v>
      </c>
    </row>
    <row r="1684" spans="1:9">
      <c r="A1684" s="6">
        <v>57</v>
      </c>
      <c r="B1684" s="6" t="str">
        <f t="shared" si="52"/>
        <v>Other Services</v>
      </c>
      <c r="C1684" s="6">
        <v>26</v>
      </c>
      <c r="D1684" s="6" t="str">
        <f t="shared" si="53"/>
        <v>Printing and Publishing</v>
      </c>
      <c r="E1684" s="6">
        <v>135931</v>
      </c>
      <c r="F1684" s="6">
        <v>0</v>
      </c>
      <c r="G1684" s="6">
        <v>0</v>
      </c>
      <c r="H1684" s="6">
        <v>0</v>
      </c>
      <c r="I1684" s="6">
        <v>0</v>
      </c>
    </row>
    <row r="1685" spans="1:9">
      <c r="A1685" s="6">
        <v>58</v>
      </c>
      <c r="B1685" s="6" t="str">
        <f t="shared" si="52"/>
        <v>Unclassified</v>
      </c>
      <c r="C1685" s="6">
        <v>26</v>
      </c>
      <c r="D1685" s="6" t="str">
        <f t="shared" si="53"/>
        <v>Printing and Publishing</v>
      </c>
      <c r="E1685" s="6">
        <v>579607</v>
      </c>
      <c r="F1685" s="6">
        <v>0</v>
      </c>
      <c r="G1685" s="6">
        <v>0</v>
      </c>
      <c r="H1685" s="6">
        <v>0</v>
      </c>
      <c r="I1685" s="6">
        <v>61085</v>
      </c>
    </row>
    <row r="1686" spans="1:9">
      <c r="A1686" s="6">
        <v>190</v>
      </c>
      <c r="B1686" s="6" t="str">
        <f t="shared" si="52"/>
        <v>Total Intermedite Transaction</v>
      </c>
      <c r="C1686" s="6">
        <v>26</v>
      </c>
      <c r="D1686" s="6" t="str">
        <f t="shared" si="53"/>
        <v>Printing and Publishing</v>
      </c>
      <c r="E1686" s="6">
        <v>53246623</v>
      </c>
      <c r="F1686" s="6">
        <v>0</v>
      </c>
      <c r="G1686" s="6">
        <v>0</v>
      </c>
      <c r="H1686" s="6">
        <v>0</v>
      </c>
      <c r="I1686" s="6">
        <v>32586793</v>
      </c>
    </row>
    <row r="1687" spans="1:9">
      <c r="A1687" s="6">
        <v>201</v>
      </c>
      <c r="B1687" s="6" t="str">
        <f t="shared" si="52"/>
        <v>Wages and Salaries</v>
      </c>
      <c r="C1687" s="6">
        <v>26</v>
      </c>
      <c r="D1687" s="6" t="str">
        <f t="shared" si="53"/>
        <v>Printing and Publishing</v>
      </c>
      <c r="E1687" s="6">
        <v>8521990</v>
      </c>
      <c r="F1687" s="6">
        <v>0</v>
      </c>
      <c r="G1687" s="6">
        <v>0</v>
      </c>
      <c r="H1687" s="6">
        <v>0</v>
      </c>
      <c r="I1687" s="6">
        <v>0</v>
      </c>
    </row>
    <row r="1688" spans="1:9">
      <c r="A1688" s="6">
        <v>202</v>
      </c>
      <c r="B1688" s="6" t="str">
        <f t="shared" si="52"/>
        <v>Operating Surplus</v>
      </c>
      <c r="C1688" s="6">
        <v>26</v>
      </c>
      <c r="D1688" s="6" t="str">
        <f t="shared" si="53"/>
        <v>Printing and Publishing</v>
      </c>
      <c r="E1688" s="6">
        <v>9746331</v>
      </c>
      <c r="F1688" s="6">
        <v>0</v>
      </c>
      <c r="G1688" s="6">
        <v>0</v>
      </c>
      <c r="H1688" s="6">
        <v>0</v>
      </c>
      <c r="I1688" s="6">
        <v>0</v>
      </c>
    </row>
    <row r="1689" spans="1:9">
      <c r="A1689" s="6">
        <v>203</v>
      </c>
      <c r="B1689" s="6" t="str">
        <f t="shared" si="52"/>
        <v>Depreciation</v>
      </c>
      <c r="C1689" s="6">
        <v>26</v>
      </c>
      <c r="D1689" s="6" t="str">
        <f t="shared" si="53"/>
        <v>Printing and Publishing</v>
      </c>
      <c r="E1689" s="6">
        <v>5121897</v>
      </c>
      <c r="F1689" s="6">
        <v>0</v>
      </c>
      <c r="G1689" s="6">
        <v>0</v>
      </c>
      <c r="H1689" s="6">
        <v>0</v>
      </c>
      <c r="I1689" s="6">
        <v>0</v>
      </c>
    </row>
    <row r="1690" spans="1:9">
      <c r="A1690" s="6">
        <v>204</v>
      </c>
      <c r="B1690" s="6" t="str">
        <f t="shared" si="52"/>
        <v>Indirect Taxes less Subsidies</v>
      </c>
      <c r="C1690" s="6">
        <v>26</v>
      </c>
      <c r="D1690" s="6" t="str">
        <f t="shared" si="53"/>
        <v>Printing and Publishing</v>
      </c>
      <c r="E1690" s="6">
        <v>1678479</v>
      </c>
      <c r="F1690" s="6">
        <v>0</v>
      </c>
      <c r="G1690" s="6">
        <v>0</v>
      </c>
      <c r="H1690" s="6">
        <v>0</v>
      </c>
      <c r="I1690" s="6">
        <v>0</v>
      </c>
    </row>
    <row r="1691" spans="1:9">
      <c r="A1691" s="6">
        <v>209</v>
      </c>
      <c r="B1691" s="6" t="str">
        <f t="shared" si="52"/>
        <v>Total Value Added</v>
      </c>
      <c r="C1691" s="6">
        <v>26</v>
      </c>
      <c r="D1691" s="6" t="str">
        <f t="shared" si="53"/>
        <v>Printing and Publishing</v>
      </c>
      <c r="E1691" s="6">
        <v>25068697</v>
      </c>
      <c r="F1691" s="6">
        <v>0</v>
      </c>
      <c r="G1691" s="6">
        <v>0</v>
      </c>
      <c r="H1691" s="6">
        <v>0</v>
      </c>
      <c r="I1691" s="6">
        <v>0</v>
      </c>
    </row>
    <row r="1692" spans="1:9">
      <c r="A1692" s="6">
        <v>210</v>
      </c>
      <c r="B1692" s="6" t="str">
        <f t="shared" si="52"/>
        <v>Control Total</v>
      </c>
      <c r="C1692" s="6">
        <v>26</v>
      </c>
      <c r="D1692" s="6" t="str">
        <f t="shared" si="53"/>
        <v>Printing and Publishing</v>
      </c>
      <c r="E1692" s="6">
        <v>78315320</v>
      </c>
      <c r="F1692" s="6">
        <v>0</v>
      </c>
      <c r="G1692" s="6">
        <v>0</v>
      </c>
      <c r="H1692" s="6">
        <v>0</v>
      </c>
      <c r="I1692" s="6">
        <v>0</v>
      </c>
    </row>
    <row r="1693" spans="1:9">
      <c r="A1693" s="6">
        <v>1</v>
      </c>
      <c r="B1693" s="6" t="str">
        <f t="shared" si="52"/>
        <v>Paddy</v>
      </c>
      <c r="C1693" s="6">
        <v>27</v>
      </c>
      <c r="D1693" s="6" t="str">
        <f t="shared" si="53"/>
        <v>Basic Chemical Products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</row>
    <row r="1694" spans="1:9">
      <c r="A1694" s="6">
        <v>2</v>
      </c>
      <c r="B1694" s="6" t="str">
        <f t="shared" si="52"/>
        <v>Maize</v>
      </c>
      <c r="C1694" s="6">
        <v>27</v>
      </c>
      <c r="D1694" s="6" t="str">
        <f t="shared" si="53"/>
        <v>Basic Chemical Products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</row>
    <row r="1695" spans="1:9">
      <c r="A1695" s="6">
        <v>3</v>
      </c>
      <c r="B1695" s="6" t="str">
        <f t="shared" si="52"/>
        <v>Cassava</v>
      </c>
      <c r="C1695" s="6">
        <v>27</v>
      </c>
      <c r="D1695" s="6" t="str">
        <f t="shared" si="53"/>
        <v>Basic Chemical Products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</row>
    <row r="1696" spans="1:9">
      <c r="A1696" s="6">
        <v>4</v>
      </c>
      <c r="B1696" s="6" t="str">
        <f t="shared" si="52"/>
        <v>Beans and Nuts</v>
      </c>
      <c r="C1696" s="6">
        <v>27</v>
      </c>
      <c r="D1696" s="6" t="str">
        <f t="shared" si="53"/>
        <v>Basic Chemical Products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</row>
    <row r="1697" spans="1:9">
      <c r="A1697" s="6">
        <v>5</v>
      </c>
      <c r="B1697" s="6" t="str">
        <f t="shared" si="52"/>
        <v>Vegetables and Fruits</v>
      </c>
      <c r="C1697" s="6">
        <v>27</v>
      </c>
      <c r="D1697" s="6" t="str">
        <f t="shared" si="53"/>
        <v>Basic Chemical Products</v>
      </c>
      <c r="E1697" s="6">
        <v>1104460</v>
      </c>
      <c r="F1697" s="6">
        <v>90758</v>
      </c>
      <c r="G1697" s="6">
        <v>0</v>
      </c>
      <c r="H1697" s="6">
        <v>25277</v>
      </c>
      <c r="I1697" s="6">
        <v>0</v>
      </c>
    </row>
    <row r="1698" spans="1:9">
      <c r="A1698" s="6">
        <v>6</v>
      </c>
      <c r="B1698" s="6" t="str">
        <f t="shared" si="52"/>
        <v>Sugarcane</v>
      </c>
      <c r="C1698" s="6">
        <v>27</v>
      </c>
      <c r="D1698" s="6" t="str">
        <f t="shared" si="53"/>
        <v>Basic Chemical Products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</row>
    <row r="1699" spans="1:9">
      <c r="A1699" s="6">
        <v>7</v>
      </c>
      <c r="B1699" s="6" t="str">
        <f t="shared" si="52"/>
        <v>Rubber (Latex)</v>
      </c>
      <c r="C1699" s="6">
        <v>27</v>
      </c>
      <c r="D1699" s="6" t="str">
        <f t="shared" si="53"/>
        <v>Basic Chemical Products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</row>
    <row r="1700" spans="1:9">
      <c r="A1700" s="6">
        <v>8</v>
      </c>
      <c r="B1700" s="6" t="str">
        <f t="shared" si="52"/>
        <v>Other Crops</v>
      </c>
      <c r="C1700" s="6">
        <v>27</v>
      </c>
      <c r="D1700" s="6" t="str">
        <f t="shared" si="53"/>
        <v>Basic Chemical Products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</row>
    <row r="1701" spans="1:9">
      <c r="A1701" s="6">
        <v>9</v>
      </c>
      <c r="B1701" s="6" t="str">
        <f t="shared" si="52"/>
        <v>Livestock</v>
      </c>
      <c r="C1701" s="6">
        <v>27</v>
      </c>
      <c r="D1701" s="6" t="str">
        <f t="shared" si="53"/>
        <v>Basic Chemical Products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</row>
    <row r="1702" spans="1:9">
      <c r="A1702" s="6">
        <v>10</v>
      </c>
      <c r="B1702" s="6" t="str">
        <f t="shared" si="52"/>
        <v>Forestry</v>
      </c>
      <c r="C1702" s="6">
        <v>27</v>
      </c>
      <c r="D1702" s="6" t="str">
        <f t="shared" si="53"/>
        <v>Basic Chemical Products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</row>
    <row r="1703" spans="1:9">
      <c r="A1703" s="6">
        <v>11</v>
      </c>
      <c r="B1703" s="6" t="str">
        <f t="shared" si="52"/>
        <v>Fishery</v>
      </c>
      <c r="C1703" s="6">
        <v>27</v>
      </c>
      <c r="D1703" s="6" t="str">
        <f t="shared" si="53"/>
        <v>Basic Chemical Products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</row>
    <row r="1704" spans="1:9">
      <c r="A1704" s="6">
        <v>12</v>
      </c>
      <c r="B1704" s="6" t="str">
        <f t="shared" si="52"/>
        <v>Crude Oil and Coal</v>
      </c>
      <c r="C1704" s="6">
        <v>27</v>
      </c>
      <c r="D1704" s="6" t="str">
        <f t="shared" si="53"/>
        <v>Basic Chemical Products</v>
      </c>
      <c r="E1704" s="6">
        <v>3145740</v>
      </c>
      <c r="F1704" s="6">
        <v>35208</v>
      </c>
      <c r="G1704" s="6">
        <v>0</v>
      </c>
      <c r="H1704" s="6">
        <v>19583</v>
      </c>
      <c r="I1704" s="6">
        <v>2375183</v>
      </c>
    </row>
    <row r="1705" spans="1:9">
      <c r="A1705" s="6">
        <v>13</v>
      </c>
      <c r="B1705" s="6" t="str">
        <f t="shared" si="52"/>
        <v>Metal Ore</v>
      </c>
      <c r="C1705" s="6">
        <v>27</v>
      </c>
      <c r="D1705" s="6" t="str">
        <f t="shared" si="53"/>
        <v>Basic Chemical Products</v>
      </c>
      <c r="E1705" s="6">
        <v>1096937</v>
      </c>
      <c r="F1705" s="6">
        <v>122013</v>
      </c>
      <c r="G1705" s="6">
        <v>0</v>
      </c>
      <c r="H1705" s="6">
        <v>28398</v>
      </c>
      <c r="I1705" s="6">
        <v>0</v>
      </c>
    </row>
    <row r="1706" spans="1:9">
      <c r="A1706" s="6">
        <v>14</v>
      </c>
      <c r="B1706" s="6" t="str">
        <f t="shared" si="52"/>
        <v>Non-Metal Ore</v>
      </c>
      <c r="C1706" s="6">
        <v>27</v>
      </c>
      <c r="D1706" s="6" t="str">
        <f t="shared" si="53"/>
        <v>Basic Chemical Products</v>
      </c>
      <c r="E1706" s="6">
        <v>7405932</v>
      </c>
      <c r="F1706" s="6">
        <v>264210</v>
      </c>
      <c r="G1706" s="6">
        <v>61494</v>
      </c>
      <c r="H1706" s="6">
        <v>511882</v>
      </c>
      <c r="I1706" s="6">
        <v>2492525</v>
      </c>
    </row>
    <row r="1707" spans="1:9">
      <c r="A1707" s="6">
        <v>15</v>
      </c>
      <c r="B1707" s="6" t="str">
        <f t="shared" si="52"/>
        <v>Slaughtering</v>
      </c>
      <c r="C1707" s="6">
        <v>27</v>
      </c>
      <c r="D1707" s="6" t="str">
        <f t="shared" si="53"/>
        <v>Basic Chemical Products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</row>
    <row r="1708" spans="1:9">
      <c r="A1708" s="6">
        <v>16</v>
      </c>
      <c r="B1708" s="6" t="str">
        <f t="shared" si="52"/>
        <v>Processing and Presering of Foods</v>
      </c>
      <c r="C1708" s="6">
        <v>27</v>
      </c>
      <c r="D1708" s="6" t="str">
        <f t="shared" si="53"/>
        <v>Basic Chemical Products</v>
      </c>
      <c r="E1708" s="6">
        <v>578705</v>
      </c>
      <c r="F1708" s="6">
        <v>26504</v>
      </c>
      <c r="G1708" s="6">
        <v>16276</v>
      </c>
      <c r="H1708" s="6">
        <v>5383</v>
      </c>
      <c r="I1708" s="6">
        <v>0</v>
      </c>
    </row>
    <row r="1709" spans="1:9">
      <c r="A1709" s="6">
        <v>17</v>
      </c>
      <c r="B1709" s="6" t="str">
        <f t="shared" si="52"/>
        <v>Rice and Other Grain Milling</v>
      </c>
      <c r="C1709" s="6">
        <v>27</v>
      </c>
      <c r="D1709" s="6" t="str">
        <f t="shared" si="53"/>
        <v>Basic Chemical Products</v>
      </c>
      <c r="E1709" s="6">
        <v>2552134</v>
      </c>
      <c r="F1709" s="6">
        <v>24843</v>
      </c>
      <c r="G1709" s="6">
        <v>86178</v>
      </c>
      <c r="H1709" s="6">
        <v>19711</v>
      </c>
      <c r="I1709" s="6">
        <v>883765</v>
      </c>
    </row>
    <row r="1710" spans="1:9">
      <c r="A1710" s="6">
        <v>18</v>
      </c>
      <c r="B1710" s="6" t="str">
        <f t="shared" si="52"/>
        <v>Sugar Refineries</v>
      </c>
      <c r="C1710" s="6">
        <v>27</v>
      </c>
      <c r="D1710" s="6" t="str">
        <f t="shared" si="53"/>
        <v>Basic Chemical Products</v>
      </c>
      <c r="E1710" s="6">
        <v>449265</v>
      </c>
      <c r="F1710" s="6">
        <v>2573</v>
      </c>
      <c r="G1710" s="6">
        <v>1738</v>
      </c>
      <c r="H1710" s="6">
        <v>4722</v>
      </c>
      <c r="I1710" s="6">
        <v>241235</v>
      </c>
    </row>
    <row r="1711" spans="1:9">
      <c r="A1711" s="6">
        <v>19</v>
      </c>
      <c r="B1711" s="6" t="str">
        <f t="shared" si="52"/>
        <v>Other Foods</v>
      </c>
      <c r="C1711" s="6">
        <v>27</v>
      </c>
      <c r="D1711" s="6" t="str">
        <f t="shared" si="53"/>
        <v>Basic Chemical Products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</row>
    <row r="1712" spans="1:9">
      <c r="A1712" s="6">
        <v>20</v>
      </c>
      <c r="B1712" s="6" t="str">
        <f t="shared" si="52"/>
        <v>Animal Food</v>
      </c>
      <c r="C1712" s="6">
        <v>27</v>
      </c>
      <c r="D1712" s="6" t="str">
        <f t="shared" si="53"/>
        <v>Basic Chemical Products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</row>
    <row r="1713" spans="1:9">
      <c r="A1713" s="6">
        <v>21</v>
      </c>
      <c r="B1713" s="6" t="str">
        <f t="shared" si="52"/>
        <v>Beverages</v>
      </c>
      <c r="C1713" s="6">
        <v>27</v>
      </c>
      <c r="D1713" s="6" t="str">
        <f t="shared" si="53"/>
        <v>Basic Chemical Products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</row>
    <row r="1714" spans="1:9">
      <c r="A1714" s="6">
        <v>22</v>
      </c>
      <c r="B1714" s="6" t="str">
        <f t="shared" si="52"/>
        <v>Tobacco Processing and Products</v>
      </c>
      <c r="C1714" s="6">
        <v>27</v>
      </c>
      <c r="D1714" s="6" t="str">
        <f t="shared" si="53"/>
        <v>Basic Chemical Products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</row>
    <row r="1715" spans="1:9">
      <c r="A1715" s="6">
        <v>23</v>
      </c>
      <c r="B1715" s="6" t="str">
        <f t="shared" si="52"/>
        <v>Spinning, Weaving and Bleaching</v>
      </c>
      <c r="C1715" s="6">
        <v>27</v>
      </c>
      <c r="D1715" s="6" t="str">
        <f t="shared" si="53"/>
        <v>Basic Chemical Products</v>
      </c>
      <c r="E1715" s="6">
        <v>2282326</v>
      </c>
      <c r="F1715" s="6">
        <v>206779</v>
      </c>
      <c r="G1715" s="6">
        <v>90792</v>
      </c>
      <c r="H1715" s="6">
        <v>25599</v>
      </c>
      <c r="I1715" s="6">
        <v>0</v>
      </c>
    </row>
    <row r="1716" spans="1:9">
      <c r="A1716" s="6">
        <v>24</v>
      </c>
      <c r="B1716" s="6" t="str">
        <f t="shared" si="52"/>
        <v>Textile Products</v>
      </c>
      <c r="C1716" s="6">
        <v>27</v>
      </c>
      <c r="D1716" s="6" t="str">
        <f t="shared" si="53"/>
        <v>Basic Chemical Products</v>
      </c>
      <c r="E1716" s="6">
        <v>75193</v>
      </c>
      <c r="F1716" s="6">
        <v>2268</v>
      </c>
      <c r="G1716" s="6">
        <v>10584</v>
      </c>
      <c r="H1716" s="6">
        <v>839</v>
      </c>
      <c r="I1716" s="6">
        <v>17</v>
      </c>
    </row>
    <row r="1717" spans="1:9">
      <c r="A1717" s="6">
        <v>25</v>
      </c>
      <c r="B1717" s="6" t="str">
        <f t="shared" si="52"/>
        <v>Paper and Paper Products</v>
      </c>
      <c r="C1717" s="6">
        <v>27</v>
      </c>
      <c r="D1717" s="6" t="str">
        <f t="shared" si="53"/>
        <v>Basic Chemical Products</v>
      </c>
      <c r="E1717" s="6">
        <v>1705075</v>
      </c>
      <c r="F1717" s="6">
        <v>197167</v>
      </c>
      <c r="G1717" s="6">
        <v>178805</v>
      </c>
      <c r="H1717" s="6">
        <v>27660</v>
      </c>
      <c r="I1717" s="6">
        <v>0</v>
      </c>
    </row>
    <row r="1718" spans="1:9">
      <c r="A1718" s="6">
        <v>26</v>
      </c>
      <c r="B1718" s="6" t="str">
        <f t="shared" si="52"/>
        <v>Printing and Publishing</v>
      </c>
      <c r="C1718" s="6">
        <v>27</v>
      </c>
      <c r="D1718" s="6" t="str">
        <f t="shared" si="53"/>
        <v>Basic Chemical Products</v>
      </c>
      <c r="E1718" s="6">
        <v>31186</v>
      </c>
      <c r="F1718" s="6">
        <v>671</v>
      </c>
      <c r="G1718" s="6">
        <v>1512</v>
      </c>
      <c r="H1718" s="6">
        <v>222</v>
      </c>
      <c r="I1718" s="6">
        <v>0</v>
      </c>
    </row>
    <row r="1719" spans="1:9">
      <c r="A1719" s="6">
        <v>27</v>
      </c>
      <c r="B1719" s="6" t="str">
        <f t="shared" si="52"/>
        <v>Basic Chemical Products</v>
      </c>
      <c r="C1719" s="6">
        <v>27</v>
      </c>
      <c r="D1719" s="6" t="str">
        <f t="shared" si="53"/>
        <v>Basic Chemical Products</v>
      </c>
      <c r="E1719" s="6">
        <v>322888358</v>
      </c>
      <c r="F1719" s="6">
        <v>21984937</v>
      </c>
      <c r="G1719" s="6">
        <v>11293600</v>
      </c>
      <c r="H1719" s="6">
        <v>3510931</v>
      </c>
      <c r="I1719" s="6">
        <v>186932063</v>
      </c>
    </row>
    <row r="1720" spans="1:9">
      <c r="A1720" s="6">
        <v>28</v>
      </c>
      <c r="B1720" s="6" t="str">
        <f t="shared" si="52"/>
        <v>Fertilizer and Pesticides</v>
      </c>
      <c r="C1720" s="6">
        <v>27</v>
      </c>
      <c r="D1720" s="6" t="str">
        <f t="shared" si="53"/>
        <v>Basic Chemical Products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</row>
    <row r="1721" spans="1:9">
      <c r="A1721" s="6">
        <v>29</v>
      </c>
      <c r="B1721" s="6" t="str">
        <f t="shared" si="52"/>
        <v>Other Chemical Products</v>
      </c>
      <c r="C1721" s="6">
        <v>27</v>
      </c>
      <c r="D1721" s="6" t="str">
        <f t="shared" si="53"/>
        <v>Basic Chemical Products</v>
      </c>
      <c r="E1721" s="6">
        <v>2518926</v>
      </c>
      <c r="F1721" s="6">
        <v>160574</v>
      </c>
      <c r="G1721" s="6">
        <v>133705</v>
      </c>
      <c r="H1721" s="6">
        <v>22329</v>
      </c>
      <c r="I1721" s="6">
        <v>395707</v>
      </c>
    </row>
    <row r="1722" spans="1:9">
      <c r="A1722" s="6">
        <v>30</v>
      </c>
      <c r="B1722" s="6" t="str">
        <f t="shared" si="52"/>
        <v>Petroleum Refineries</v>
      </c>
      <c r="C1722" s="6">
        <v>27</v>
      </c>
      <c r="D1722" s="6" t="str">
        <f t="shared" si="53"/>
        <v>Basic Chemical Products</v>
      </c>
      <c r="E1722" s="6">
        <v>77861438</v>
      </c>
      <c r="F1722" s="6">
        <v>3072915</v>
      </c>
      <c r="G1722" s="6">
        <v>3686827</v>
      </c>
      <c r="H1722" s="6">
        <v>686340</v>
      </c>
      <c r="I1722" s="6">
        <v>14937744</v>
      </c>
    </row>
    <row r="1723" spans="1:9">
      <c r="A1723" s="6">
        <v>31</v>
      </c>
      <c r="B1723" s="6" t="str">
        <f t="shared" si="52"/>
        <v>Rubber Products</v>
      </c>
      <c r="C1723" s="6">
        <v>27</v>
      </c>
      <c r="D1723" s="6" t="str">
        <f t="shared" si="53"/>
        <v>Basic Chemical Products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</row>
    <row r="1724" spans="1:9">
      <c r="A1724" s="6">
        <v>32</v>
      </c>
      <c r="B1724" s="6" t="str">
        <f t="shared" si="52"/>
        <v>Plastic Wares</v>
      </c>
      <c r="C1724" s="6">
        <v>27</v>
      </c>
      <c r="D1724" s="6" t="str">
        <f t="shared" si="53"/>
        <v>Basic Chemical Products</v>
      </c>
      <c r="E1724" s="6">
        <v>7078957</v>
      </c>
      <c r="F1724" s="6">
        <v>147164</v>
      </c>
      <c r="G1724" s="6">
        <v>223506</v>
      </c>
      <c r="H1724" s="6">
        <v>49695</v>
      </c>
      <c r="I1724" s="6">
        <v>2363049</v>
      </c>
    </row>
    <row r="1725" spans="1:9">
      <c r="A1725" s="6">
        <v>33</v>
      </c>
      <c r="B1725" s="6" t="str">
        <f t="shared" si="52"/>
        <v>Cement and Concrete Products</v>
      </c>
      <c r="C1725" s="6">
        <v>27</v>
      </c>
      <c r="D1725" s="6" t="str">
        <f t="shared" si="53"/>
        <v>Basic Chemical Products</v>
      </c>
      <c r="E1725" s="6">
        <v>566331</v>
      </c>
      <c r="F1725" s="6">
        <v>32573</v>
      </c>
      <c r="G1725" s="6">
        <v>22881</v>
      </c>
      <c r="H1725" s="6">
        <v>8205</v>
      </c>
      <c r="I1725" s="6">
        <v>0</v>
      </c>
    </row>
    <row r="1726" spans="1:9">
      <c r="A1726" s="6">
        <v>34</v>
      </c>
      <c r="B1726" s="6" t="str">
        <f t="shared" si="52"/>
        <v>Other Non-metallic Products</v>
      </c>
      <c r="C1726" s="6">
        <v>27</v>
      </c>
      <c r="D1726" s="6" t="str">
        <f t="shared" si="53"/>
        <v>Basic Chemical Products</v>
      </c>
      <c r="E1726" s="6">
        <v>107335</v>
      </c>
      <c r="F1726" s="6">
        <v>12061</v>
      </c>
      <c r="G1726" s="6">
        <v>13801</v>
      </c>
      <c r="H1726" s="6">
        <v>1284</v>
      </c>
      <c r="I1726" s="6">
        <v>0</v>
      </c>
    </row>
    <row r="1727" spans="1:9">
      <c r="A1727" s="6">
        <v>35</v>
      </c>
      <c r="B1727" s="6" t="str">
        <f t="shared" si="52"/>
        <v>Iron and Steel</v>
      </c>
      <c r="C1727" s="6">
        <v>27</v>
      </c>
      <c r="D1727" s="6" t="str">
        <f t="shared" si="53"/>
        <v>Basic Chemical Products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</row>
    <row r="1728" spans="1:9">
      <c r="A1728" s="6">
        <v>36</v>
      </c>
      <c r="B1728" s="6" t="str">
        <f t="shared" si="52"/>
        <v>Non-ferrous Metal</v>
      </c>
      <c r="C1728" s="6">
        <v>27</v>
      </c>
      <c r="D1728" s="6" t="str">
        <f t="shared" si="53"/>
        <v>Basic Chemical Products</v>
      </c>
      <c r="E1728" s="6">
        <v>63912</v>
      </c>
      <c r="F1728" s="6">
        <v>3827</v>
      </c>
      <c r="G1728" s="6">
        <v>1857</v>
      </c>
      <c r="H1728" s="6">
        <v>107</v>
      </c>
      <c r="I1728" s="6">
        <v>37822</v>
      </c>
    </row>
    <row r="1729" spans="1:9">
      <c r="A1729" s="6">
        <v>37</v>
      </c>
      <c r="B1729" s="6" t="str">
        <f t="shared" si="52"/>
        <v>Fabricated Metal Products</v>
      </c>
      <c r="C1729" s="6">
        <v>27</v>
      </c>
      <c r="D1729" s="6" t="str">
        <f t="shared" si="53"/>
        <v>Basic Chemical Products</v>
      </c>
      <c r="E1729" s="6">
        <v>1741644</v>
      </c>
      <c r="F1729" s="6">
        <v>17522</v>
      </c>
      <c r="G1729" s="6">
        <v>42273</v>
      </c>
      <c r="H1729" s="6">
        <v>3955</v>
      </c>
      <c r="I1729" s="6">
        <v>1441185</v>
      </c>
    </row>
    <row r="1730" spans="1:9">
      <c r="A1730" s="6">
        <v>38</v>
      </c>
      <c r="B1730" s="6" t="str">
        <f t="shared" si="52"/>
        <v>Industrial Machinery</v>
      </c>
      <c r="C1730" s="6">
        <v>27</v>
      </c>
      <c r="D1730" s="6" t="str">
        <f t="shared" si="53"/>
        <v>Basic Chemical Products</v>
      </c>
      <c r="E1730" s="6">
        <v>6946020</v>
      </c>
      <c r="F1730" s="6">
        <v>387468</v>
      </c>
      <c r="G1730" s="6">
        <v>0</v>
      </c>
      <c r="H1730" s="6">
        <v>71980</v>
      </c>
      <c r="I1730" s="6">
        <v>2597802</v>
      </c>
    </row>
    <row r="1731" spans="1:9">
      <c r="A1731" s="6">
        <v>39</v>
      </c>
      <c r="B1731" s="6" t="str">
        <f t="shared" si="52"/>
        <v>Electrical Machinery and Apparatus</v>
      </c>
      <c r="C1731" s="6">
        <v>27</v>
      </c>
      <c r="D1731" s="6" t="str">
        <f t="shared" si="53"/>
        <v>Basic Chemical Products</v>
      </c>
      <c r="E1731" s="6">
        <v>459977</v>
      </c>
      <c r="F1731" s="6">
        <v>20888</v>
      </c>
      <c r="G1731" s="6">
        <v>14166</v>
      </c>
      <c r="H1731" s="6">
        <v>4955</v>
      </c>
      <c r="I1731" s="6">
        <v>0</v>
      </c>
    </row>
    <row r="1732" spans="1:9">
      <c r="A1732" s="6">
        <v>40</v>
      </c>
      <c r="B1732" s="6" t="str">
        <f t="shared" ref="B1732:B1795" si="54">VLOOKUP(A1732,R:S,2,0)</f>
        <v>Motor Vehicles and Repairing</v>
      </c>
      <c r="C1732" s="6">
        <v>27</v>
      </c>
      <c r="D1732" s="6" t="str">
        <f t="shared" ref="D1732:D1795" si="55">VLOOKUP(C1732,R:S,2,0)</f>
        <v>Basic Chemical Products</v>
      </c>
      <c r="E1732" s="6">
        <v>1553153</v>
      </c>
      <c r="F1732" s="6">
        <v>0</v>
      </c>
      <c r="G1732" s="6">
        <v>0</v>
      </c>
      <c r="H1732" s="6">
        <v>0</v>
      </c>
      <c r="I1732" s="6">
        <v>0</v>
      </c>
    </row>
    <row r="1733" spans="1:9">
      <c r="A1733" s="6">
        <v>41</v>
      </c>
      <c r="B1733" s="6" t="str">
        <f t="shared" si="54"/>
        <v>Other Transportation Equipment</v>
      </c>
      <c r="C1733" s="6">
        <v>27</v>
      </c>
      <c r="D1733" s="6" t="str">
        <f t="shared" si="55"/>
        <v>Basic Chemical Products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</row>
    <row r="1734" spans="1:9">
      <c r="A1734" s="6">
        <v>42</v>
      </c>
      <c r="B1734" s="6" t="str">
        <f t="shared" si="54"/>
        <v>Leather Products</v>
      </c>
      <c r="C1734" s="6">
        <v>27</v>
      </c>
      <c r="D1734" s="6" t="str">
        <f t="shared" si="55"/>
        <v>Basic Chemical Products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</row>
    <row r="1735" spans="1:9">
      <c r="A1735" s="6">
        <v>43</v>
      </c>
      <c r="B1735" s="6" t="str">
        <f t="shared" si="54"/>
        <v>Saw Mills and Wood Products</v>
      </c>
      <c r="C1735" s="6">
        <v>27</v>
      </c>
      <c r="D1735" s="6" t="str">
        <f t="shared" si="55"/>
        <v>Basic Chemical Products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</row>
    <row r="1736" spans="1:9">
      <c r="A1736" s="6">
        <v>44</v>
      </c>
      <c r="B1736" s="6" t="str">
        <f t="shared" si="54"/>
        <v>Other Manufacturing Products</v>
      </c>
      <c r="C1736" s="6">
        <v>27</v>
      </c>
      <c r="D1736" s="6" t="str">
        <f t="shared" si="55"/>
        <v>Basic Chemical Products</v>
      </c>
      <c r="E1736" s="6">
        <v>627273</v>
      </c>
      <c r="F1736" s="6">
        <v>45542</v>
      </c>
      <c r="G1736" s="6">
        <v>54297</v>
      </c>
      <c r="H1736" s="6">
        <v>6797</v>
      </c>
      <c r="I1736" s="6">
        <v>0</v>
      </c>
    </row>
    <row r="1737" spans="1:9">
      <c r="A1737" s="6">
        <v>45</v>
      </c>
      <c r="B1737" s="6" t="str">
        <f t="shared" si="54"/>
        <v>Electricity and Gas</v>
      </c>
      <c r="C1737" s="6">
        <v>27</v>
      </c>
      <c r="D1737" s="6" t="str">
        <f t="shared" si="55"/>
        <v>Basic Chemical Products</v>
      </c>
      <c r="E1737" s="6">
        <v>69114559</v>
      </c>
      <c r="F1737" s="6">
        <v>450891</v>
      </c>
      <c r="G1737" s="6">
        <v>783340</v>
      </c>
      <c r="H1737" s="6">
        <v>101797</v>
      </c>
      <c r="I1737" s="6">
        <v>18481184</v>
      </c>
    </row>
    <row r="1738" spans="1:9">
      <c r="A1738" s="6">
        <v>46</v>
      </c>
      <c r="B1738" s="6" t="str">
        <f t="shared" si="54"/>
        <v>Water Works and Supply</v>
      </c>
      <c r="C1738" s="6">
        <v>27</v>
      </c>
      <c r="D1738" s="6" t="str">
        <f t="shared" si="55"/>
        <v>Basic Chemical Products</v>
      </c>
      <c r="E1738" s="6">
        <v>1042790</v>
      </c>
      <c r="F1738" s="6">
        <v>0</v>
      </c>
      <c r="G1738" s="6">
        <v>0</v>
      </c>
      <c r="H1738" s="6">
        <v>0</v>
      </c>
      <c r="I1738" s="6">
        <v>0</v>
      </c>
    </row>
    <row r="1739" spans="1:9">
      <c r="A1739" s="6">
        <v>47</v>
      </c>
      <c r="B1739" s="6" t="str">
        <f t="shared" si="54"/>
        <v>Building Construction</v>
      </c>
      <c r="C1739" s="6">
        <v>27</v>
      </c>
      <c r="D1739" s="6" t="str">
        <f t="shared" si="55"/>
        <v>Basic Chemical Products</v>
      </c>
      <c r="E1739" s="6">
        <v>561669</v>
      </c>
      <c r="F1739" s="6">
        <v>0</v>
      </c>
      <c r="G1739" s="6">
        <v>0</v>
      </c>
      <c r="H1739" s="6">
        <v>0</v>
      </c>
      <c r="I1739" s="6">
        <v>0</v>
      </c>
    </row>
    <row r="1740" spans="1:9">
      <c r="A1740" s="6">
        <v>48</v>
      </c>
      <c r="B1740" s="6" t="str">
        <f t="shared" si="54"/>
        <v>Public Works and Other Construction</v>
      </c>
      <c r="C1740" s="6">
        <v>27</v>
      </c>
      <c r="D1740" s="6" t="str">
        <f t="shared" si="55"/>
        <v>Basic Chemical Products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</row>
    <row r="1741" spans="1:9">
      <c r="A1741" s="6">
        <v>49</v>
      </c>
      <c r="B1741" s="6" t="str">
        <f t="shared" si="54"/>
        <v>Trade</v>
      </c>
      <c r="C1741" s="6">
        <v>27</v>
      </c>
      <c r="D1741" s="6" t="str">
        <f t="shared" si="55"/>
        <v>Basic Chemical Products</v>
      </c>
      <c r="E1741" s="6">
        <v>0</v>
      </c>
      <c r="F1741" s="6">
        <v>-27309356</v>
      </c>
      <c r="G1741" s="6">
        <v>-16717632</v>
      </c>
      <c r="H1741" s="6">
        <v>0</v>
      </c>
      <c r="I1741" s="6">
        <v>0</v>
      </c>
    </row>
    <row r="1742" spans="1:9">
      <c r="A1742" s="6">
        <v>50</v>
      </c>
      <c r="B1742" s="6" t="str">
        <f t="shared" si="54"/>
        <v>Restaurants and Hotels</v>
      </c>
      <c r="C1742" s="6">
        <v>27</v>
      </c>
      <c r="D1742" s="6" t="str">
        <f t="shared" si="55"/>
        <v>Basic Chemical Products</v>
      </c>
      <c r="E1742" s="6">
        <v>1233718</v>
      </c>
      <c r="F1742" s="6">
        <v>0</v>
      </c>
      <c r="G1742" s="6">
        <v>0</v>
      </c>
      <c r="H1742" s="6">
        <v>0</v>
      </c>
      <c r="I1742" s="6">
        <v>0</v>
      </c>
    </row>
    <row r="1743" spans="1:9">
      <c r="A1743" s="6">
        <v>51</v>
      </c>
      <c r="B1743" s="6" t="str">
        <f t="shared" si="54"/>
        <v>Transportation</v>
      </c>
      <c r="C1743" s="6">
        <v>27</v>
      </c>
      <c r="D1743" s="6" t="str">
        <f t="shared" si="55"/>
        <v>Basic Chemical Products</v>
      </c>
      <c r="E1743" s="6">
        <v>1723082</v>
      </c>
      <c r="F1743" s="6">
        <v>0</v>
      </c>
      <c r="G1743" s="6">
        <v>0</v>
      </c>
      <c r="H1743" s="6">
        <v>-5137651</v>
      </c>
      <c r="I1743" s="6">
        <v>0</v>
      </c>
    </row>
    <row r="1744" spans="1:9">
      <c r="A1744" s="6">
        <v>52</v>
      </c>
      <c r="B1744" s="6" t="str">
        <f t="shared" si="54"/>
        <v>Communication</v>
      </c>
      <c r="C1744" s="6">
        <v>27</v>
      </c>
      <c r="D1744" s="6" t="str">
        <f t="shared" si="55"/>
        <v>Basic Chemical Products</v>
      </c>
      <c r="E1744" s="6">
        <v>757746</v>
      </c>
      <c r="F1744" s="6">
        <v>0</v>
      </c>
      <c r="G1744" s="6">
        <v>0</v>
      </c>
      <c r="H1744" s="6">
        <v>0</v>
      </c>
      <c r="I1744" s="6">
        <v>0</v>
      </c>
    </row>
    <row r="1745" spans="1:9">
      <c r="A1745" s="6">
        <v>53</v>
      </c>
      <c r="B1745" s="6" t="str">
        <f t="shared" si="54"/>
        <v>Banking and Insurance</v>
      </c>
      <c r="C1745" s="6">
        <v>27</v>
      </c>
      <c r="D1745" s="6" t="str">
        <f t="shared" si="55"/>
        <v>Basic Chemical Products</v>
      </c>
      <c r="E1745" s="6">
        <v>17418531</v>
      </c>
      <c r="F1745" s="6">
        <v>0</v>
      </c>
      <c r="G1745" s="6">
        <v>0</v>
      </c>
      <c r="H1745" s="6">
        <v>0</v>
      </c>
      <c r="I1745" s="6">
        <v>0</v>
      </c>
    </row>
    <row r="1746" spans="1:9">
      <c r="A1746" s="6">
        <v>54</v>
      </c>
      <c r="B1746" s="6" t="str">
        <f t="shared" si="54"/>
        <v>Real Estate</v>
      </c>
      <c r="C1746" s="6">
        <v>27</v>
      </c>
      <c r="D1746" s="6" t="str">
        <f t="shared" si="55"/>
        <v>Basic Chemical Products</v>
      </c>
      <c r="E1746" s="6">
        <v>464674</v>
      </c>
      <c r="F1746" s="6">
        <v>0</v>
      </c>
      <c r="G1746" s="6">
        <v>0</v>
      </c>
      <c r="H1746" s="6">
        <v>0</v>
      </c>
      <c r="I1746" s="6">
        <v>0</v>
      </c>
    </row>
    <row r="1747" spans="1:9">
      <c r="A1747" s="6">
        <v>55</v>
      </c>
      <c r="B1747" s="6" t="str">
        <f t="shared" si="54"/>
        <v>Business Services</v>
      </c>
      <c r="C1747" s="6">
        <v>27</v>
      </c>
      <c r="D1747" s="6" t="str">
        <f t="shared" si="55"/>
        <v>Basic Chemical Products</v>
      </c>
      <c r="E1747" s="6">
        <v>18373459</v>
      </c>
      <c r="F1747" s="6">
        <v>0</v>
      </c>
      <c r="G1747" s="6">
        <v>0</v>
      </c>
      <c r="H1747" s="6">
        <v>0</v>
      </c>
      <c r="I1747" s="6">
        <v>0</v>
      </c>
    </row>
    <row r="1748" spans="1:9">
      <c r="A1748" s="6">
        <v>56</v>
      </c>
      <c r="B1748" s="6" t="str">
        <f t="shared" si="54"/>
        <v>Public Services</v>
      </c>
      <c r="C1748" s="6">
        <v>27</v>
      </c>
      <c r="D1748" s="6" t="str">
        <f t="shared" si="55"/>
        <v>Basic Chemical Products</v>
      </c>
      <c r="E1748" s="6">
        <v>619258</v>
      </c>
      <c r="F1748" s="6">
        <v>0</v>
      </c>
      <c r="G1748" s="6">
        <v>0</v>
      </c>
      <c r="H1748" s="6">
        <v>0</v>
      </c>
      <c r="I1748" s="6">
        <v>0</v>
      </c>
    </row>
    <row r="1749" spans="1:9">
      <c r="A1749" s="6">
        <v>57</v>
      </c>
      <c r="B1749" s="6" t="str">
        <f t="shared" si="54"/>
        <v>Other Services</v>
      </c>
      <c r="C1749" s="6">
        <v>27</v>
      </c>
      <c r="D1749" s="6" t="str">
        <f t="shared" si="55"/>
        <v>Basic Chemical Products</v>
      </c>
      <c r="E1749" s="6">
        <v>551059</v>
      </c>
      <c r="F1749" s="6">
        <v>0</v>
      </c>
      <c r="G1749" s="6">
        <v>0</v>
      </c>
      <c r="H1749" s="6">
        <v>0</v>
      </c>
      <c r="I1749" s="6">
        <v>0</v>
      </c>
    </row>
    <row r="1750" spans="1:9">
      <c r="A1750" s="6">
        <v>58</v>
      </c>
      <c r="B1750" s="6" t="str">
        <f t="shared" si="54"/>
        <v>Unclassified</v>
      </c>
      <c r="C1750" s="6">
        <v>27</v>
      </c>
      <c r="D1750" s="6" t="str">
        <f t="shared" si="55"/>
        <v>Basic Chemical Products</v>
      </c>
      <c r="E1750" s="6">
        <v>2023470</v>
      </c>
      <c r="F1750" s="6">
        <v>0</v>
      </c>
      <c r="G1750" s="6">
        <v>0</v>
      </c>
      <c r="H1750" s="6">
        <v>0</v>
      </c>
      <c r="I1750" s="6">
        <v>206616</v>
      </c>
    </row>
    <row r="1751" spans="1:9">
      <c r="A1751" s="6">
        <v>190</v>
      </c>
      <c r="B1751" s="6" t="str">
        <f t="shared" si="54"/>
        <v>Total Intermedite Transaction</v>
      </c>
      <c r="C1751" s="6">
        <v>27</v>
      </c>
      <c r="D1751" s="6" t="str">
        <f t="shared" si="55"/>
        <v>Basic Chemical Products</v>
      </c>
      <c r="E1751" s="6">
        <v>556724292</v>
      </c>
      <c r="F1751" s="6">
        <v>0</v>
      </c>
      <c r="G1751" s="6">
        <v>0</v>
      </c>
      <c r="H1751" s="6">
        <v>0</v>
      </c>
      <c r="I1751" s="6">
        <v>233385897</v>
      </c>
    </row>
    <row r="1752" spans="1:9">
      <c r="A1752" s="6">
        <v>201</v>
      </c>
      <c r="B1752" s="6" t="str">
        <f t="shared" si="54"/>
        <v>Wages and Salaries</v>
      </c>
      <c r="C1752" s="6">
        <v>27</v>
      </c>
      <c r="D1752" s="6" t="str">
        <f t="shared" si="55"/>
        <v>Basic Chemical Products</v>
      </c>
      <c r="E1752" s="6">
        <v>86118488</v>
      </c>
      <c r="F1752" s="6">
        <v>0</v>
      </c>
      <c r="G1752" s="6">
        <v>0</v>
      </c>
      <c r="H1752" s="6">
        <v>0</v>
      </c>
      <c r="I1752" s="6">
        <v>0</v>
      </c>
    </row>
    <row r="1753" spans="1:9">
      <c r="A1753" s="6">
        <v>202</v>
      </c>
      <c r="B1753" s="6" t="str">
        <f t="shared" si="54"/>
        <v>Operating Surplus</v>
      </c>
      <c r="C1753" s="6">
        <v>27</v>
      </c>
      <c r="D1753" s="6" t="str">
        <f t="shared" si="55"/>
        <v>Basic Chemical Products</v>
      </c>
      <c r="E1753" s="6">
        <v>113625088</v>
      </c>
      <c r="F1753" s="6">
        <v>0</v>
      </c>
      <c r="G1753" s="6">
        <v>0</v>
      </c>
      <c r="H1753" s="6">
        <v>0</v>
      </c>
      <c r="I1753" s="6">
        <v>0</v>
      </c>
    </row>
    <row r="1754" spans="1:9">
      <c r="A1754" s="6">
        <v>203</v>
      </c>
      <c r="B1754" s="6" t="str">
        <f t="shared" si="54"/>
        <v>Depreciation</v>
      </c>
      <c r="C1754" s="6">
        <v>27</v>
      </c>
      <c r="D1754" s="6" t="str">
        <f t="shared" si="55"/>
        <v>Basic Chemical Products</v>
      </c>
      <c r="E1754" s="6">
        <v>58052753</v>
      </c>
      <c r="F1754" s="6">
        <v>0</v>
      </c>
      <c r="G1754" s="6">
        <v>0</v>
      </c>
      <c r="H1754" s="6">
        <v>0</v>
      </c>
      <c r="I1754" s="6">
        <v>0</v>
      </c>
    </row>
    <row r="1755" spans="1:9">
      <c r="A1755" s="6">
        <v>204</v>
      </c>
      <c r="B1755" s="6" t="str">
        <f t="shared" si="54"/>
        <v>Indirect Taxes less Subsidies</v>
      </c>
      <c r="C1755" s="6">
        <v>27</v>
      </c>
      <c r="D1755" s="6" t="str">
        <f t="shared" si="55"/>
        <v>Basic Chemical Products</v>
      </c>
      <c r="E1755" s="6">
        <v>20642223</v>
      </c>
      <c r="F1755" s="6">
        <v>0</v>
      </c>
      <c r="G1755" s="6">
        <v>0</v>
      </c>
      <c r="H1755" s="6">
        <v>0</v>
      </c>
      <c r="I1755" s="6">
        <v>0</v>
      </c>
    </row>
    <row r="1756" spans="1:9">
      <c r="A1756" s="6">
        <v>209</v>
      </c>
      <c r="B1756" s="6" t="str">
        <f t="shared" si="54"/>
        <v>Total Value Added</v>
      </c>
      <c r="C1756" s="6">
        <v>27</v>
      </c>
      <c r="D1756" s="6" t="str">
        <f t="shared" si="55"/>
        <v>Basic Chemical Products</v>
      </c>
      <c r="E1756" s="6">
        <v>278438552</v>
      </c>
      <c r="F1756" s="6">
        <v>0</v>
      </c>
      <c r="G1756" s="6">
        <v>0</v>
      </c>
      <c r="H1756" s="6">
        <v>0</v>
      </c>
      <c r="I1756" s="6">
        <v>0</v>
      </c>
    </row>
    <row r="1757" spans="1:9">
      <c r="A1757" s="6">
        <v>210</v>
      </c>
      <c r="B1757" s="6" t="str">
        <f t="shared" si="54"/>
        <v>Control Total</v>
      </c>
      <c r="C1757" s="6">
        <v>27</v>
      </c>
      <c r="D1757" s="6" t="str">
        <f t="shared" si="55"/>
        <v>Basic Chemical Products</v>
      </c>
      <c r="E1757" s="6">
        <v>835162844</v>
      </c>
      <c r="F1757" s="6">
        <v>0</v>
      </c>
      <c r="G1757" s="6">
        <v>0</v>
      </c>
      <c r="H1757" s="6">
        <v>0</v>
      </c>
      <c r="I1757" s="6">
        <v>0</v>
      </c>
    </row>
    <row r="1758" spans="1:9">
      <c r="A1758" s="6">
        <v>1</v>
      </c>
      <c r="B1758" s="6" t="str">
        <f t="shared" si="54"/>
        <v>Paddy</v>
      </c>
      <c r="C1758" s="6">
        <v>28</v>
      </c>
      <c r="D1758" s="6" t="str">
        <f t="shared" si="55"/>
        <v>Fertilizer and Pesticides</v>
      </c>
      <c r="E1758" s="6">
        <v>288979</v>
      </c>
      <c r="F1758" s="6">
        <v>13067</v>
      </c>
      <c r="G1758" s="6">
        <v>0</v>
      </c>
      <c r="H1758" s="6">
        <v>1789</v>
      </c>
      <c r="I1758" s="6">
        <v>0</v>
      </c>
    </row>
    <row r="1759" spans="1:9">
      <c r="A1759" s="6">
        <v>2</v>
      </c>
      <c r="B1759" s="6" t="str">
        <f t="shared" si="54"/>
        <v>Maize</v>
      </c>
      <c r="C1759" s="6">
        <v>28</v>
      </c>
      <c r="D1759" s="6" t="str">
        <f t="shared" si="55"/>
        <v>Fertilizer and Pesticides</v>
      </c>
      <c r="E1759" s="6">
        <v>41504</v>
      </c>
      <c r="F1759" s="6">
        <v>1366</v>
      </c>
      <c r="G1759" s="6">
        <v>0</v>
      </c>
      <c r="H1759" s="6">
        <v>296</v>
      </c>
      <c r="I1759" s="6">
        <v>0</v>
      </c>
    </row>
    <row r="1760" spans="1:9">
      <c r="A1760" s="6">
        <v>3</v>
      </c>
      <c r="B1760" s="6" t="str">
        <f t="shared" si="54"/>
        <v>Cassava</v>
      </c>
      <c r="C1760" s="6">
        <v>28</v>
      </c>
      <c r="D1760" s="6" t="str">
        <f t="shared" si="55"/>
        <v>Fertilizer and Pesticides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</row>
    <row r="1761" spans="1:9">
      <c r="A1761" s="6">
        <v>4</v>
      </c>
      <c r="B1761" s="6" t="str">
        <f t="shared" si="54"/>
        <v>Beans and Nuts</v>
      </c>
      <c r="C1761" s="6">
        <v>28</v>
      </c>
      <c r="D1761" s="6" t="str">
        <f t="shared" si="55"/>
        <v>Fertilizer and Pesticides</v>
      </c>
      <c r="E1761" s="6">
        <v>480022</v>
      </c>
      <c r="F1761" s="6">
        <v>22870</v>
      </c>
      <c r="G1761" s="6">
        <v>5651</v>
      </c>
      <c r="H1761" s="6">
        <v>754</v>
      </c>
      <c r="I1761" s="6">
        <v>378983</v>
      </c>
    </row>
    <row r="1762" spans="1:9">
      <c r="A1762" s="6">
        <v>5</v>
      </c>
      <c r="B1762" s="6" t="str">
        <f t="shared" si="54"/>
        <v>Vegetables and Fruits</v>
      </c>
      <c r="C1762" s="6">
        <v>28</v>
      </c>
      <c r="D1762" s="6" t="str">
        <f t="shared" si="55"/>
        <v>Fertilizer and Pesticides</v>
      </c>
      <c r="E1762" s="6">
        <v>3988</v>
      </c>
      <c r="F1762" s="6">
        <v>342</v>
      </c>
      <c r="G1762" s="6">
        <v>0</v>
      </c>
      <c r="H1762" s="6">
        <v>0</v>
      </c>
      <c r="I1762" s="6">
        <v>0</v>
      </c>
    </row>
    <row r="1763" spans="1:9">
      <c r="A1763" s="6">
        <v>6</v>
      </c>
      <c r="B1763" s="6" t="str">
        <f t="shared" si="54"/>
        <v>Sugarcane</v>
      </c>
      <c r="C1763" s="6">
        <v>28</v>
      </c>
      <c r="D1763" s="6" t="str">
        <f t="shared" si="55"/>
        <v>Fertilizer and Pesticides</v>
      </c>
      <c r="E1763" s="6">
        <v>2232</v>
      </c>
      <c r="F1763" s="6">
        <v>0</v>
      </c>
      <c r="G1763" s="6">
        <v>0</v>
      </c>
      <c r="H1763" s="6">
        <v>0</v>
      </c>
      <c r="I1763" s="6">
        <v>0</v>
      </c>
    </row>
    <row r="1764" spans="1:9">
      <c r="A1764" s="6">
        <v>7</v>
      </c>
      <c r="B1764" s="6" t="str">
        <f t="shared" si="54"/>
        <v>Rubber (Latex)</v>
      </c>
      <c r="C1764" s="6">
        <v>28</v>
      </c>
      <c r="D1764" s="6" t="str">
        <f t="shared" si="55"/>
        <v>Fertilizer and Pesticides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</row>
    <row r="1765" spans="1:9">
      <c r="A1765" s="6">
        <v>8</v>
      </c>
      <c r="B1765" s="6" t="str">
        <f t="shared" si="54"/>
        <v>Other Crops</v>
      </c>
      <c r="C1765" s="6">
        <v>28</v>
      </c>
      <c r="D1765" s="6" t="str">
        <f t="shared" si="55"/>
        <v>Fertilizer and Pesticides</v>
      </c>
      <c r="E1765" s="6">
        <v>163081</v>
      </c>
      <c r="F1765" s="6">
        <v>6089</v>
      </c>
      <c r="G1765" s="6">
        <v>1499</v>
      </c>
      <c r="H1765" s="6">
        <v>1630</v>
      </c>
      <c r="I1765" s="6">
        <v>2392</v>
      </c>
    </row>
    <row r="1766" spans="1:9">
      <c r="A1766" s="6">
        <v>9</v>
      </c>
      <c r="B1766" s="6" t="str">
        <f t="shared" si="54"/>
        <v>Livestock</v>
      </c>
      <c r="C1766" s="6">
        <v>28</v>
      </c>
      <c r="D1766" s="6" t="str">
        <f t="shared" si="55"/>
        <v>Fertilizer and Pesticides</v>
      </c>
      <c r="E1766" s="6">
        <v>284322</v>
      </c>
      <c r="F1766" s="6">
        <v>7203</v>
      </c>
      <c r="G1766" s="6">
        <v>1683</v>
      </c>
      <c r="H1766" s="6">
        <v>577</v>
      </c>
      <c r="I1766" s="6">
        <v>0</v>
      </c>
    </row>
    <row r="1767" spans="1:9">
      <c r="A1767" s="6">
        <v>10</v>
      </c>
      <c r="B1767" s="6" t="str">
        <f t="shared" si="54"/>
        <v>Forestry</v>
      </c>
      <c r="C1767" s="6">
        <v>28</v>
      </c>
      <c r="D1767" s="6" t="str">
        <f t="shared" si="55"/>
        <v>Fertilizer and Pesticides</v>
      </c>
      <c r="E1767" s="6">
        <v>15938</v>
      </c>
      <c r="F1767" s="6">
        <v>784</v>
      </c>
      <c r="G1767" s="6">
        <v>855</v>
      </c>
      <c r="H1767" s="6">
        <v>118</v>
      </c>
      <c r="I1767" s="6">
        <v>0</v>
      </c>
    </row>
    <row r="1768" spans="1:9">
      <c r="A1768" s="6">
        <v>11</v>
      </c>
      <c r="B1768" s="6" t="str">
        <f t="shared" si="54"/>
        <v>Fishery</v>
      </c>
      <c r="C1768" s="6">
        <v>28</v>
      </c>
      <c r="D1768" s="6" t="str">
        <f t="shared" si="55"/>
        <v>Fertilizer and Pesticides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</row>
    <row r="1769" spans="1:9">
      <c r="A1769" s="6">
        <v>12</v>
      </c>
      <c r="B1769" s="6" t="str">
        <f t="shared" si="54"/>
        <v>Crude Oil and Coal</v>
      </c>
      <c r="C1769" s="6">
        <v>28</v>
      </c>
      <c r="D1769" s="6" t="str">
        <f t="shared" si="55"/>
        <v>Fertilizer and Pesticides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</row>
    <row r="1770" spans="1:9">
      <c r="A1770" s="6">
        <v>13</v>
      </c>
      <c r="B1770" s="6" t="str">
        <f t="shared" si="54"/>
        <v>Metal Ore</v>
      </c>
      <c r="C1770" s="6">
        <v>28</v>
      </c>
      <c r="D1770" s="6" t="str">
        <f t="shared" si="55"/>
        <v>Fertilizer and Pesticides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</row>
    <row r="1771" spans="1:9">
      <c r="A1771" s="6">
        <v>14</v>
      </c>
      <c r="B1771" s="6" t="str">
        <f t="shared" si="54"/>
        <v>Non-Metal Ore</v>
      </c>
      <c r="C1771" s="6">
        <v>28</v>
      </c>
      <c r="D1771" s="6" t="str">
        <f t="shared" si="55"/>
        <v>Fertilizer and Pesticides</v>
      </c>
      <c r="E1771" s="6">
        <v>3704237</v>
      </c>
      <c r="F1771" s="6">
        <v>161765</v>
      </c>
      <c r="G1771" s="6">
        <v>8158</v>
      </c>
      <c r="H1771" s="6">
        <v>126378</v>
      </c>
      <c r="I1771" s="6">
        <v>1477908</v>
      </c>
    </row>
    <row r="1772" spans="1:9">
      <c r="A1772" s="6">
        <v>15</v>
      </c>
      <c r="B1772" s="6" t="str">
        <f t="shared" si="54"/>
        <v>Slaughtering</v>
      </c>
      <c r="C1772" s="6">
        <v>28</v>
      </c>
      <c r="D1772" s="6" t="str">
        <f t="shared" si="55"/>
        <v>Fertilizer and Pesticides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</row>
    <row r="1773" spans="1:9">
      <c r="A1773" s="6">
        <v>16</v>
      </c>
      <c r="B1773" s="6" t="str">
        <f t="shared" si="54"/>
        <v>Processing and Presering of Foods</v>
      </c>
      <c r="C1773" s="6">
        <v>28</v>
      </c>
      <c r="D1773" s="6" t="str">
        <f t="shared" si="55"/>
        <v>Fertilizer and Pesticides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</row>
    <row r="1774" spans="1:9">
      <c r="A1774" s="6">
        <v>17</v>
      </c>
      <c r="B1774" s="6" t="str">
        <f t="shared" si="54"/>
        <v>Rice and Other Grain Milling</v>
      </c>
      <c r="C1774" s="6">
        <v>28</v>
      </c>
      <c r="D1774" s="6" t="str">
        <f t="shared" si="55"/>
        <v>Fertilizer and Pesticides</v>
      </c>
      <c r="E1774" s="6">
        <v>69186</v>
      </c>
      <c r="F1774" s="6">
        <v>1692</v>
      </c>
      <c r="G1774" s="6">
        <v>2707</v>
      </c>
      <c r="H1774" s="6">
        <v>1192</v>
      </c>
      <c r="I1774" s="6">
        <v>0</v>
      </c>
    </row>
    <row r="1775" spans="1:9">
      <c r="A1775" s="6">
        <v>18</v>
      </c>
      <c r="B1775" s="6" t="str">
        <f t="shared" si="54"/>
        <v>Sugar Refineries</v>
      </c>
      <c r="C1775" s="6">
        <v>28</v>
      </c>
      <c r="D1775" s="6" t="str">
        <f t="shared" si="55"/>
        <v>Fertilizer and Pesticides</v>
      </c>
      <c r="E1775" s="6">
        <v>505301</v>
      </c>
      <c r="F1775" s="6">
        <v>4248</v>
      </c>
      <c r="G1775" s="6">
        <v>110</v>
      </c>
      <c r="H1775" s="6">
        <v>4962</v>
      </c>
      <c r="I1775" s="6">
        <v>253591</v>
      </c>
    </row>
    <row r="1776" spans="1:9">
      <c r="A1776" s="6">
        <v>19</v>
      </c>
      <c r="B1776" s="6" t="str">
        <f t="shared" si="54"/>
        <v>Other Foods</v>
      </c>
      <c r="C1776" s="6">
        <v>28</v>
      </c>
      <c r="D1776" s="6" t="str">
        <f t="shared" si="55"/>
        <v>Fertilizer and Pesticides</v>
      </c>
      <c r="E1776" s="6">
        <v>50811</v>
      </c>
      <c r="F1776" s="6">
        <v>1355</v>
      </c>
      <c r="G1776" s="6">
        <v>1655</v>
      </c>
      <c r="H1776" s="6">
        <v>667</v>
      </c>
      <c r="I1776" s="6">
        <v>0</v>
      </c>
    </row>
    <row r="1777" spans="1:9">
      <c r="A1777" s="6">
        <v>20</v>
      </c>
      <c r="B1777" s="6" t="str">
        <f t="shared" si="54"/>
        <v>Animal Food</v>
      </c>
      <c r="C1777" s="6">
        <v>28</v>
      </c>
      <c r="D1777" s="6" t="str">
        <f t="shared" si="55"/>
        <v>Fertilizer and Pesticides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</row>
    <row r="1778" spans="1:9">
      <c r="A1778" s="6">
        <v>21</v>
      </c>
      <c r="B1778" s="6" t="str">
        <f t="shared" si="54"/>
        <v>Beverages</v>
      </c>
      <c r="C1778" s="6">
        <v>28</v>
      </c>
      <c r="D1778" s="6" t="str">
        <f t="shared" si="55"/>
        <v>Fertilizer and Pesticides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</row>
    <row r="1779" spans="1:9">
      <c r="A1779" s="6">
        <v>22</v>
      </c>
      <c r="B1779" s="6" t="str">
        <f t="shared" si="54"/>
        <v>Tobacco Processing and Products</v>
      </c>
      <c r="C1779" s="6">
        <v>28</v>
      </c>
      <c r="D1779" s="6" t="str">
        <f t="shared" si="55"/>
        <v>Fertilizer and Pesticides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</row>
    <row r="1780" spans="1:9">
      <c r="A1780" s="6">
        <v>23</v>
      </c>
      <c r="B1780" s="6" t="str">
        <f t="shared" si="54"/>
        <v>Spinning, Weaving and Bleaching</v>
      </c>
      <c r="C1780" s="6">
        <v>28</v>
      </c>
      <c r="D1780" s="6" t="str">
        <f t="shared" si="55"/>
        <v>Fertilizer and Pesticides</v>
      </c>
      <c r="E1780" s="6">
        <v>1602</v>
      </c>
      <c r="F1780" s="6">
        <v>157</v>
      </c>
      <c r="G1780" s="6">
        <v>0</v>
      </c>
      <c r="H1780" s="6">
        <v>5</v>
      </c>
      <c r="I1780" s="6">
        <v>0</v>
      </c>
    </row>
    <row r="1781" spans="1:9">
      <c r="A1781" s="6">
        <v>24</v>
      </c>
      <c r="B1781" s="6" t="str">
        <f t="shared" si="54"/>
        <v>Textile Products</v>
      </c>
      <c r="C1781" s="6">
        <v>28</v>
      </c>
      <c r="D1781" s="6" t="str">
        <f t="shared" si="55"/>
        <v>Fertilizer and Pesticides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</row>
    <row r="1782" spans="1:9">
      <c r="A1782" s="6">
        <v>25</v>
      </c>
      <c r="B1782" s="6" t="str">
        <f t="shared" si="54"/>
        <v>Paper and Paper Products</v>
      </c>
      <c r="C1782" s="6">
        <v>28</v>
      </c>
      <c r="D1782" s="6" t="str">
        <f t="shared" si="55"/>
        <v>Fertilizer and Pesticides</v>
      </c>
      <c r="E1782" s="6">
        <v>202717</v>
      </c>
      <c r="F1782" s="6">
        <v>10502</v>
      </c>
      <c r="G1782" s="6">
        <v>4516</v>
      </c>
      <c r="H1782" s="6">
        <v>1891</v>
      </c>
      <c r="I1782" s="6">
        <v>0</v>
      </c>
    </row>
    <row r="1783" spans="1:9">
      <c r="A1783" s="6">
        <v>26</v>
      </c>
      <c r="B1783" s="6" t="str">
        <f t="shared" si="54"/>
        <v>Printing and Publishing</v>
      </c>
      <c r="C1783" s="6">
        <v>28</v>
      </c>
      <c r="D1783" s="6" t="str">
        <f t="shared" si="55"/>
        <v>Fertilizer and Pesticides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</row>
    <row r="1784" spans="1:9">
      <c r="A1784" s="6">
        <v>27</v>
      </c>
      <c r="B1784" s="6" t="str">
        <f t="shared" si="54"/>
        <v>Basic Chemical Products</v>
      </c>
      <c r="C1784" s="6">
        <v>28</v>
      </c>
      <c r="D1784" s="6" t="str">
        <f t="shared" si="55"/>
        <v>Fertilizer and Pesticides</v>
      </c>
      <c r="E1784" s="6">
        <v>23472382</v>
      </c>
      <c r="F1784" s="6">
        <v>1321323</v>
      </c>
      <c r="G1784" s="6">
        <v>489111</v>
      </c>
      <c r="H1784" s="6">
        <v>415558</v>
      </c>
      <c r="I1784" s="6">
        <v>18645926</v>
      </c>
    </row>
    <row r="1785" spans="1:9">
      <c r="A1785" s="6">
        <v>28</v>
      </c>
      <c r="B1785" s="6" t="str">
        <f t="shared" si="54"/>
        <v>Fertilizer and Pesticides</v>
      </c>
      <c r="C1785" s="6">
        <v>28</v>
      </c>
      <c r="D1785" s="6" t="str">
        <f t="shared" si="55"/>
        <v>Fertilizer and Pesticides</v>
      </c>
      <c r="E1785" s="6">
        <v>11667881</v>
      </c>
      <c r="F1785" s="6">
        <v>901920</v>
      </c>
      <c r="G1785" s="6">
        <v>448311</v>
      </c>
      <c r="H1785" s="6">
        <v>474537</v>
      </c>
      <c r="I1785" s="6">
        <v>8441038</v>
      </c>
    </row>
    <row r="1786" spans="1:9">
      <c r="A1786" s="6">
        <v>29</v>
      </c>
      <c r="B1786" s="6" t="str">
        <f t="shared" si="54"/>
        <v>Other Chemical Products</v>
      </c>
      <c r="C1786" s="6">
        <v>28</v>
      </c>
      <c r="D1786" s="6" t="str">
        <f t="shared" si="55"/>
        <v>Fertilizer and Pesticides</v>
      </c>
      <c r="E1786" s="6">
        <v>1227240</v>
      </c>
      <c r="F1786" s="6">
        <v>142286</v>
      </c>
      <c r="G1786" s="6">
        <v>32074</v>
      </c>
      <c r="H1786" s="6">
        <v>12642</v>
      </c>
      <c r="I1786" s="6">
        <v>827013</v>
      </c>
    </row>
    <row r="1787" spans="1:9">
      <c r="A1787" s="6">
        <v>30</v>
      </c>
      <c r="B1787" s="6" t="str">
        <f t="shared" si="54"/>
        <v>Petroleum Refineries</v>
      </c>
      <c r="C1787" s="6">
        <v>28</v>
      </c>
      <c r="D1787" s="6" t="str">
        <f t="shared" si="55"/>
        <v>Fertilizer and Pesticides</v>
      </c>
      <c r="E1787" s="6">
        <v>1042237</v>
      </c>
      <c r="F1787" s="6">
        <v>57149</v>
      </c>
      <c r="G1787" s="6">
        <v>31182</v>
      </c>
      <c r="H1787" s="6">
        <v>7153</v>
      </c>
      <c r="I1787" s="6">
        <v>197610</v>
      </c>
    </row>
    <row r="1788" spans="1:9">
      <c r="A1788" s="6">
        <v>31</v>
      </c>
      <c r="B1788" s="6" t="str">
        <f t="shared" si="54"/>
        <v>Rubber Products</v>
      </c>
      <c r="C1788" s="6">
        <v>28</v>
      </c>
      <c r="D1788" s="6" t="str">
        <f t="shared" si="55"/>
        <v>Fertilizer and Pesticides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</row>
    <row r="1789" spans="1:9">
      <c r="A1789" s="6">
        <v>32</v>
      </c>
      <c r="B1789" s="6" t="str">
        <f t="shared" si="54"/>
        <v>Plastic Wares</v>
      </c>
      <c r="C1789" s="6">
        <v>28</v>
      </c>
      <c r="D1789" s="6" t="str">
        <f t="shared" si="55"/>
        <v>Fertilizer and Pesticides</v>
      </c>
      <c r="E1789" s="6">
        <v>1455907</v>
      </c>
      <c r="F1789" s="6">
        <v>37479</v>
      </c>
      <c r="G1789" s="6">
        <v>33642</v>
      </c>
      <c r="H1789" s="6">
        <v>10581</v>
      </c>
      <c r="I1789" s="6">
        <v>687803</v>
      </c>
    </row>
    <row r="1790" spans="1:9">
      <c r="A1790" s="6">
        <v>33</v>
      </c>
      <c r="B1790" s="6" t="str">
        <f t="shared" si="54"/>
        <v>Cement and Concrete Products</v>
      </c>
      <c r="C1790" s="6">
        <v>28</v>
      </c>
      <c r="D1790" s="6" t="str">
        <f t="shared" si="55"/>
        <v>Fertilizer and Pesticides</v>
      </c>
      <c r="E1790" s="6">
        <v>219801</v>
      </c>
      <c r="F1790" s="6">
        <v>15750</v>
      </c>
      <c r="G1790" s="6">
        <v>8903</v>
      </c>
      <c r="H1790" s="6">
        <v>3262</v>
      </c>
      <c r="I1790" s="6">
        <v>0</v>
      </c>
    </row>
    <row r="1791" spans="1:9">
      <c r="A1791" s="6">
        <v>34</v>
      </c>
      <c r="B1791" s="6" t="str">
        <f t="shared" si="54"/>
        <v>Other Non-metallic Products</v>
      </c>
      <c r="C1791" s="6">
        <v>28</v>
      </c>
      <c r="D1791" s="6" t="str">
        <f t="shared" si="55"/>
        <v>Fertilizer and Pesticides</v>
      </c>
      <c r="E1791" s="6">
        <v>125170</v>
      </c>
      <c r="F1791" s="6">
        <v>18658</v>
      </c>
      <c r="G1791" s="6">
        <v>19427</v>
      </c>
      <c r="H1791" s="6">
        <v>1698</v>
      </c>
      <c r="I1791" s="6">
        <v>0</v>
      </c>
    </row>
    <row r="1792" spans="1:9">
      <c r="A1792" s="6">
        <v>35</v>
      </c>
      <c r="B1792" s="6" t="str">
        <f t="shared" si="54"/>
        <v>Iron and Steel</v>
      </c>
      <c r="C1792" s="6">
        <v>28</v>
      </c>
      <c r="D1792" s="6" t="str">
        <f t="shared" si="55"/>
        <v>Fertilizer and Pesticides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</row>
    <row r="1793" spans="1:9">
      <c r="A1793" s="6">
        <v>36</v>
      </c>
      <c r="B1793" s="6" t="str">
        <f t="shared" si="54"/>
        <v>Non-ferrous Metal</v>
      </c>
      <c r="C1793" s="6">
        <v>28</v>
      </c>
      <c r="D1793" s="6" t="str">
        <f t="shared" si="55"/>
        <v>Fertilizer and Pesticides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</row>
    <row r="1794" spans="1:9">
      <c r="A1794" s="6">
        <v>37</v>
      </c>
      <c r="B1794" s="6" t="str">
        <f t="shared" si="54"/>
        <v>Fabricated Metal Products</v>
      </c>
      <c r="C1794" s="6">
        <v>28</v>
      </c>
      <c r="D1794" s="6" t="str">
        <f t="shared" si="55"/>
        <v>Fertilizer and Pesticides</v>
      </c>
      <c r="E1794" s="6">
        <v>9735</v>
      </c>
      <c r="F1794" s="6">
        <v>71</v>
      </c>
      <c r="G1794" s="6">
        <v>585</v>
      </c>
      <c r="H1794" s="6">
        <v>16</v>
      </c>
      <c r="I1794" s="6">
        <v>7394</v>
      </c>
    </row>
    <row r="1795" spans="1:9">
      <c r="A1795" s="6">
        <v>38</v>
      </c>
      <c r="B1795" s="6" t="str">
        <f t="shared" si="54"/>
        <v>Industrial Machinery</v>
      </c>
      <c r="C1795" s="6">
        <v>28</v>
      </c>
      <c r="D1795" s="6" t="str">
        <f t="shared" si="55"/>
        <v>Fertilizer and Pesticides</v>
      </c>
      <c r="E1795" s="6">
        <v>696813</v>
      </c>
      <c r="F1795" s="6">
        <v>42127</v>
      </c>
      <c r="G1795" s="6">
        <v>33</v>
      </c>
      <c r="H1795" s="6">
        <v>11589</v>
      </c>
      <c r="I1795" s="6">
        <v>0</v>
      </c>
    </row>
    <row r="1796" spans="1:9">
      <c r="A1796" s="6">
        <v>39</v>
      </c>
      <c r="B1796" s="6" t="str">
        <f t="shared" ref="B1796:B1859" si="56">VLOOKUP(A1796,R:S,2,0)</f>
        <v>Electrical Machinery and Apparatus</v>
      </c>
      <c r="C1796" s="6">
        <v>28</v>
      </c>
      <c r="D1796" s="6" t="str">
        <f t="shared" ref="D1796:D1859" si="57">VLOOKUP(C1796,R:S,2,0)</f>
        <v>Fertilizer and Pesticides</v>
      </c>
      <c r="E1796" s="6">
        <v>35845</v>
      </c>
      <c r="F1796" s="6">
        <v>2252</v>
      </c>
      <c r="G1796" s="6">
        <v>0</v>
      </c>
      <c r="H1796" s="6">
        <v>744</v>
      </c>
      <c r="I1796" s="6">
        <v>0</v>
      </c>
    </row>
    <row r="1797" spans="1:9">
      <c r="A1797" s="6">
        <v>40</v>
      </c>
      <c r="B1797" s="6" t="str">
        <f t="shared" si="56"/>
        <v>Motor Vehicles and Repairing</v>
      </c>
      <c r="C1797" s="6">
        <v>28</v>
      </c>
      <c r="D1797" s="6" t="str">
        <f t="shared" si="57"/>
        <v>Fertilizer and Pesticides</v>
      </c>
      <c r="E1797" s="6">
        <v>40977</v>
      </c>
      <c r="F1797" s="6">
        <v>0</v>
      </c>
      <c r="G1797" s="6">
        <v>0</v>
      </c>
      <c r="H1797" s="6">
        <v>0</v>
      </c>
      <c r="I1797" s="6">
        <v>0</v>
      </c>
    </row>
    <row r="1798" spans="1:9">
      <c r="A1798" s="6">
        <v>41</v>
      </c>
      <c r="B1798" s="6" t="str">
        <f t="shared" si="56"/>
        <v>Other Transportation Equipment</v>
      </c>
      <c r="C1798" s="6">
        <v>28</v>
      </c>
      <c r="D1798" s="6" t="str">
        <f t="shared" si="57"/>
        <v>Fertilizer and Pesticides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</row>
    <row r="1799" spans="1:9">
      <c r="A1799" s="6">
        <v>42</v>
      </c>
      <c r="B1799" s="6" t="str">
        <f t="shared" si="56"/>
        <v>Leather Products</v>
      </c>
      <c r="C1799" s="6">
        <v>28</v>
      </c>
      <c r="D1799" s="6" t="str">
        <f t="shared" si="57"/>
        <v>Fertilizer and Pesticides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</row>
    <row r="1800" spans="1:9">
      <c r="A1800" s="6">
        <v>43</v>
      </c>
      <c r="B1800" s="6" t="str">
        <f t="shared" si="56"/>
        <v>Saw Mills and Wood Products</v>
      </c>
      <c r="C1800" s="6">
        <v>28</v>
      </c>
      <c r="D1800" s="6" t="str">
        <f t="shared" si="57"/>
        <v>Fertilizer and Pesticides</v>
      </c>
      <c r="E1800" s="6">
        <v>235427</v>
      </c>
      <c r="F1800" s="6">
        <v>18541</v>
      </c>
      <c r="G1800" s="6">
        <v>39840</v>
      </c>
      <c r="H1800" s="6">
        <v>2467</v>
      </c>
      <c r="I1800" s="6">
        <v>0</v>
      </c>
    </row>
    <row r="1801" spans="1:9">
      <c r="A1801" s="6">
        <v>44</v>
      </c>
      <c r="B1801" s="6" t="str">
        <f t="shared" si="56"/>
        <v>Other Manufacturing Products</v>
      </c>
      <c r="C1801" s="6">
        <v>28</v>
      </c>
      <c r="D1801" s="6" t="str">
        <f t="shared" si="57"/>
        <v>Fertilizer and Pesticides</v>
      </c>
      <c r="E1801" s="6">
        <v>32271</v>
      </c>
      <c r="F1801" s="6">
        <v>1892</v>
      </c>
      <c r="G1801" s="6">
        <v>2136</v>
      </c>
      <c r="H1801" s="6">
        <v>284</v>
      </c>
      <c r="I1801" s="6">
        <v>0</v>
      </c>
    </row>
    <row r="1802" spans="1:9">
      <c r="A1802" s="6">
        <v>45</v>
      </c>
      <c r="B1802" s="6" t="str">
        <f t="shared" si="56"/>
        <v>Electricity and Gas</v>
      </c>
      <c r="C1802" s="6">
        <v>28</v>
      </c>
      <c r="D1802" s="6" t="str">
        <f t="shared" si="57"/>
        <v>Fertilizer and Pesticides</v>
      </c>
      <c r="E1802" s="6">
        <v>1082098</v>
      </c>
      <c r="F1802" s="6">
        <v>1032</v>
      </c>
      <c r="G1802" s="6">
        <v>1916</v>
      </c>
      <c r="H1802" s="6">
        <v>190</v>
      </c>
      <c r="I1802" s="6">
        <v>0</v>
      </c>
    </row>
    <row r="1803" spans="1:9">
      <c r="A1803" s="6">
        <v>46</v>
      </c>
      <c r="B1803" s="6" t="str">
        <f t="shared" si="56"/>
        <v>Water Works and Supply</v>
      </c>
      <c r="C1803" s="6">
        <v>28</v>
      </c>
      <c r="D1803" s="6" t="str">
        <f t="shared" si="57"/>
        <v>Fertilizer and Pesticides</v>
      </c>
      <c r="E1803" s="6">
        <v>37780</v>
      </c>
      <c r="F1803" s="6">
        <v>0</v>
      </c>
      <c r="G1803" s="6">
        <v>0</v>
      </c>
      <c r="H1803" s="6">
        <v>0</v>
      </c>
      <c r="I1803" s="6">
        <v>0</v>
      </c>
    </row>
    <row r="1804" spans="1:9">
      <c r="A1804" s="6">
        <v>47</v>
      </c>
      <c r="B1804" s="6" t="str">
        <f t="shared" si="56"/>
        <v>Building Construction</v>
      </c>
      <c r="C1804" s="6">
        <v>28</v>
      </c>
      <c r="D1804" s="6" t="str">
        <f t="shared" si="57"/>
        <v>Fertilizer and Pesticides</v>
      </c>
      <c r="E1804" s="6">
        <v>52615</v>
      </c>
      <c r="F1804" s="6">
        <v>0</v>
      </c>
      <c r="G1804" s="6">
        <v>0</v>
      </c>
      <c r="H1804" s="6">
        <v>0</v>
      </c>
      <c r="I1804" s="6">
        <v>0</v>
      </c>
    </row>
    <row r="1805" spans="1:9">
      <c r="A1805" s="6">
        <v>48</v>
      </c>
      <c r="B1805" s="6" t="str">
        <f t="shared" si="56"/>
        <v>Public Works and Other Construction</v>
      </c>
      <c r="C1805" s="6">
        <v>28</v>
      </c>
      <c r="D1805" s="6" t="str">
        <f t="shared" si="57"/>
        <v>Fertilizer and Pesticides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</row>
    <row r="1806" spans="1:9">
      <c r="A1806" s="6">
        <v>49</v>
      </c>
      <c r="B1806" s="6" t="str">
        <f t="shared" si="56"/>
        <v>Trade</v>
      </c>
      <c r="C1806" s="6">
        <v>28</v>
      </c>
      <c r="D1806" s="6" t="str">
        <f t="shared" si="57"/>
        <v>Fertilizer and Pesticides</v>
      </c>
      <c r="E1806" s="6">
        <v>0</v>
      </c>
      <c r="F1806" s="6">
        <v>-2791920</v>
      </c>
      <c r="G1806" s="6">
        <v>-1133994</v>
      </c>
      <c r="H1806" s="6">
        <v>0</v>
      </c>
      <c r="I1806" s="6">
        <v>0</v>
      </c>
    </row>
    <row r="1807" spans="1:9">
      <c r="A1807" s="6">
        <v>50</v>
      </c>
      <c r="B1807" s="6" t="str">
        <f t="shared" si="56"/>
        <v>Restaurants and Hotels</v>
      </c>
      <c r="C1807" s="6">
        <v>28</v>
      </c>
      <c r="D1807" s="6" t="str">
        <f t="shared" si="57"/>
        <v>Fertilizer and Pesticides</v>
      </c>
      <c r="E1807" s="6">
        <v>442362</v>
      </c>
      <c r="F1807" s="6">
        <v>0</v>
      </c>
      <c r="G1807" s="6">
        <v>0</v>
      </c>
      <c r="H1807" s="6">
        <v>0</v>
      </c>
      <c r="I1807" s="6">
        <v>0</v>
      </c>
    </row>
    <row r="1808" spans="1:9">
      <c r="A1808" s="6">
        <v>51</v>
      </c>
      <c r="B1808" s="6" t="str">
        <f t="shared" si="56"/>
        <v>Transportation</v>
      </c>
      <c r="C1808" s="6">
        <v>28</v>
      </c>
      <c r="D1808" s="6" t="str">
        <f t="shared" si="57"/>
        <v>Fertilizer and Pesticides</v>
      </c>
      <c r="E1808" s="6">
        <v>921189</v>
      </c>
      <c r="F1808" s="6">
        <v>0</v>
      </c>
      <c r="G1808" s="6">
        <v>0</v>
      </c>
      <c r="H1808" s="6">
        <v>-1080980</v>
      </c>
      <c r="I1808" s="6">
        <v>0</v>
      </c>
    </row>
    <row r="1809" spans="1:9">
      <c r="A1809" s="6">
        <v>52</v>
      </c>
      <c r="B1809" s="6" t="str">
        <f t="shared" si="56"/>
        <v>Communication</v>
      </c>
      <c r="C1809" s="6">
        <v>28</v>
      </c>
      <c r="D1809" s="6" t="str">
        <f t="shared" si="57"/>
        <v>Fertilizer and Pesticides</v>
      </c>
      <c r="E1809" s="6">
        <v>181145</v>
      </c>
      <c r="F1809" s="6">
        <v>0</v>
      </c>
      <c r="G1809" s="6">
        <v>0</v>
      </c>
      <c r="H1809" s="6">
        <v>0</v>
      </c>
      <c r="I1809" s="6">
        <v>0</v>
      </c>
    </row>
    <row r="1810" spans="1:9">
      <c r="A1810" s="6">
        <v>53</v>
      </c>
      <c r="B1810" s="6" t="str">
        <f t="shared" si="56"/>
        <v>Banking and Insurance</v>
      </c>
      <c r="C1810" s="6">
        <v>28</v>
      </c>
      <c r="D1810" s="6" t="str">
        <f t="shared" si="57"/>
        <v>Fertilizer and Pesticides</v>
      </c>
      <c r="E1810" s="6">
        <v>1492566</v>
      </c>
      <c r="F1810" s="6">
        <v>0</v>
      </c>
      <c r="G1810" s="6">
        <v>0</v>
      </c>
      <c r="H1810" s="6">
        <v>0</v>
      </c>
      <c r="I1810" s="6">
        <v>0</v>
      </c>
    </row>
    <row r="1811" spans="1:9">
      <c r="A1811" s="6">
        <v>54</v>
      </c>
      <c r="B1811" s="6" t="str">
        <f t="shared" si="56"/>
        <v>Real Estate</v>
      </c>
      <c r="C1811" s="6">
        <v>28</v>
      </c>
      <c r="D1811" s="6" t="str">
        <f t="shared" si="57"/>
        <v>Fertilizer and Pesticides</v>
      </c>
      <c r="E1811" s="6">
        <v>215623</v>
      </c>
      <c r="F1811" s="6">
        <v>0</v>
      </c>
      <c r="G1811" s="6">
        <v>0</v>
      </c>
      <c r="H1811" s="6">
        <v>0</v>
      </c>
      <c r="I1811" s="6">
        <v>0</v>
      </c>
    </row>
    <row r="1812" spans="1:9">
      <c r="A1812" s="6">
        <v>55</v>
      </c>
      <c r="B1812" s="6" t="str">
        <f t="shared" si="56"/>
        <v>Business Services</v>
      </c>
      <c r="C1812" s="6">
        <v>28</v>
      </c>
      <c r="D1812" s="6" t="str">
        <f t="shared" si="57"/>
        <v>Fertilizer and Pesticides</v>
      </c>
      <c r="E1812" s="6">
        <v>1814964</v>
      </c>
      <c r="F1812" s="6">
        <v>0</v>
      </c>
      <c r="G1812" s="6">
        <v>0</v>
      </c>
      <c r="H1812" s="6">
        <v>0</v>
      </c>
      <c r="I1812" s="6">
        <v>0</v>
      </c>
    </row>
    <row r="1813" spans="1:9">
      <c r="A1813" s="6">
        <v>56</v>
      </c>
      <c r="B1813" s="6" t="str">
        <f t="shared" si="56"/>
        <v>Public Services</v>
      </c>
      <c r="C1813" s="6">
        <v>28</v>
      </c>
      <c r="D1813" s="6" t="str">
        <f t="shared" si="57"/>
        <v>Fertilizer and Pesticides</v>
      </c>
      <c r="E1813" s="6">
        <v>60297</v>
      </c>
      <c r="F1813" s="6">
        <v>0</v>
      </c>
      <c r="G1813" s="6">
        <v>0</v>
      </c>
      <c r="H1813" s="6">
        <v>0</v>
      </c>
      <c r="I1813" s="6">
        <v>0</v>
      </c>
    </row>
    <row r="1814" spans="1:9">
      <c r="A1814" s="6">
        <v>57</v>
      </c>
      <c r="B1814" s="6" t="str">
        <f t="shared" si="56"/>
        <v>Other Services</v>
      </c>
      <c r="C1814" s="6">
        <v>28</v>
      </c>
      <c r="D1814" s="6" t="str">
        <f t="shared" si="57"/>
        <v>Fertilizer and Pesticides</v>
      </c>
      <c r="E1814" s="6">
        <v>95452</v>
      </c>
      <c r="F1814" s="6">
        <v>0</v>
      </c>
      <c r="G1814" s="6">
        <v>0</v>
      </c>
      <c r="H1814" s="6">
        <v>0</v>
      </c>
      <c r="I1814" s="6">
        <v>0</v>
      </c>
    </row>
    <row r="1815" spans="1:9">
      <c r="A1815" s="6">
        <v>58</v>
      </c>
      <c r="B1815" s="6" t="str">
        <f t="shared" si="56"/>
        <v>Unclassified</v>
      </c>
      <c r="C1815" s="6">
        <v>28</v>
      </c>
      <c r="D1815" s="6" t="str">
        <f t="shared" si="57"/>
        <v>Fertilizer and Pesticides</v>
      </c>
      <c r="E1815" s="6">
        <v>2268</v>
      </c>
      <c r="F1815" s="6">
        <v>0</v>
      </c>
      <c r="G1815" s="6">
        <v>0</v>
      </c>
      <c r="H1815" s="6">
        <v>0</v>
      </c>
      <c r="I1815" s="6">
        <v>240</v>
      </c>
    </row>
    <row r="1816" spans="1:9">
      <c r="A1816" s="6">
        <v>190</v>
      </c>
      <c r="B1816" s="6" t="str">
        <f t="shared" si="56"/>
        <v>Total Intermedite Transaction</v>
      </c>
      <c r="C1816" s="6">
        <v>28</v>
      </c>
      <c r="D1816" s="6" t="str">
        <f t="shared" si="57"/>
        <v>Fertilizer and Pesticides</v>
      </c>
      <c r="E1816" s="6">
        <v>52473965</v>
      </c>
      <c r="F1816" s="6">
        <v>0</v>
      </c>
      <c r="G1816" s="6">
        <v>0</v>
      </c>
      <c r="H1816" s="6">
        <v>0</v>
      </c>
      <c r="I1816" s="6">
        <v>30919898</v>
      </c>
    </row>
    <row r="1817" spans="1:9">
      <c r="A1817" s="6">
        <v>201</v>
      </c>
      <c r="B1817" s="6" t="str">
        <f t="shared" si="56"/>
        <v>Wages and Salaries</v>
      </c>
      <c r="C1817" s="6">
        <v>28</v>
      </c>
      <c r="D1817" s="6" t="str">
        <f t="shared" si="57"/>
        <v>Fertilizer and Pesticides</v>
      </c>
      <c r="E1817" s="6">
        <v>5605242</v>
      </c>
      <c r="F1817" s="6">
        <v>0</v>
      </c>
      <c r="G1817" s="6">
        <v>0</v>
      </c>
      <c r="H1817" s="6">
        <v>0</v>
      </c>
      <c r="I1817" s="6">
        <v>0</v>
      </c>
    </row>
    <row r="1818" spans="1:9">
      <c r="A1818" s="6">
        <v>202</v>
      </c>
      <c r="B1818" s="6" t="str">
        <f t="shared" si="56"/>
        <v>Operating Surplus</v>
      </c>
      <c r="C1818" s="6">
        <v>28</v>
      </c>
      <c r="D1818" s="6" t="str">
        <f t="shared" si="57"/>
        <v>Fertilizer and Pesticides</v>
      </c>
      <c r="E1818" s="6">
        <v>7866354</v>
      </c>
      <c r="F1818" s="6">
        <v>0</v>
      </c>
      <c r="G1818" s="6">
        <v>0</v>
      </c>
      <c r="H1818" s="6">
        <v>0</v>
      </c>
      <c r="I1818" s="6">
        <v>0</v>
      </c>
    </row>
    <row r="1819" spans="1:9">
      <c r="A1819" s="6">
        <v>203</v>
      </c>
      <c r="B1819" s="6" t="str">
        <f t="shared" si="56"/>
        <v>Depreciation</v>
      </c>
      <c r="C1819" s="6">
        <v>28</v>
      </c>
      <c r="D1819" s="6" t="str">
        <f t="shared" si="57"/>
        <v>Fertilizer and Pesticides</v>
      </c>
      <c r="E1819" s="6">
        <v>2782923</v>
      </c>
      <c r="F1819" s="6">
        <v>0</v>
      </c>
      <c r="G1819" s="6">
        <v>0</v>
      </c>
      <c r="H1819" s="6">
        <v>0</v>
      </c>
      <c r="I1819" s="6">
        <v>0</v>
      </c>
    </row>
    <row r="1820" spans="1:9">
      <c r="A1820" s="6">
        <v>204</v>
      </c>
      <c r="B1820" s="6" t="str">
        <f t="shared" si="56"/>
        <v>Indirect Taxes less Subsidies</v>
      </c>
      <c r="C1820" s="6">
        <v>28</v>
      </c>
      <c r="D1820" s="6" t="str">
        <f t="shared" si="57"/>
        <v>Fertilizer and Pesticides</v>
      </c>
      <c r="E1820" s="6">
        <v>1511548</v>
      </c>
      <c r="F1820" s="6">
        <v>0</v>
      </c>
      <c r="G1820" s="6">
        <v>0</v>
      </c>
      <c r="H1820" s="6">
        <v>0</v>
      </c>
      <c r="I1820" s="6">
        <v>0</v>
      </c>
    </row>
    <row r="1821" spans="1:9">
      <c r="A1821" s="6">
        <v>209</v>
      </c>
      <c r="B1821" s="6" t="str">
        <f t="shared" si="56"/>
        <v>Total Value Added</v>
      </c>
      <c r="C1821" s="6">
        <v>28</v>
      </c>
      <c r="D1821" s="6" t="str">
        <f t="shared" si="57"/>
        <v>Fertilizer and Pesticides</v>
      </c>
      <c r="E1821" s="6">
        <v>17766067</v>
      </c>
      <c r="F1821" s="6">
        <v>0</v>
      </c>
      <c r="G1821" s="6">
        <v>0</v>
      </c>
      <c r="H1821" s="6">
        <v>0</v>
      </c>
      <c r="I1821" s="6">
        <v>0</v>
      </c>
    </row>
    <row r="1822" spans="1:9">
      <c r="A1822" s="6">
        <v>210</v>
      </c>
      <c r="B1822" s="6" t="str">
        <f t="shared" si="56"/>
        <v>Control Total</v>
      </c>
      <c r="C1822" s="6">
        <v>28</v>
      </c>
      <c r="D1822" s="6" t="str">
        <f t="shared" si="57"/>
        <v>Fertilizer and Pesticides</v>
      </c>
      <c r="E1822" s="6">
        <v>70240032</v>
      </c>
      <c r="F1822" s="6">
        <v>0</v>
      </c>
      <c r="G1822" s="6">
        <v>0</v>
      </c>
      <c r="H1822" s="6">
        <v>0</v>
      </c>
      <c r="I1822" s="6">
        <v>0</v>
      </c>
    </row>
    <row r="1823" spans="1:9">
      <c r="A1823" s="6">
        <v>1</v>
      </c>
      <c r="B1823" s="6" t="str">
        <f t="shared" si="56"/>
        <v>Paddy</v>
      </c>
      <c r="C1823" s="6">
        <v>29</v>
      </c>
      <c r="D1823" s="6" t="str">
        <f t="shared" si="57"/>
        <v>Other Chemical Products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</row>
    <row r="1824" spans="1:9">
      <c r="A1824" s="6">
        <v>2</v>
      </c>
      <c r="B1824" s="6" t="str">
        <f t="shared" si="56"/>
        <v>Maize</v>
      </c>
      <c r="C1824" s="6">
        <v>29</v>
      </c>
      <c r="D1824" s="6" t="str">
        <f t="shared" si="57"/>
        <v>Other Chemical Products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</row>
    <row r="1825" spans="1:9">
      <c r="A1825" s="6">
        <v>3</v>
      </c>
      <c r="B1825" s="6" t="str">
        <f t="shared" si="56"/>
        <v>Cassava</v>
      </c>
      <c r="C1825" s="6">
        <v>29</v>
      </c>
      <c r="D1825" s="6" t="str">
        <f t="shared" si="57"/>
        <v>Other Chemical Products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</row>
    <row r="1826" spans="1:9">
      <c r="A1826" s="6">
        <v>4</v>
      </c>
      <c r="B1826" s="6" t="str">
        <f t="shared" si="56"/>
        <v>Beans and Nuts</v>
      </c>
      <c r="C1826" s="6">
        <v>29</v>
      </c>
      <c r="D1826" s="6" t="str">
        <f t="shared" si="57"/>
        <v>Other Chemical Products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</row>
    <row r="1827" spans="1:9">
      <c r="A1827" s="6">
        <v>5</v>
      </c>
      <c r="B1827" s="6" t="str">
        <f t="shared" si="56"/>
        <v>Vegetables and Fruits</v>
      </c>
      <c r="C1827" s="6">
        <v>29</v>
      </c>
      <c r="D1827" s="6" t="str">
        <f t="shared" si="57"/>
        <v>Other Chemical Products</v>
      </c>
      <c r="E1827" s="6">
        <v>1435019</v>
      </c>
      <c r="F1827" s="6">
        <v>69852</v>
      </c>
      <c r="G1827" s="6">
        <v>110171</v>
      </c>
      <c r="H1827" s="6">
        <v>11781</v>
      </c>
      <c r="I1827" s="6">
        <v>0</v>
      </c>
    </row>
    <row r="1828" spans="1:9">
      <c r="A1828" s="6">
        <v>6</v>
      </c>
      <c r="B1828" s="6" t="str">
        <f t="shared" si="56"/>
        <v>Sugarcane</v>
      </c>
      <c r="C1828" s="6">
        <v>29</v>
      </c>
      <c r="D1828" s="6" t="str">
        <f t="shared" si="57"/>
        <v>Other Chemical Products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</row>
    <row r="1829" spans="1:9">
      <c r="A1829" s="6">
        <v>7</v>
      </c>
      <c r="B1829" s="6" t="str">
        <f t="shared" si="56"/>
        <v>Rubber (Latex)</v>
      </c>
      <c r="C1829" s="6">
        <v>29</v>
      </c>
      <c r="D1829" s="6" t="str">
        <f t="shared" si="57"/>
        <v>Other Chemical Products</v>
      </c>
      <c r="E1829" s="6">
        <v>96766</v>
      </c>
      <c r="F1829" s="6">
        <v>5612</v>
      </c>
      <c r="G1829" s="6">
        <v>0</v>
      </c>
      <c r="H1829" s="6">
        <v>668</v>
      </c>
      <c r="I1829" s="6">
        <v>0</v>
      </c>
    </row>
    <row r="1830" spans="1:9">
      <c r="A1830" s="6">
        <v>8</v>
      </c>
      <c r="B1830" s="6" t="str">
        <f t="shared" si="56"/>
        <v>Other Crops</v>
      </c>
      <c r="C1830" s="6">
        <v>29</v>
      </c>
      <c r="D1830" s="6" t="str">
        <f t="shared" si="57"/>
        <v>Other Chemical Products</v>
      </c>
      <c r="E1830" s="6">
        <v>8090848</v>
      </c>
      <c r="F1830" s="6">
        <v>406237</v>
      </c>
      <c r="G1830" s="6">
        <v>225068</v>
      </c>
      <c r="H1830" s="6">
        <v>126309</v>
      </c>
      <c r="I1830" s="6">
        <v>2552477</v>
      </c>
    </row>
    <row r="1831" spans="1:9">
      <c r="A1831" s="6">
        <v>9</v>
      </c>
      <c r="B1831" s="6" t="str">
        <f t="shared" si="56"/>
        <v>Livestock</v>
      </c>
      <c r="C1831" s="6">
        <v>29</v>
      </c>
      <c r="D1831" s="6" t="str">
        <f t="shared" si="57"/>
        <v>Other Chemical Products</v>
      </c>
      <c r="E1831" s="6">
        <v>829987</v>
      </c>
      <c r="F1831" s="6">
        <v>25654</v>
      </c>
      <c r="G1831" s="6">
        <v>0</v>
      </c>
      <c r="H1831" s="6">
        <v>691</v>
      </c>
      <c r="I1831" s="6">
        <v>128488</v>
      </c>
    </row>
    <row r="1832" spans="1:9">
      <c r="A1832" s="6">
        <v>10</v>
      </c>
      <c r="B1832" s="6" t="str">
        <f t="shared" si="56"/>
        <v>Forestry</v>
      </c>
      <c r="C1832" s="6">
        <v>29</v>
      </c>
      <c r="D1832" s="6" t="str">
        <f t="shared" si="57"/>
        <v>Other Chemical Products</v>
      </c>
      <c r="E1832" s="6">
        <v>1275852</v>
      </c>
      <c r="F1832" s="6">
        <v>24526</v>
      </c>
      <c r="G1832" s="6">
        <v>54765</v>
      </c>
      <c r="H1832" s="6">
        <v>23405</v>
      </c>
      <c r="I1832" s="6">
        <v>790665</v>
      </c>
    </row>
    <row r="1833" spans="1:9">
      <c r="A1833" s="6">
        <v>11</v>
      </c>
      <c r="B1833" s="6" t="str">
        <f t="shared" si="56"/>
        <v>Fishery</v>
      </c>
      <c r="C1833" s="6">
        <v>29</v>
      </c>
      <c r="D1833" s="6" t="str">
        <f t="shared" si="57"/>
        <v>Other Chemical Products</v>
      </c>
      <c r="E1833" s="6">
        <v>4175208</v>
      </c>
      <c r="F1833" s="6">
        <v>185448</v>
      </c>
      <c r="G1833" s="6">
        <v>28737</v>
      </c>
      <c r="H1833" s="6">
        <v>64208</v>
      </c>
      <c r="I1833" s="6">
        <v>16054</v>
      </c>
    </row>
    <row r="1834" spans="1:9">
      <c r="A1834" s="6">
        <v>12</v>
      </c>
      <c r="B1834" s="6" t="str">
        <f t="shared" si="56"/>
        <v>Crude Oil and Coal</v>
      </c>
      <c r="C1834" s="6">
        <v>29</v>
      </c>
      <c r="D1834" s="6" t="str">
        <f t="shared" si="57"/>
        <v>Other Chemical Products</v>
      </c>
      <c r="E1834" s="6">
        <v>7013921</v>
      </c>
      <c r="F1834" s="6">
        <v>0</v>
      </c>
      <c r="G1834" s="6">
        <v>0</v>
      </c>
      <c r="H1834" s="6">
        <v>0</v>
      </c>
      <c r="I1834" s="6">
        <v>5851099</v>
      </c>
    </row>
    <row r="1835" spans="1:9">
      <c r="A1835" s="6">
        <v>13</v>
      </c>
      <c r="B1835" s="6" t="str">
        <f t="shared" si="56"/>
        <v>Metal Ore</v>
      </c>
      <c r="C1835" s="6">
        <v>29</v>
      </c>
      <c r="D1835" s="6" t="str">
        <f t="shared" si="57"/>
        <v>Other Chemical Products</v>
      </c>
      <c r="E1835" s="6">
        <v>26393</v>
      </c>
      <c r="F1835" s="6">
        <v>2201</v>
      </c>
      <c r="G1835" s="6">
        <v>0</v>
      </c>
      <c r="H1835" s="6">
        <v>628</v>
      </c>
      <c r="I1835" s="6">
        <v>0</v>
      </c>
    </row>
    <row r="1836" spans="1:9">
      <c r="A1836" s="6">
        <v>14</v>
      </c>
      <c r="B1836" s="6" t="str">
        <f t="shared" si="56"/>
        <v>Non-Metal Ore</v>
      </c>
      <c r="C1836" s="6">
        <v>29</v>
      </c>
      <c r="D1836" s="6" t="str">
        <f t="shared" si="57"/>
        <v>Other Chemical Products</v>
      </c>
      <c r="E1836" s="6">
        <v>1837541</v>
      </c>
      <c r="F1836" s="6">
        <v>102821</v>
      </c>
      <c r="G1836" s="6">
        <v>3651</v>
      </c>
      <c r="H1836" s="6">
        <v>127060</v>
      </c>
      <c r="I1836" s="6">
        <v>328341</v>
      </c>
    </row>
    <row r="1837" spans="1:9">
      <c r="A1837" s="6">
        <v>15</v>
      </c>
      <c r="B1837" s="6" t="str">
        <f t="shared" si="56"/>
        <v>Slaughtering</v>
      </c>
      <c r="C1837" s="6">
        <v>29</v>
      </c>
      <c r="D1837" s="6" t="str">
        <f t="shared" si="57"/>
        <v>Other Chemical Products</v>
      </c>
      <c r="E1837" s="6">
        <v>13924</v>
      </c>
      <c r="F1837" s="6">
        <v>219</v>
      </c>
      <c r="G1837" s="6">
        <v>354</v>
      </c>
      <c r="H1837" s="6">
        <v>41</v>
      </c>
      <c r="I1837" s="6">
        <v>0</v>
      </c>
    </row>
    <row r="1838" spans="1:9">
      <c r="A1838" s="6">
        <v>16</v>
      </c>
      <c r="B1838" s="6" t="str">
        <f t="shared" si="56"/>
        <v>Processing and Presering of Foods</v>
      </c>
      <c r="C1838" s="6">
        <v>29</v>
      </c>
      <c r="D1838" s="6" t="str">
        <f t="shared" si="57"/>
        <v>Other Chemical Products</v>
      </c>
      <c r="E1838" s="6">
        <v>13448358</v>
      </c>
      <c r="F1838" s="6">
        <v>626875</v>
      </c>
      <c r="G1838" s="6">
        <v>458473</v>
      </c>
      <c r="H1838" s="6">
        <v>136426</v>
      </c>
      <c r="I1838" s="6">
        <v>6773110</v>
      </c>
    </row>
    <row r="1839" spans="1:9">
      <c r="A1839" s="6">
        <v>17</v>
      </c>
      <c r="B1839" s="6" t="str">
        <f t="shared" si="56"/>
        <v>Rice and Other Grain Milling</v>
      </c>
      <c r="C1839" s="6">
        <v>29</v>
      </c>
      <c r="D1839" s="6" t="str">
        <f t="shared" si="57"/>
        <v>Other Chemical Products</v>
      </c>
      <c r="E1839" s="6">
        <v>2942943</v>
      </c>
      <c r="F1839" s="6">
        <v>78278</v>
      </c>
      <c r="G1839" s="6">
        <v>139558</v>
      </c>
      <c r="H1839" s="6">
        <v>25776</v>
      </c>
      <c r="I1839" s="6">
        <v>614472</v>
      </c>
    </row>
    <row r="1840" spans="1:9">
      <c r="A1840" s="6">
        <v>18</v>
      </c>
      <c r="B1840" s="6" t="str">
        <f t="shared" si="56"/>
        <v>Sugar Refineries</v>
      </c>
      <c r="C1840" s="6">
        <v>29</v>
      </c>
      <c r="D1840" s="6" t="str">
        <f t="shared" si="57"/>
        <v>Other Chemical Products</v>
      </c>
      <c r="E1840" s="6">
        <v>1569571</v>
      </c>
      <c r="F1840" s="6">
        <v>39969</v>
      </c>
      <c r="G1840" s="6">
        <v>70110</v>
      </c>
      <c r="H1840" s="6">
        <v>20301</v>
      </c>
      <c r="I1840" s="6">
        <v>0</v>
      </c>
    </row>
    <row r="1841" spans="1:9">
      <c r="A1841" s="6">
        <v>19</v>
      </c>
      <c r="B1841" s="6" t="str">
        <f t="shared" si="56"/>
        <v>Other Foods</v>
      </c>
      <c r="C1841" s="6">
        <v>29</v>
      </c>
      <c r="D1841" s="6" t="str">
        <f t="shared" si="57"/>
        <v>Other Chemical Products</v>
      </c>
      <c r="E1841" s="6">
        <v>4348524</v>
      </c>
      <c r="F1841" s="6">
        <v>673891</v>
      </c>
      <c r="G1841" s="6">
        <v>188390</v>
      </c>
      <c r="H1841" s="6">
        <v>64520</v>
      </c>
      <c r="I1841" s="6">
        <v>2387747</v>
      </c>
    </row>
    <row r="1842" spans="1:9">
      <c r="A1842" s="6">
        <v>20</v>
      </c>
      <c r="B1842" s="6" t="str">
        <f t="shared" si="56"/>
        <v>Animal Food</v>
      </c>
      <c r="C1842" s="6">
        <v>29</v>
      </c>
      <c r="D1842" s="6" t="str">
        <f t="shared" si="57"/>
        <v>Other Chemical Products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</row>
    <row r="1843" spans="1:9">
      <c r="A1843" s="6">
        <v>21</v>
      </c>
      <c r="B1843" s="6" t="str">
        <f t="shared" si="56"/>
        <v>Beverages</v>
      </c>
      <c r="C1843" s="6">
        <v>29</v>
      </c>
      <c r="D1843" s="6" t="str">
        <f t="shared" si="57"/>
        <v>Other Chemical Products</v>
      </c>
      <c r="E1843" s="6">
        <v>73969</v>
      </c>
      <c r="F1843" s="6">
        <v>4085</v>
      </c>
      <c r="G1843" s="6">
        <v>5133</v>
      </c>
      <c r="H1843" s="6">
        <v>803</v>
      </c>
      <c r="I1843" s="6">
        <v>0</v>
      </c>
    </row>
    <row r="1844" spans="1:9">
      <c r="A1844" s="6">
        <v>22</v>
      </c>
      <c r="B1844" s="6" t="str">
        <f t="shared" si="56"/>
        <v>Tobacco Processing and Products</v>
      </c>
      <c r="C1844" s="6">
        <v>29</v>
      </c>
      <c r="D1844" s="6" t="str">
        <f t="shared" si="57"/>
        <v>Other Chemical Products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</row>
    <row r="1845" spans="1:9">
      <c r="A1845" s="6">
        <v>23</v>
      </c>
      <c r="B1845" s="6" t="str">
        <f t="shared" si="56"/>
        <v>Spinning, Weaving and Bleaching</v>
      </c>
      <c r="C1845" s="6">
        <v>29</v>
      </c>
      <c r="D1845" s="6" t="str">
        <f t="shared" si="57"/>
        <v>Other Chemical Products</v>
      </c>
      <c r="E1845" s="6">
        <v>306008</v>
      </c>
      <c r="F1845" s="6">
        <v>581</v>
      </c>
      <c r="G1845" s="6">
        <v>1449</v>
      </c>
      <c r="H1845" s="6">
        <v>3431</v>
      </c>
      <c r="I1845" s="6">
        <v>0</v>
      </c>
    </row>
    <row r="1846" spans="1:9">
      <c r="A1846" s="6">
        <v>24</v>
      </c>
      <c r="B1846" s="6" t="str">
        <f t="shared" si="56"/>
        <v>Textile Products</v>
      </c>
      <c r="C1846" s="6">
        <v>29</v>
      </c>
      <c r="D1846" s="6" t="str">
        <f t="shared" si="57"/>
        <v>Other Chemical Products</v>
      </c>
      <c r="E1846" s="6">
        <v>379301</v>
      </c>
      <c r="F1846" s="6">
        <v>22846</v>
      </c>
      <c r="G1846" s="6">
        <v>41809</v>
      </c>
      <c r="H1846" s="6">
        <v>2402</v>
      </c>
      <c r="I1846" s="6">
        <v>72565</v>
      </c>
    </row>
    <row r="1847" spans="1:9">
      <c r="A1847" s="6">
        <v>25</v>
      </c>
      <c r="B1847" s="6" t="str">
        <f t="shared" si="56"/>
        <v>Paper and Paper Products</v>
      </c>
      <c r="C1847" s="6">
        <v>29</v>
      </c>
      <c r="D1847" s="6" t="str">
        <f t="shared" si="57"/>
        <v>Other Chemical Products</v>
      </c>
      <c r="E1847" s="6">
        <v>5693653</v>
      </c>
      <c r="F1847" s="6">
        <v>525708</v>
      </c>
      <c r="G1847" s="6">
        <v>475977</v>
      </c>
      <c r="H1847" s="6">
        <v>84619</v>
      </c>
      <c r="I1847" s="6">
        <v>0</v>
      </c>
    </row>
    <row r="1848" spans="1:9">
      <c r="A1848" s="6">
        <v>26</v>
      </c>
      <c r="B1848" s="6" t="str">
        <f t="shared" si="56"/>
        <v>Printing and Publishing</v>
      </c>
      <c r="C1848" s="6">
        <v>29</v>
      </c>
      <c r="D1848" s="6" t="str">
        <f t="shared" si="57"/>
        <v>Other Chemical Products</v>
      </c>
      <c r="E1848" s="6">
        <v>53263</v>
      </c>
      <c r="F1848" s="6">
        <v>3147</v>
      </c>
      <c r="G1848" s="6">
        <v>6482</v>
      </c>
      <c r="H1848" s="6">
        <v>522</v>
      </c>
      <c r="I1848" s="6">
        <v>0</v>
      </c>
    </row>
    <row r="1849" spans="1:9">
      <c r="A1849" s="6">
        <v>27</v>
      </c>
      <c r="B1849" s="6" t="str">
        <f t="shared" si="56"/>
        <v>Basic Chemical Products</v>
      </c>
      <c r="C1849" s="6">
        <v>29</v>
      </c>
      <c r="D1849" s="6" t="str">
        <f t="shared" si="57"/>
        <v>Other Chemical Products</v>
      </c>
      <c r="E1849" s="6">
        <v>110084945</v>
      </c>
      <c r="F1849" s="6">
        <v>7865966</v>
      </c>
      <c r="G1849" s="6">
        <v>3972711</v>
      </c>
      <c r="H1849" s="6">
        <v>2043133</v>
      </c>
      <c r="I1849" s="6">
        <v>77623005</v>
      </c>
    </row>
    <row r="1850" spans="1:9">
      <c r="A1850" s="6">
        <v>28</v>
      </c>
      <c r="B1850" s="6" t="str">
        <f t="shared" si="56"/>
        <v>Fertilizer and Pesticides</v>
      </c>
      <c r="C1850" s="6">
        <v>29</v>
      </c>
      <c r="D1850" s="6" t="str">
        <f t="shared" si="57"/>
        <v>Other Chemical Products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</row>
    <row r="1851" spans="1:9">
      <c r="A1851" s="6">
        <v>29</v>
      </c>
      <c r="B1851" s="6" t="str">
        <f t="shared" si="56"/>
        <v>Other Chemical Products</v>
      </c>
      <c r="C1851" s="6">
        <v>29</v>
      </c>
      <c r="D1851" s="6" t="str">
        <f t="shared" si="57"/>
        <v>Other Chemical Products</v>
      </c>
      <c r="E1851" s="6">
        <v>77367380</v>
      </c>
      <c r="F1851" s="6">
        <v>6939107</v>
      </c>
      <c r="G1851" s="6">
        <v>9173342</v>
      </c>
      <c r="H1851" s="6">
        <v>751745</v>
      </c>
      <c r="I1851" s="6">
        <v>30425616</v>
      </c>
    </row>
    <row r="1852" spans="1:9">
      <c r="A1852" s="6">
        <v>30</v>
      </c>
      <c r="B1852" s="6" t="str">
        <f t="shared" si="56"/>
        <v>Petroleum Refineries</v>
      </c>
      <c r="C1852" s="6">
        <v>29</v>
      </c>
      <c r="D1852" s="6" t="str">
        <f t="shared" si="57"/>
        <v>Other Chemical Products</v>
      </c>
      <c r="E1852" s="6">
        <v>5361296</v>
      </c>
      <c r="F1852" s="6">
        <v>192318</v>
      </c>
      <c r="G1852" s="6">
        <v>245914</v>
      </c>
      <c r="H1852" s="6">
        <v>44469</v>
      </c>
      <c r="I1852" s="6">
        <v>1209417</v>
      </c>
    </row>
    <row r="1853" spans="1:9">
      <c r="A1853" s="6">
        <v>31</v>
      </c>
      <c r="B1853" s="6" t="str">
        <f t="shared" si="56"/>
        <v>Rubber Products</v>
      </c>
      <c r="C1853" s="6">
        <v>29</v>
      </c>
      <c r="D1853" s="6" t="str">
        <f t="shared" si="57"/>
        <v>Other Chemical Products</v>
      </c>
      <c r="E1853" s="6">
        <v>79815</v>
      </c>
      <c r="F1853" s="6">
        <v>7840</v>
      </c>
      <c r="G1853" s="6">
        <v>14908</v>
      </c>
      <c r="H1853" s="6">
        <v>2138</v>
      </c>
      <c r="I1853" s="6">
        <v>0</v>
      </c>
    </row>
    <row r="1854" spans="1:9">
      <c r="A1854" s="6">
        <v>32</v>
      </c>
      <c r="B1854" s="6" t="str">
        <f t="shared" si="56"/>
        <v>Plastic Wares</v>
      </c>
      <c r="C1854" s="6">
        <v>29</v>
      </c>
      <c r="D1854" s="6" t="str">
        <f t="shared" si="57"/>
        <v>Other Chemical Products</v>
      </c>
      <c r="E1854" s="6">
        <v>17898907</v>
      </c>
      <c r="F1854" s="6">
        <v>611933</v>
      </c>
      <c r="G1854" s="6">
        <v>702308</v>
      </c>
      <c r="H1854" s="6">
        <v>138008</v>
      </c>
      <c r="I1854" s="6">
        <v>8568004</v>
      </c>
    </row>
    <row r="1855" spans="1:9">
      <c r="A1855" s="6">
        <v>33</v>
      </c>
      <c r="B1855" s="6" t="str">
        <f t="shared" si="56"/>
        <v>Cement and Concrete Products</v>
      </c>
      <c r="C1855" s="6">
        <v>29</v>
      </c>
      <c r="D1855" s="6" t="str">
        <f t="shared" si="57"/>
        <v>Other Chemical Products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</row>
    <row r="1856" spans="1:9">
      <c r="A1856" s="6">
        <v>34</v>
      </c>
      <c r="B1856" s="6" t="str">
        <f t="shared" si="56"/>
        <v>Other Non-metallic Products</v>
      </c>
      <c r="C1856" s="6">
        <v>29</v>
      </c>
      <c r="D1856" s="6" t="str">
        <f t="shared" si="57"/>
        <v>Other Chemical Products</v>
      </c>
      <c r="E1856" s="6">
        <v>5123916</v>
      </c>
      <c r="F1856" s="6">
        <v>370351</v>
      </c>
      <c r="G1856" s="6">
        <v>326442</v>
      </c>
      <c r="H1856" s="6">
        <v>63061</v>
      </c>
      <c r="I1856" s="6">
        <v>2011382</v>
      </c>
    </row>
    <row r="1857" spans="1:9">
      <c r="A1857" s="6">
        <v>35</v>
      </c>
      <c r="B1857" s="6" t="str">
        <f t="shared" si="56"/>
        <v>Iron and Steel</v>
      </c>
      <c r="C1857" s="6">
        <v>29</v>
      </c>
      <c r="D1857" s="6" t="str">
        <f t="shared" si="57"/>
        <v>Other Chemical Products</v>
      </c>
      <c r="E1857" s="6">
        <v>6522</v>
      </c>
      <c r="F1857" s="6">
        <v>285</v>
      </c>
      <c r="G1857" s="6">
        <v>290</v>
      </c>
      <c r="H1857" s="6">
        <v>71</v>
      </c>
      <c r="I1857" s="6">
        <v>1662</v>
      </c>
    </row>
    <row r="1858" spans="1:9">
      <c r="A1858" s="6">
        <v>36</v>
      </c>
      <c r="B1858" s="6" t="str">
        <f t="shared" si="56"/>
        <v>Non-ferrous Metal</v>
      </c>
      <c r="C1858" s="6">
        <v>29</v>
      </c>
      <c r="D1858" s="6" t="str">
        <f t="shared" si="57"/>
        <v>Other Chemical Products</v>
      </c>
      <c r="E1858" s="6">
        <v>36266</v>
      </c>
      <c r="F1858" s="6">
        <v>1738</v>
      </c>
      <c r="G1858" s="6">
        <v>815</v>
      </c>
      <c r="H1858" s="6">
        <v>57</v>
      </c>
      <c r="I1858" s="6">
        <v>6881</v>
      </c>
    </row>
    <row r="1859" spans="1:9">
      <c r="A1859" s="6">
        <v>37</v>
      </c>
      <c r="B1859" s="6" t="str">
        <f t="shared" si="56"/>
        <v>Fabricated Metal Products</v>
      </c>
      <c r="C1859" s="6">
        <v>29</v>
      </c>
      <c r="D1859" s="6" t="str">
        <f t="shared" si="57"/>
        <v>Other Chemical Products</v>
      </c>
      <c r="E1859" s="6">
        <v>3800239</v>
      </c>
      <c r="F1859" s="6">
        <v>42503</v>
      </c>
      <c r="G1859" s="6">
        <v>81366</v>
      </c>
      <c r="H1859" s="6">
        <v>7440</v>
      </c>
      <c r="I1859" s="6">
        <v>3094259</v>
      </c>
    </row>
    <row r="1860" spans="1:9">
      <c r="A1860" s="6">
        <v>38</v>
      </c>
      <c r="B1860" s="6" t="str">
        <f t="shared" ref="B1860:B1923" si="58">VLOOKUP(A1860,R:S,2,0)</f>
        <v>Industrial Machinery</v>
      </c>
      <c r="C1860" s="6">
        <v>29</v>
      </c>
      <c r="D1860" s="6" t="str">
        <f t="shared" ref="D1860:D1923" si="59">VLOOKUP(C1860,R:S,2,0)</f>
        <v>Other Chemical Products</v>
      </c>
      <c r="E1860" s="6">
        <v>2213570</v>
      </c>
      <c r="F1860" s="6">
        <v>137917</v>
      </c>
      <c r="G1860" s="6">
        <v>0</v>
      </c>
      <c r="H1860" s="6">
        <v>25650</v>
      </c>
      <c r="I1860" s="6">
        <v>679855</v>
      </c>
    </row>
    <row r="1861" spans="1:9">
      <c r="A1861" s="6">
        <v>39</v>
      </c>
      <c r="B1861" s="6" t="str">
        <f t="shared" si="58"/>
        <v>Electrical Machinery and Apparatus</v>
      </c>
      <c r="C1861" s="6">
        <v>29</v>
      </c>
      <c r="D1861" s="6" t="str">
        <f t="shared" si="59"/>
        <v>Other Chemical Products</v>
      </c>
      <c r="E1861" s="6">
        <v>281256</v>
      </c>
      <c r="F1861" s="6">
        <v>14372</v>
      </c>
      <c r="G1861" s="6">
        <v>3615</v>
      </c>
      <c r="H1861" s="6">
        <v>2532</v>
      </c>
      <c r="I1861" s="6">
        <v>0</v>
      </c>
    </row>
    <row r="1862" spans="1:9">
      <c r="A1862" s="6">
        <v>40</v>
      </c>
      <c r="B1862" s="6" t="str">
        <f t="shared" si="58"/>
        <v>Motor Vehicles and Repairing</v>
      </c>
      <c r="C1862" s="6">
        <v>29</v>
      </c>
      <c r="D1862" s="6" t="str">
        <f t="shared" si="59"/>
        <v>Other Chemical Products</v>
      </c>
      <c r="E1862" s="6">
        <v>666398</v>
      </c>
      <c r="F1862" s="6">
        <v>0</v>
      </c>
      <c r="G1862" s="6">
        <v>0</v>
      </c>
      <c r="H1862" s="6">
        <v>0</v>
      </c>
      <c r="I1862" s="6">
        <v>0</v>
      </c>
    </row>
    <row r="1863" spans="1:9">
      <c r="A1863" s="6">
        <v>41</v>
      </c>
      <c r="B1863" s="6" t="str">
        <f t="shared" si="58"/>
        <v>Other Transportation Equipment</v>
      </c>
      <c r="C1863" s="6">
        <v>29</v>
      </c>
      <c r="D1863" s="6" t="str">
        <f t="shared" si="59"/>
        <v>Other Chemical Products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</row>
    <row r="1864" spans="1:9">
      <c r="A1864" s="6">
        <v>42</v>
      </c>
      <c r="B1864" s="6" t="str">
        <f t="shared" si="58"/>
        <v>Leather Products</v>
      </c>
      <c r="C1864" s="6">
        <v>29</v>
      </c>
      <c r="D1864" s="6" t="str">
        <f t="shared" si="59"/>
        <v>Other Chemical Products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</row>
    <row r="1865" spans="1:9">
      <c r="A1865" s="6">
        <v>43</v>
      </c>
      <c r="B1865" s="6" t="str">
        <f t="shared" si="58"/>
        <v>Saw Mills and Wood Products</v>
      </c>
      <c r="C1865" s="6">
        <v>29</v>
      </c>
      <c r="D1865" s="6" t="str">
        <f t="shared" si="59"/>
        <v>Other Chemical Products</v>
      </c>
      <c r="E1865" s="6">
        <v>384046</v>
      </c>
      <c r="F1865" s="6">
        <v>36862</v>
      </c>
      <c r="G1865" s="6">
        <v>50210</v>
      </c>
      <c r="H1865" s="6">
        <v>3237</v>
      </c>
      <c r="I1865" s="6">
        <v>76</v>
      </c>
    </row>
    <row r="1866" spans="1:9">
      <c r="A1866" s="6">
        <v>44</v>
      </c>
      <c r="B1866" s="6" t="str">
        <f t="shared" si="58"/>
        <v>Other Manufacturing Products</v>
      </c>
      <c r="C1866" s="6">
        <v>29</v>
      </c>
      <c r="D1866" s="6" t="str">
        <f t="shared" si="59"/>
        <v>Other Chemical Products</v>
      </c>
      <c r="E1866" s="6">
        <v>945936</v>
      </c>
      <c r="F1866" s="6">
        <v>67736</v>
      </c>
      <c r="G1866" s="6">
        <v>67092</v>
      </c>
      <c r="H1866" s="6">
        <v>7761</v>
      </c>
      <c r="I1866" s="6">
        <v>146005</v>
      </c>
    </row>
    <row r="1867" spans="1:9">
      <c r="A1867" s="6">
        <v>45</v>
      </c>
      <c r="B1867" s="6" t="str">
        <f t="shared" si="58"/>
        <v>Electricity and Gas</v>
      </c>
      <c r="C1867" s="6">
        <v>29</v>
      </c>
      <c r="D1867" s="6" t="str">
        <f t="shared" si="59"/>
        <v>Other Chemical Products</v>
      </c>
      <c r="E1867" s="6">
        <v>10377361</v>
      </c>
      <c r="F1867" s="6">
        <v>20266</v>
      </c>
      <c r="G1867" s="6">
        <v>30665</v>
      </c>
      <c r="H1867" s="6">
        <v>4308</v>
      </c>
      <c r="I1867" s="6">
        <v>0</v>
      </c>
    </row>
    <row r="1868" spans="1:9">
      <c r="A1868" s="6">
        <v>46</v>
      </c>
      <c r="B1868" s="6" t="str">
        <f t="shared" si="58"/>
        <v>Water Works and Supply</v>
      </c>
      <c r="C1868" s="6">
        <v>29</v>
      </c>
      <c r="D1868" s="6" t="str">
        <f t="shared" si="59"/>
        <v>Other Chemical Products</v>
      </c>
      <c r="E1868" s="6">
        <v>247997</v>
      </c>
      <c r="F1868" s="6">
        <v>0</v>
      </c>
      <c r="G1868" s="6">
        <v>0</v>
      </c>
      <c r="H1868" s="6">
        <v>0</v>
      </c>
      <c r="I1868" s="6">
        <v>0</v>
      </c>
    </row>
    <row r="1869" spans="1:9">
      <c r="A1869" s="6">
        <v>47</v>
      </c>
      <c r="B1869" s="6" t="str">
        <f t="shared" si="58"/>
        <v>Building Construction</v>
      </c>
      <c r="C1869" s="6">
        <v>29</v>
      </c>
      <c r="D1869" s="6" t="str">
        <f t="shared" si="59"/>
        <v>Other Chemical Products</v>
      </c>
      <c r="E1869" s="6">
        <v>378171</v>
      </c>
      <c r="F1869" s="6">
        <v>0</v>
      </c>
      <c r="G1869" s="6">
        <v>0</v>
      </c>
      <c r="H1869" s="6">
        <v>0</v>
      </c>
      <c r="I1869" s="6">
        <v>0</v>
      </c>
    </row>
    <row r="1870" spans="1:9">
      <c r="A1870" s="6">
        <v>48</v>
      </c>
      <c r="B1870" s="6" t="str">
        <f t="shared" si="58"/>
        <v>Public Works and Other Construction</v>
      </c>
      <c r="C1870" s="6">
        <v>29</v>
      </c>
      <c r="D1870" s="6" t="str">
        <f t="shared" si="59"/>
        <v>Other Chemical Products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</row>
    <row r="1871" spans="1:9">
      <c r="A1871" s="6">
        <v>49</v>
      </c>
      <c r="B1871" s="6" t="str">
        <f t="shared" si="58"/>
        <v>Trade</v>
      </c>
      <c r="C1871" s="6">
        <v>29</v>
      </c>
      <c r="D1871" s="6" t="str">
        <f t="shared" si="59"/>
        <v>Other Chemical Products</v>
      </c>
      <c r="E1871" s="6">
        <v>0</v>
      </c>
      <c r="F1871" s="6">
        <v>-19107144</v>
      </c>
      <c r="G1871" s="6">
        <v>-16479805</v>
      </c>
      <c r="H1871" s="6">
        <v>0</v>
      </c>
      <c r="I1871" s="6">
        <v>0</v>
      </c>
    </row>
    <row r="1872" spans="1:9">
      <c r="A1872" s="6">
        <v>50</v>
      </c>
      <c r="B1872" s="6" t="str">
        <f t="shared" si="58"/>
        <v>Restaurants and Hotels</v>
      </c>
      <c r="C1872" s="6">
        <v>29</v>
      </c>
      <c r="D1872" s="6" t="str">
        <f t="shared" si="59"/>
        <v>Other Chemical Products</v>
      </c>
      <c r="E1872" s="6">
        <v>421317</v>
      </c>
      <c r="F1872" s="6">
        <v>0</v>
      </c>
      <c r="G1872" s="6">
        <v>0</v>
      </c>
      <c r="H1872" s="6">
        <v>0</v>
      </c>
      <c r="I1872" s="6">
        <v>0</v>
      </c>
    </row>
    <row r="1873" spans="1:9">
      <c r="A1873" s="6">
        <v>51</v>
      </c>
      <c r="B1873" s="6" t="str">
        <f t="shared" si="58"/>
        <v>Transportation</v>
      </c>
      <c r="C1873" s="6">
        <v>29</v>
      </c>
      <c r="D1873" s="6" t="str">
        <f t="shared" si="59"/>
        <v>Other Chemical Products</v>
      </c>
      <c r="E1873" s="6">
        <v>2050405</v>
      </c>
      <c r="F1873" s="6">
        <v>0</v>
      </c>
      <c r="G1873" s="6">
        <v>0</v>
      </c>
      <c r="H1873" s="6">
        <v>-3787201</v>
      </c>
      <c r="I1873" s="6">
        <v>0</v>
      </c>
    </row>
    <row r="1874" spans="1:9">
      <c r="A1874" s="6">
        <v>52</v>
      </c>
      <c r="B1874" s="6" t="str">
        <f t="shared" si="58"/>
        <v>Communication</v>
      </c>
      <c r="C1874" s="6">
        <v>29</v>
      </c>
      <c r="D1874" s="6" t="str">
        <f t="shared" si="59"/>
        <v>Other Chemical Products</v>
      </c>
      <c r="E1874" s="6">
        <v>415311</v>
      </c>
      <c r="F1874" s="6">
        <v>0</v>
      </c>
      <c r="G1874" s="6">
        <v>0</v>
      </c>
      <c r="H1874" s="6">
        <v>0</v>
      </c>
      <c r="I1874" s="6">
        <v>0</v>
      </c>
    </row>
    <row r="1875" spans="1:9">
      <c r="A1875" s="6">
        <v>53</v>
      </c>
      <c r="B1875" s="6" t="str">
        <f t="shared" si="58"/>
        <v>Banking and Insurance</v>
      </c>
      <c r="C1875" s="6">
        <v>29</v>
      </c>
      <c r="D1875" s="6" t="str">
        <f t="shared" si="59"/>
        <v>Other Chemical Products</v>
      </c>
      <c r="E1875" s="6">
        <v>6249012</v>
      </c>
      <c r="F1875" s="6">
        <v>0</v>
      </c>
      <c r="G1875" s="6">
        <v>0</v>
      </c>
      <c r="H1875" s="6">
        <v>0</v>
      </c>
      <c r="I1875" s="6">
        <v>0</v>
      </c>
    </row>
    <row r="1876" spans="1:9">
      <c r="A1876" s="6">
        <v>54</v>
      </c>
      <c r="B1876" s="6" t="str">
        <f t="shared" si="58"/>
        <v>Real Estate</v>
      </c>
      <c r="C1876" s="6">
        <v>29</v>
      </c>
      <c r="D1876" s="6" t="str">
        <f t="shared" si="59"/>
        <v>Other Chemical Products</v>
      </c>
      <c r="E1876" s="6">
        <v>557323</v>
      </c>
      <c r="F1876" s="6">
        <v>0</v>
      </c>
      <c r="G1876" s="6">
        <v>0</v>
      </c>
      <c r="H1876" s="6">
        <v>0</v>
      </c>
      <c r="I1876" s="6">
        <v>0</v>
      </c>
    </row>
    <row r="1877" spans="1:9">
      <c r="A1877" s="6">
        <v>55</v>
      </c>
      <c r="B1877" s="6" t="str">
        <f t="shared" si="58"/>
        <v>Business Services</v>
      </c>
      <c r="C1877" s="6">
        <v>29</v>
      </c>
      <c r="D1877" s="6" t="str">
        <f t="shared" si="59"/>
        <v>Other Chemical Products</v>
      </c>
      <c r="E1877" s="6">
        <v>14675340</v>
      </c>
      <c r="F1877" s="6">
        <v>0</v>
      </c>
      <c r="G1877" s="6">
        <v>0</v>
      </c>
      <c r="H1877" s="6">
        <v>0</v>
      </c>
      <c r="I1877" s="6">
        <v>0</v>
      </c>
    </row>
    <row r="1878" spans="1:9">
      <c r="A1878" s="6">
        <v>56</v>
      </c>
      <c r="B1878" s="6" t="str">
        <f t="shared" si="58"/>
        <v>Public Services</v>
      </c>
      <c r="C1878" s="6">
        <v>29</v>
      </c>
      <c r="D1878" s="6" t="str">
        <f t="shared" si="59"/>
        <v>Other Chemical Products</v>
      </c>
      <c r="E1878" s="6">
        <v>1827969</v>
      </c>
      <c r="F1878" s="6">
        <v>0</v>
      </c>
      <c r="G1878" s="6">
        <v>0</v>
      </c>
      <c r="H1878" s="6">
        <v>0</v>
      </c>
      <c r="I1878" s="6">
        <v>0</v>
      </c>
    </row>
    <row r="1879" spans="1:9">
      <c r="A1879" s="6">
        <v>57</v>
      </c>
      <c r="B1879" s="6" t="str">
        <f t="shared" si="58"/>
        <v>Other Services</v>
      </c>
      <c r="C1879" s="6">
        <v>29</v>
      </c>
      <c r="D1879" s="6" t="str">
        <f t="shared" si="59"/>
        <v>Other Chemical Products</v>
      </c>
      <c r="E1879" s="6">
        <v>1552984</v>
      </c>
      <c r="F1879" s="6">
        <v>0</v>
      </c>
      <c r="G1879" s="6">
        <v>0</v>
      </c>
      <c r="H1879" s="6">
        <v>0</v>
      </c>
      <c r="I1879" s="6">
        <v>0</v>
      </c>
    </row>
    <row r="1880" spans="1:9">
      <c r="A1880" s="6">
        <v>58</v>
      </c>
      <c r="B1880" s="6" t="str">
        <f t="shared" si="58"/>
        <v>Unclassified</v>
      </c>
      <c r="C1880" s="6">
        <v>29</v>
      </c>
      <c r="D1880" s="6" t="str">
        <f t="shared" si="59"/>
        <v>Other Chemical Products</v>
      </c>
      <c r="E1880" s="6">
        <v>1501765</v>
      </c>
      <c r="F1880" s="6">
        <v>0</v>
      </c>
      <c r="G1880" s="6">
        <v>0</v>
      </c>
      <c r="H1880" s="6">
        <v>0</v>
      </c>
      <c r="I1880" s="6">
        <v>157803</v>
      </c>
    </row>
    <row r="1881" spans="1:9">
      <c r="A1881" s="6">
        <v>190</v>
      </c>
      <c r="B1881" s="6" t="str">
        <f t="shared" si="58"/>
        <v>Total Intermedite Transaction</v>
      </c>
      <c r="C1881" s="6">
        <v>29</v>
      </c>
      <c r="D1881" s="6" t="str">
        <f t="shared" si="59"/>
        <v>Other Chemical Products</v>
      </c>
      <c r="E1881" s="6">
        <v>318116496</v>
      </c>
      <c r="F1881" s="6">
        <v>0</v>
      </c>
      <c r="G1881" s="6">
        <v>0</v>
      </c>
      <c r="H1881" s="6">
        <v>0</v>
      </c>
      <c r="I1881" s="6">
        <v>143438983</v>
      </c>
    </row>
    <row r="1882" spans="1:9">
      <c r="A1882" s="6">
        <v>201</v>
      </c>
      <c r="B1882" s="6" t="str">
        <f t="shared" si="58"/>
        <v>Wages and Salaries</v>
      </c>
      <c r="C1882" s="6">
        <v>29</v>
      </c>
      <c r="D1882" s="6" t="str">
        <f t="shared" si="59"/>
        <v>Other Chemical Products</v>
      </c>
      <c r="E1882" s="6">
        <v>46699106</v>
      </c>
      <c r="F1882" s="6">
        <v>0</v>
      </c>
      <c r="G1882" s="6">
        <v>0</v>
      </c>
      <c r="H1882" s="6">
        <v>0</v>
      </c>
      <c r="I1882" s="6">
        <v>0</v>
      </c>
    </row>
    <row r="1883" spans="1:9">
      <c r="A1883" s="6">
        <v>202</v>
      </c>
      <c r="B1883" s="6" t="str">
        <f t="shared" si="58"/>
        <v>Operating Surplus</v>
      </c>
      <c r="C1883" s="6">
        <v>29</v>
      </c>
      <c r="D1883" s="6" t="str">
        <f t="shared" si="59"/>
        <v>Other Chemical Products</v>
      </c>
      <c r="E1883" s="6">
        <v>66058854</v>
      </c>
      <c r="F1883" s="6">
        <v>0</v>
      </c>
      <c r="G1883" s="6">
        <v>0</v>
      </c>
      <c r="H1883" s="6">
        <v>0</v>
      </c>
      <c r="I1883" s="6">
        <v>0</v>
      </c>
    </row>
    <row r="1884" spans="1:9">
      <c r="A1884" s="6">
        <v>203</v>
      </c>
      <c r="B1884" s="6" t="str">
        <f t="shared" si="58"/>
        <v>Depreciation</v>
      </c>
      <c r="C1884" s="6">
        <v>29</v>
      </c>
      <c r="D1884" s="6" t="str">
        <f t="shared" si="59"/>
        <v>Other Chemical Products</v>
      </c>
      <c r="E1884" s="6">
        <v>28547955</v>
      </c>
      <c r="F1884" s="6">
        <v>0</v>
      </c>
      <c r="G1884" s="6">
        <v>0</v>
      </c>
      <c r="H1884" s="6">
        <v>0</v>
      </c>
      <c r="I1884" s="6">
        <v>0</v>
      </c>
    </row>
    <row r="1885" spans="1:9">
      <c r="A1885" s="6">
        <v>204</v>
      </c>
      <c r="B1885" s="6" t="str">
        <f t="shared" si="58"/>
        <v>Indirect Taxes less Subsidies</v>
      </c>
      <c r="C1885" s="6">
        <v>29</v>
      </c>
      <c r="D1885" s="6" t="str">
        <f t="shared" si="59"/>
        <v>Other Chemical Products</v>
      </c>
      <c r="E1885" s="6">
        <v>13334411</v>
      </c>
      <c r="F1885" s="6">
        <v>0</v>
      </c>
      <c r="G1885" s="6">
        <v>0</v>
      </c>
      <c r="H1885" s="6">
        <v>0</v>
      </c>
      <c r="I1885" s="6">
        <v>0</v>
      </c>
    </row>
    <row r="1886" spans="1:9">
      <c r="A1886" s="6">
        <v>209</v>
      </c>
      <c r="B1886" s="6" t="str">
        <f t="shared" si="58"/>
        <v>Total Value Added</v>
      </c>
      <c r="C1886" s="6">
        <v>29</v>
      </c>
      <c r="D1886" s="6" t="str">
        <f t="shared" si="59"/>
        <v>Other Chemical Products</v>
      </c>
      <c r="E1886" s="6">
        <v>154640326</v>
      </c>
      <c r="F1886" s="6">
        <v>0</v>
      </c>
      <c r="G1886" s="6">
        <v>0</v>
      </c>
      <c r="H1886" s="6">
        <v>0</v>
      </c>
      <c r="I1886" s="6">
        <v>0</v>
      </c>
    </row>
    <row r="1887" spans="1:9">
      <c r="A1887" s="6">
        <v>210</v>
      </c>
      <c r="B1887" s="6" t="str">
        <f t="shared" si="58"/>
        <v>Control Total</v>
      </c>
      <c r="C1887" s="6">
        <v>29</v>
      </c>
      <c r="D1887" s="6" t="str">
        <f t="shared" si="59"/>
        <v>Other Chemical Products</v>
      </c>
      <c r="E1887" s="6">
        <v>472756822</v>
      </c>
      <c r="F1887" s="6">
        <v>0</v>
      </c>
      <c r="G1887" s="6">
        <v>0</v>
      </c>
      <c r="H1887" s="6">
        <v>0</v>
      </c>
      <c r="I1887" s="6">
        <v>0</v>
      </c>
    </row>
    <row r="1888" spans="1:9">
      <c r="A1888" s="6">
        <v>1</v>
      </c>
      <c r="B1888" s="6" t="str">
        <f t="shared" si="58"/>
        <v>Paddy</v>
      </c>
      <c r="C1888" s="6">
        <v>30</v>
      </c>
      <c r="D1888" s="6" t="str">
        <f t="shared" si="59"/>
        <v>Petroleum Refineries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</row>
    <row r="1889" spans="1:9">
      <c r="A1889" s="6">
        <v>2</v>
      </c>
      <c r="B1889" s="6" t="str">
        <f t="shared" si="58"/>
        <v>Maize</v>
      </c>
      <c r="C1889" s="6">
        <v>30</v>
      </c>
      <c r="D1889" s="6" t="str">
        <f t="shared" si="59"/>
        <v>Petroleum Refineries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</row>
    <row r="1890" spans="1:9">
      <c r="A1890" s="6">
        <v>3</v>
      </c>
      <c r="B1890" s="6" t="str">
        <f t="shared" si="58"/>
        <v>Cassava</v>
      </c>
      <c r="C1890" s="6">
        <v>30</v>
      </c>
      <c r="D1890" s="6" t="str">
        <f t="shared" si="59"/>
        <v>Petroleum Refineries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</row>
    <row r="1891" spans="1:9">
      <c r="A1891" s="6">
        <v>4</v>
      </c>
      <c r="B1891" s="6" t="str">
        <f t="shared" si="58"/>
        <v>Beans and Nuts</v>
      </c>
      <c r="C1891" s="6">
        <v>30</v>
      </c>
      <c r="D1891" s="6" t="str">
        <f t="shared" si="59"/>
        <v>Petroleum Refineries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</row>
    <row r="1892" spans="1:9">
      <c r="A1892" s="6">
        <v>5</v>
      </c>
      <c r="B1892" s="6" t="str">
        <f t="shared" si="58"/>
        <v>Vegetables and Fruits</v>
      </c>
      <c r="C1892" s="6">
        <v>30</v>
      </c>
      <c r="D1892" s="6" t="str">
        <f t="shared" si="59"/>
        <v>Petroleum Refineries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</row>
    <row r="1893" spans="1:9">
      <c r="A1893" s="6">
        <v>6</v>
      </c>
      <c r="B1893" s="6" t="str">
        <f t="shared" si="58"/>
        <v>Sugarcane</v>
      </c>
      <c r="C1893" s="6">
        <v>30</v>
      </c>
      <c r="D1893" s="6" t="str">
        <f t="shared" si="59"/>
        <v>Petroleum Refineries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</row>
    <row r="1894" spans="1:9">
      <c r="A1894" s="6">
        <v>7</v>
      </c>
      <c r="B1894" s="6" t="str">
        <f t="shared" si="58"/>
        <v>Rubber (Latex)</v>
      </c>
      <c r="C1894" s="6">
        <v>30</v>
      </c>
      <c r="D1894" s="6" t="str">
        <f t="shared" si="59"/>
        <v>Petroleum Refineries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</row>
    <row r="1895" spans="1:9">
      <c r="A1895" s="6">
        <v>8</v>
      </c>
      <c r="B1895" s="6" t="str">
        <f t="shared" si="58"/>
        <v>Other Crops</v>
      </c>
      <c r="C1895" s="6">
        <v>30</v>
      </c>
      <c r="D1895" s="6" t="str">
        <f t="shared" si="59"/>
        <v>Petroleum Refineries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</row>
    <row r="1896" spans="1:9">
      <c r="A1896" s="6">
        <v>9</v>
      </c>
      <c r="B1896" s="6" t="str">
        <f t="shared" si="58"/>
        <v>Livestock</v>
      </c>
      <c r="C1896" s="6">
        <v>30</v>
      </c>
      <c r="D1896" s="6" t="str">
        <f t="shared" si="59"/>
        <v>Petroleum Refineries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</row>
    <row r="1897" spans="1:9">
      <c r="A1897" s="6">
        <v>10</v>
      </c>
      <c r="B1897" s="6" t="str">
        <f t="shared" si="58"/>
        <v>Forestry</v>
      </c>
      <c r="C1897" s="6">
        <v>30</v>
      </c>
      <c r="D1897" s="6" t="str">
        <f t="shared" si="59"/>
        <v>Petroleum Refineries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</row>
    <row r="1898" spans="1:9">
      <c r="A1898" s="6">
        <v>11</v>
      </c>
      <c r="B1898" s="6" t="str">
        <f t="shared" si="58"/>
        <v>Fishery</v>
      </c>
      <c r="C1898" s="6">
        <v>30</v>
      </c>
      <c r="D1898" s="6" t="str">
        <f t="shared" si="59"/>
        <v>Petroleum Refineries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</row>
    <row r="1899" spans="1:9">
      <c r="A1899" s="6">
        <v>12</v>
      </c>
      <c r="B1899" s="6" t="str">
        <f t="shared" si="58"/>
        <v>Crude Oil and Coal</v>
      </c>
      <c r="C1899" s="6">
        <v>30</v>
      </c>
      <c r="D1899" s="6" t="str">
        <f t="shared" si="59"/>
        <v>Petroleum Refineries</v>
      </c>
      <c r="E1899" s="6">
        <v>807407767</v>
      </c>
      <c r="F1899" s="6">
        <v>0</v>
      </c>
      <c r="G1899" s="6">
        <v>0</v>
      </c>
      <c r="H1899" s="6">
        <v>0</v>
      </c>
      <c r="I1899" s="6">
        <v>659390028</v>
      </c>
    </row>
    <row r="1900" spans="1:9">
      <c r="A1900" s="6">
        <v>13</v>
      </c>
      <c r="B1900" s="6" t="str">
        <f t="shared" si="58"/>
        <v>Metal Ore</v>
      </c>
      <c r="C1900" s="6">
        <v>30</v>
      </c>
      <c r="D1900" s="6" t="str">
        <f t="shared" si="59"/>
        <v>Petroleum Refineries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</row>
    <row r="1901" spans="1:9">
      <c r="A1901" s="6">
        <v>14</v>
      </c>
      <c r="B1901" s="6" t="str">
        <f t="shared" si="58"/>
        <v>Non-Metal Ore</v>
      </c>
      <c r="C1901" s="6">
        <v>30</v>
      </c>
      <c r="D1901" s="6" t="str">
        <f t="shared" si="59"/>
        <v>Petroleum Refineries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</row>
    <row r="1902" spans="1:9">
      <c r="A1902" s="6">
        <v>15</v>
      </c>
      <c r="B1902" s="6" t="str">
        <f t="shared" si="58"/>
        <v>Slaughtering</v>
      </c>
      <c r="C1902" s="6">
        <v>30</v>
      </c>
      <c r="D1902" s="6" t="str">
        <f t="shared" si="59"/>
        <v>Petroleum Refineries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</row>
    <row r="1903" spans="1:9">
      <c r="A1903" s="6">
        <v>16</v>
      </c>
      <c r="B1903" s="6" t="str">
        <f t="shared" si="58"/>
        <v>Processing and Presering of Foods</v>
      </c>
      <c r="C1903" s="6">
        <v>30</v>
      </c>
      <c r="D1903" s="6" t="str">
        <f t="shared" si="59"/>
        <v>Petroleum Refineries</v>
      </c>
      <c r="E1903" s="6">
        <v>92011</v>
      </c>
      <c r="F1903" s="6">
        <v>4902</v>
      </c>
      <c r="G1903" s="6">
        <v>6069</v>
      </c>
      <c r="H1903" s="6">
        <v>0</v>
      </c>
      <c r="I1903" s="6">
        <v>0</v>
      </c>
    </row>
    <row r="1904" spans="1:9">
      <c r="A1904" s="6">
        <v>17</v>
      </c>
      <c r="B1904" s="6" t="str">
        <f t="shared" si="58"/>
        <v>Rice and Other Grain Milling</v>
      </c>
      <c r="C1904" s="6">
        <v>30</v>
      </c>
      <c r="D1904" s="6" t="str">
        <f t="shared" si="59"/>
        <v>Petroleum Refineries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</row>
    <row r="1905" spans="1:9">
      <c r="A1905" s="6">
        <v>18</v>
      </c>
      <c r="B1905" s="6" t="str">
        <f t="shared" si="58"/>
        <v>Sugar Refineries</v>
      </c>
      <c r="C1905" s="6">
        <v>30</v>
      </c>
      <c r="D1905" s="6" t="str">
        <f t="shared" si="59"/>
        <v>Petroleum Refineries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</row>
    <row r="1906" spans="1:9">
      <c r="A1906" s="6">
        <v>19</v>
      </c>
      <c r="B1906" s="6" t="str">
        <f t="shared" si="58"/>
        <v>Other Foods</v>
      </c>
      <c r="C1906" s="6">
        <v>30</v>
      </c>
      <c r="D1906" s="6" t="str">
        <f t="shared" si="59"/>
        <v>Petroleum Refineries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</row>
    <row r="1907" spans="1:9">
      <c r="A1907" s="6">
        <v>20</v>
      </c>
      <c r="B1907" s="6" t="str">
        <f t="shared" si="58"/>
        <v>Animal Food</v>
      </c>
      <c r="C1907" s="6">
        <v>30</v>
      </c>
      <c r="D1907" s="6" t="str">
        <f t="shared" si="59"/>
        <v>Petroleum Refineries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</row>
    <row r="1908" spans="1:9">
      <c r="A1908" s="6">
        <v>21</v>
      </c>
      <c r="B1908" s="6" t="str">
        <f t="shared" si="58"/>
        <v>Beverages</v>
      </c>
      <c r="C1908" s="6">
        <v>30</v>
      </c>
      <c r="D1908" s="6" t="str">
        <f t="shared" si="59"/>
        <v>Petroleum Refineries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</row>
    <row r="1909" spans="1:9">
      <c r="A1909" s="6">
        <v>22</v>
      </c>
      <c r="B1909" s="6" t="str">
        <f t="shared" si="58"/>
        <v>Tobacco Processing and Products</v>
      </c>
      <c r="C1909" s="6">
        <v>30</v>
      </c>
      <c r="D1909" s="6" t="str">
        <f t="shared" si="59"/>
        <v>Petroleum Refineries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</row>
    <row r="1910" spans="1:9">
      <c r="A1910" s="6">
        <v>23</v>
      </c>
      <c r="B1910" s="6" t="str">
        <f t="shared" si="58"/>
        <v>Spinning, Weaving and Bleaching</v>
      </c>
      <c r="C1910" s="6">
        <v>30</v>
      </c>
      <c r="D1910" s="6" t="str">
        <f t="shared" si="59"/>
        <v>Petroleum Refineries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</row>
    <row r="1911" spans="1:9">
      <c r="A1911" s="6">
        <v>24</v>
      </c>
      <c r="B1911" s="6" t="str">
        <f t="shared" si="58"/>
        <v>Textile Products</v>
      </c>
      <c r="C1911" s="6">
        <v>30</v>
      </c>
      <c r="D1911" s="6" t="str">
        <f t="shared" si="59"/>
        <v>Petroleum Refineries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</row>
    <row r="1912" spans="1:9">
      <c r="A1912" s="6">
        <v>25</v>
      </c>
      <c r="B1912" s="6" t="str">
        <f t="shared" si="58"/>
        <v>Paper and Paper Products</v>
      </c>
      <c r="C1912" s="6">
        <v>30</v>
      </c>
      <c r="D1912" s="6" t="str">
        <f t="shared" si="59"/>
        <v>Petroleum Refineries</v>
      </c>
      <c r="E1912" s="6">
        <v>304931</v>
      </c>
      <c r="F1912" s="6">
        <v>9126</v>
      </c>
      <c r="G1912" s="6">
        <v>7911</v>
      </c>
      <c r="H1912" s="6">
        <v>2653</v>
      </c>
      <c r="I1912" s="6">
        <v>0</v>
      </c>
    </row>
    <row r="1913" spans="1:9">
      <c r="A1913" s="6">
        <v>26</v>
      </c>
      <c r="B1913" s="6" t="str">
        <f t="shared" si="58"/>
        <v>Printing and Publishing</v>
      </c>
      <c r="C1913" s="6">
        <v>30</v>
      </c>
      <c r="D1913" s="6" t="str">
        <f t="shared" si="59"/>
        <v>Petroleum Refineries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</row>
    <row r="1914" spans="1:9">
      <c r="A1914" s="6">
        <v>27</v>
      </c>
      <c r="B1914" s="6" t="str">
        <f t="shared" si="58"/>
        <v>Basic Chemical Products</v>
      </c>
      <c r="C1914" s="6">
        <v>30</v>
      </c>
      <c r="D1914" s="6" t="str">
        <f t="shared" si="59"/>
        <v>Petroleum Refineries</v>
      </c>
      <c r="E1914" s="6">
        <v>39605154</v>
      </c>
      <c r="F1914" s="6">
        <v>2736514</v>
      </c>
      <c r="G1914" s="6">
        <v>1272293</v>
      </c>
      <c r="H1914" s="6">
        <v>764784</v>
      </c>
      <c r="I1914" s="6">
        <v>29491277</v>
      </c>
    </row>
    <row r="1915" spans="1:9">
      <c r="A1915" s="6">
        <v>28</v>
      </c>
      <c r="B1915" s="6" t="str">
        <f t="shared" si="58"/>
        <v>Fertilizer and Pesticides</v>
      </c>
      <c r="C1915" s="6">
        <v>30</v>
      </c>
      <c r="D1915" s="6" t="str">
        <f t="shared" si="59"/>
        <v>Petroleum Refineries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</row>
    <row r="1916" spans="1:9">
      <c r="A1916" s="6">
        <v>29</v>
      </c>
      <c r="B1916" s="6" t="str">
        <f t="shared" si="58"/>
        <v>Other Chemical Products</v>
      </c>
      <c r="C1916" s="6">
        <v>30</v>
      </c>
      <c r="D1916" s="6" t="str">
        <f t="shared" si="59"/>
        <v>Petroleum Refineries</v>
      </c>
      <c r="E1916" s="6">
        <v>1549564</v>
      </c>
      <c r="F1916" s="6">
        <v>251229</v>
      </c>
      <c r="G1916" s="6">
        <v>228802</v>
      </c>
      <c r="H1916" s="6">
        <v>20191</v>
      </c>
      <c r="I1916" s="6">
        <v>552506</v>
      </c>
    </row>
    <row r="1917" spans="1:9">
      <c r="A1917" s="6">
        <v>30</v>
      </c>
      <c r="B1917" s="6" t="str">
        <f t="shared" si="58"/>
        <v>Petroleum Refineries</v>
      </c>
      <c r="C1917" s="6">
        <v>30</v>
      </c>
      <c r="D1917" s="6" t="str">
        <f t="shared" si="59"/>
        <v>Petroleum Refineries</v>
      </c>
      <c r="E1917" s="6">
        <v>35305854</v>
      </c>
      <c r="F1917" s="6">
        <v>2628060</v>
      </c>
      <c r="G1917" s="6">
        <v>2175409</v>
      </c>
      <c r="H1917" s="6">
        <v>282056</v>
      </c>
      <c r="I1917" s="6">
        <v>17444217</v>
      </c>
    </row>
    <row r="1918" spans="1:9">
      <c r="A1918" s="6">
        <v>31</v>
      </c>
      <c r="B1918" s="6" t="str">
        <f t="shared" si="58"/>
        <v>Rubber Products</v>
      </c>
      <c r="C1918" s="6">
        <v>30</v>
      </c>
      <c r="D1918" s="6" t="str">
        <f t="shared" si="59"/>
        <v>Petroleum Refineries</v>
      </c>
      <c r="E1918" s="6">
        <v>203047</v>
      </c>
      <c r="F1918" s="6">
        <v>27973</v>
      </c>
      <c r="G1918" s="6">
        <v>28111</v>
      </c>
      <c r="H1918" s="6">
        <v>6750</v>
      </c>
      <c r="I1918" s="6">
        <v>0</v>
      </c>
    </row>
    <row r="1919" spans="1:9">
      <c r="A1919" s="6">
        <v>32</v>
      </c>
      <c r="B1919" s="6" t="str">
        <f t="shared" si="58"/>
        <v>Plastic Wares</v>
      </c>
      <c r="C1919" s="6">
        <v>30</v>
      </c>
      <c r="D1919" s="6" t="str">
        <f t="shared" si="59"/>
        <v>Petroleum Refineries</v>
      </c>
      <c r="E1919" s="6">
        <v>904767</v>
      </c>
      <c r="F1919" s="6">
        <v>10184</v>
      </c>
      <c r="G1919" s="6">
        <v>12127</v>
      </c>
      <c r="H1919" s="6">
        <v>5367</v>
      </c>
      <c r="I1919" s="6">
        <v>362933</v>
      </c>
    </row>
    <row r="1920" spans="1:9">
      <c r="A1920" s="6">
        <v>33</v>
      </c>
      <c r="B1920" s="6" t="str">
        <f t="shared" si="58"/>
        <v>Cement and Concrete Products</v>
      </c>
      <c r="C1920" s="6">
        <v>30</v>
      </c>
      <c r="D1920" s="6" t="str">
        <f t="shared" si="59"/>
        <v>Petroleum Refineries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</row>
    <row r="1921" spans="1:9">
      <c r="A1921" s="6">
        <v>34</v>
      </c>
      <c r="B1921" s="6" t="str">
        <f t="shared" si="58"/>
        <v>Other Non-metallic Products</v>
      </c>
      <c r="C1921" s="6">
        <v>30</v>
      </c>
      <c r="D1921" s="6" t="str">
        <f t="shared" si="59"/>
        <v>Petroleum Refineries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</row>
    <row r="1922" spans="1:9">
      <c r="A1922" s="6">
        <v>35</v>
      </c>
      <c r="B1922" s="6" t="str">
        <f t="shared" si="58"/>
        <v>Iron and Steel</v>
      </c>
      <c r="C1922" s="6">
        <v>30</v>
      </c>
      <c r="D1922" s="6" t="str">
        <f t="shared" si="59"/>
        <v>Petroleum Refineries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</row>
    <row r="1923" spans="1:9">
      <c r="A1923" s="6">
        <v>36</v>
      </c>
      <c r="B1923" s="6" t="str">
        <f t="shared" si="58"/>
        <v>Non-ferrous Metal</v>
      </c>
      <c r="C1923" s="6">
        <v>30</v>
      </c>
      <c r="D1923" s="6" t="str">
        <f t="shared" si="59"/>
        <v>Petroleum Refineries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</row>
    <row r="1924" spans="1:9">
      <c r="A1924" s="6">
        <v>37</v>
      </c>
      <c r="B1924" s="6" t="str">
        <f t="shared" ref="B1924:B1987" si="60">VLOOKUP(A1924,R:S,2,0)</f>
        <v>Fabricated Metal Products</v>
      </c>
      <c r="C1924" s="6">
        <v>30</v>
      </c>
      <c r="D1924" s="6" t="str">
        <f t="shared" ref="D1924:D1987" si="61">VLOOKUP(C1924,R:S,2,0)</f>
        <v>Petroleum Refineries</v>
      </c>
      <c r="E1924" s="6">
        <v>124139</v>
      </c>
      <c r="F1924" s="6">
        <v>3092</v>
      </c>
      <c r="G1924" s="6">
        <v>5084</v>
      </c>
      <c r="H1924" s="6">
        <v>312</v>
      </c>
      <c r="I1924" s="6">
        <v>100886</v>
      </c>
    </row>
    <row r="1925" spans="1:9">
      <c r="A1925" s="6">
        <v>38</v>
      </c>
      <c r="B1925" s="6" t="str">
        <f t="shared" si="60"/>
        <v>Industrial Machinery</v>
      </c>
      <c r="C1925" s="6">
        <v>30</v>
      </c>
      <c r="D1925" s="6" t="str">
        <f t="shared" si="61"/>
        <v>Petroleum Refineries</v>
      </c>
      <c r="E1925" s="6">
        <v>3237869</v>
      </c>
      <c r="F1925" s="6">
        <v>263511</v>
      </c>
      <c r="G1925" s="6">
        <v>0</v>
      </c>
      <c r="H1925" s="6">
        <v>39219</v>
      </c>
      <c r="I1925" s="6">
        <v>1061264</v>
      </c>
    </row>
    <row r="1926" spans="1:9">
      <c r="A1926" s="6">
        <v>39</v>
      </c>
      <c r="B1926" s="6" t="str">
        <f t="shared" si="60"/>
        <v>Electrical Machinery and Apparatus</v>
      </c>
      <c r="C1926" s="6">
        <v>30</v>
      </c>
      <c r="D1926" s="6" t="str">
        <f t="shared" si="61"/>
        <v>Petroleum Refineries</v>
      </c>
      <c r="E1926" s="6">
        <v>39296</v>
      </c>
      <c r="F1926" s="6">
        <v>1469</v>
      </c>
      <c r="G1926" s="6">
        <v>569</v>
      </c>
      <c r="H1926" s="6">
        <v>371</v>
      </c>
      <c r="I1926" s="6">
        <v>0</v>
      </c>
    </row>
    <row r="1927" spans="1:9">
      <c r="A1927" s="6">
        <v>40</v>
      </c>
      <c r="B1927" s="6" t="str">
        <f t="shared" si="60"/>
        <v>Motor Vehicles and Repairing</v>
      </c>
      <c r="C1927" s="6">
        <v>30</v>
      </c>
      <c r="D1927" s="6" t="str">
        <f t="shared" si="61"/>
        <v>Petroleum Refineries</v>
      </c>
      <c r="E1927" s="6">
        <v>567093</v>
      </c>
      <c r="F1927" s="6">
        <v>0</v>
      </c>
      <c r="G1927" s="6">
        <v>0</v>
      </c>
      <c r="H1927" s="6">
        <v>0</v>
      </c>
      <c r="I1927" s="6">
        <v>0</v>
      </c>
    </row>
    <row r="1928" spans="1:9">
      <c r="A1928" s="6">
        <v>41</v>
      </c>
      <c r="B1928" s="6" t="str">
        <f t="shared" si="60"/>
        <v>Other Transportation Equipment</v>
      </c>
      <c r="C1928" s="6">
        <v>30</v>
      </c>
      <c r="D1928" s="6" t="str">
        <f t="shared" si="61"/>
        <v>Petroleum Refineries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</row>
    <row r="1929" spans="1:9">
      <c r="A1929" s="6">
        <v>42</v>
      </c>
      <c r="B1929" s="6" t="str">
        <f t="shared" si="60"/>
        <v>Leather Products</v>
      </c>
      <c r="C1929" s="6">
        <v>30</v>
      </c>
      <c r="D1929" s="6" t="str">
        <f t="shared" si="61"/>
        <v>Petroleum Refineries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</row>
    <row r="1930" spans="1:9">
      <c r="A1930" s="6">
        <v>43</v>
      </c>
      <c r="B1930" s="6" t="str">
        <f t="shared" si="60"/>
        <v>Saw Mills and Wood Products</v>
      </c>
      <c r="C1930" s="6">
        <v>30</v>
      </c>
      <c r="D1930" s="6" t="str">
        <f t="shared" si="61"/>
        <v>Petroleum Refineries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</row>
    <row r="1931" spans="1:9">
      <c r="A1931" s="6">
        <v>44</v>
      </c>
      <c r="B1931" s="6" t="str">
        <f t="shared" si="60"/>
        <v>Other Manufacturing Products</v>
      </c>
      <c r="C1931" s="6">
        <v>30</v>
      </c>
      <c r="D1931" s="6" t="str">
        <f t="shared" si="61"/>
        <v>Petroleum Refineries</v>
      </c>
      <c r="E1931" s="6">
        <v>78343</v>
      </c>
      <c r="F1931" s="6">
        <v>4909</v>
      </c>
      <c r="G1931" s="6">
        <v>4129</v>
      </c>
      <c r="H1931" s="6">
        <v>701</v>
      </c>
      <c r="I1931" s="6">
        <v>0</v>
      </c>
    </row>
    <row r="1932" spans="1:9">
      <c r="A1932" s="6">
        <v>45</v>
      </c>
      <c r="B1932" s="6" t="str">
        <f t="shared" si="60"/>
        <v>Electricity and Gas</v>
      </c>
      <c r="C1932" s="6">
        <v>30</v>
      </c>
      <c r="D1932" s="6" t="str">
        <f t="shared" si="61"/>
        <v>Petroleum Refineries</v>
      </c>
      <c r="E1932" s="6">
        <v>26505494</v>
      </c>
      <c r="F1932" s="6">
        <v>209481</v>
      </c>
      <c r="G1932" s="6">
        <v>389226</v>
      </c>
      <c r="H1932" s="6">
        <v>44402</v>
      </c>
      <c r="I1932" s="6">
        <v>0</v>
      </c>
    </row>
    <row r="1933" spans="1:9">
      <c r="A1933" s="6">
        <v>46</v>
      </c>
      <c r="B1933" s="6" t="str">
        <f t="shared" si="60"/>
        <v>Water Works and Supply</v>
      </c>
      <c r="C1933" s="6">
        <v>30</v>
      </c>
      <c r="D1933" s="6" t="str">
        <f t="shared" si="61"/>
        <v>Petroleum Refineries</v>
      </c>
      <c r="E1933" s="6">
        <v>86675</v>
      </c>
      <c r="F1933" s="6">
        <v>0</v>
      </c>
      <c r="G1933" s="6">
        <v>0</v>
      </c>
      <c r="H1933" s="6">
        <v>0</v>
      </c>
      <c r="I1933" s="6">
        <v>0</v>
      </c>
    </row>
    <row r="1934" spans="1:9">
      <c r="A1934" s="6">
        <v>47</v>
      </c>
      <c r="B1934" s="6" t="str">
        <f t="shared" si="60"/>
        <v>Building Construction</v>
      </c>
      <c r="C1934" s="6">
        <v>30</v>
      </c>
      <c r="D1934" s="6" t="str">
        <f t="shared" si="61"/>
        <v>Petroleum Refineries</v>
      </c>
      <c r="E1934" s="6">
        <v>113748</v>
      </c>
      <c r="F1934" s="6">
        <v>0</v>
      </c>
      <c r="G1934" s="6">
        <v>0</v>
      </c>
      <c r="H1934" s="6">
        <v>0</v>
      </c>
      <c r="I1934" s="6">
        <v>0</v>
      </c>
    </row>
    <row r="1935" spans="1:9">
      <c r="A1935" s="6">
        <v>48</v>
      </c>
      <c r="B1935" s="6" t="str">
        <f t="shared" si="60"/>
        <v>Public Works and Other Construction</v>
      </c>
      <c r="C1935" s="6">
        <v>30</v>
      </c>
      <c r="D1935" s="6" t="str">
        <f t="shared" si="61"/>
        <v>Petroleum Refineries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</row>
    <row r="1936" spans="1:9">
      <c r="A1936" s="6">
        <v>49</v>
      </c>
      <c r="B1936" s="6" t="str">
        <f t="shared" si="60"/>
        <v>Trade</v>
      </c>
      <c r="C1936" s="6">
        <v>30</v>
      </c>
      <c r="D1936" s="6" t="str">
        <f t="shared" si="61"/>
        <v>Petroleum Refineries</v>
      </c>
      <c r="E1936" s="6">
        <v>0</v>
      </c>
      <c r="F1936" s="6">
        <v>-6150450</v>
      </c>
      <c r="G1936" s="6">
        <v>-4129730</v>
      </c>
      <c r="H1936" s="6">
        <v>0</v>
      </c>
      <c r="I1936" s="6">
        <v>0</v>
      </c>
    </row>
    <row r="1937" spans="1:9">
      <c r="A1937" s="6">
        <v>50</v>
      </c>
      <c r="B1937" s="6" t="str">
        <f t="shared" si="60"/>
        <v>Restaurants and Hotels</v>
      </c>
      <c r="C1937" s="6">
        <v>30</v>
      </c>
      <c r="D1937" s="6" t="str">
        <f t="shared" si="61"/>
        <v>Petroleum Refineries</v>
      </c>
      <c r="E1937" s="6">
        <v>449161</v>
      </c>
      <c r="F1937" s="6">
        <v>0</v>
      </c>
      <c r="G1937" s="6">
        <v>0</v>
      </c>
      <c r="H1937" s="6">
        <v>0</v>
      </c>
      <c r="I1937" s="6">
        <v>0</v>
      </c>
    </row>
    <row r="1938" spans="1:9">
      <c r="A1938" s="6">
        <v>51</v>
      </c>
      <c r="B1938" s="6" t="str">
        <f t="shared" si="60"/>
        <v>Transportation</v>
      </c>
      <c r="C1938" s="6">
        <v>30</v>
      </c>
      <c r="D1938" s="6" t="str">
        <f t="shared" si="61"/>
        <v>Petroleum Refineries</v>
      </c>
      <c r="E1938" s="6">
        <v>1021435</v>
      </c>
      <c r="F1938" s="6">
        <v>0</v>
      </c>
      <c r="G1938" s="6">
        <v>0</v>
      </c>
      <c r="H1938" s="6">
        <v>-1166806</v>
      </c>
      <c r="I1938" s="6">
        <v>0</v>
      </c>
    </row>
    <row r="1939" spans="1:9">
      <c r="A1939" s="6">
        <v>52</v>
      </c>
      <c r="B1939" s="6" t="str">
        <f t="shared" si="60"/>
        <v>Communication</v>
      </c>
      <c r="C1939" s="6">
        <v>30</v>
      </c>
      <c r="D1939" s="6" t="str">
        <f t="shared" si="61"/>
        <v>Petroleum Refineries</v>
      </c>
      <c r="E1939" s="6">
        <v>344341</v>
      </c>
      <c r="F1939" s="6">
        <v>0</v>
      </c>
      <c r="G1939" s="6">
        <v>0</v>
      </c>
      <c r="H1939" s="6">
        <v>0</v>
      </c>
      <c r="I1939" s="6">
        <v>0</v>
      </c>
    </row>
    <row r="1940" spans="1:9">
      <c r="A1940" s="6">
        <v>53</v>
      </c>
      <c r="B1940" s="6" t="str">
        <f t="shared" si="60"/>
        <v>Banking and Insurance</v>
      </c>
      <c r="C1940" s="6">
        <v>30</v>
      </c>
      <c r="D1940" s="6" t="str">
        <f t="shared" si="61"/>
        <v>Petroleum Refineries</v>
      </c>
      <c r="E1940" s="6">
        <v>18269912</v>
      </c>
      <c r="F1940" s="6">
        <v>0</v>
      </c>
      <c r="G1940" s="6">
        <v>0</v>
      </c>
      <c r="H1940" s="6">
        <v>0</v>
      </c>
      <c r="I1940" s="6">
        <v>0</v>
      </c>
    </row>
    <row r="1941" spans="1:9">
      <c r="A1941" s="6">
        <v>54</v>
      </c>
      <c r="B1941" s="6" t="str">
        <f t="shared" si="60"/>
        <v>Real Estate</v>
      </c>
      <c r="C1941" s="6">
        <v>30</v>
      </c>
      <c r="D1941" s="6" t="str">
        <f t="shared" si="61"/>
        <v>Petroleum Refineries</v>
      </c>
      <c r="E1941" s="6">
        <v>1519707</v>
      </c>
      <c r="F1941" s="6">
        <v>0</v>
      </c>
      <c r="G1941" s="6">
        <v>0</v>
      </c>
      <c r="H1941" s="6">
        <v>0</v>
      </c>
      <c r="I1941" s="6">
        <v>0</v>
      </c>
    </row>
    <row r="1942" spans="1:9">
      <c r="A1942" s="6">
        <v>55</v>
      </c>
      <c r="B1942" s="6" t="str">
        <f t="shared" si="60"/>
        <v>Business Services</v>
      </c>
      <c r="C1942" s="6">
        <v>30</v>
      </c>
      <c r="D1942" s="6" t="str">
        <f t="shared" si="61"/>
        <v>Petroleum Refineries</v>
      </c>
      <c r="E1942" s="6">
        <v>16416748</v>
      </c>
      <c r="F1942" s="6">
        <v>0</v>
      </c>
      <c r="G1942" s="6">
        <v>0</v>
      </c>
      <c r="H1942" s="6">
        <v>0</v>
      </c>
      <c r="I1942" s="6">
        <v>0</v>
      </c>
    </row>
    <row r="1943" spans="1:9">
      <c r="A1943" s="6">
        <v>56</v>
      </c>
      <c r="B1943" s="6" t="str">
        <f t="shared" si="60"/>
        <v>Public Services</v>
      </c>
      <c r="C1943" s="6">
        <v>30</v>
      </c>
      <c r="D1943" s="6" t="str">
        <f t="shared" si="61"/>
        <v>Petroleum Refineries</v>
      </c>
      <c r="E1943" s="6">
        <v>224813</v>
      </c>
      <c r="F1943" s="6">
        <v>0</v>
      </c>
      <c r="G1943" s="6">
        <v>0</v>
      </c>
      <c r="H1943" s="6">
        <v>0</v>
      </c>
      <c r="I1943" s="6">
        <v>0</v>
      </c>
    </row>
    <row r="1944" spans="1:9">
      <c r="A1944" s="6">
        <v>57</v>
      </c>
      <c r="B1944" s="6" t="str">
        <f t="shared" si="60"/>
        <v>Other Services</v>
      </c>
      <c r="C1944" s="6">
        <v>30</v>
      </c>
      <c r="D1944" s="6" t="str">
        <f t="shared" si="61"/>
        <v>Petroleum Refineries</v>
      </c>
      <c r="E1944" s="6">
        <v>125244</v>
      </c>
      <c r="F1944" s="6">
        <v>0</v>
      </c>
      <c r="G1944" s="6">
        <v>0</v>
      </c>
      <c r="H1944" s="6">
        <v>0</v>
      </c>
      <c r="I1944" s="6">
        <v>0</v>
      </c>
    </row>
    <row r="1945" spans="1:9">
      <c r="A1945" s="6">
        <v>58</v>
      </c>
      <c r="B1945" s="6" t="str">
        <f t="shared" si="60"/>
        <v>Unclassified</v>
      </c>
      <c r="C1945" s="6">
        <v>30</v>
      </c>
      <c r="D1945" s="6" t="str">
        <f t="shared" si="61"/>
        <v>Petroleum Refineries</v>
      </c>
      <c r="E1945" s="6">
        <v>9642608</v>
      </c>
      <c r="F1945" s="6">
        <v>0</v>
      </c>
      <c r="G1945" s="6">
        <v>0</v>
      </c>
      <c r="H1945" s="6">
        <v>0</v>
      </c>
      <c r="I1945" s="6">
        <v>859025</v>
      </c>
    </row>
    <row r="1946" spans="1:9">
      <c r="A1946" s="6">
        <v>190</v>
      </c>
      <c r="B1946" s="6" t="str">
        <f t="shared" si="60"/>
        <v>Total Intermedite Transaction</v>
      </c>
      <c r="C1946" s="6">
        <v>30</v>
      </c>
      <c r="D1946" s="6" t="str">
        <f t="shared" si="61"/>
        <v>Petroleum Refineries</v>
      </c>
      <c r="E1946" s="6">
        <v>964139721</v>
      </c>
      <c r="F1946" s="6">
        <v>0</v>
      </c>
      <c r="G1946" s="6">
        <v>0</v>
      </c>
      <c r="H1946" s="6">
        <v>0</v>
      </c>
      <c r="I1946" s="6">
        <v>709262136</v>
      </c>
    </row>
    <row r="1947" spans="1:9">
      <c r="A1947" s="6">
        <v>201</v>
      </c>
      <c r="B1947" s="6" t="str">
        <f t="shared" si="60"/>
        <v>Wages and Salaries</v>
      </c>
      <c r="C1947" s="6">
        <v>30</v>
      </c>
      <c r="D1947" s="6" t="str">
        <f t="shared" si="61"/>
        <v>Petroleum Refineries</v>
      </c>
      <c r="E1947" s="6">
        <v>19313941</v>
      </c>
      <c r="F1947" s="6">
        <v>0</v>
      </c>
      <c r="G1947" s="6">
        <v>0</v>
      </c>
      <c r="H1947" s="6">
        <v>0</v>
      </c>
      <c r="I1947" s="6">
        <v>0</v>
      </c>
    </row>
    <row r="1948" spans="1:9">
      <c r="A1948" s="6">
        <v>202</v>
      </c>
      <c r="B1948" s="6" t="str">
        <f t="shared" si="60"/>
        <v>Operating Surplus</v>
      </c>
      <c r="C1948" s="6">
        <v>30</v>
      </c>
      <c r="D1948" s="6" t="str">
        <f t="shared" si="61"/>
        <v>Petroleum Refineries</v>
      </c>
      <c r="E1948" s="6">
        <v>17259410</v>
      </c>
      <c r="F1948" s="6">
        <v>0</v>
      </c>
      <c r="G1948" s="6">
        <v>0</v>
      </c>
      <c r="H1948" s="6">
        <v>0</v>
      </c>
      <c r="I1948" s="6">
        <v>0</v>
      </c>
    </row>
    <row r="1949" spans="1:9">
      <c r="A1949" s="6">
        <v>203</v>
      </c>
      <c r="B1949" s="6" t="str">
        <f t="shared" si="60"/>
        <v>Depreciation</v>
      </c>
      <c r="C1949" s="6">
        <v>30</v>
      </c>
      <c r="D1949" s="6" t="str">
        <f t="shared" si="61"/>
        <v>Petroleum Refineries</v>
      </c>
      <c r="E1949" s="6">
        <v>57550155</v>
      </c>
      <c r="F1949" s="6">
        <v>0</v>
      </c>
      <c r="G1949" s="6">
        <v>0</v>
      </c>
      <c r="H1949" s="6">
        <v>0</v>
      </c>
      <c r="I1949" s="6">
        <v>0</v>
      </c>
    </row>
    <row r="1950" spans="1:9">
      <c r="A1950" s="6">
        <v>204</v>
      </c>
      <c r="B1950" s="6" t="str">
        <f t="shared" si="60"/>
        <v>Indirect Taxes less Subsidies</v>
      </c>
      <c r="C1950" s="6">
        <v>30</v>
      </c>
      <c r="D1950" s="6" t="str">
        <f t="shared" si="61"/>
        <v>Petroleum Refineries</v>
      </c>
      <c r="E1950" s="6">
        <v>204210841</v>
      </c>
      <c r="F1950" s="6">
        <v>0</v>
      </c>
      <c r="G1950" s="6">
        <v>0</v>
      </c>
      <c r="H1950" s="6">
        <v>0</v>
      </c>
      <c r="I1950" s="6">
        <v>0</v>
      </c>
    </row>
    <row r="1951" spans="1:9">
      <c r="A1951" s="6">
        <v>209</v>
      </c>
      <c r="B1951" s="6" t="str">
        <f t="shared" si="60"/>
        <v>Total Value Added</v>
      </c>
      <c r="C1951" s="6">
        <v>30</v>
      </c>
      <c r="D1951" s="6" t="str">
        <f t="shared" si="61"/>
        <v>Petroleum Refineries</v>
      </c>
      <c r="E1951" s="6">
        <v>298334347</v>
      </c>
      <c r="F1951" s="6">
        <v>0</v>
      </c>
      <c r="G1951" s="6">
        <v>0</v>
      </c>
      <c r="H1951" s="6">
        <v>0</v>
      </c>
      <c r="I1951" s="6">
        <v>0</v>
      </c>
    </row>
    <row r="1952" spans="1:9">
      <c r="A1952" s="6">
        <v>210</v>
      </c>
      <c r="B1952" s="6" t="str">
        <f t="shared" si="60"/>
        <v>Control Total</v>
      </c>
      <c r="C1952" s="6">
        <v>30</v>
      </c>
      <c r="D1952" s="6" t="str">
        <f t="shared" si="61"/>
        <v>Petroleum Refineries</v>
      </c>
      <c r="E1952" s="6">
        <v>1262474068</v>
      </c>
      <c r="F1952" s="6">
        <v>0</v>
      </c>
      <c r="G1952" s="6">
        <v>0</v>
      </c>
      <c r="H1952" s="6">
        <v>0</v>
      </c>
      <c r="I1952" s="6">
        <v>0</v>
      </c>
    </row>
    <row r="1953" spans="1:9">
      <c r="A1953" s="6">
        <v>1</v>
      </c>
      <c r="B1953" s="6" t="str">
        <f t="shared" si="60"/>
        <v>Paddy</v>
      </c>
      <c r="C1953" s="6">
        <v>31</v>
      </c>
      <c r="D1953" s="6" t="str">
        <f t="shared" si="61"/>
        <v>Rubber Products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</row>
    <row r="1954" spans="1:9">
      <c r="A1954" s="6">
        <v>2</v>
      </c>
      <c r="B1954" s="6" t="str">
        <f t="shared" si="60"/>
        <v>Maize</v>
      </c>
      <c r="C1954" s="6">
        <v>31</v>
      </c>
      <c r="D1954" s="6" t="str">
        <f t="shared" si="61"/>
        <v>Rubber Products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</row>
    <row r="1955" spans="1:9">
      <c r="A1955" s="6">
        <v>3</v>
      </c>
      <c r="B1955" s="6" t="str">
        <f t="shared" si="60"/>
        <v>Cassava</v>
      </c>
      <c r="C1955" s="6">
        <v>31</v>
      </c>
      <c r="D1955" s="6" t="str">
        <f t="shared" si="61"/>
        <v>Rubber Products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</row>
    <row r="1956" spans="1:9">
      <c r="A1956" s="6">
        <v>4</v>
      </c>
      <c r="B1956" s="6" t="str">
        <f t="shared" si="60"/>
        <v>Beans and Nuts</v>
      </c>
      <c r="C1956" s="6">
        <v>31</v>
      </c>
      <c r="D1956" s="6" t="str">
        <f t="shared" si="61"/>
        <v>Rubber Products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</row>
    <row r="1957" spans="1:9">
      <c r="A1957" s="6">
        <v>5</v>
      </c>
      <c r="B1957" s="6" t="str">
        <f t="shared" si="60"/>
        <v>Vegetables and Fruits</v>
      </c>
      <c r="C1957" s="6">
        <v>31</v>
      </c>
      <c r="D1957" s="6" t="str">
        <f t="shared" si="61"/>
        <v>Rubber Products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</row>
    <row r="1958" spans="1:9">
      <c r="A1958" s="6">
        <v>6</v>
      </c>
      <c r="B1958" s="6" t="str">
        <f t="shared" si="60"/>
        <v>Sugarcane</v>
      </c>
      <c r="C1958" s="6">
        <v>31</v>
      </c>
      <c r="D1958" s="6" t="str">
        <f t="shared" si="61"/>
        <v>Rubber Products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</row>
    <row r="1959" spans="1:9">
      <c r="A1959" s="6">
        <v>7</v>
      </c>
      <c r="B1959" s="6" t="str">
        <f t="shared" si="60"/>
        <v>Rubber (Latex)</v>
      </c>
      <c r="C1959" s="6">
        <v>31</v>
      </c>
      <c r="D1959" s="6" t="str">
        <f t="shared" si="61"/>
        <v>Rubber Products</v>
      </c>
      <c r="E1959" s="6">
        <v>105841640</v>
      </c>
      <c r="F1959" s="6">
        <v>6645748</v>
      </c>
      <c r="G1959" s="6">
        <v>0</v>
      </c>
      <c r="H1959" s="6">
        <v>739717</v>
      </c>
      <c r="I1959" s="6">
        <v>114326</v>
      </c>
    </row>
    <row r="1960" spans="1:9">
      <c r="A1960" s="6">
        <v>8</v>
      </c>
      <c r="B1960" s="6" t="str">
        <f t="shared" si="60"/>
        <v>Other Crops</v>
      </c>
      <c r="C1960" s="6">
        <v>31</v>
      </c>
      <c r="D1960" s="6" t="str">
        <f t="shared" si="61"/>
        <v>Rubber Products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</row>
    <row r="1961" spans="1:9">
      <c r="A1961" s="6">
        <v>9</v>
      </c>
      <c r="B1961" s="6" t="str">
        <f t="shared" si="60"/>
        <v>Livestock</v>
      </c>
      <c r="C1961" s="6">
        <v>31</v>
      </c>
      <c r="D1961" s="6" t="str">
        <f t="shared" si="61"/>
        <v>Rubber Products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</row>
    <row r="1962" spans="1:9">
      <c r="A1962" s="6">
        <v>10</v>
      </c>
      <c r="B1962" s="6" t="str">
        <f t="shared" si="60"/>
        <v>Forestry</v>
      </c>
      <c r="C1962" s="6">
        <v>31</v>
      </c>
      <c r="D1962" s="6" t="str">
        <f t="shared" si="61"/>
        <v>Rubber Products</v>
      </c>
      <c r="E1962" s="6">
        <v>110393</v>
      </c>
      <c r="F1962" s="6">
        <v>7581</v>
      </c>
      <c r="G1962" s="6">
        <v>10848</v>
      </c>
      <c r="H1962" s="6">
        <v>630</v>
      </c>
      <c r="I1962" s="6">
        <v>0</v>
      </c>
    </row>
    <row r="1963" spans="1:9">
      <c r="A1963" s="6">
        <v>11</v>
      </c>
      <c r="B1963" s="6" t="str">
        <f t="shared" si="60"/>
        <v>Fishery</v>
      </c>
      <c r="C1963" s="6">
        <v>31</v>
      </c>
      <c r="D1963" s="6" t="str">
        <f t="shared" si="61"/>
        <v>Rubber Products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</row>
    <row r="1964" spans="1:9">
      <c r="A1964" s="6">
        <v>12</v>
      </c>
      <c r="B1964" s="6" t="str">
        <f t="shared" si="60"/>
        <v>Crude Oil and Coal</v>
      </c>
      <c r="C1964" s="6">
        <v>31</v>
      </c>
      <c r="D1964" s="6" t="str">
        <f t="shared" si="61"/>
        <v>Rubber Products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</row>
    <row r="1965" spans="1:9">
      <c r="A1965" s="6">
        <v>13</v>
      </c>
      <c r="B1965" s="6" t="str">
        <f t="shared" si="60"/>
        <v>Metal Ore</v>
      </c>
      <c r="C1965" s="6">
        <v>31</v>
      </c>
      <c r="D1965" s="6" t="str">
        <f t="shared" si="61"/>
        <v>Rubber Products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</row>
    <row r="1966" spans="1:9">
      <c r="A1966" s="6">
        <v>14</v>
      </c>
      <c r="B1966" s="6" t="str">
        <f t="shared" si="60"/>
        <v>Non-Metal Ore</v>
      </c>
      <c r="C1966" s="6">
        <v>31</v>
      </c>
      <c r="D1966" s="6" t="str">
        <f t="shared" si="61"/>
        <v>Rubber Products</v>
      </c>
      <c r="E1966" s="6">
        <v>143094</v>
      </c>
      <c r="F1966" s="6">
        <v>11885</v>
      </c>
      <c r="G1966" s="6">
        <v>0</v>
      </c>
      <c r="H1966" s="6">
        <v>11450</v>
      </c>
      <c r="I1966" s="6">
        <v>0</v>
      </c>
    </row>
    <row r="1967" spans="1:9">
      <c r="A1967" s="6">
        <v>15</v>
      </c>
      <c r="B1967" s="6" t="str">
        <f t="shared" si="60"/>
        <v>Slaughtering</v>
      </c>
      <c r="C1967" s="6">
        <v>31</v>
      </c>
      <c r="D1967" s="6" t="str">
        <f t="shared" si="61"/>
        <v>Rubber Products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</row>
    <row r="1968" spans="1:9">
      <c r="A1968" s="6">
        <v>16</v>
      </c>
      <c r="B1968" s="6" t="str">
        <f t="shared" si="60"/>
        <v>Processing and Presering of Foods</v>
      </c>
      <c r="C1968" s="6">
        <v>31</v>
      </c>
      <c r="D1968" s="6" t="str">
        <f t="shared" si="61"/>
        <v>Rubber Products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</row>
    <row r="1969" spans="1:9">
      <c r="A1969" s="6">
        <v>17</v>
      </c>
      <c r="B1969" s="6" t="str">
        <f t="shared" si="60"/>
        <v>Rice and Other Grain Milling</v>
      </c>
      <c r="C1969" s="6">
        <v>31</v>
      </c>
      <c r="D1969" s="6" t="str">
        <f t="shared" si="61"/>
        <v>Rubber Products</v>
      </c>
      <c r="E1969" s="6">
        <v>509172</v>
      </c>
      <c r="F1969" s="6">
        <v>22760</v>
      </c>
      <c r="G1969" s="6">
        <v>23212</v>
      </c>
      <c r="H1969" s="6">
        <v>7679</v>
      </c>
      <c r="I1969" s="6">
        <v>0</v>
      </c>
    </row>
    <row r="1970" spans="1:9">
      <c r="A1970" s="6">
        <v>18</v>
      </c>
      <c r="B1970" s="6" t="str">
        <f t="shared" si="60"/>
        <v>Sugar Refineries</v>
      </c>
      <c r="C1970" s="6">
        <v>31</v>
      </c>
      <c r="D1970" s="6" t="str">
        <f t="shared" si="61"/>
        <v>Rubber Products</v>
      </c>
      <c r="E1970" s="6">
        <v>69370</v>
      </c>
      <c r="F1970" s="6">
        <v>1465</v>
      </c>
      <c r="G1970" s="6">
        <v>0</v>
      </c>
      <c r="H1970" s="6">
        <v>900</v>
      </c>
      <c r="I1970" s="6">
        <v>0</v>
      </c>
    </row>
    <row r="1971" spans="1:9">
      <c r="A1971" s="6">
        <v>19</v>
      </c>
      <c r="B1971" s="6" t="str">
        <f t="shared" si="60"/>
        <v>Other Foods</v>
      </c>
      <c r="C1971" s="6">
        <v>31</v>
      </c>
      <c r="D1971" s="6" t="str">
        <f t="shared" si="61"/>
        <v>Rubber Products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</row>
    <row r="1972" spans="1:9">
      <c r="A1972" s="6">
        <v>20</v>
      </c>
      <c r="B1972" s="6" t="str">
        <f t="shared" si="60"/>
        <v>Animal Food</v>
      </c>
      <c r="C1972" s="6">
        <v>31</v>
      </c>
      <c r="D1972" s="6" t="str">
        <f t="shared" si="61"/>
        <v>Rubber Products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</row>
    <row r="1973" spans="1:9">
      <c r="A1973" s="6">
        <v>21</v>
      </c>
      <c r="B1973" s="6" t="str">
        <f t="shared" si="60"/>
        <v>Beverages</v>
      </c>
      <c r="C1973" s="6">
        <v>31</v>
      </c>
      <c r="D1973" s="6" t="str">
        <f t="shared" si="61"/>
        <v>Rubber Products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</row>
    <row r="1974" spans="1:9">
      <c r="A1974" s="6">
        <v>22</v>
      </c>
      <c r="B1974" s="6" t="str">
        <f t="shared" si="60"/>
        <v>Tobacco Processing and Products</v>
      </c>
      <c r="C1974" s="6">
        <v>31</v>
      </c>
      <c r="D1974" s="6" t="str">
        <f t="shared" si="61"/>
        <v>Rubber Products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</row>
    <row r="1975" spans="1:9">
      <c r="A1975" s="6">
        <v>23</v>
      </c>
      <c r="B1975" s="6" t="str">
        <f t="shared" si="60"/>
        <v>Spinning, Weaving and Bleaching</v>
      </c>
      <c r="C1975" s="6">
        <v>31</v>
      </c>
      <c r="D1975" s="6" t="str">
        <f t="shared" si="61"/>
        <v>Rubber Products</v>
      </c>
      <c r="E1975" s="6">
        <v>12935418</v>
      </c>
      <c r="F1975" s="6">
        <v>2573877</v>
      </c>
      <c r="G1975" s="6">
        <v>1095524</v>
      </c>
      <c r="H1975" s="6">
        <v>203887</v>
      </c>
      <c r="I1975" s="6">
        <v>8733097</v>
      </c>
    </row>
    <row r="1976" spans="1:9">
      <c r="A1976" s="6">
        <v>24</v>
      </c>
      <c r="B1976" s="6" t="str">
        <f t="shared" si="60"/>
        <v>Textile Products</v>
      </c>
      <c r="C1976" s="6">
        <v>31</v>
      </c>
      <c r="D1976" s="6" t="str">
        <f t="shared" si="61"/>
        <v>Rubber Products</v>
      </c>
      <c r="E1976" s="6">
        <v>1475822</v>
      </c>
      <c r="F1976" s="6">
        <v>37260</v>
      </c>
      <c r="G1976" s="6">
        <v>79425</v>
      </c>
      <c r="H1976" s="6">
        <v>9492</v>
      </c>
      <c r="I1976" s="6">
        <v>1222032</v>
      </c>
    </row>
    <row r="1977" spans="1:9">
      <c r="A1977" s="6">
        <v>25</v>
      </c>
      <c r="B1977" s="6" t="str">
        <f t="shared" si="60"/>
        <v>Paper and Paper Products</v>
      </c>
      <c r="C1977" s="6">
        <v>31</v>
      </c>
      <c r="D1977" s="6" t="str">
        <f t="shared" si="61"/>
        <v>Rubber Products</v>
      </c>
      <c r="E1977" s="6">
        <v>354079</v>
      </c>
      <c r="F1977" s="6">
        <v>6946</v>
      </c>
      <c r="G1977" s="6">
        <v>17591</v>
      </c>
      <c r="H1977" s="6">
        <v>3728</v>
      </c>
      <c r="I1977" s="6">
        <v>0</v>
      </c>
    </row>
    <row r="1978" spans="1:9">
      <c r="A1978" s="6">
        <v>26</v>
      </c>
      <c r="B1978" s="6" t="str">
        <f t="shared" si="60"/>
        <v>Printing and Publishing</v>
      </c>
      <c r="C1978" s="6">
        <v>31</v>
      </c>
      <c r="D1978" s="6" t="str">
        <f t="shared" si="61"/>
        <v>Rubber Products</v>
      </c>
      <c r="E1978" s="6">
        <v>4532</v>
      </c>
      <c r="F1978" s="6">
        <v>491</v>
      </c>
      <c r="G1978" s="6">
        <v>465</v>
      </c>
      <c r="H1978" s="6">
        <v>46</v>
      </c>
      <c r="I1978" s="6">
        <v>0</v>
      </c>
    </row>
    <row r="1979" spans="1:9">
      <c r="A1979" s="6">
        <v>27</v>
      </c>
      <c r="B1979" s="6" t="str">
        <f t="shared" si="60"/>
        <v>Basic Chemical Products</v>
      </c>
      <c r="C1979" s="6">
        <v>31</v>
      </c>
      <c r="D1979" s="6" t="str">
        <f t="shared" si="61"/>
        <v>Rubber Products</v>
      </c>
      <c r="E1979" s="6">
        <v>51884519</v>
      </c>
      <c r="F1979" s="6">
        <v>2903294</v>
      </c>
      <c r="G1979" s="6">
        <v>2065102</v>
      </c>
      <c r="H1979" s="6">
        <v>687142</v>
      </c>
      <c r="I1979" s="6">
        <v>34538598</v>
      </c>
    </row>
    <row r="1980" spans="1:9">
      <c r="A1980" s="6">
        <v>28</v>
      </c>
      <c r="B1980" s="6" t="str">
        <f t="shared" si="60"/>
        <v>Fertilizer and Pesticides</v>
      </c>
      <c r="C1980" s="6">
        <v>31</v>
      </c>
      <c r="D1980" s="6" t="str">
        <f t="shared" si="61"/>
        <v>Rubber Products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</row>
    <row r="1981" spans="1:9">
      <c r="A1981" s="6">
        <v>29</v>
      </c>
      <c r="B1981" s="6" t="str">
        <f t="shared" si="60"/>
        <v>Other Chemical Products</v>
      </c>
      <c r="C1981" s="6">
        <v>31</v>
      </c>
      <c r="D1981" s="6" t="str">
        <f t="shared" si="61"/>
        <v>Rubber Products</v>
      </c>
      <c r="E1981" s="6">
        <v>3300001</v>
      </c>
      <c r="F1981" s="6">
        <v>178745</v>
      </c>
      <c r="G1981" s="6">
        <v>203927</v>
      </c>
      <c r="H1981" s="6">
        <v>44724</v>
      </c>
      <c r="I1981" s="6">
        <v>2524890</v>
      </c>
    </row>
    <row r="1982" spans="1:9">
      <c r="A1982" s="6">
        <v>30</v>
      </c>
      <c r="B1982" s="6" t="str">
        <f t="shared" si="60"/>
        <v>Petroleum Refineries</v>
      </c>
      <c r="C1982" s="6">
        <v>31</v>
      </c>
      <c r="D1982" s="6" t="str">
        <f t="shared" si="61"/>
        <v>Rubber Products</v>
      </c>
      <c r="E1982" s="6">
        <v>7351233</v>
      </c>
      <c r="F1982" s="6">
        <v>308992</v>
      </c>
      <c r="G1982" s="6">
        <v>294059</v>
      </c>
      <c r="H1982" s="6">
        <v>67592</v>
      </c>
      <c r="I1982" s="6">
        <v>1335319</v>
      </c>
    </row>
    <row r="1983" spans="1:9">
      <c r="A1983" s="6">
        <v>31</v>
      </c>
      <c r="B1983" s="6" t="str">
        <f t="shared" si="60"/>
        <v>Rubber Products</v>
      </c>
      <c r="C1983" s="6">
        <v>31</v>
      </c>
      <c r="D1983" s="6" t="str">
        <f t="shared" si="61"/>
        <v>Rubber Products</v>
      </c>
      <c r="E1983" s="6">
        <v>57247160</v>
      </c>
      <c r="F1983" s="6">
        <v>6243825</v>
      </c>
      <c r="G1983" s="6">
        <v>7037091</v>
      </c>
      <c r="H1983" s="6">
        <v>1863039</v>
      </c>
      <c r="I1983" s="6">
        <v>3935041</v>
      </c>
    </row>
    <row r="1984" spans="1:9">
      <c r="A1984" s="6">
        <v>32</v>
      </c>
      <c r="B1984" s="6" t="str">
        <f t="shared" si="60"/>
        <v>Plastic Wares</v>
      </c>
      <c r="C1984" s="6">
        <v>31</v>
      </c>
      <c r="D1984" s="6" t="str">
        <f t="shared" si="61"/>
        <v>Rubber Products</v>
      </c>
      <c r="E1984" s="6">
        <v>4567844</v>
      </c>
      <c r="F1984" s="6">
        <v>93449</v>
      </c>
      <c r="G1984" s="6">
        <v>107801</v>
      </c>
      <c r="H1984" s="6">
        <v>32852</v>
      </c>
      <c r="I1984" s="6">
        <v>1682314</v>
      </c>
    </row>
    <row r="1985" spans="1:9">
      <c r="A1985" s="6">
        <v>33</v>
      </c>
      <c r="B1985" s="6" t="str">
        <f t="shared" si="60"/>
        <v>Cement and Concrete Products</v>
      </c>
      <c r="C1985" s="6">
        <v>31</v>
      </c>
      <c r="D1985" s="6" t="str">
        <f t="shared" si="61"/>
        <v>Rubber Products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</row>
    <row r="1986" spans="1:9">
      <c r="A1986" s="6">
        <v>34</v>
      </c>
      <c r="B1986" s="6" t="str">
        <f t="shared" si="60"/>
        <v>Other Non-metallic Products</v>
      </c>
      <c r="C1986" s="6">
        <v>31</v>
      </c>
      <c r="D1986" s="6" t="str">
        <f t="shared" si="61"/>
        <v>Rubber Products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</row>
    <row r="1987" spans="1:9">
      <c r="A1987" s="6">
        <v>35</v>
      </c>
      <c r="B1987" s="6" t="str">
        <f t="shared" si="60"/>
        <v>Iron and Steel</v>
      </c>
      <c r="C1987" s="6">
        <v>31</v>
      </c>
      <c r="D1987" s="6" t="str">
        <f t="shared" si="61"/>
        <v>Rubber Products</v>
      </c>
      <c r="E1987" s="6">
        <v>2153330</v>
      </c>
      <c r="F1987" s="6">
        <v>92084</v>
      </c>
      <c r="G1987" s="6">
        <v>100882</v>
      </c>
      <c r="H1987" s="6">
        <v>23097</v>
      </c>
      <c r="I1987" s="6">
        <v>547581</v>
      </c>
    </row>
    <row r="1988" spans="1:9">
      <c r="A1988" s="6">
        <v>36</v>
      </c>
      <c r="B1988" s="6" t="str">
        <f t="shared" ref="B1988:B2051" si="62">VLOOKUP(A1988,R:S,2,0)</f>
        <v>Non-ferrous Metal</v>
      </c>
      <c r="C1988" s="6">
        <v>31</v>
      </c>
      <c r="D1988" s="6" t="str">
        <f t="shared" ref="D1988:D2051" si="63">VLOOKUP(C1988,R:S,2,0)</f>
        <v>Rubber Products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</row>
    <row r="1989" spans="1:9">
      <c r="A1989" s="6">
        <v>37</v>
      </c>
      <c r="B1989" s="6" t="str">
        <f t="shared" si="62"/>
        <v>Fabricated Metal Products</v>
      </c>
      <c r="C1989" s="6">
        <v>31</v>
      </c>
      <c r="D1989" s="6" t="str">
        <f t="shared" si="63"/>
        <v>Rubber Products</v>
      </c>
      <c r="E1989" s="6">
        <v>2257160</v>
      </c>
      <c r="F1989" s="6">
        <v>26574</v>
      </c>
      <c r="G1989" s="6">
        <v>43244</v>
      </c>
      <c r="H1989" s="6">
        <v>4472</v>
      </c>
      <c r="I1989" s="6">
        <v>1775074</v>
      </c>
    </row>
    <row r="1990" spans="1:9">
      <c r="A1990" s="6">
        <v>38</v>
      </c>
      <c r="B1990" s="6" t="str">
        <f t="shared" si="62"/>
        <v>Industrial Machinery</v>
      </c>
      <c r="C1990" s="6">
        <v>31</v>
      </c>
      <c r="D1990" s="6" t="str">
        <f t="shared" si="63"/>
        <v>Rubber Products</v>
      </c>
      <c r="E1990" s="6">
        <v>1877097</v>
      </c>
      <c r="F1990" s="6">
        <v>99874</v>
      </c>
      <c r="G1990" s="6">
        <v>0</v>
      </c>
      <c r="H1990" s="6">
        <v>20901</v>
      </c>
      <c r="I1990" s="6">
        <v>505482</v>
      </c>
    </row>
    <row r="1991" spans="1:9">
      <c r="A1991" s="6">
        <v>39</v>
      </c>
      <c r="B1991" s="6" t="str">
        <f t="shared" si="62"/>
        <v>Electrical Machinery and Apparatus</v>
      </c>
      <c r="C1991" s="6">
        <v>31</v>
      </c>
      <c r="D1991" s="6" t="str">
        <f t="shared" si="63"/>
        <v>Rubber Products</v>
      </c>
      <c r="E1991" s="6">
        <v>93000</v>
      </c>
      <c r="F1991" s="6">
        <v>4938</v>
      </c>
      <c r="G1991" s="6">
        <v>2471</v>
      </c>
      <c r="H1991" s="6">
        <v>925</v>
      </c>
      <c r="I1991" s="6">
        <v>0</v>
      </c>
    </row>
    <row r="1992" spans="1:9">
      <c r="A1992" s="6">
        <v>40</v>
      </c>
      <c r="B1992" s="6" t="str">
        <f t="shared" si="62"/>
        <v>Motor Vehicles and Repairing</v>
      </c>
      <c r="C1992" s="6">
        <v>31</v>
      </c>
      <c r="D1992" s="6" t="str">
        <f t="shared" si="63"/>
        <v>Rubber Products</v>
      </c>
      <c r="E1992" s="6">
        <v>883377</v>
      </c>
      <c r="F1992" s="6">
        <v>0</v>
      </c>
      <c r="G1992" s="6">
        <v>0</v>
      </c>
      <c r="H1992" s="6">
        <v>0</v>
      </c>
      <c r="I1992" s="6">
        <v>0</v>
      </c>
    </row>
    <row r="1993" spans="1:9">
      <c r="A1993" s="6">
        <v>41</v>
      </c>
      <c r="B1993" s="6" t="str">
        <f t="shared" si="62"/>
        <v>Other Transportation Equipment</v>
      </c>
      <c r="C1993" s="6">
        <v>31</v>
      </c>
      <c r="D1993" s="6" t="str">
        <f t="shared" si="63"/>
        <v>Rubber Products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</row>
    <row r="1994" spans="1:9">
      <c r="A1994" s="6">
        <v>42</v>
      </c>
      <c r="B1994" s="6" t="str">
        <f t="shared" si="62"/>
        <v>Leather Products</v>
      </c>
      <c r="C1994" s="6">
        <v>31</v>
      </c>
      <c r="D1994" s="6" t="str">
        <f t="shared" si="63"/>
        <v>Rubber Products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</row>
    <row r="1995" spans="1:9">
      <c r="A1995" s="6">
        <v>43</v>
      </c>
      <c r="B1995" s="6" t="str">
        <f t="shared" si="62"/>
        <v>Saw Mills and Wood Products</v>
      </c>
      <c r="C1995" s="6">
        <v>31</v>
      </c>
      <c r="D1995" s="6" t="str">
        <f t="shared" si="63"/>
        <v>Rubber Products</v>
      </c>
      <c r="E1995" s="6">
        <v>88958</v>
      </c>
      <c r="F1995" s="6">
        <v>7357</v>
      </c>
      <c r="G1995" s="6">
        <v>7789</v>
      </c>
      <c r="H1995" s="6">
        <v>706</v>
      </c>
      <c r="I1995" s="6">
        <v>0</v>
      </c>
    </row>
    <row r="1996" spans="1:9">
      <c r="A1996" s="6">
        <v>44</v>
      </c>
      <c r="B1996" s="6" t="str">
        <f t="shared" si="62"/>
        <v>Other Manufacturing Products</v>
      </c>
      <c r="C1996" s="6">
        <v>31</v>
      </c>
      <c r="D1996" s="6" t="str">
        <f t="shared" si="63"/>
        <v>Rubber Products</v>
      </c>
      <c r="E1996" s="6">
        <v>648199</v>
      </c>
      <c r="F1996" s="6">
        <v>42847</v>
      </c>
      <c r="G1996" s="6">
        <v>40059</v>
      </c>
      <c r="H1996" s="6">
        <v>7406</v>
      </c>
      <c r="I1996" s="6">
        <v>0</v>
      </c>
    </row>
    <row r="1997" spans="1:9">
      <c r="A1997" s="6">
        <v>45</v>
      </c>
      <c r="B1997" s="6" t="str">
        <f t="shared" si="62"/>
        <v>Electricity and Gas</v>
      </c>
      <c r="C1997" s="6">
        <v>31</v>
      </c>
      <c r="D1997" s="6" t="str">
        <f t="shared" si="63"/>
        <v>Rubber Products</v>
      </c>
      <c r="E1997" s="6">
        <v>7336351</v>
      </c>
      <c r="F1997" s="6">
        <v>2739</v>
      </c>
      <c r="G1997" s="6">
        <v>5852</v>
      </c>
      <c r="H1997" s="6">
        <v>624</v>
      </c>
      <c r="I1997" s="6">
        <v>0</v>
      </c>
    </row>
    <row r="1998" spans="1:9">
      <c r="A1998" s="6">
        <v>46</v>
      </c>
      <c r="B1998" s="6" t="str">
        <f t="shared" si="62"/>
        <v>Water Works and Supply</v>
      </c>
      <c r="C1998" s="6">
        <v>31</v>
      </c>
      <c r="D1998" s="6" t="str">
        <f t="shared" si="63"/>
        <v>Rubber Products</v>
      </c>
      <c r="E1998" s="6">
        <v>115600</v>
      </c>
      <c r="F1998" s="6">
        <v>0</v>
      </c>
      <c r="G1998" s="6">
        <v>0</v>
      </c>
      <c r="H1998" s="6">
        <v>0</v>
      </c>
      <c r="I1998" s="6">
        <v>0</v>
      </c>
    </row>
    <row r="1999" spans="1:9">
      <c r="A1999" s="6">
        <v>47</v>
      </c>
      <c r="B1999" s="6" t="str">
        <f t="shared" si="62"/>
        <v>Building Construction</v>
      </c>
      <c r="C1999" s="6">
        <v>31</v>
      </c>
      <c r="D1999" s="6" t="str">
        <f t="shared" si="63"/>
        <v>Rubber Products</v>
      </c>
      <c r="E1999" s="6">
        <v>194454</v>
      </c>
      <c r="F1999" s="6">
        <v>0</v>
      </c>
      <c r="G1999" s="6">
        <v>0</v>
      </c>
      <c r="H1999" s="6">
        <v>0</v>
      </c>
      <c r="I1999" s="6">
        <v>0</v>
      </c>
    </row>
    <row r="2000" spans="1:9">
      <c r="A2000" s="6">
        <v>48</v>
      </c>
      <c r="B2000" s="6" t="str">
        <f t="shared" si="62"/>
        <v>Public Works and Other Construction</v>
      </c>
      <c r="C2000" s="6">
        <v>31</v>
      </c>
      <c r="D2000" s="6" t="str">
        <f t="shared" si="63"/>
        <v>Rubber Products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</row>
    <row r="2001" spans="1:9">
      <c r="A2001" s="6">
        <v>49</v>
      </c>
      <c r="B2001" s="6" t="str">
        <f t="shared" si="62"/>
        <v>Trade</v>
      </c>
      <c r="C2001" s="6">
        <v>31</v>
      </c>
      <c r="D2001" s="6" t="str">
        <f t="shared" si="63"/>
        <v>Rubber Products</v>
      </c>
      <c r="E2001" s="6">
        <v>0</v>
      </c>
      <c r="F2001" s="6">
        <v>-19312731</v>
      </c>
      <c r="G2001" s="6">
        <v>-11135342</v>
      </c>
      <c r="H2001" s="6">
        <v>0</v>
      </c>
      <c r="I2001" s="6">
        <v>0</v>
      </c>
    </row>
    <row r="2002" spans="1:9">
      <c r="A2002" s="6">
        <v>50</v>
      </c>
      <c r="B2002" s="6" t="str">
        <f t="shared" si="62"/>
        <v>Restaurants and Hotels</v>
      </c>
      <c r="C2002" s="6">
        <v>31</v>
      </c>
      <c r="D2002" s="6" t="str">
        <f t="shared" si="63"/>
        <v>Rubber Products</v>
      </c>
      <c r="E2002" s="6">
        <v>638527</v>
      </c>
      <c r="F2002" s="6">
        <v>0</v>
      </c>
      <c r="G2002" s="6">
        <v>0</v>
      </c>
      <c r="H2002" s="6">
        <v>0</v>
      </c>
      <c r="I2002" s="6">
        <v>0</v>
      </c>
    </row>
    <row r="2003" spans="1:9">
      <c r="A2003" s="6">
        <v>51</v>
      </c>
      <c r="B2003" s="6" t="str">
        <f t="shared" si="62"/>
        <v>Transportation</v>
      </c>
      <c r="C2003" s="6">
        <v>31</v>
      </c>
      <c r="D2003" s="6" t="str">
        <f t="shared" si="63"/>
        <v>Rubber Products</v>
      </c>
      <c r="E2003" s="6">
        <v>1476399</v>
      </c>
      <c r="F2003" s="6">
        <v>0</v>
      </c>
      <c r="G2003" s="6">
        <v>0</v>
      </c>
      <c r="H2003" s="6">
        <v>-3731009</v>
      </c>
      <c r="I2003" s="6">
        <v>0</v>
      </c>
    </row>
    <row r="2004" spans="1:9">
      <c r="A2004" s="6">
        <v>52</v>
      </c>
      <c r="B2004" s="6" t="str">
        <f t="shared" si="62"/>
        <v>Communication</v>
      </c>
      <c r="C2004" s="6">
        <v>31</v>
      </c>
      <c r="D2004" s="6" t="str">
        <f t="shared" si="63"/>
        <v>Rubber Products</v>
      </c>
      <c r="E2004" s="6">
        <v>155081</v>
      </c>
      <c r="F2004" s="6">
        <v>0</v>
      </c>
      <c r="G2004" s="6">
        <v>0</v>
      </c>
      <c r="H2004" s="6">
        <v>0</v>
      </c>
      <c r="I2004" s="6">
        <v>0</v>
      </c>
    </row>
    <row r="2005" spans="1:9">
      <c r="A2005" s="6">
        <v>53</v>
      </c>
      <c r="B2005" s="6" t="str">
        <f t="shared" si="62"/>
        <v>Banking and Insurance</v>
      </c>
      <c r="C2005" s="6">
        <v>31</v>
      </c>
      <c r="D2005" s="6" t="str">
        <f t="shared" si="63"/>
        <v>Rubber Products</v>
      </c>
      <c r="E2005" s="6">
        <v>3681415</v>
      </c>
      <c r="F2005" s="6">
        <v>0</v>
      </c>
      <c r="G2005" s="6">
        <v>0</v>
      </c>
      <c r="H2005" s="6">
        <v>0</v>
      </c>
      <c r="I2005" s="6">
        <v>0</v>
      </c>
    </row>
    <row r="2006" spans="1:9">
      <c r="A2006" s="6">
        <v>54</v>
      </c>
      <c r="B2006" s="6" t="str">
        <f t="shared" si="62"/>
        <v>Real Estate</v>
      </c>
      <c r="C2006" s="6">
        <v>31</v>
      </c>
      <c r="D2006" s="6" t="str">
        <f t="shared" si="63"/>
        <v>Rubber Products</v>
      </c>
      <c r="E2006" s="6">
        <v>311791</v>
      </c>
      <c r="F2006" s="6">
        <v>0</v>
      </c>
      <c r="G2006" s="6">
        <v>0</v>
      </c>
      <c r="H2006" s="6">
        <v>0</v>
      </c>
      <c r="I2006" s="6">
        <v>0</v>
      </c>
    </row>
    <row r="2007" spans="1:9">
      <c r="A2007" s="6">
        <v>55</v>
      </c>
      <c r="B2007" s="6" t="str">
        <f t="shared" si="62"/>
        <v>Business Services</v>
      </c>
      <c r="C2007" s="6">
        <v>31</v>
      </c>
      <c r="D2007" s="6" t="str">
        <f t="shared" si="63"/>
        <v>Rubber Products</v>
      </c>
      <c r="E2007" s="6">
        <v>4652796</v>
      </c>
      <c r="F2007" s="6">
        <v>0</v>
      </c>
      <c r="G2007" s="6">
        <v>0</v>
      </c>
      <c r="H2007" s="6">
        <v>0</v>
      </c>
      <c r="I2007" s="6">
        <v>0</v>
      </c>
    </row>
    <row r="2008" spans="1:9">
      <c r="A2008" s="6">
        <v>56</v>
      </c>
      <c r="B2008" s="6" t="str">
        <f t="shared" si="62"/>
        <v>Public Services</v>
      </c>
      <c r="C2008" s="6">
        <v>31</v>
      </c>
      <c r="D2008" s="6" t="str">
        <f t="shared" si="63"/>
        <v>Rubber Products</v>
      </c>
      <c r="E2008" s="6">
        <v>115795</v>
      </c>
      <c r="F2008" s="6">
        <v>0</v>
      </c>
      <c r="G2008" s="6">
        <v>0</v>
      </c>
      <c r="H2008" s="6">
        <v>0</v>
      </c>
      <c r="I2008" s="6">
        <v>0</v>
      </c>
    </row>
    <row r="2009" spans="1:9">
      <c r="A2009" s="6">
        <v>57</v>
      </c>
      <c r="B2009" s="6" t="str">
        <f t="shared" si="62"/>
        <v>Other Services</v>
      </c>
      <c r="C2009" s="6">
        <v>31</v>
      </c>
      <c r="D2009" s="6" t="str">
        <f t="shared" si="63"/>
        <v>Rubber Products</v>
      </c>
      <c r="E2009" s="6">
        <v>365501</v>
      </c>
      <c r="F2009" s="6">
        <v>0</v>
      </c>
      <c r="G2009" s="6">
        <v>0</v>
      </c>
      <c r="H2009" s="6">
        <v>0</v>
      </c>
      <c r="I2009" s="6">
        <v>0</v>
      </c>
    </row>
    <row r="2010" spans="1:9">
      <c r="A2010" s="6">
        <v>58</v>
      </c>
      <c r="B2010" s="6" t="str">
        <f t="shared" si="62"/>
        <v>Unclassified</v>
      </c>
      <c r="C2010" s="6">
        <v>31</v>
      </c>
      <c r="D2010" s="6" t="str">
        <f t="shared" si="63"/>
        <v>Rubber Products</v>
      </c>
      <c r="E2010" s="6">
        <v>717350</v>
      </c>
      <c r="F2010" s="6">
        <v>0</v>
      </c>
      <c r="G2010" s="6">
        <v>0</v>
      </c>
      <c r="H2010" s="6">
        <v>0</v>
      </c>
      <c r="I2010" s="6">
        <v>75054</v>
      </c>
    </row>
    <row r="2011" spans="1:9">
      <c r="A2011" s="6">
        <v>190</v>
      </c>
      <c r="B2011" s="6" t="str">
        <f t="shared" si="62"/>
        <v>Total Intermedite Transaction</v>
      </c>
      <c r="C2011" s="6">
        <v>31</v>
      </c>
      <c r="D2011" s="6" t="str">
        <f t="shared" si="63"/>
        <v>Rubber Products</v>
      </c>
      <c r="E2011" s="6">
        <v>273556458</v>
      </c>
      <c r="F2011" s="6">
        <v>0</v>
      </c>
      <c r="G2011" s="6">
        <v>0</v>
      </c>
      <c r="H2011" s="6">
        <v>0</v>
      </c>
      <c r="I2011" s="6">
        <v>56988808</v>
      </c>
    </row>
    <row r="2012" spans="1:9">
      <c r="A2012" s="6">
        <v>201</v>
      </c>
      <c r="B2012" s="6" t="str">
        <f t="shared" si="62"/>
        <v>Wages and Salaries</v>
      </c>
      <c r="C2012" s="6">
        <v>31</v>
      </c>
      <c r="D2012" s="6" t="str">
        <f t="shared" si="63"/>
        <v>Rubber Products</v>
      </c>
      <c r="E2012" s="6">
        <v>23030390</v>
      </c>
      <c r="F2012" s="6">
        <v>0</v>
      </c>
      <c r="G2012" s="6">
        <v>0</v>
      </c>
      <c r="H2012" s="6">
        <v>0</v>
      </c>
      <c r="I2012" s="6">
        <v>0</v>
      </c>
    </row>
    <row r="2013" spans="1:9">
      <c r="A2013" s="6">
        <v>202</v>
      </c>
      <c r="B2013" s="6" t="str">
        <f t="shared" si="62"/>
        <v>Operating Surplus</v>
      </c>
      <c r="C2013" s="6">
        <v>31</v>
      </c>
      <c r="D2013" s="6" t="str">
        <f t="shared" si="63"/>
        <v>Rubber Products</v>
      </c>
      <c r="E2013" s="6">
        <v>37332756</v>
      </c>
      <c r="F2013" s="6">
        <v>0</v>
      </c>
      <c r="G2013" s="6">
        <v>0</v>
      </c>
      <c r="H2013" s="6">
        <v>0</v>
      </c>
      <c r="I2013" s="6">
        <v>0</v>
      </c>
    </row>
    <row r="2014" spans="1:9">
      <c r="A2014" s="6">
        <v>203</v>
      </c>
      <c r="B2014" s="6" t="str">
        <f t="shared" si="62"/>
        <v>Depreciation</v>
      </c>
      <c r="C2014" s="6">
        <v>31</v>
      </c>
      <c r="D2014" s="6" t="str">
        <f t="shared" si="63"/>
        <v>Rubber Products</v>
      </c>
      <c r="E2014" s="6">
        <v>23223244</v>
      </c>
      <c r="F2014" s="6">
        <v>0</v>
      </c>
      <c r="G2014" s="6">
        <v>0</v>
      </c>
      <c r="H2014" s="6">
        <v>0</v>
      </c>
      <c r="I2014" s="6">
        <v>0</v>
      </c>
    </row>
    <row r="2015" spans="1:9">
      <c r="A2015" s="6">
        <v>204</v>
      </c>
      <c r="B2015" s="6" t="str">
        <f t="shared" si="62"/>
        <v>Indirect Taxes less Subsidies</v>
      </c>
      <c r="C2015" s="6">
        <v>31</v>
      </c>
      <c r="D2015" s="6" t="str">
        <f t="shared" si="63"/>
        <v>Rubber Products</v>
      </c>
      <c r="E2015" s="6">
        <v>8217988</v>
      </c>
      <c r="F2015" s="6">
        <v>0</v>
      </c>
      <c r="G2015" s="6">
        <v>0</v>
      </c>
      <c r="H2015" s="6">
        <v>0</v>
      </c>
      <c r="I2015" s="6">
        <v>0</v>
      </c>
    </row>
    <row r="2016" spans="1:9">
      <c r="A2016" s="6">
        <v>209</v>
      </c>
      <c r="B2016" s="6" t="str">
        <f t="shared" si="62"/>
        <v>Total Value Added</v>
      </c>
      <c r="C2016" s="6">
        <v>31</v>
      </c>
      <c r="D2016" s="6" t="str">
        <f t="shared" si="63"/>
        <v>Rubber Products</v>
      </c>
      <c r="E2016" s="6">
        <v>91804378</v>
      </c>
      <c r="F2016" s="6">
        <v>0</v>
      </c>
      <c r="G2016" s="6">
        <v>0</v>
      </c>
      <c r="H2016" s="6">
        <v>0</v>
      </c>
      <c r="I2016" s="6">
        <v>0</v>
      </c>
    </row>
    <row r="2017" spans="1:9">
      <c r="A2017" s="6">
        <v>210</v>
      </c>
      <c r="B2017" s="6" t="str">
        <f t="shared" si="62"/>
        <v>Control Total</v>
      </c>
      <c r="C2017" s="6">
        <v>31</v>
      </c>
      <c r="D2017" s="6" t="str">
        <f t="shared" si="63"/>
        <v>Rubber Products</v>
      </c>
      <c r="E2017" s="6">
        <v>365360836</v>
      </c>
      <c r="F2017" s="6">
        <v>0</v>
      </c>
      <c r="G2017" s="6">
        <v>0</v>
      </c>
      <c r="H2017" s="6">
        <v>0</v>
      </c>
      <c r="I2017" s="6">
        <v>0</v>
      </c>
    </row>
    <row r="2018" spans="1:9">
      <c r="A2018" s="6">
        <v>1</v>
      </c>
      <c r="B2018" s="6" t="str">
        <f t="shared" si="62"/>
        <v>Paddy</v>
      </c>
      <c r="C2018" s="6">
        <v>32</v>
      </c>
      <c r="D2018" s="6" t="str">
        <f t="shared" si="63"/>
        <v>Plastic Wares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</row>
    <row r="2019" spans="1:9">
      <c r="A2019" s="6">
        <v>2</v>
      </c>
      <c r="B2019" s="6" t="str">
        <f t="shared" si="62"/>
        <v>Maize</v>
      </c>
      <c r="C2019" s="6">
        <v>32</v>
      </c>
      <c r="D2019" s="6" t="str">
        <f t="shared" si="63"/>
        <v>Plastic Wares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</row>
    <row r="2020" spans="1:9">
      <c r="A2020" s="6">
        <v>3</v>
      </c>
      <c r="B2020" s="6" t="str">
        <f t="shared" si="62"/>
        <v>Cassava</v>
      </c>
      <c r="C2020" s="6">
        <v>32</v>
      </c>
      <c r="D2020" s="6" t="str">
        <f t="shared" si="63"/>
        <v>Plastic Wares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</row>
    <row r="2021" spans="1:9">
      <c r="A2021" s="6">
        <v>4</v>
      </c>
      <c r="B2021" s="6" t="str">
        <f t="shared" si="62"/>
        <v>Beans and Nuts</v>
      </c>
      <c r="C2021" s="6">
        <v>32</v>
      </c>
      <c r="D2021" s="6" t="str">
        <f t="shared" si="63"/>
        <v>Plastic Wares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</row>
    <row r="2022" spans="1:9">
      <c r="A2022" s="6">
        <v>5</v>
      </c>
      <c r="B2022" s="6" t="str">
        <f t="shared" si="62"/>
        <v>Vegetables and Fruits</v>
      </c>
      <c r="C2022" s="6">
        <v>32</v>
      </c>
      <c r="D2022" s="6" t="str">
        <f t="shared" si="63"/>
        <v>Plastic Wares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</row>
    <row r="2023" spans="1:9">
      <c r="A2023" s="6">
        <v>6</v>
      </c>
      <c r="B2023" s="6" t="str">
        <f t="shared" si="62"/>
        <v>Sugarcane</v>
      </c>
      <c r="C2023" s="6">
        <v>32</v>
      </c>
      <c r="D2023" s="6" t="str">
        <f t="shared" si="63"/>
        <v>Plastic Wares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</row>
    <row r="2024" spans="1:9">
      <c r="A2024" s="6">
        <v>7</v>
      </c>
      <c r="B2024" s="6" t="str">
        <f t="shared" si="62"/>
        <v>Rubber (Latex)</v>
      </c>
      <c r="C2024" s="6">
        <v>32</v>
      </c>
      <c r="D2024" s="6" t="str">
        <f t="shared" si="63"/>
        <v>Plastic Wares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</row>
    <row r="2025" spans="1:9">
      <c r="A2025" s="6">
        <v>8</v>
      </c>
      <c r="B2025" s="6" t="str">
        <f t="shared" si="62"/>
        <v>Other Crops</v>
      </c>
      <c r="C2025" s="6">
        <v>32</v>
      </c>
      <c r="D2025" s="6" t="str">
        <f t="shared" si="63"/>
        <v>Plastic Wares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</row>
    <row r="2026" spans="1:9">
      <c r="A2026" s="6">
        <v>9</v>
      </c>
      <c r="B2026" s="6" t="str">
        <f t="shared" si="62"/>
        <v>Livestock</v>
      </c>
      <c r="C2026" s="6">
        <v>32</v>
      </c>
      <c r="D2026" s="6" t="str">
        <f t="shared" si="63"/>
        <v>Plastic Wares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</row>
    <row r="2027" spans="1:9">
      <c r="A2027" s="6">
        <v>10</v>
      </c>
      <c r="B2027" s="6" t="str">
        <f t="shared" si="62"/>
        <v>Forestry</v>
      </c>
      <c r="C2027" s="6">
        <v>32</v>
      </c>
      <c r="D2027" s="6" t="str">
        <f t="shared" si="63"/>
        <v>Plastic Wares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</row>
    <row r="2028" spans="1:9">
      <c r="A2028" s="6">
        <v>11</v>
      </c>
      <c r="B2028" s="6" t="str">
        <f t="shared" si="62"/>
        <v>Fishery</v>
      </c>
      <c r="C2028" s="6">
        <v>32</v>
      </c>
      <c r="D2028" s="6" t="str">
        <f t="shared" si="63"/>
        <v>Plastic Wares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</row>
    <row r="2029" spans="1:9">
      <c r="A2029" s="6">
        <v>12</v>
      </c>
      <c r="B2029" s="6" t="str">
        <f t="shared" si="62"/>
        <v>Crude Oil and Coal</v>
      </c>
      <c r="C2029" s="6">
        <v>32</v>
      </c>
      <c r="D2029" s="6" t="str">
        <f t="shared" si="63"/>
        <v>Plastic Wares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</row>
    <row r="2030" spans="1:9">
      <c r="A2030" s="6">
        <v>13</v>
      </c>
      <c r="B2030" s="6" t="str">
        <f t="shared" si="62"/>
        <v>Metal Ore</v>
      </c>
      <c r="C2030" s="6">
        <v>32</v>
      </c>
      <c r="D2030" s="6" t="str">
        <f t="shared" si="63"/>
        <v>Plastic Wares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</row>
    <row r="2031" spans="1:9">
      <c r="A2031" s="6">
        <v>14</v>
      </c>
      <c r="B2031" s="6" t="str">
        <f t="shared" si="62"/>
        <v>Non-Metal Ore</v>
      </c>
      <c r="C2031" s="6">
        <v>32</v>
      </c>
      <c r="D2031" s="6" t="str">
        <f t="shared" si="63"/>
        <v>Plastic Wares</v>
      </c>
      <c r="E2031" s="6">
        <v>28739</v>
      </c>
      <c r="F2031" s="6">
        <v>2032</v>
      </c>
      <c r="G2031" s="6">
        <v>1871</v>
      </c>
      <c r="H2031" s="6">
        <v>606</v>
      </c>
      <c r="I2031" s="6">
        <v>0</v>
      </c>
    </row>
    <row r="2032" spans="1:9">
      <c r="A2032" s="6">
        <v>15</v>
      </c>
      <c r="B2032" s="6" t="str">
        <f t="shared" si="62"/>
        <v>Slaughtering</v>
      </c>
      <c r="C2032" s="6">
        <v>32</v>
      </c>
      <c r="D2032" s="6" t="str">
        <f t="shared" si="63"/>
        <v>Plastic Wares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</row>
    <row r="2033" spans="1:9">
      <c r="A2033" s="6">
        <v>16</v>
      </c>
      <c r="B2033" s="6" t="str">
        <f t="shared" si="62"/>
        <v>Processing and Presering of Foods</v>
      </c>
      <c r="C2033" s="6">
        <v>32</v>
      </c>
      <c r="D2033" s="6" t="str">
        <f t="shared" si="63"/>
        <v>Plastic Wares</v>
      </c>
      <c r="E2033" s="6">
        <v>179048</v>
      </c>
      <c r="F2033" s="6">
        <v>7868</v>
      </c>
      <c r="G2033" s="6">
        <v>10650</v>
      </c>
      <c r="H2033" s="6">
        <v>1359</v>
      </c>
      <c r="I2033" s="6">
        <v>112706</v>
      </c>
    </row>
    <row r="2034" spans="1:9">
      <c r="A2034" s="6">
        <v>17</v>
      </c>
      <c r="B2034" s="6" t="str">
        <f t="shared" si="62"/>
        <v>Rice and Other Grain Milling</v>
      </c>
      <c r="C2034" s="6">
        <v>32</v>
      </c>
      <c r="D2034" s="6" t="str">
        <f t="shared" si="63"/>
        <v>Plastic Wares</v>
      </c>
      <c r="E2034" s="6">
        <v>12382</v>
      </c>
      <c r="F2034" s="6">
        <v>609</v>
      </c>
      <c r="G2034" s="6">
        <v>392</v>
      </c>
      <c r="H2034" s="6">
        <v>93</v>
      </c>
      <c r="I2034" s="6">
        <v>0</v>
      </c>
    </row>
    <row r="2035" spans="1:9">
      <c r="A2035" s="6">
        <v>18</v>
      </c>
      <c r="B2035" s="6" t="str">
        <f t="shared" si="62"/>
        <v>Sugar Refineries</v>
      </c>
      <c r="C2035" s="6">
        <v>32</v>
      </c>
      <c r="D2035" s="6" t="str">
        <f t="shared" si="63"/>
        <v>Plastic Wares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</row>
    <row r="2036" spans="1:9">
      <c r="A2036" s="6">
        <v>19</v>
      </c>
      <c r="B2036" s="6" t="str">
        <f t="shared" si="62"/>
        <v>Other Foods</v>
      </c>
      <c r="C2036" s="6">
        <v>32</v>
      </c>
      <c r="D2036" s="6" t="str">
        <f t="shared" si="63"/>
        <v>Plastic Wares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</row>
    <row r="2037" spans="1:9">
      <c r="A2037" s="6">
        <v>20</v>
      </c>
      <c r="B2037" s="6" t="str">
        <f t="shared" si="62"/>
        <v>Animal Food</v>
      </c>
      <c r="C2037" s="6">
        <v>32</v>
      </c>
      <c r="D2037" s="6" t="str">
        <f t="shared" si="63"/>
        <v>Plastic Wares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</row>
    <row r="2038" spans="1:9">
      <c r="A2038" s="6">
        <v>21</v>
      </c>
      <c r="B2038" s="6" t="str">
        <f t="shared" si="62"/>
        <v>Beverages</v>
      </c>
      <c r="C2038" s="6">
        <v>32</v>
      </c>
      <c r="D2038" s="6" t="str">
        <f t="shared" si="63"/>
        <v>Plastic Wares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</row>
    <row r="2039" spans="1:9">
      <c r="A2039" s="6">
        <v>22</v>
      </c>
      <c r="B2039" s="6" t="str">
        <f t="shared" si="62"/>
        <v>Tobacco Processing and Products</v>
      </c>
      <c r="C2039" s="6">
        <v>32</v>
      </c>
      <c r="D2039" s="6" t="str">
        <f t="shared" si="63"/>
        <v>Plastic Wares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</row>
    <row r="2040" spans="1:9">
      <c r="A2040" s="6">
        <v>23</v>
      </c>
      <c r="B2040" s="6" t="str">
        <f t="shared" si="62"/>
        <v>Spinning, Weaving and Bleaching</v>
      </c>
      <c r="C2040" s="6">
        <v>32</v>
      </c>
      <c r="D2040" s="6" t="str">
        <f t="shared" si="63"/>
        <v>Plastic Wares</v>
      </c>
      <c r="E2040" s="6">
        <v>557860</v>
      </c>
      <c r="F2040" s="6">
        <v>33612</v>
      </c>
      <c r="G2040" s="6">
        <v>14386</v>
      </c>
      <c r="H2040" s="6">
        <v>3261</v>
      </c>
      <c r="I2040" s="6">
        <v>0</v>
      </c>
    </row>
    <row r="2041" spans="1:9">
      <c r="A2041" s="6">
        <v>24</v>
      </c>
      <c r="B2041" s="6" t="str">
        <f t="shared" si="62"/>
        <v>Textile Products</v>
      </c>
      <c r="C2041" s="6">
        <v>32</v>
      </c>
      <c r="D2041" s="6" t="str">
        <f t="shared" si="63"/>
        <v>Plastic Wares</v>
      </c>
      <c r="E2041" s="6">
        <v>9884</v>
      </c>
      <c r="F2041" s="6">
        <v>243</v>
      </c>
      <c r="G2041" s="6">
        <v>1059</v>
      </c>
      <c r="H2041" s="6">
        <v>94</v>
      </c>
      <c r="I2041" s="6">
        <v>0</v>
      </c>
    </row>
    <row r="2042" spans="1:9">
      <c r="A2042" s="6">
        <v>25</v>
      </c>
      <c r="B2042" s="6" t="str">
        <f t="shared" si="62"/>
        <v>Paper and Paper Products</v>
      </c>
      <c r="C2042" s="6">
        <v>32</v>
      </c>
      <c r="D2042" s="6" t="str">
        <f t="shared" si="63"/>
        <v>Plastic Wares</v>
      </c>
      <c r="E2042" s="6">
        <v>1501122</v>
      </c>
      <c r="F2042" s="6">
        <v>61908</v>
      </c>
      <c r="G2042" s="6">
        <v>51783</v>
      </c>
      <c r="H2042" s="6">
        <v>14576</v>
      </c>
      <c r="I2042" s="6">
        <v>0</v>
      </c>
    </row>
    <row r="2043" spans="1:9">
      <c r="A2043" s="6">
        <v>26</v>
      </c>
      <c r="B2043" s="6" t="str">
        <f t="shared" si="62"/>
        <v>Printing and Publishing</v>
      </c>
      <c r="C2043" s="6">
        <v>32</v>
      </c>
      <c r="D2043" s="6" t="str">
        <f t="shared" si="63"/>
        <v>Plastic Wares</v>
      </c>
      <c r="E2043" s="6">
        <v>164866</v>
      </c>
      <c r="F2043" s="6">
        <v>13446</v>
      </c>
      <c r="G2043" s="6">
        <v>30090</v>
      </c>
      <c r="H2043" s="6">
        <v>1667</v>
      </c>
      <c r="I2043" s="6">
        <v>0</v>
      </c>
    </row>
    <row r="2044" spans="1:9">
      <c r="A2044" s="6">
        <v>27</v>
      </c>
      <c r="B2044" s="6" t="str">
        <f t="shared" si="62"/>
        <v>Basic Chemical Products</v>
      </c>
      <c r="C2044" s="6">
        <v>32</v>
      </c>
      <c r="D2044" s="6" t="str">
        <f t="shared" si="63"/>
        <v>Plastic Wares</v>
      </c>
      <c r="E2044" s="6">
        <v>241793781</v>
      </c>
      <c r="F2044" s="6">
        <v>20996976</v>
      </c>
      <c r="G2044" s="6">
        <v>5102129</v>
      </c>
      <c r="H2044" s="6">
        <v>1710608</v>
      </c>
      <c r="I2044" s="6">
        <v>137760129</v>
      </c>
    </row>
    <row r="2045" spans="1:9">
      <c r="A2045" s="6">
        <v>28</v>
      </c>
      <c r="B2045" s="6" t="str">
        <f t="shared" si="62"/>
        <v>Fertilizer and Pesticides</v>
      </c>
      <c r="C2045" s="6">
        <v>32</v>
      </c>
      <c r="D2045" s="6" t="str">
        <f t="shared" si="63"/>
        <v>Plastic Wares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</row>
    <row r="2046" spans="1:9">
      <c r="A2046" s="6">
        <v>29</v>
      </c>
      <c r="B2046" s="6" t="str">
        <f t="shared" si="62"/>
        <v>Other Chemical Products</v>
      </c>
      <c r="C2046" s="6">
        <v>32</v>
      </c>
      <c r="D2046" s="6" t="str">
        <f t="shared" si="63"/>
        <v>Plastic Wares</v>
      </c>
      <c r="E2046" s="6">
        <v>13844351</v>
      </c>
      <c r="F2046" s="6">
        <v>1325424</v>
      </c>
      <c r="G2046" s="6">
        <v>615722</v>
      </c>
      <c r="H2046" s="6">
        <v>170202</v>
      </c>
      <c r="I2046" s="6">
        <v>6474939</v>
      </c>
    </row>
    <row r="2047" spans="1:9">
      <c r="A2047" s="6">
        <v>30</v>
      </c>
      <c r="B2047" s="6" t="str">
        <f t="shared" si="62"/>
        <v>Petroleum Refineries</v>
      </c>
      <c r="C2047" s="6">
        <v>32</v>
      </c>
      <c r="D2047" s="6" t="str">
        <f t="shared" si="63"/>
        <v>Plastic Wares</v>
      </c>
      <c r="E2047" s="6">
        <v>7391843</v>
      </c>
      <c r="F2047" s="6">
        <v>325032</v>
      </c>
      <c r="G2047" s="6">
        <v>281532</v>
      </c>
      <c r="H2047" s="6">
        <v>63526</v>
      </c>
      <c r="I2047" s="6">
        <v>1371046</v>
      </c>
    </row>
    <row r="2048" spans="1:9">
      <c r="A2048" s="6">
        <v>31</v>
      </c>
      <c r="B2048" s="6" t="str">
        <f t="shared" si="62"/>
        <v>Rubber Products</v>
      </c>
      <c r="C2048" s="6">
        <v>32</v>
      </c>
      <c r="D2048" s="6" t="str">
        <f t="shared" si="63"/>
        <v>Plastic Wares</v>
      </c>
      <c r="E2048" s="6">
        <v>4433390</v>
      </c>
      <c r="F2048" s="6">
        <v>773412</v>
      </c>
      <c r="G2048" s="6">
        <v>747273</v>
      </c>
      <c r="H2048" s="6">
        <v>151804</v>
      </c>
      <c r="I2048" s="6">
        <v>0</v>
      </c>
    </row>
    <row r="2049" spans="1:9">
      <c r="A2049" s="6">
        <v>32</v>
      </c>
      <c r="B2049" s="6" t="str">
        <f t="shared" si="62"/>
        <v>Plastic Wares</v>
      </c>
      <c r="C2049" s="6">
        <v>32</v>
      </c>
      <c r="D2049" s="6" t="str">
        <f t="shared" si="63"/>
        <v>Plastic Wares</v>
      </c>
      <c r="E2049" s="6">
        <v>21343232</v>
      </c>
      <c r="F2049" s="6">
        <v>1462590</v>
      </c>
      <c r="G2049" s="6">
        <v>1396012</v>
      </c>
      <c r="H2049" s="6">
        <v>143207</v>
      </c>
      <c r="I2049" s="6">
        <v>9275142</v>
      </c>
    </row>
    <row r="2050" spans="1:9">
      <c r="A2050" s="6">
        <v>33</v>
      </c>
      <c r="B2050" s="6" t="str">
        <f t="shared" si="62"/>
        <v>Cement and Concrete Products</v>
      </c>
      <c r="C2050" s="6">
        <v>32</v>
      </c>
      <c r="D2050" s="6" t="str">
        <f t="shared" si="63"/>
        <v>Plastic Wares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</row>
    <row r="2051" spans="1:9">
      <c r="A2051" s="6">
        <v>34</v>
      </c>
      <c r="B2051" s="6" t="str">
        <f t="shared" si="62"/>
        <v>Other Non-metallic Products</v>
      </c>
      <c r="C2051" s="6">
        <v>32</v>
      </c>
      <c r="D2051" s="6" t="str">
        <f t="shared" si="63"/>
        <v>Plastic Wares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</row>
    <row r="2052" spans="1:9">
      <c r="A2052" s="6">
        <v>35</v>
      </c>
      <c r="B2052" s="6" t="str">
        <f t="shared" ref="B2052:B2115" si="64">VLOOKUP(A2052,R:S,2,0)</f>
        <v>Iron and Steel</v>
      </c>
      <c r="C2052" s="6">
        <v>32</v>
      </c>
      <c r="D2052" s="6" t="str">
        <f t="shared" ref="D2052:D2115" si="65">VLOOKUP(C2052,R:S,2,0)</f>
        <v>Plastic Wares</v>
      </c>
      <c r="E2052" s="6">
        <v>541545</v>
      </c>
      <c r="F2052" s="6">
        <v>23638</v>
      </c>
      <c r="G2052" s="6">
        <v>24061</v>
      </c>
      <c r="H2052" s="6">
        <v>6537</v>
      </c>
      <c r="I2052" s="6">
        <v>140303</v>
      </c>
    </row>
    <row r="2053" spans="1:9">
      <c r="A2053" s="6">
        <v>36</v>
      </c>
      <c r="B2053" s="6" t="str">
        <f t="shared" si="64"/>
        <v>Non-ferrous Metal</v>
      </c>
      <c r="C2053" s="6">
        <v>32</v>
      </c>
      <c r="D2053" s="6" t="str">
        <f t="shared" si="65"/>
        <v>Plastic Wares</v>
      </c>
      <c r="E2053" s="6">
        <v>144402</v>
      </c>
      <c r="F2053" s="6">
        <v>7705</v>
      </c>
      <c r="G2053" s="6">
        <v>2729</v>
      </c>
      <c r="H2053" s="6">
        <v>201</v>
      </c>
      <c r="I2053" s="6">
        <v>86115</v>
      </c>
    </row>
    <row r="2054" spans="1:9">
      <c r="A2054" s="6">
        <v>37</v>
      </c>
      <c r="B2054" s="6" t="str">
        <f t="shared" si="64"/>
        <v>Fabricated Metal Products</v>
      </c>
      <c r="C2054" s="6">
        <v>32</v>
      </c>
      <c r="D2054" s="6" t="str">
        <f t="shared" si="65"/>
        <v>Plastic Wares</v>
      </c>
      <c r="E2054" s="6">
        <v>839349</v>
      </c>
      <c r="F2054" s="6">
        <v>7254</v>
      </c>
      <c r="G2054" s="6">
        <v>23262</v>
      </c>
      <c r="H2054" s="6">
        <v>1725</v>
      </c>
      <c r="I2054" s="6">
        <v>650524</v>
      </c>
    </row>
    <row r="2055" spans="1:9">
      <c r="A2055" s="6">
        <v>38</v>
      </c>
      <c r="B2055" s="6" t="str">
        <f t="shared" si="64"/>
        <v>Industrial Machinery</v>
      </c>
      <c r="C2055" s="6">
        <v>32</v>
      </c>
      <c r="D2055" s="6" t="str">
        <f t="shared" si="65"/>
        <v>Plastic Wares</v>
      </c>
      <c r="E2055" s="6">
        <v>4581002</v>
      </c>
      <c r="F2055" s="6">
        <v>188053</v>
      </c>
      <c r="G2055" s="6">
        <v>0</v>
      </c>
      <c r="H2055" s="6">
        <v>49122</v>
      </c>
      <c r="I2055" s="6">
        <v>1446636</v>
      </c>
    </row>
    <row r="2056" spans="1:9">
      <c r="A2056" s="6">
        <v>39</v>
      </c>
      <c r="B2056" s="6" t="str">
        <f t="shared" si="64"/>
        <v>Electrical Machinery and Apparatus</v>
      </c>
      <c r="C2056" s="6">
        <v>32</v>
      </c>
      <c r="D2056" s="6" t="str">
        <f t="shared" si="65"/>
        <v>Plastic Wares</v>
      </c>
      <c r="E2056" s="6">
        <v>450949</v>
      </c>
      <c r="F2056" s="6">
        <v>21649</v>
      </c>
      <c r="G2056" s="6">
        <v>0</v>
      </c>
      <c r="H2056" s="6">
        <v>4629</v>
      </c>
      <c r="I2056" s="6">
        <v>0</v>
      </c>
    </row>
    <row r="2057" spans="1:9">
      <c r="A2057" s="6">
        <v>40</v>
      </c>
      <c r="B2057" s="6" t="str">
        <f t="shared" si="64"/>
        <v>Motor Vehicles and Repairing</v>
      </c>
      <c r="C2057" s="6">
        <v>32</v>
      </c>
      <c r="D2057" s="6" t="str">
        <f t="shared" si="65"/>
        <v>Plastic Wares</v>
      </c>
      <c r="E2057" s="6">
        <v>1798958</v>
      </c>
      <c r="F2057" s="6">
        <v>0</v>
      </c>
      <c r="G2057" s="6">
        <v>0</v>
      </c>
      <c r="H2057" s="6">
        <v>0</v>
      </c>
      <c r="I2057" s="6">
        <v>0</v>
      </c>
    </row>
    <row r="2058" spans="1:9">
      <c r="A2058" s="6">
        <v>41</v>
      </c>
      <c r="B2058" s="6" t="str">
        <f t="shared" si="64"/>
        <v>Other Transportation Equipment</v>
      </c>
      <c r="C2058" s="6">
        <v>32</v>
      </c>
      <c r="D2058" s="6" t="str">
        <f t="shared" si="65"/>
        <v>Plastic Wares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</row>
    <row r="2059" spans="1:9">
      <c r="A2059" s="6">
        <v>42</v>
      </c>
      <c r="B2059" s="6" t="str">
        <f t="shared" si="64"/>
        <v>Leather Products</v>
      </c>
      <c r="C2059" s="6">
        <v>32</v>
      </c>
      <c r="D2059" s="6" t="str">
        <f t="shared" si="65"/>
        <v>Plastic Wares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</row>
    <row r="2060" spans="1:9">
      <c r="A2060" s="6">
        <v>43</v>
      </c>
      <c r="B2060" s="6" t="str">
        <f t="shared" si="64"/>
        <v>Saw Mills and Wood Products</v>
      </c>
      <c r="C2060" s="6">
        <v>32</v>
      </c>
      <c r="D2060" s="6" t="str">
        <f t="shared" si="65"/>
        <v>Plastic Wares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</row>
    <row r="2061" spans="1:9">
      <c r="A2061" s="6">
        <v>44</v>
      </c>
      <c r="B2061" s="6" t="str">
        <f t="shared" si="64"/>
        <v>Other Manufacturing Products</v>
      </c>
      <c r="C2061" s="6">
        <v>32</v>
      </c>
      <c r="D2061" s="6" t="str">
        <f t="shared" si="65"/>
        <v>Plastic Wares</v>
      </c>
      <c r="E2061" s="6">
        <v>949629</v>
      </c>
      <c r="F2061" s="6">
        <v>98285</v>
      </c>
      <c r="G2061" s="6">
        <v>34215</v>
      </c>
      <c r="H2061" s="6">
        <v>9484</v>
      </c>
      <c r="I2061" s="6">
        <v>0</v>
      </c>
    </row>
    <row r="2062" spans="1:9">
      <c r="A2062" s="6">
        <v>45</v>
      </c>
      <c r="B2062" s="6" t="str">
        <f t="shared" si="64"/>
        <v>Electricity and Gas</v>
      </c>
      <c r="C2062" s="6">
        <v>32</v>
      </c>
      <c r="D2062" s="6" t="str">
        <f t="shared" si="65"/>
        <v>Plastic Wares</v>
      </c>
      <c r="E2062" s="6">
        <v>31708797</v>
      </c>
      <c r="F2062" s="6">
        <v>28659</v>
      </c>
      <c r="G2062" s="6">
        <v>53190</v>
      </c>
      <c r="H2062" s="6">
        <v>5291</v>
      </c>
      <c r="I2062" s="6">
        <v>0</v>
      </c>
    </row>
    <row r="2063" spans="1:9">
      <c r="A2063" s="6">
        <v>46</v>
      </c>
      <c r="B2063" s="6" t="str">
        <f t="shared" si="64"/>
        <v>Water Works and Supply</v>
      </c>
      <c r="C2063" s="6">
        <v>32</v>
      </c>
      <c r="D2063" s="6" t="str">
        <f t="shared" si="65"/>
        <v>Plastic Wares</v>
      </c>
      <c r="E2063" s="6">
        <v>263757</v>
      </c>
      <c r="F2063" s="6">
        <v>0</v>
      </c>
      <c r="G2063" s="6">
        <v>0</v>
      </c>
      <c r="H2063" s="6">
        <v>0</v>
      </c>
      <c r="I2063" s="6">
        <v>0</v>
      </c>
    </row>
    <row r="2064" spans="1:9">
      <c r="A2064" s="6">
        <v>47</v>
      </c>
      <c r="B2064" s="6" t="str">
        <f t="shared" si="64"/>
        <v>Building Construction</v>
      </c>
      <c r="C2064" s="6">
        <v>32</v>
      </c>
      <c r="D2064" s="6" t="str">
        <f t="shared" si="65"/>
        <v>Plastic Wares</v>
      </c>
      <c r="E2064" s="6">
        <v>216878</v>
      </c>
      <c r="F2064" s="6">
        <v>0</v>
      </c>
      <c r="G2064" s="6">
        <v>0</v>
      </c>
      <c r="H2064" s="6">
        <v>0</v>
      </c>
      <c r="I2064" s="6">
        <v>0</v>
      </c>
    </row>
    <row r="2065" spans="1:9">
      <c r="A2065" s="6">
        <v>48</v>
      </c>
      <c r="B2065" s="6" t="str">
        <f t="shared" si="64"/>
        <v>Public Works and Other Construction</v>
      </c>
      <c r="C2065" s="6">
        <v>32</v>
      </c>
      <c r="D2065" s="6" t="str">
        <f t="shared" si="65"/>
        <v>Plastic Wares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</row>
    <row r="2066" spans="1:9">
      <c r="A2066" s="6">
        <v>49</v>
      </c>
      <c r="B2066" s="6" t="str">
        <f t="shared" si="64"/>
        <v>Trade</v>
      </c>
      <c r="C2066" s="6">
        <v>32</v>
      </c>
      <c r="D2066" s="6" t="str">
        <f t="shared" si="65"/>
        <v>Plastic Wares</v>
      </c>
      <c r="E2066" s="6">
        <v>0</v>
      </c>
      <c r="F2066" s="6">
        <v>-25378395</v>
      </c>
      <c r="G2066" s="6">
        <v>-8390356</v>
      </c>
      <c r="H2066" s="6">
        <v>0</v>
      </c>
      <c r="I2066" s="6">
        <v>0</v>
      </c>
    </row>
    <row r="2067" spans="1:9">
      <c r="A2067" s="6">
        <v>50</v>
      </c>
      <c r="B2067" s="6" t="str">
        <f t="shared" si="64"/>
        <v>Restaurants and Hotels</v>
      </c>
      <c r="C2067" s="6">
        <v>32</v>
      </c>
      <c r="D2067" s="6" t="str">
        <f t="shared" si="65"/>
        <v>Plastic Wares</v>
      </c>
      <c r="E2067" s="6">
        <v>469863</v>
      </c>
      <c r="F2067" s="6">
        <v>0</v>
      </c>
      <c r="G2067" s="6">
        <v>0</v>
      </c>
      <c r="H2067" s="6">
        <v>0</v>
      </c>
      <c r="I2067" s="6">
        <v>0</v>
      </c>
    </row>
    <row r="2068" spans="1:9">
      <c r="A2068" s="6">
        <v>51</v>
      </c>
      <c r="B2068" s="6" t="str">
        <f t="shared" si="64"/>
        <v>Transportation</v>
      </c>
      <c r="C2068" s="6">
        <v>32</v>
      </c>
      <c r="D2068" s="6" t="str">
        <f t="shared" si="65"/>
        <v>Plastic Wares</v>
      </c>
      <c r="E2068" s="6">
        <v>1862346</v>
      </c>
      <c r="F2068" s="6">
        <v>0</v>
      </c>
      <c r="G2068" s="6">
        <v>0</v>
      </c>
      <c r="H2068" s="6">
        <v>-2337992</v>
      </c>
      <c r="I2068" s="6">
        <v>0</v>
      </c>
    </row>
    <row r="2069" spans="1:9">
      <c r="A2069" s="6">
        <v>52</v>
      </c>
      <c r="B2069" s="6" t="str">
        <f t="shared" si="64"/>
        <v>Communication</v>
      </c>
      <c r="C2069" s="6">
        <v>32</v>
      </c>
      <c r="D2069" s="6" t="str">
        <f t="shared" si="65"/>
        <v>Plastic Wares</v>
      </c>
      <c r="E2069" s="6">
        <v>1134585</v>
      </c>
      <c r="F2069" s="6">
        <v>0</v>
      </c>
      <c r="G2069" s="6">
        <v>0</v>
      </c>
      <c r="H2069" s="6">
        <v>0</v>
      </c>
      <c r="I2069" s="6">
        <v>0</v>
      </c>
    </row>
    <row r="2070" spans="1:9">
      <c r="A2070" s="6">
        <v>53</v>
      </c>
      <c r="B2070" s="6" t="str">
        <f t="shared" si="64"/>
        <v>Banking and Insurance</v>
      </c>
      <c r="C2070" s="6">
        <v>32</v>
      </c>
      <c r="D2070" s="6" t="str">
        <f t="shared" si="65"/>
        <v>Plastic Wares</v>
      </c>
      <c r="E2070" s="6">
        <v>10490821</v>
      </c>
      <c r="F2070" s="6">
        <v>0</v>
      </c>
      <c r="G2070" s="6">
        <v>0</v>
      </c>
      <c r="H2070" s="6">
        <v>0</v>
      </c>
      <c r="I2070" s="6">
        <v>0</v>
      </c>
    </row>
    <row r="2071" spans="1:9">
      <c r="A2071" s="6">
        <v>54</v>
      </c>
      <c r="B2071" s="6" t="str">
        <f t="shared" si="64"/>
        <v>Real Estate</v>
      </c>
      <c r="C2071" s="6">
        <v>32</v>
      </c>
      <c r="D2071" s="6" t="str">
        <f t="shared" si="65"/>
        <v>Plastic Wares</v>
      </c>
      <c r="E2071" s="6">
        <v>42496</v>
      </c>
      <c r="F2071" s="6">
        <v>0</v>
      </c>
      <c r="G2071" s="6">
        <v>0</v>
      </c>
      <c r="H2071" s="6">
        <v>0</v>
      </c>
      <c r="I2071" s="6">
        <v>0</v>
      </c>
    </row>
    <row r="2072" spans="1:9">
      <c r="A2072" s="6">
        <v>55</v>
      </c>
      <c r="B2072" s="6" t="str">
        <f t="shared" si="64"/>
        <v>Business Services</v>
      </c>
      <c r="C2072" s="6">
        <v>32</v>
      </c>
      <c r="D2072" s="6" t="str">
        <f t="shared" si="65"/>
        <v>Plastic Wares</v>
      </c>
      <c r="E2072" s="6">
        <v>8972951</v>
      </c>
      <c r="F2072" s="6">
        <v>0</v>
      </c>
      <c r="G2072" s="6">
        <v>0</v>
      </c>
      <c r="H2072" s="6">
        <v>0</v>
      </c>
      <c r="I2072" s="6">
        <v>0</v>
      </c>
    </row>
    <row r="2073" spans="1:9">
      <c r="A2073" s="6">
        <v>56</v>
      </c>
      <c r="B2073" s="6" t="str">
        <f t="shared" si="64"/>
        <v>Public Services</v>
      </c>
      <c r="C2073" s="6">
        <v>32</v>
      </c>
      <c r="D2073" s="6" t="str">
        <f t="shared" si="65"/>
        <v>Plastic Wares</v>
      </c>
      <c r="E2073" s="6">
        <v>462624</v>
      </c>
      <c r="F2073" s="6">
        <v>0</v>
      </c>
      <c r="G2073" s="6">
        <v>0</v>
      </c>
      <c r="H2073" s="6">
        <v>0</v>
      </c>
      <c r="I2073" s="6">
        <v>0</v>
      </c>
    </row>
    <row r="2074" spans="1:9">
      <c r="A2074" s="6">
        <v>57</v>
      </c>
      <c r="B2074" s="6" t="str">
        <f t="shared" si="64"/>
        <v>Other Services</v>
      </c>
      <c r="C2074" s="6">
        <v>32</v>
      </c>
      <c r="D2074" s="6" t="str">
        <f t="shared" si="65"/>
        <v>Plastic Wares</v>
      </c>
      <c r="E2074" s="6">
        <v>267995</v>
      </c>
      <c r="F2074" s="6">
        <v>0</v>
      </c>
      <c r="G2074" s="6">
        <v>0</v>
      </c>
      <c r="H2074" s="6">
        <v>0</v>
      </c>
      <c r="I2074" s="6">
        <v>0</v>
      </c>
    </row>
    <row r="2075" spans="1:9">
      <c r="A2075" s="6">
        <v>58</v>
      </c>
      <c r="B2075" s="6" t="str">
        <f t="shared" si="64"/>
        <v>Unclassified</v>
      </c>
      <c r="C2075" s="6">
        <v>32</v>
      </c>
      <c r="D2075" s="6" t="str">
        <f t="shared" si="65"/>
        <v>Plastic Wares</v>
      </c>
      <c r="E2075" s="6">
        <v>971326</v>
      </c>
      <c r="F2075" s="6">
        <v>0</v>
      </c>
      <c r="G2075" s="6">
        <v>0</v>
      </c>
      <c r="H2075" s="6">
        <v>0</v>
      </c>
      <c r="I2075" s="6">
        <v>102069</v>
      </c>
    </row>
    <row r="2076" spans="1:9">
      <c r="A2076" s="6">
        <v>190</v>
      </c>
      <c r="B2076" s="6" t="str">
        <f t="shared" si="64"/>
        <v>Total Intermedite Transaction</v>
      </c>
      <c r="C2076" s="6">
        <v>32</v>
      </c>
      <c r="D2076" s="6" t="str">
        <f t="shared" si="65"/>
        <v>Plastic Wares</v>
      </c>
      <c r="E2076" s="6">
        <v>357430771</v>
      </c>
      <c r="F2076" s="6">
        <v>0</v>
      </c>
      <c r="G2076" s="6">
        <v>0</v>
      </c>
      <c r="H2076" s="6">
        <v>0</v>
      </c>
      <c r="I2076" s="6">
        <v>157419609</v>
      </c>
    </row>
    <row r="2077" spans="1:9">
      <c r="A2077" s="6">
        <v>201</v>
      </c>
      <c r="B2077" s="6" t="str">
        <f t="shared" si="64"/>
        <v>Wages and Salaries</v>
      </c>
      <c r="C2077" s="6">
        <v>32</v>
      </c>
      <c r="D2077" s="6" t="str">
        <f t="shared" si="65"/>
        <v>Plastic Wares</v>
      </c>
      <c r="E2077" s="6">
        <v>47442202</v>
      </c>
      <c r="F2077" s="6">
        <v>0</v>
      </c>
      <c r="G2077" s="6">
        <v>0</v>
      </c>
      <c r="H2077" s="6">
        <v>0</v>
      </c>
      <c r="I2077" s="6">
        <v>0</v>
      </c>
    </row>
    <row r="2078" spans="1:9">
      <c r="A2078" s="6">
        <v>202</v>
      </c>
      <c r="B2078" s="6" t="str">
        <f t="shared" si="64"/>
        <v>Operating Surplus</v>
      </c>
      <c r="C2078" s="6">
        <v>32</v>
      </c>
      <c r="D2078" s="6" t="str">
        <f t="shared" si="65"/>
        <v>Plastic Wares</v>
      </c>
      <c r="E2078" s="6">
        <v>54828558</v>
      </c>
      <c r="F2078" s="6">
        <v>0</v>
      </c>
      <c r="G2078" s="6">
        <v>0</v>
      </c>
      <c r="H2078" s="6">
        <v>0</v>
      </c>
      <c r="I2078" s="6">
        <v>0</v>
      </c>
    </row>
    <row r="2079" spans="1:9">
      <c r="A2079" s="6">
        <v>203</v>
      </c>
      <c r="B2079" s="6" t="str">
        <f t="shared" si="64"/>
        <v>Depreciation</v>
      </c>
      <c r="C2079" s="6">
        <v>32</v>
      </c>
      <c r="D2079" s="6" t="str">
        <f t="shared" si="65"/>
        <v>Plastic Wares</v>
      </c>
      <c r="E2079" s="6">
        <v>30645892</v>
      </c>
      <c r="F2079" s="6">
        <v>0</v>
      </c>
      <c r="G2079" s="6">
        <v>0</v>
      </c>
      <c r="H2079" s="6">
        <v>0</v>
      </c>
      <c r="I2079" s="6">
        <v>0</v>
      </c>
    </row>
    <row r="2080" spans="1:9">
      <c r="A2080" s="6">
        <v>204</v>
      </c>
      <c r="B2080" s="6" t="str">
        <f t="shared" si="64"/>
        <v>Indirect Taxes less Subsidies</v>
      </c>
      <c r="C2080" s="6">
        <v>32</v>
      </c>
      <c r="D2080" s="6" t="str">
        <f t="shared" si="65"/>
        <v>Plastic Wares</v>
      </c>
      <c r="E2080" s="6">
        <v>10581774</v>
      </c>
      <c r="F2080" s="6">
        <v>0</v>
      </c>
      <c r="G2080" s="6">
        <v>0</v>
      </c>
      <c r="H2080" s="6">
        <v>0</v>
      </c>
      <c r="I2080" s="6">
        <v>0</v>
      </c>
    </row>
    <row r="2081" spans="1:9">
      <c r="A2081" s="6">
        <v>209</v>
      </c>
      <c r="B2081" s="6" t="str">
        <f t="shared" si="64"/>
        <v>Total Value Added</v>
      </c>
      <c r="C2081" s="6">
        <v>32</v>
      </c>
      <c r="D2081" s="6" t="str">
        <f t="shared" si="65"/>
        <v>Plastic Wares</v>
      </c>
      <c r="E2081" s="6">
        <v>143498426</v>
      </c>
      <c r="F2081" s="6">
        <v>0</v>
      </c>
      <c r="G2081" s="6">
        <v>0</v>
      </c>
      <c r="H2081" s="6">
        <v>0</v>
      </c>
      <c r="I2081" s="6">
        <v>0</v>
      </c>
    </row>
    <row r="2082" spans="1:9">
      <c r="A2082" s="6">
        <v>210</v>
      </c>
      <c r="B2082" s="6" t="str">
        <f t="shared" si="64"/>
        <v>Control Total</v>
      </c>
      <c r="C2082" s="6">
        <v>32</v>
      </c>
      <c r="D2082" s="6" t="str">
        <f t="shared" si="65"/>
        <v>Plastic Wares</v>
      </c>
      <c r="E2082" s="6">
        <v>500929197</v>
      </c>
      <c r="F2082" s="6">
        <v>0</v>
      </c>
      <c r="G2082" s="6">
        <v>0</v>
      </c>
      <c r="H2082" s="6">
        <v>0</v>
      </c>
      <c r="I2082" s="6">
        <v>0</v>
      </c>
    </row>
    <row r="2083" spans="1:9">
      <c r="A2083" s="6">
        <v>1</v>
      </c>
      <c r="B2083" s="6" t="str">
        <f t="shared" si="64"/>
        <v>Paddy</v>
      </c>
      <c r="C2083" s="6">
        <v>33</v>
      </c>
      <c r="D2083" s="6" t="str">
        <f t="shared" si="65"/>
        <v>Cement and Concrete Products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</row>
    <row r="2084" spans="1:9">
      <c r="A2084" s="6">
        <v>2</v>
      </c>
      <c r="B2084" s="6" t="str">
        <f t="shared" si="64"/>
        <v>Maize</v>
      </c>
      <c r="C2084" s="6">
        <v>33</v>
      </c>
      <c r="D2084" s="6" t="str">
        <f t="shared" si="65"/>
        <v>Cement and Concrete Products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</row>
    <row r="2085" spans="1:9">
      <c r="A2085" s="6">
        <v>3</v>
      </c>
      <c r="B2085" s="6" t="str">
        <f t="shared" si="64"/>
        <v>Cassava</v>
      </c>
      <c r="C2085" s="6">
        <v>33</v>
      </c>
      <c r="D2085" s="6" t="str">
        <f t="shared" si="65"/>
        <v>Cement and Concrete Products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</row>
    <row r="2086" spans="1:9">
      <c r="A2086" s="6">
        <v>4</v>
      </c>
      <c r="B2086" s="6" t="str">
        <f t="shared" si="64"/>
        <v>Beans and Nuts</v>
      </c>
      <c r="C2086" s="6">
        <v>33</v>
      </c>
      <c r="D2086" s="6" t="str">
        <f t="shared" si="65"/>
        <v>Cement and Concrete Products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</row>
    <row r="2087" spans="1:9">
      <c r="A2087" s="6">
        <v>5</v>
      </c>
      <c r="B2087" s="6" t="str">
        <f t="shared" si="64"/>
        <v>Vegetables and Fruits</v>
      </c>
      <c r="C2087" s="6">
        <v>33</v>
      </c>
      <c r="D2087" s="6" t="str">
        <f t="shared" si="65"/>
        <v>Cement and Concrete Products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</row>
    <row r="2088" spans="1:9">
      <c r="A2088" s="6">
        <v>6</v>
      </c>
      <c r="B2088" s="6" t="str">
        <f t="shared" si="64"/>
        <v>Sugarcane</v>
      </c>
      <c r="C2088" s="6">
        <v>33</v>
      </c>
      <c r="D2088" s="6" t="str">
        <f t="shared" si="65"/>
        <v>Cement and Concrete Products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</row>
    <row r="2089" spans="1:9">
      <c r="A2089" s="6">
        <v>7</v>
      </c>
      <c r="B2089" s="6" t="str">
        <f t="shared" si="64"/>
        <v>Rubber (Latex)</v>
      </c>
      <c r="C2089" s="6">
        <v>33</v>
      </c>
      <c r="D2089" s="6" t="str">
        <f t="shared" si="65"/>
        <v>Cement and Concrete Products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</row>
    <row r="2090" spans="1:9">
      <c r="A2090" s="6">
        <v>8</v>
      </c>
      <c r="B2090" s="6" t="str">
        <f t="shared" si="64"/>
        <v>Other Crops</v>
      </c>
      <c r="C2090" s="6">
        <v>33</v>
      </c>
      <c r="D2090" s="6" t="str">
        <f t="shared" si="65"/>
        <v>Cement and Concrete Products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</row>
    <row r="2091" spans="1:9">
      <c r="A2091" s="6">
        <v>9</v>
      </c>
      <c r="B2091" s="6" t="str">
        <f t="shared" si="64"/>
        <v>Livestock</v>
      </c>
      <c r="C2091" s="6">
        <v>33</v>
      </c>
      <c r="D2091" s="6" t="str">
        <f t="shared" si="65"/>
        <v>Cement and Concrete Products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</row>
    <row r="2092" spans="1:9">
      <c r="A2092" s="6">
        <v>10</v>
      </c>
      <c r="B2092" s="6" t="str">
        <f t="shared" si="64"/>
        <v>Forestry</v>
      </c>
      <c r="C2092" s="6">
        <v>33</v>
      </c>
      <c r="D2092" s="6" t="str">
        <f t="shared" si="65"/>
        <v>Cement and Concrete Products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</row>
    <row r="2093" spans="1:9">
      <c r="A2093" s="6">
        <v>11</v>
      </c>
      <c r="B2093" s="6" t="str">
        <f t="shared" si="64"/>
        <v>Fishery</v>
      </c>
      <c r="C2093" s="6">
        <v>33</v>
      </c>
      <c r="D2093" s="6" t="str">
        <f t="shared" si="65"/>
        <v>Cement and Concrete Products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</row>
    <row r="2094" spans="1:9">
      <c r="A2094" s="6">
        <v>12</v>
      </c>
      <c r="B2094" s="6" t="str">
        <f t="shared" si="64"/>
        <v>Crude Oil and Coal</v>
      </c>
      <c r="C2094" s="6">
        <v>33</v>
      </c>
      <c r="D2094" s="6" t="str">
        <f t="shared" si="65"/>
        <v>Cement and Concrete Products</v>
      </c>
      <c r="E2094" s="6">
        <v>7448520</v>
      </c>
      <c r="F2094" s="6">
        <v>48512</v>
      </c>
      <c r="G2094" s="6">
        <v>0</v>
      </c>
      <c r="H2094" s="6">
        <v>40830</v>
      </c>
      <c r="I2094" s="6">
        <v>6576188</v>
      </c>
    </row>
    <row r="2095" spans="1:9">
      <c r="A2095" s="6">
        <v>13</v>
      </c>
      <c r="B2095" s="6" t="str">
        <f t="shared" si="64"/>
        <v>Metal Ore</v>
      </c>
      <c r="C2095" s="6">
        <v>33</v>
      </c>
      <c r="D2095" s="6" t="str">
        <f t="shared" si="65"/>
        <v>Cement and Concrete Products</v>
      </c>
      <c r="E2095" s="6">
        <v>564118</v>
      </c>
      <c r="F2095" s="6">
        <v>26651</v>
      </c>
      <c r="G2095" s="6">
        <v>0</v>
      </c>
      <c r="H2095" s="6">
        <v>12763</v>
      </c>
      <c r="I2095" s="6">
        <v>0</v>
      </c>
    </row>
    <row r="2096" spans="1:9">
      <c r="A2096" s="6">
        <v>14</v>
      </c>
      <c r="B2096" s="6" t="str">
        <f t="shared" si="64"/>
        <v>Non-Metal Ore</v>
      </c>
      <c r="C2096" s="6">
        <v>33</v>
      </c>
      <c r="D2096" s="6" t="str">
        <f t="shared" si="65"/>
        <v>Cement and Concrete Products</v>
      </c>
      <c r="E2096" s="6">
        <v>44615880</v>
      </c>
      <c r="F2096" s="6">
        <v>1084630</v>
      </c>
      <c r="G2096" s="6">
        <v>0</v>
      </c>
      <c r="H2096" s="6">
        <v>3443540</v>
      </c>
      <c r="I2096" s="6">
        <v>109169</v>
      </c>
    </row>
    <row r="2097" spans="1:9">
      <c r="A2097" s="6">
        <v>15</v>
      </c>
      <c r="B2097" s="6" t="str">
        <f t="shared" si="64"/>
        <v>Slaughtering</v>
      </c>
      <c r="C2097" s="6">
        <v>33</v>
      </c>
      <c r="D2097" s="6" t="str">
        <f t="shared" si="65"/>
        <v>Cement and Concrete Products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</row>
    <row r="2098" spans="1:9">
      <c r="A2098" s="6">
        <v>16</v>
      </c>
      <c r="B2098" s="6" t="str">
        <f t="shared" si="64"/>
        <v>Processing and Presering of Foods</v>
      </c>
      <c r="C2098" s="6">
        <v>33</v>
      </c>
      <c r="D2098" s="6" t="str">
        <f t="shared" si="65"/>
        <v>Cement and Concrete Products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</row>
    <row r="2099" spans="1:9">
      <c r="A2099" s="6">
        <v>17</v>
      </c>
      <c r="B2099" s="6" t="str">
        <f t="shared" si="64"/>
        <v>Rice and Other Grain Milling</v>
      </c>
      <c r="C2099" s="6">
        <v>33</v>
      </c>
      <c r="D2099" s="6" t="str">
        <f t="shared" si="65"/>
        <v>Cement and Concrete Products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</row>
    <row r="2100" spans="1:9">
      <c r="A2100" s="6">
        <v>18</v>
      </c>
      <c r="B2100" s="6" t="str">
        <f t="shared" si="64"/>
        <v>Sugar Refineries</v>
      </c>
      <c r="C2100" s="6">
        <v>33</v>
      </c>
      <c r="D2100" s="6" t="str">
        <f t="shared" si="65"/>
        <v>Cement and Concrete Products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</row>
    <row r="2101" spans="1:9">
      <c r="A2101" s="6">
        <v>19</v>
      </c>
      <c r="B2101" s="6" t="str">
        <f t="shared" si="64"/>
        <v>Other Foods</v>
      </c>
      <c r="C2101" s="6">
        <v>33</v>
      </c>
      <c r="D2101" s="6" t="str">
        <f t="shared" si="65"/>
        <v>Cement and Concrete Products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</row>
    <row r="2102" spans="1:9">
      <c r="A2102" s="6">
        <v>20</v>
      </c>
      <c r="B2102" s="6" t="str">
        <f t="shared" si="64"/>
        <v>Animal Food</v>
      </c>
      <c r="C2102" s="6">
        <v>33</v>
      </c>
      <c r="D2102" s="6" t="str">
        <f t="shared" si="65"/>
        <v>Cement and Concrete Products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</row>
    <row r="2103" spans="1:9">
      <c r="A2103" s="6">
        <v>21</v>
      </c>
      <c r="B2103" s="6" t="str">
        <f t="shared" si="64"/>
        <v>Beverages</v>
      </c>
      <c r="C2103" s="6">
        <v>33</v>
      </c>
      <c r="D2103" s="6" t="str">
        <f t="shared" si="65"/>
        <v>Cement and Concrete Products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</row>
    <row r="2104" spans="1:9">
      <c r="A2104" s="6">
        <v>22</v>
      </c>
      <c r="B2104" s="6" t="str">
        <f t="shared" si="64"/>
        <v>Tobacco Processing and Products</v>
      </c>
      <c r="C2104" s="6">
        <v>33</v>
      </c>
      <c r="D2104" s="6" t="str">
        <f t="shared" si="65"/>
        <v>Cement and Concrete Products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</row>
    <row r="2105" spans="1:9">
      <c r="A2105" s="6">
        <v>23</v>
      </c>
      <c r="B2105" s="6" t="str">
        <f t="shared" si="64"/>
        <v>Spinning, Weaving and Bleaching</v>
      </c>
      <c r="C2105" s="6">
        <v>33</v>
      </c>
      <c r="D2105" s="6" t="str">
        <f t="shared" si="65"/>
        <v>Cement and Concrete Products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</row>
    <row r="2106" spans="1:9">
      <c r="A2106" s="6">
        <v>24</v>
      </c>
      <c r="B2106" s="6" t="str">
        <f t="shared" si="64"/>
        <v>Textile Products</v>
      </c>
      <c r="C2106" s="6">
        <v>33</v>
      </c>
      <c r="D2106" s="6" t="str">
        <f t="shared" si="65"/>
        <v>Cement and Concrete Products</v>
      </c>
      <c r="E2106" s="6">
        <v>5020</v>
      </c>
      <c r="F2106" s="6">
        <v>619</v>
      </c>
      <c r="G2106" s="6">
        <v>738</v>
      </c>
      <c r="H2106" s="6">
        <v>21</v>
      </c>
      <c r="I2106" s="6">
        <v>0</v>
      </c>
    </row>
    <row r="2107" spans="1:9">
      <c r="A2107" s="6">
        <v>25</v>
      </c>
      <c r="B2107" s="6" t="str">
        <f t="shared" si="64"/>
        <v>Paper and Paper Products</v>
      </c>
      <c r="C2107" s="6">
        <v>33</v>
      </c>
      <c r="D2107" s="6" t="str">
        <f t="shared" si="65"/>
        <v>Cement and Concrete Products</v>
      </c>
      <c r="E2107" s="6">
        <v>1717460</v>
      </c>
      <c r="F2107" s="6">
        <v>149297</v>
      </c>
      <c r="G2107" s="6">
        <v>71717</v>
      </c>
      <c r="H2107" s="6">
        <v>19691</v>
      </c>
      <c r="I2107" s="6">
        <v>669653</v>
      </c>
    </row>
    <row r="2108" spans="1:9">
      <c r="A2108" s="6">
        <v>26</v>
      </c>
      <c r="B2108" s="6" t="str">
        <f t="shared" si="64"/>
        <v>Printing and Publishing</v>
      </c>
      <c r="C2108" s="6">
        <v>33</v>
      </c>
      <c r="D2108" s="6" t="str">
        <f t="shared" si="65"/>
        <v>Cement and Concrete Products</v>
      </c>
      <c r="E2108" s="6">
        <v>3618</v>
      </c>
      <c r="F2108" s="6">
        <v>166</v>
      </c>
      <c r="G2108" s="6">
        <v>391</v>
      </c>
      <c r="H2108" s="6">
        <v>34</v>
      </c>
      <c r="I2108" s="6">
        <v>0</v>
      </c>
    </row>
    <row r="2109" spans="1:9">
      <c r="A2109" s="6">
        <v>27</v>
      </c>
      <c r="B2109" s="6" t="str">
        <f t="shared" si="64"/>
        <v>Basic Chemical Products</v>
      </c>
      <c r="C2109" s="6">
        <v>33</v>
      </c>
      <c r="D2109" s="6" t="str">
        <f t="shared" si="65"/>
        <v>Cement and Concrete Products</v>
      </c>
      <c r="E2109" s="6">
        <v>2275383</v>
      </c>
      <c r="F2109" s="6">
        <v>181620</v>
      </c>
      <c r="G2109" s="6">
        <v>75743</v>
      </c>
      <c r="H2109" s="6">
        <v>45828</v>
      </c>
      <c r="I2109" s="6">
        <v>1260511</v>
      </c>
    </row>
    <row r="2110" spans="1:9">
      <c r="A2110" s="6">
        <v>28</v>
      </c>
      <c r="B2110" s="6" t="str">
        <f t="shared" si="64"/>
        <v>Fertilizer and Pesticides</v>
      </c>
      <c r="C2110" s="6">
        <v>33</v>
      </c>
      <c r="D2110" s="6" t="str">
        <f t="shared" si="65"/>
        <v>Cement and Concrete Products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</row>
    <row r="2111" spans="1:9">
      <c r="A2111" s="6">
        <v>29</v>
      </c>
      <c r="B2111" s="6" t="str">
        <f t="shared" si="64"/>
        <v>Other Chemical Products</v>
      </c>
      <c r="C2111" s="6">
        <v>33</v>
      </c>
      <c r="D2111" s="6" t="str">
        <f t="shared" si="65"/>
        <v>Cement and Concrete Products</v>
      </c>
      <c r="E2111" s="6">
        <v>2621699</v>
      </c>
      <c r="F2111" s="6">
        <v>80842</v>
      </c>
      <c r="G2111" s="6">
        <v>133165</v>
      </c>
      <c r="H2111" s="6">
        <v>28878</v>
      </c>
      <c r="I2111" s="6">
        <v>2312935</v>
      </c>
    </row>
    <row r="2112" spans="1:9">
      <c r="A2112" s="6">
        <v>30</v>
      </c>
      <c r="B2112" s="6" t="str">
        <f t="shared" si="64"/>
        <v>Petroleum Refineries</v>
      </c>
      <c r="C2112" s="6">
        <v>33</v>
      </c>
      <c r="D2112" s="6" t="str">
        <f t="shared" si="65"/>
        <v>Cement and Concrete Products</v>
      </c>
      <c r="E2112" s="6">
        <v>7771452</v>
      </c>
      <c r="F2112" s="6">
        <v>236523</v>
      </c>
      <c r="G2112" s="6">
        <v>211865</v>
      </c>
      <c r="H2112" s="6">
        <v>64765</v>
      </c>
      <c r="I2112" s="6">
        <v>1312907</v>
      </c>
    </row>
    <row r="2113" spans="1:9">
      <c r="A2113" s="6">
        <v>31</v>
      </c>
      <c r="B2113" s="6" t="str">
        <f t="shared" si="64"/>
        <v>Rubber Products</v>
      </c>
      <c r="C2113" s="6">
        <v>33</v>
      </c>
      <c r="D2113" s="6" t="str">
        <f t="shared" si="65"/>
        <v>Cement and Concrete Products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</row>
    <row r="2114" spans="1:9">
      <c r="A2114" s="6">
        <v>32</v>
      </c>
      <c r="B2114" s="6" t="str">
        <f t="shared" si="64"/>
        <v>Plastic Wares</v>
      </c>
      <c r="C2114" s="6">
        <v>33</v>
      </c>
      <c r="D2114" s="6" t="str">
        <f t="shared" si="65"/>
        <v>Cement and Concrete Products</v>
      </c>
      <c r="E2114" s="6">
        <v>178290</v>
      </c>
      <c r="F2114" s="6">
        <v>8222</v>
      </c>
      <c r="G2114" s="6">
        <v>12750</v>
      </c>
      <c r="H2114" s="6">
        <v>1391</v>
      </c>
      <c r="I2114" s="6">
        <v>54601</v>
      </c>
    </row>
    <row r="2115" spans="1:9">
      <c r="A2115" s="6">
        <v>33</v>
      </c>
      <c r="B2115" s="6" t="str">
        <f t="shared" si="64"/>
        <v>Cement and Concrete Products</v>
      </c>
      <c r="C2115" s="6">
        <v>33</v>
      </c>
      <c r="D2115" s="6" t="str">
        <f t="shared" si="65"/>
        <v>Cement and Concrete Products</v>
      </c>
      <c r="E2115" s="6">
        <v>25377238</v>
      </c>
      <c r="F2115" s="6">
        <v>998946</v>
      </c>
      <c r="G2115" s="6">
        <v>841661</v>
      </c>
      <c r="H2115" s="6">
        <v>342252</v>
      </c>
      <c r="I2115" s="6">
        <v>228630</v>
      </c>
    </row>
    <row r="2116" spans="1:9">
      <c r="A2116" s="6">
        <v>34</v>
      </c>
      <c r="B2116" s="6" t="str">
        <f t="shared" ref="B2116:B2179" si="66">VLOOKUP(A2116,R:S,2,0)</f>
        <v>Other Non-metallic Products</v>
      </c>
      <c r="C2116" s="6">
        <v>33</v>
      </c>
      <c r="D2116" s="6" t="str">
        <f t="shared" ref="D2116:D2179" si="67">VLOOKUP(C2116,R:S,2,0)</f>
        <v>Cement and Concrete Products</v>
      </c>
      <c r="E2116" s="6">
        <v>41096</v>
      </c>
      <c r="F2116" s="6">
        <v>2314</v>
      </c>
      <c r="G2116" s="6">
        <v>2636</v>
      </c>
      <c r="H2116" s="6">
        <v>255</v>
      </c>
      <c r="I2116" s="6">
        <v>0</v>
      </c>
    </row>
    <row r="2117" spans="1:9">
      <c r="A2117" s="6">
        <v>35</v>
      </c>
      <c r="B2117" s="6" t="str">
        <f t="shared" si="66"/>
        <v>Iron and Steel</v>
      </c>
      <c r="C2117" s="6">
        <v>33</v>
      </c>
      <c r="D2117" s="6" t="str">
        <f t="shared" si="67"/>
        <v>Cement and Concrete Products</v>
      </c>
      <c r="E2117" s="6">
        <v>14285865</v>
      </c>
      <c r="F2117" s="6">
        <v>1528436</v>
      </c>
      <c r="G2117" s="6">
        <v>1122330</v>
      </c>
      <c r="H2117" s="6">
        <v>163809</v>
      </c>
      <c r="I2117" s="6">
        <v>8450269</v>
      </c>
    </row>
    <row r="2118" spans="1:9">
      <c r="A2118" s="6">
        <v>36</v>
      </c>
      <c r="B2118" s="6" t="str">
        <f t="shared" si="66"/>
        <v>Non-ferrous Metal</v>
      </c>
      <c r="C2118" s="6">
        <v>33</v>
      </c>
      <c r="D2118" s="6" t="str">
        <f t="shared" si="67"/>
        <v>Cement and Concrete Products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</row>
    <row r="2119" spans="1:9">
      <c r="A2119" s="6">
        <v>37</v>
      </c>
      <c r="B2119" s="6" t="str">
        <f t="shared" si="66"/>
        <v>Fabricated Metal Products</v>
      </c>
      <c r="C2119" s="6">
        <v>33</v>
      </c>
      <c r="D2119" s="6" t="str">
        <f t="shared" si="67"/>
        <v>Cement and Concrete Products</v>
      </c>
      <c r="E2119" s="6">
        <v>176778</v>
      </c>
      <c r="F2119" s="6">
        <v>3105</v>
      </c>
      <c r="G2119" s="6">
        <v>15047</v>
      </c>
      <c r="H2119" s="6">
        <v>468</v>
      </c>
      <c r="I2119" s="6">
        <v>78108</v>
      </c>
    </row>
    <row r="2120" spans="1:9">
      <c r="A2120" s="6">
        <v>38</v>
      </c>
      <c r="B2120" s="6" t="str">
        <f t="shared" si="66"/>
        <v>Industrial Machinery</v>
      </c>
      <c r="C2120" s="6">
        <v>33</v>
      </c>
      <c r="D2120" s="6" t="str">
        <f t="shared" si="67"/>
        <v>Cement and Concrete Products</v>
      </c>
      <c r="E2120" s="6">
        <v>1894148</v>
      </c>
      <c r="F2120" s="6">
        <v>132654</v>
      </c>
      <c r="G2120" s="6">
        <v>0</v>
      </c>
      <c r="H2120" s="6">
        <v>20975</v>
      </c>
      <c r="I2120" s="6">
        <v>0</v>
      </c>
    </row>
    <row r="2121" spans="1:9">
      <c r="A2121" s="6">
        <v>39</v>
      </c>
      <c r="B2121" s="6" t="str">
        <f t="shared" si="66"/>
        <v>Electrical Machinery and Apparatus</v>
      </c>
      <c r="C2121" s="6">
        <v>33</v>
      </c>
      <c r="D2121" s="6" t="str">
        <f t="shared" si="67"/>
        <v>Cement and Concrete Products</v>
      </c>
      <c r="E2121" s="6">
        <v>120983</v>
      </c>
      <c r="F2121" s="6">
        <v>6055</v>
      </c>
      <c r="G2121" s="6">
        <v>1318</v>
      </c>
      <c r="H2121" s="6">
        <v>1194</v>
      </c>
      <c r="I2121" s="6">
        <v>0</v>
      </c>
    </row>
    <row r="2122" spans="1:9">
      <c r="A2122" s="6">
        <v>40</v>
      </c>
      <c r="B2122" s="6" t="str">
        <f t="shared" si="66"/>
        <v>Motor Vehicles and Repairing</v>
      </c>
      <c r="C2122" s="6">
        <v>33</v>
      </c>
      <c r="D2122" s="6" t="str">
        <f t="shared" si="67"/>
        <v>Cement and Concrete Products</v>
      </c>
      <c r="E2122" s="6">
        <v>588376</v>
      </c>
      <c r="F2122" s="6">
        <v>0</v>
      </c>
      <c r="G2122" s="6">
        <v>0</v>
      </c>
      <c r="H2122" s="6">
        <v>0</v>
      </c>
      <c r="I2122" s="6">
        <v>0</v>
      </c>
    </row>
    <row r="2123" spans="1:9">
      <c r="A2123" s="6">
        <v>41</v>
      </c>
      <c r="B2123" s="6" t="str">
        <f t="shared" si="66"/>
        <v>Other Transportation Equipment</v>
      </c>
      <c r="C2123" s="6">
        <v>33</v>
      </c>
      <c r="D2123" s="6" t="str">
        <f t="shared" si="67"/>
        <v>Cement and Concrete Products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</row>
    <row r="2124" spans="1:9">
      <c r="A2124" s="6">
        <v>42</v>
      </c>
      <c r="B2124" s="6" t="str">
        <f t="shared" si="66"/>
        <v>Leather Products</v>
      </c>
      <c r="C2124" s="6">
        <v>33</v>
      </c>
      <c r="D2124" s="6" t="str">
        <f t="shared" si="67"/>
        <v>Cement and Concrete Products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</row>
    <row r="2125" spans="1:9">
      <c r="A2125" s="6">
        <v>43</v>
      </c>
      <c r="B2125" s="6" t="str">
        <f t="shared" si="66"/>
        <v>Saw Mills and Wood Products</v>
      </c>
      <c r="C2125" s="6">
        <v>33</v>
      </c>
      <c r="D2125" s="6" t="str">
        <f t="shared" si="67"/>
        <v>Cement and Concrete Products</v>
      </c>
      <c r="E2125" s="6">
        <v>20581</v>
      </c>
      <c r="F2125" s="6">
        <v>1668</v>
      </c>
      <c r="G2125" s="6">
        <v>2702</v>
      </c>
      <c r="H2125" s="6">
        <v>302</v>
      </c>
      <c r="I2125" s="6">
        <v>0</v>
      </c>
    </row>
    <row r="2126" spans="1:9">
      <c r="A2126" s="6">
        <v>44</v>
      </c>
      <c r="B2126" s="6" t="str">
        <f t="shared" si="66"/>
        <v>Other Manufacturing Products</v>
      </c>
      <c r="C2126" s="6">
        <v>33</v>
      </c>
      <c r="D2126" s="6" t="str">
        <f t="shared" si="67"/>
        <v>Cement and Concrete Products</v>
      </c>
      <c r="E2126" s="6">
        <v>343648</v>
      </c>
      <c r="F2126" s="6">
        <v>32545</v>
      </c>
      <c r="G2126" s="6">
        <v>27614</v>
      </c>
      <c r="H2126" s="6">
        <v>3977</v>
      </c>
      <c r="I2126" s="6">
        <v>0</v>
      </c>
    </row>
    <row r="2127" spans="1:9">
      <c r="A2127" s="6">
        <v>45</v>
      </c>
      <c r="B2127" s="6" t="str">
        <f t="shared" si="66"/>
        <v>Electricity and Gas</v>
      </c>
      <c r="C2127" s="6">
        <v>33</v>
      </c>
      <c r="D2127" s="6" t="str">
        <f t="shared" si="67"/>
        <v>Cement and Concrete Products</v>
      </c>
      <c r="E2127" s="6">
        <v>10938238</v>
      </c>
      <c r="F2127" s="6">
        <v>397</v>
      </c>
      <c r="G2127" s="6">
        <v>693</v>
      </c>
      <c r="H2127" s="6">
        <v>85</v>
      </c>
      <c r="I2127" s="6">
        <v>0</v>
      </c>
    </row>
    <row r="2128" spans="1:9">
      <c r="A2128" s="6">
        <v>46</v>
      </c>
      <c r="B2128" s="6" t="str">
        <f t="shared" si="66"/>
        <v>Water Works and Supply</v>
      </c>
      <c r="C2128" s="6">
        <v>33</v>
      </c>
      <c r="D2128" s="6" t="str">
        <f t="shared" si="67"/>
        <v>Cement and Concrete Products</v>
      </c>
      <c r="E2128" s="6">
        <v>261608</v>
      </c>
      <c r="F2128" s="6">
        <v>0</v>
      </c>
      <c r="G2128" s="6">
        <v>0</v>
      </c>
      <c r="H2128" s="6">
        <v>0</v>
      </c>
      <c r="I2128" s="6">
        <v>0</v>
      </c>
    </row>
    <row r="2129" spans="1:9">
      <c r="A2129" s="6">
        <v>47</v>
      </c>
      <c r="B2129" s="6" t="str">
        <f t="shared" si="66"/>
        <v>Building Construction</v>
      </c>
      <c r="C2129" s="6">
        <v>33</v>
      </c>
      <c r="D2129" s="6" t="str">
        <f t="shared" si="67"/>
        <v>Cement and Concrete Products</v>
      </c>
      <c r="E2129" s="6">
        <v>181692</v>
      </c>
      <c r="F2129" s="6">
        <v>0</v>
      </c>
      <c r="G2129" s="6">
        <v>0</v>
      </c>
      <c r="H2129" s="6">
        <v>0</v>
      </c>
      <c r="I2129" s="6">
        <v>0</v>
      </c>
    </row>
    <row r="2130" spans="1:9">
      <c r="A2130" s="6">
        <v>48</v>
      </c>
      <c r="B2130" s="6" t="str">
        <f t="shared" si="66"/>
        <v>Public Works and Other Construction</v>
      </c>
      <c r="C2130" s="6">
        <v>33</v>
      </c>
      <c r="D2130" s="6" t="str">
        <f t="shared" si="67"/>
        <v>Cement and Concrete Products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</row>
    <row r="2131" spans="1:9">
      <c r="A2131" s="6">
        <v>49</v>
      </c>
      <c r="B2131" s="6" t="str">
        <f t="shared" si="66"/>
        <v>Trade</v>
      </c>
      <c r="C2131" s="6">
        <v>33</v>
      </c>
      <c r="D2131" s="6" t="str">
        <f t="shared" si="67"/>
        <v>Cement and Concrete Products</v>
      </c>
      <c r="E2131" s="6">
        <v>0</v>
      </c>
      <c r="F2131" s="6">
        <v>-4523202</v>
      </c>
      <c r="G2131" s="6">
        <v>-2520370</v>
      </c>
      <c r="H2131" s="6">
        <v>0</v>
      </c>
      <c r="I2131" s="6">
        <v>0</v>
      </c>
    </row>
    <row r="2132" spans="1:9">
      <c r="A2132" s="6">
        <v>50</v>
      </c>
      <c r="B2132" s="6" t="str">
        <f t="shared" si="66"/>
        <v>Restaurants and Hotels</v>
      </c>
      <c r="C2132" s="6">
        <v>33</v>
      </c>
      <c r="D2132" s="6" t="str">
        <f t="shared" si="67"/>
        <v>Cement and Concrete Products</v>
      </c>
      <c r="E2132" s="6">
        <v>265683</v>
      </c>
      <c r="F2132" s="6">
        <v>0</v>
      </c>
      <c r="G2132" s="6">
        <v>0</v>
      </c>
      <c r="H2132" s="6">
        <v>0</v>
      </c>
      <c r="I2132" s="6">
        <v>0</v>
      </c>
    </row>
    <row r="2133" spans="1:9">
      <c r="A2133" s="6">
        <v>51</v>
      </c>
      <c r="B2133" s="6" t="str">
        <f t="shared" si="66"/>
        <v>Transportation</v>
      </c>
      <c r="C2133" s="6">
        <v>33</v>
      </c>
      <c r="D2133" s="6" t="str">
        <f t="shared" si="67"/>
        <v>Cement and Concrete Products</v>
      </c>
      <c r="E2133" s="6">
        <v>588377</v>
      </c>
      <c r="F2133" s="6">
        <v>0</v>
      </c>
      <c r="G2133" s="6">
        <v>0</v>
      </c>
      <c r="H2133" s="6">
        <v>-4191058</v>
      </c>
      <c r="I2133" s="6">
        <v>0</v>
      </c>
    </row>
    <row r="2134" spans="1:9">
      <c r="A2134" s="6">
        <v>52</v>
      </c>
      <c r="B2134" s="6" t="str">
        <f t="shared" si="66"/>
        <v>Communication</v>
      </c>
      <c r="C2134" s="6">
        <v>33</v>
      </c>
      <c r="D2134" s="6" t="str">
        <f t="shared" si="67"/>
        <v>Cement and Concrete Products</v>
      </c>
      <c r="E2134" s="6">
        <v>92870</v>
      </c>
      <c r="F2134" s="6">
        <v>0</v>
      </c>
      <c r="G2134" s="6">
        <v>0</v>
      </c>
      <c r="H2134" s="6">
        <v>0</v>
      </c>
      <c r="I2134" s="6">
        <v>0</v>
      </c>
    </row>
    <row r="2135" spans="1:9">
      <c r="A2135" s="6">
        <v>53</v>
      </c>
      <c r="B2135" s="6" t="str">
        <f t="shared" si="66"/>
        <v>Banking and Insurance</v>
      </c>
      <c r="C2135" s="6">
        <v>33</v>
      </c>
      <c r="D2135" s="6" t="str">
        <f t="shared" si="67"/>
        <v>Cement and Concrete Products</v>
      </c>
      <c r="E2135" s="6">
        <v>5443802</v>
      </c>
      <c r="F2135" s="6">
        <v>0</v>
      </c>
      <c r="G2135" s="6">
        <v>0</v>
      </c>
      <c r="H2135" s="6">
        <v>0</v>
      </c>
      <c r="I2135" s="6">
        <v>0</v>
      </c>
    </row>
    <row r="2136" spans="1:9">
      <c r="A2136" s="6">
        <v>54</v>
      </c>
      <c r="B2136" s="6" t="str">
        <f t="shared" si="66"/>
        <v>Real Estate</v>
      </c>
      <c r="C2136" s="6">
        <v>33</v>
      </c>
      <c r="D2136" s="6" t="str">
        <f t="shared" si="67"/>
        <v>Cement and Concrete Products</v>
      </c>
      <c r="E2136" s="6">
        <v>92023</v>
      </c>
      <c r="F2136" s="6">
        <v>0</v>
      </c>
      <c r="G2136" s="6">
        <v>0</v>
      </c>
      <c r="H2136" s="6">
        <v>0</v>
      </c>
      <c r="I2136" s="6">
        <v>0</v>
      </c>
    </row>
    <row r="2137" spans="1:9">
      <c r="A2137" s="6">
        <v>55</v>
      </c>
      <c r="B2137" s="6" t="str">
        <f t="shared" si="66"/>
        <v>Business Services</v>
      </c>
      <c r="C2137" s="6">
        <v>33</v>
      </c>
      <c r="D2137" s="6" t="str">
        <f t="shared" si="67"/>
        <v>Cement and Concrete Products</v>
      </c>
      <c r="E2137" s="6">
        <v>2323811</v>
      </c>
      <c r="F2137" s="6">
        <v>0</v>
      </c>
      <c r="G2137" s="6">
        <v>0</v>
      </c>
      <c r="H2137" s="6">
        <v>0</v>
      </c>
      <c r="I2137" s="6">
        <v>0</v>
      </c>
    </row>
    <row r="2138" spans="1:9">
      <c r="A2138" s="6">
        <v>56</v>
      </c>
      <c r="B2138" s="6" t="str">
        <f t="shared" si="66"/>
        <v>Public Services</v>
      </c>
      <c r="C2138" s="6">
        <v>33</v>
      </c>
      <c r="D2138" s="6" t="str">
        <f t="shared" si="67"/>
        <v>Cement and Concrete Products</v>
      </c>
      <c r="E2138" s="6">
        <v>232938</v>
      </c>
      <c r="F2138" s="6">
        <v>0</v>
      </c>
      <c r="G2138" s="6">
        <v>0</v>
      </c>
      <c r="H2138" s="6">
        <v>0</v>
      </c>
      <c r="I2138" s="6">
        <v>0</v>
      </c>
    </row>
    <row r="2139" spans="1:9">
      <c r="A2139" s="6">
        <v>57</v>
      </c>
      <c r="B2139" s="6" t="str">
        <f t="shared" si="66"/>
        <v>Other Services</v>
      </c>
      <c r="C2139" s="6">
        <v>33</v>
      </c>
      <c r="D2139" s="6" t="str">
        <f t="shared" si="67"/>
        <v>Cement and Concrete Products</v>
      </c>
      <c r="E2139" s="6">
        <v>60121</v>
      </c>
      <c r="F2139" s="6">
        <v>0</v>
      </c>
      <c r="G2139" s="6">
        <v>0</v>
      </c>
      <c r="H2139" s="6">
        <v>0</v>
      </c>
      <c r="I2139" s="6">
        <v>0</v>
      </c>
    </row>
    <row r="2140" spans="1:9">
      <c r="A2140" s="6">
        <v>58</v>
      </c>
      <c r="B2140" s="6" t="str">
        <f t="shared" si="66"/>
        <v>Unclassified</v>
      </c>
      <c r="C2140" s="6">
        <v>33</v>
      </c>
      <c r="D2140" s="6" t="str">
        <f t="shared" si="67"/>
        <v>Cement and Concrete Products</v>
      </c>
      <c r="E2140" s="6">
        <v>731092</v>
      </c>
      <c r="F2140" s="6">
        <v>0</v>
      </c>
      <c r="G2140" s="6">
        <v>0</v>
      </c>
      <c r="H2140" s="6">
        <v>0</v>
      </c>
      <c r="I2140" s="6">
        <v>77005</v>
      </c>
    </row>
    <row r="2141" spans="1:9">
      <c r="A2141" s="6">
        <v>190</v>
      </c>
      <c r="B2141" s="6" t="str">
        <f t="shared" si="66"/>
        <v>Total Intermedite Transaction</v>
      </c>
      <c r="C2141" s="6">
        <v>33</v>
      </c>
      <c r="D2141" s="6" t="str">
        <f t="shared" si="67"/>
        <v>Cement and Concrete Products</v>
      </c>
      <c r="E2141" s="6">
        <v>131262408</v>
      </c>
      <c r="F2141" s="6">
        <v>0</v>
      </c>
      <c r="G2141" s="6">
        <v>0</v>
      </c>
      <c r="H2141" s="6">
        <v>0</v>
      </c>
      <c r="I2141" s="6">
        <v>21129976</v>
      </c>
    </row>
    <row r="2142" spans="1:9">
      <c r="A2142" s="6">
        <v>201</v>
      </c>
      <c r="B2142" s="6" t="str">
        <f t="shared" si="66"/>
        <v>Wages and Salaries</v>
      </c>
      <c r="C2142" s="6">
        <v>33</v>
      </c>
      <c r="D2142" s="6" t="str">
        <f t="shared" si="67"/>
        <v>Cement and Concrete Products</v>
      </c>
      <c r="E2142" s="6">
        <v>21976498</v>
      </c>
      <c r="F2142" s="6">
        <v>0</v>
      </c>
      <c r="G2142" s="6">
        <v>0</v>
      </c>
      <c r="H2142" s="6">
        <v>0</v>
      </c>
      <c r="I2142" s="6">
        <v>0</v>
      </c>
    </row>
    <row r="2143" spans="1:9">
      <c r="A2143" s="6">
        <v>202</v>
      </c>
      <c r="B2143" s="6" t="str">
        <f t="shared" si="66"/>
        <v>Operating Surplus</v>
      </c>
      <c r="C2143" s="6">
        <v>33</v>
      </c>
      <c r="D2143" s="6" t="str">
        <f t="shared" si="67"/>
        <v>Cement and Concrete Products</v>
      </c>
      <c r="E2143" s="6">
        <v>34399811</v>
      </c>
      <c r="F2143" s="6">
        <v>0</v>
      </c>
      <c r="G2143" s="6">
        <v>0</v>
      </c>
      <c r="H2143" s="6">
        <v>0</v>
      </c>
      <c r="I2143" s="6">
        <v>0</v>
      </c>
    </row>
    <row r="2144" spans="1:9">
      <c r="A2144" s="6">
        <v>203</v>
      </c>
      <c r="B2144" s="6" t="str">
        <f t="shared" si="66"/>
        <v>Depreciation</v>
      </c>
      <c r="C2144" s="6">
        <v>33</v>
      </c>
      <c r="D2144" s="6" t="str">
        <f t="shared" si="67"/>
        <v>Cement and Concrete Products</v>
      </c>
      <c r="E2144" s="6">
        <v>14237400</v>
      </c>
      <c r="F2144" s="6">
        <v>0</v>
      </c>
      <c r="G2144" s="6">
        <v>0</v>
      </c>
      <c r="H2144" s="6">
        <v>0</v>
      </c>
      <c r="I2144" s="6">
        <v>0</v>
      </c>
    </row>
    <row r="2145" spans="1:9">
      <c r="A2145" s="6">
        <v>204</v>
      </c>
      <c r="B2145" s="6" t="str">
        <f t="shared" si="66"/>
        <v>Indirect Taxes less Subsidies</v>
      </c>
      <c r="C2145" s="6">
        <v>33</v>
      </c>
      <c r="D2145" s="6" t="str">
        <f t="shared" si="67"/>
        <v>Cement and Concrete Products</v>
      </c>
      <c r="E2145" s="6">
        <v>4356519</v>
      </c>
      <c r="F2145" s="6">
        <v>0</v>
      </c>
      <c r="G2145" s="6">
        <v>0</v>
      </c>
      <c r="H2145" s="6">
        <v>0</v>
      </c>
      <c r="I2145" s="6">
        <v>0</v>
      </c>
    </row>
    <row r="2146" spans="1:9">
      <c r="A2146" s="6">
        <v>209</v>
      </c>
      <c r="B2146" s="6" t="str">
        <f t="shared" si="66"/>
        <v>Total Value Added</v>
      </c>
      <c r="C2146" s="6">
        <v>33</v>
      </c>
      <c r="D2146" s="6" t="str">
        <f t="shared" si="67"/>
        <v>Cement and Concrete Products</v>
      </c>
      <c r="E2146" s="6">
        <v>74970228</v>
      </c>
      <c r="F2146" s="6">
        <v>0</v>
      </c>
      <c r="G2146" s="6">
        <v>0</v>
      </c>
      <c r="H2146" s="6">
        <v>0</v>
      </c>
      <c r="I2146" s="6">
        <v>0</v>
      </c>
    </row>
    <row r="2147" spans="1:9">
      <c r="A2147" s="6">
        <v>210</v>
      </c>
      <c r="B2147" s="6" t="str">
        <f t="shared" si="66"/>
        <v>Control Total</v>
      </c>
      <c r="C2147" s="6">
        <v>33</v>
      </c>
      <c r="D2147" s="6" t="str">
        <f t="shared" si="67"/>
        <v>Cement and Concrete Products</v>
      </c>
      <c r="E2147" s="6">
        <v>206232636</v>
      </c>
      <c r="F2147" s="6">
        <v>0</v>
      </c>
      <c r="G2147" s="6">
        <v>0</v>
      </c>
      <c r="H2147" s="6">
        <v>0</v>
      </c>
      <c r="I2147" s="6">
        <v>0</v>
      </c>
    </row>
    <row r="2148" spans="1:9">
      <c r="A2148" s="6">
        <v>1</v>
      </c>
      <c r="B2148" s="6" t="str">
        <f t="shared" si="66"/>
        <v>Paddy</v>
      </c>
      <c r="C2148" s="6">
        <v>34</v>
      </c>
      <c r="D2148" s="6" t="str">
        <f t="shared" si="67"/>
        <v>Other Non-metallic Products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</row>
    <row r="2149" spans="1:9">
      <c r="A2149" s="6">
        <v>2</v>
      </c>
      <c r="B2149" s="6" t="str">
        <f t="shared" si="66"/>
        <v>Maize</v>
      </c>
      <c r="C2149" s="6">
        <v>34</v>
      </c>
      <c r="D2149" s="6" t="str">
        <f t="shared" si="67"/>
        <v>Other Non-metallic Products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</row>
    <row r="2150" spans="1:9">
      <c r="A2150" s="6">
        <v>3</v>
      </c>
      <c r="B2150" s="6" t="str">
        <f t="shared" si="66"/>
        <v>Cassava</v>
      </c>
      <c r="C2150" s="6">
        <v>34</v>
      </c>
      <c r="D2150" s="6" t="str">
        <f t="shared" si="67"/>
        <v>Other Non-metallic Products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</row>
    <row r="2151" spans="1:9">
      <c r="A2151" s="6">
        <v>4</v>
      </c>
      <c r="B2151" s="6" t="str">
        <f t="shared" si="66"/>
        <v>Beans and Nuts</v>
      </c>
      <c r="C2151" s="6">
        <v>34</v>
      </c>
      <c r="D2151" s="6" t="str">
        <f t="shared" si="67"/>
        <v>Other Non-metallic Products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</row>
    <row r="2152" spans="1:9">
      <c r="A2152" s="6">
        <v>5</v>
      </c>
      <c r="B2152" s="6" t="str">
        <f t="shared" si="66"/>
        <v>Vegetables and Fruits</v>
      </c>
      <c r="C2152" s="6">
        <v>34</v>
      </c>
      <c r="D2152" s="6" t="str">
        <f t="shared" si="67"/>
        <v>Other Non-metallic Products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</row>
    <row r="2153" spans="1:9">
      <c r="A2153" s="6">
        <v>6</v>
      </c>
      <c r="B2153" s="6" t="str">
        <f t="shared" si="66"/>
        <v>Sugarcane</v>
      </c>
      <c r="C2153" s="6">
        <v>34</v>
      </c>
      <c r="D2153" s="6" t="str">
        <f t="shared" si="67"/>
        <v>Other Non-metallic Products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</row>
    <row r="2154" spans="1:9">
      <c r="A2154" s="6">
        <v>7</v>
      </c>
      <c r="B2154" s="6" t="str">
        <f t="shared" si="66"/>
        <v>Rubber (Latex)</v>
      </c>
      <c r="C2154" s="6">
        <v>34</v>
      </c>
      <c r="D2154" s="6" t="str">
        <f t="shared" si="67"/>
        <v>Other Non-metallic Products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</row>
    <row r="2155" spans="1:9">
      <c r="A2155" s="6">
        <v>8</v>
      </c>
      <c r="B2155" s="6" t="str">
        <f t="shared" si="66"/>
        <v>Other Crops</v>
      </c>
      <c r="C2155" s="6">
        <v>34</v>
      </c>
      <c r="D2155" s="6" t="str">
        <f t="shared" si="67"/>
        <v>Other Non-metallic Products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</row>
    <row r="2156" spans="1:9">
      <c r="A2156" s="6">
        <v>9</v>
      </c>
      <c r="B2156" s="6" t="str">
        <f t="shared" si="66"/>
        <v>Livestock</v>
      </c>
      <c r="C2156" s="6">
        <v>34</v>
      </c>
      <c r="D2156" s="6" t="str">
        <f t="shared" si="67"/>
        <v>Other Non-metallic Products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</row>
    <row r="2157" spans="1:9">
      <c r="A2157" s="6">
        <v>10</v>
      </c>
      <c r="B2157" s="6" t="str">
        <f t="shared" si="66"/>
        <v>Forestry</v>
      </c>
      <c r="C2157" s="6">
        <v>34</v>
      </c>
      <c r="D2157" s="6" t="str">
        <f t="shared" si="67"/>
        <v>Other Non-metallic Products</v>
      </c>
      <c r="E2157" s="6">
        <v>127132</v>
      </c>
      <c r="F2157" s="6">
        <v>5269</v>
      </c>
      <c r="G2157" s="6">
        <v>3493</v>
      </c>
      <c r="H2157" s="6">
        <v>614</v>
      </c>
      <c r="I2157" s="6">
        <v>0</v>
      </c>
    </row>
    <row r="2158" spans="1:9">
      <c r="A2158" s="6">
        <v>11</v>
      </c>
      <c r="B2158" s="6" t="str">
        <f t="shared" si="66"/>
        <v>Fishery</v>
      </c>
      <c r="C2158" s="6">
        <v>34</v>
      </c>
      <c r="D2158" s="6" t="str">
        <f t="shared" si="67"/>
        <v>Other Non-metallic Products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</row>
    <row r="2159" spans="1:9">
      <c r="A2159" s="6">
        <v>12</v>
      </c>
      <c r="B2159" s="6" t="str">
        <f t="shared" si="66"/>
        <v>Crude Oil and Coal</v>
      </c>
      <c r="C2159" s="6">
        <v>34</v>
      </c>
      <c r="D2159" s="6" t="str">
        <f t="shared" si="67"/>
        <v>Other Non-metallic Products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</row>
    <row r="2160" spans="1:9">
      <c r="A2160" s="6">
        <v>13</v>
      </c>
      <c r="B2160" s="6" t="str">
        <f t="shared" si="66"/>
        <v>Metal Ore</v>
      </c>
      <c r="C2160" s="6">
        <v>34</v>
      </c>
      <c r="D2160" s="6" t="str">
        <f t="shared" si="67"/>
        <v>Other Non-metallic Products</v>
      </c>
      <c r="E2160" s="6">
        <v>915536</v>
      </c>
      <c r="F2160" s="6">
        <v>15028</v>
      </c>
      <c r="G2160" s="6">
        <v>0</v>
      </c>
      <c r="H2160" s="6">
        <v>14324</v>
      </c>
      <c r="I2160" s="6">
        <v>341703</v>
      </c>
    </row>
    <row r="2161" spans="1:9">
      <c r="A2161" s="6">
        <v>14</v>
      </c>
      <c r="B2161" s="6" t="str">
        <f t="shared" si="66"/>
        <v>Non-Metal Ore</v>
      </c>
      <c r="C2161" s="6">
        <v>34</v>
      </c>
      <c r="D2161" s="6" t="str">
        <f t="shared" si="67"/>
        <v>Other Non-metallic Products</v>
      </c>
      <c r="E2161" s="6">
        <v>40748264</v>
      </c>
      <c r="F2161" s="6">
        <v>3591474</v>
      </c>
      <c r="G2161" s="6">
        <v>0</v>
      </c>
      <c r="H2161" s="6">
        <v>4529427</v>
      </c>
      <c r="I2161" s="6">
        <v>5161360</v>
      </c>
    </row>
    <row r="2162" spans="1:9">
      <c r="A2162" s="6">
        <v>15</v>
      </c>
      <c r="B2162" s="6" t="str">
        <f t="shared" si="66"/>
        <v>Slaughtering</v>
      </c>
      <c r="C2162" s="6">
        <v>34</v>
      </c>
      <c r="D2162" s="6" t="str">
        <f t="shared" si="67"/>
        <v>Other Non-metallic Products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</row>
    <row r="2163" spans="1:9">
      <c r="A2163" s="6">
        <v>16</v>
      </c>
      <c r="B2163" s="6" t="str">
        <f t="shared" si="66"/>
        <v>Processing and Presering of Foods</v>
      </c>
      <c r="C2163" s="6">
        <v>34</v>
      </c>
      <c r="D2163" s="6" t="str">
        <f t="shared" si="67"/>
        <v>Other Non-metallic Products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</row>
    <row r="2164" spans="1:9">
      <c r="A2164" s="6">
        <v>17</v>
      </c>
      <c r="B2164" s="6" t="str">
        <f t="shared" si="66"/>
        <v>Rice and Other Grain Milling</v>
      </c>
      <c r="C2164" s="6">
        <v>34</v>
      </c>
      <c r="D2164" s="6" t="str">
        <f t="shared" si="67"/>
        <v>Other Non-metallic Products</v>
      </c>
      <c r="E2164" s="6">
        <v>771384</v>
      </c>
      <c r="F2164" s="6">
        <v>42893</v>
      </c>
      <c r="G2164" s="6">
        <v>41155</v>
      </c>
      <c r="H2164" s="6">
        <v>12123</v>
      </c>
      <c r="I2164" s="6">
        <v>0</v>
      </c>
    </row>
    <row r="2165" spans="1:9">
      <c r="A2165" s="6">
        <v>18</v>
      </c>
      <c r="B2165" s="6" t="str">
        <f t="shared" si="66"/>
        <v>Sugar Refineries</v>
      </c>
      <c r="C2165" s="6">
        <v>34</v>
      </c>
      <c r="D2165" s="6" t="str">
        <f t="shared" si="67"/>
        <v>Other Non-metallic Products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</row>
    <row r="2166" spans="1:9">
      <c r="A2166" s="6">
        <v>19</v>
      </c>
      <c r="B2166" s="6" t="str">
        <f t="shared" si="66"/>
        <v>Other Foods</v>
      </c>
      <c r="C2166" s="6">
        <v>34</v>
      </c>
      <c r="D2166" s="6" t="str">
        <f t="shared" si="67"/>
        <v>Other Non-metallic Products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</row>
    <row r="2167" spans="1:9">
      <c r="A2167" s="6">
        <v>20</v>
      </c>
      <c r="B2167" s="6" t="str">
        <f t="shared" si="66"/>
        <v>Animal Food</v>
      </c>
      <c r="C2167" s="6">
        <v>34</v>
      </c>
      <c r="D2167" s="6" t="str">
        <f t="shared" si="67"/>
        <v>Other Non-metallic Products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</row>
    <row r="2168" spans="1:9">
      <c r="A2168" s="6">
        <v>21</v>
      </c>
      <c r="B2168" s="6" t="str">
        <f t="shared" si="66"/>
        <v>Beverages</v>
      </c>
      <c r="C2168" s="6">
        <v>34</v>
      </c>
      <c r="D2168" s="6" t="str">
        <f t="shared" si="67"/>
        <v>Other Non-metallic Products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</row>
    <row r="2169" spans="1:9">
      <c r="A2169" s="6">
        <v>22</v>
      </c>
      <c r="B2169" s="6" t="str">
        <f t="shared" si="66"/>
        <v>Tobacco Processing and Products</v>
      </c>
      <c r="C2169" s="6">
        <v>34</v>
      </c>
      <c r="D2169" s="6" t="str">
        <f t="shared" si="67"/>
        <v>Other Non-metallic Products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</row>
    <row r="2170" spans="1:9">
      <c r="A2170" s="6">
        <v>23</v>
      </c>
      <c r="B2170" s="6" t="str">
        <f t="shared" si="66"/>
        <v>Spinning, Weaving and Bleaching</v>
      </c>
      <c r="C2170" s="6">
        <v>34</v>
      </c>
      <c r="D2170" s="6" t="str">
        <f t="shared" si="67"/>
        <v>Other Non-metallic Products</v>
      </c>
      <c r="E2170" s="6">
        <v>259612</v>
      </c>
      <c r="F2170" s="6">
        <v>1454</v>
      </c>
      <c r="G2170" s="6">
        <v>1586</v>
      </c>
      <c r="H2170" s="6">
        <v>2904</v>
      </c>
      <c r="I2170" s="6">
        <v>0</v>
      </c>
    </row>
    <row r="2171" spans="1:9">
      <c r="A2171" s="6">
        <v>24</v>
      </c>
      <c r="B2171" s="6" t="str">
        <f t="shared" si="66"/>
        <v>Textile Products</v>
      </c>
      <c r="C2171" s="6">
        <v>34</v>
      </c>
      <c r="D2171" s="6" t="str">
        <f t="shared" si="67"/>
        <v>Other Non-metallic Products</v>
      </c>
      <c r="E2171" s="6">
        <v>28328</v>
      </c>
      <c r="F2171" s="6">
        <v>4983</v>
      </c>
      <c r="G2171" s="6">
        <v>6465</v>
      </c>
      <c r="H2171" s="6">
        <v>142</v>
      </c>
      <c r="I2171" s="6">
        <v>0</v>
      </c>
    </row>
    <row r="2172" spans="1:9">
      <c r="A2172" s="6">
        <v>25</v>
      </c>
      <c r="B2172" s="6" t="str">
        <f t="shared" si="66"/>
        <v>Paper and Paper Products</v>
      </c>
      <c r="C2172" s="6">
        <v>34</v>
      </c>
      <c r="D2172" s="6" t="str">
        <f t="shared" si="67"/>
        <v>Other Non-metallic Products</v>
      </c>
      <c r="E2172" s="6">
        <v>982323</v>
      </c>
      <c r="F2172" s="6">
        <v>28104</v>
      </c>
      <c r="G2172" s="6">
        <v>26978</v>
      </c>
      <c r="H2172" s="6">
        <v>10632</v>
      </c>
      <c r="I2172" s="6">
        <v>0</v>
      </c>
    </row>
    <row r="2173" spans="1:9">
      <c r="A2173" s="6">
        <v>26</v>
      </c>
      <c r="B2173" s="6" t="str">
        <f t="shared" si="66"/>
        <v>Printing and Publishing</v>
      </c>
      <c r="C2173" s="6">
        <v>34</v>
      </c>
      <c r="D2173" s="6" t="str">
        <f t="shared" si="67"/>
        <v>Other Non-metallic Products</v>
      </c>
      <c r="E2173" s="6">
        <v>8982</v>
      </c>
      <c r="F2173" s="6">
        <v>495</v>
      </c>
      <c r="G2173" s="6">
        <v>796</v>
      </c>
      <c r="H2173" s="6">
        <v>80</v>
      </c>
      <c r="I2173" s="6">
        <v>0</v>
      </c>
    </row>
    <row r="2174" spans="1:9">
      <c r="A2174" s="6">
        <v>27</v>
      </c>
      <c r="B2174" s="6" t="str">
        <f t="shared" si="66"/>
        <v>Basic Chemical Products</v>
      </c>
      <c r="C2174" s="6">
        <v>34</v>
      </c>
      <c r="D2174" s="6" t="str">
        <f t="shared" si="67"/>
        <v>Other Non-metallic Products</v>
      </c>
      <c r="E2174" s="6">
        <v>21561735</v>
      </c>
      <c r="F2174" s="6">
        <v>1834503</v>
      </c>
      <c r="G2174" s="6">
        <v>887901</v>
      </c>
      <c r="H2174" s="6">
        <v>352006</v>
      </c>
      <c r="I2174" s="6">
        <v>9731365</v>
      </c>
    </row>
    <row r="2175" spans="1:9">
      <c r="A2175" s="6">
        <v>28</v>
      </c>
      <c r="B2175" s="6" t="str">
        <f t="shared" si="66"/>
        <v>Fertilizer and Pesticides</v>
      </c>
      <c r="C2175" s="6">
        <v>34</v>
      </c>
      <c r="D2175" s="6" t="str">
        <f t="shared" si="67"/>
        <v>Other Non-metallic Products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</row>
    <row r="2176" spans="1:9">
      <c r="A2176" s="6">
        <v>29</v>
      </c>
      <c r="B2176" s="6" t="str">
        <f t="shared" si="66"/>
        <v>Other Chemical Products</v>
      </c>
      <c r="C2176" s="6">
        <v>34</v>
      </c>
      <c r="D2176" s="6" t="str">
        <f t="shared" si="67"/>
        <v>Other Non-metallic Products</v>
      </c>
      <c r="E2176" s="6">
        <v>22205032</v>
      </c>
      <c r="F2176" s="6">
        <v>667244</v>
      </c>
      <c r="G2176" s="6">
        <v>659013</v>
      </c>
      <c r="H2176" s="6">
        <v>258893</v>
      </c>
      <c r="I2176" s="6">
        <v>16441619</v>
      </c>
    </row>
    <row r="2177" spans="1:9">
      <c r="A2177" s="6">
        <v>30</v>
      </c>
      <c r="B2177" s="6" t="str">
        <f t="shared" si="66"/>
        <v>Petroleum Refineries</v>
      </c>
      <c r="C2177" s="6">
        <v>34</v>
      </c>
      <c r="D2177" s="6" t="str">
        <f t="shared" si="67"/>
        <v>Other Non-metallic Products</v>
      </c>
      <c r="E2177" s="6">
        <v>10449671</v>
      </c>
      <c r="F2177" s="6">
        <v>540440</v>
      </c>
      <c r="G2177" s="6">
        <v>603563</v>
      </c>
      <c r="H2177" s="6">
        <v>93822</v>
      </c>
      <c r="I2177" s="6">
        <v>1922046</v>
      </c>
    </row>
    <row r="2178" spans="1:9">
      <c r="A2178" s="6">
        <v>31</v>
      </c>
      <c r="B2178" s="6" t="str">
        <f t="shared" si="66"/>
        <v>Rubber Products</v>
      </c>
      <c r="C2178" s="6">
        <v>34</v>
      </c>
      <c r="D2178" s="6" t="str">
        <f t="shared" si="67"/>
        <v>Other Non-metallic Products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</row>
    <row r="2179" spans="1:9">
      <c r="A2179" s="6">
        <v>32</v>
      </c>
      <c r="B2179" s="6" t="str">
        <f t="shared" si="66"/>
        <v>Plastic Wares</v>
      </c>
      <c r="C2179" s="6">
        <v>34</v>
      </c>
      <c r="D2179" s="6" t="str">
        <f t="shared" si="67"/>
        <v>Other Non-metallic Products</v>
      </c>
      <c r="E2179" s="6">
        <v>2201263</v>
      </c>
      <c r="F2179" s="6">
        <v>113403</v>
      </c>
      <c r="G2179" s="6">
        <v>179927</v>
      </c>
      <c r="H2179" s="6">
        <v>18486</v>
      </c>
      <c r="I2179" s="6">
        <v>752252</v>
      </c>
    </row>
    <row r="2180" spans="1:9">
      <c r="A2180" s="6">
        <v>33</v>
      </c>
      <c r="B2180" s="6" t="str">
        <f t="shared" ref="B2180:B2243" si="68">VLOOKUP(A2180,R:S,2,0)</f>
        <v>Cement and Concrete Products</v>
      </c>
      <c r="C2180" s="6">
        <v>34</v>
      </c>
      <c r="D2180" s="6" t="str">
        <f t="shared" ref="D2180:D2243" si="69">VLOOKUP(C2180,R:S,2,0)</f>
        <v>Other Non-metallic Products</v>
      </c>
      <c r="E2180" s="6">
        <v>16467981</v>
      </c>
      <c r="F2180" s="6">
        <v>1249163</v>
      </c>
      <c r="G2180" s="6">
        <v>723666</v>
      </c>
      <c r="H2180" s="6">
        <v>232022</v>
      </c>
      <c r="I2180" s="6">
        <v>0</v>
      </c>
    </row>
    <row r="2181" spans="1:9">
      <c r="A2181" s="6">
        <v>34</v>
      </c>
      <c r="B2181" s="6" t="str">
        <f t="shared" si="68"/>
        <v>Other Non-metallic Products</v>
      </c>
      <c r="C2181" s="6">
        <v>34</v>
      </c>
      <c r="D2181" s="6" t="str">
        <f t="shared" si="69"/>
        <v>Other Non-metallic Products</v>
      </c>
      <c r="E2181" s="6">
        <v>35605844</v>
      </c>
      <c r="F2181" s="6">
        <v>1764194</v>
      </c>
      <c r="G2181" s="6">
        <v>2460281</v>
      </c>
      <c r="H2181" s="6">
        <v>380848</v>
      </c>
      <c r="I2181" s="6">
        <v>8593484</v>
      </c>
    </row>
    <row r="2182" spans="1:9">
      <c r="A2182" s="6">
        <v>35</v>
      </c>
      <c r="B2182" s="6" t="str">
        <f t="shared" si="68"/>
        <v>Iron and Steel</v>
      </c>
      <c r="C2182" s="6">
        <v>34</v>
      </c>
      <c r="D2182" s="6" t="str">
        <f t="shared" si="69"/>
        <v>Other Non-metallic Products</v>
      </c>
      <c r="E2182" s="6">
        <v>703209</v>
      </c>
      <c r="F2182" s="6">
        <v>28243</v>
      </c>
      <c r="G2182" s="6">
        <v>69436</v>
      </c>
      <c r="H2182" s="6">
        <v>8555</v>
      </c>
      <c r="I2182" s="6">
        <v>373822</v>
      </c>
    </row>
    <row r="2183" spans="1:9">
      <c r="A2183" s="6">
        <v>36</v>
      </c>
      <c r="B2183" s="6" t="str">
        <f t="shared" si="68"/>
        <v>Non-ferrous Metal</v>
      </c>
      <c r="C2183" s="6">
        <v>34</v>
      </c>
      <c r="D2183" s="6" t="str">
        <f t="shared" si="69"/>
        <v>Other Non-metallic Products</v>
      </c>
      <c r="E2183" s="6">
        <v>326727</v>
      </c>
      <c r="F2183" s="6">
        <v>12265</v>
      </c>
      <c r="G2183" s="6">
        <v>4612</v>
      </c>
      <c r="H2183" s="6">
        <v>465</v>
      </c>
      <c r="I2183" s="6">
        <v>196523</v>
      </c>
    </row>
    <row r="2184" spans="1:9">
      <c r="A2184" s="6">
        <v>37</v>
      </c>
      <c r="B2184" s="6" t="str">
        <f t="shared" si="68"/>
        <v>Fabricated Metal Products</v>
      </c>
      <c r="C2184" s="6">
        <v>34</v>
      </c>
      <c r="D2184" s="6" t="str">
        <f t="shared" si="69"/>
        <v>Other Non-metallic Products</v>
      </c>
      <c r="E2184" s="6">
        <v>1088555</v>
      </c>
      <c r="F2184" s="6">
        <v>15183</v>
      </c>
      <c r="G2184" s="6">
        <v>32012</v>
      </c>
      <c r="H2184" s="6">
        <v>2705</v>
      </c>
      <c r="I2184" s="6">
        <v>709625</v>
      </c>
    </row>
    <row r="2185" spans="1:9">
      <c r="A2185" s="6">
        <v>38</v>
      </c>
      <c r="B2185" s="6" t="str">
        <f t="shared" si="68"/>
        <v>Industrial Machinery</v>
      </c>
      <c r="C2185" s="6">
        <v>34</v>
      </c>
      <c r="D2185" s="6" t="str">
        <f t="shared" si="69"/>
        <v>Other Non-metallic Products</v>
      </c>
      <c r="E2185" s="6">
        <v>1644929</v>
      </c>
      <c r="F2185" s="6">
        <v>83776</v>
      </c>
      <c r="G2185" s="6">
        <v>0</v>
      </c>
      <c r="H2185" s="6">
        <v>15246</v>
      </c>
      <c r="I2185" s="6">
        <v>0</v>
      </c>
    </row>
    <row r="2186" spans="1:9">
      <c r="A2186" s="6">
        <v>39</v>
      </c>
      <c r="B2186" s="6" t="str">
        <f t="shared" si="68"/>
        <v>Electrical Machinery and Apparatus</v>
      </c>
      <c r="C2186" s="6">
        <v>34</v>
      </c>
      <c r="D2186" s="6" t="str">
        <f t="shared" si="69"/>
        <v>Other Non-metallic Products</v>
      </c>
      <c r="E2186" s="6">
        <v>237389</v>
      </c>
      <c r="F2186" s="6">
        <v>13311</v>
      </c>
      <c r="G2186" s="6">
        <v>8955</v>
      </c>
      <c r="H2186" s="6">
        <v>2017</v>
      </c>
      <c r="I2186" s="6">
        <v>0</v>
      </c>
    </row>
    <row r="2187" spans="1:9">
      <c r="A2187" s="6">
        <v>40</v>
      </c>
      <c r="B2187" s="6" t="str">
        <f t="shared" si="68"/>
        <v>Motor Vehicles and Repairing</v>
      </c>
      <c r="C2187" s="6">
        <v>34</v>
      </c>
      <c r="D2187" s="6" t="str">
        <f t="shared" si="69"/>
        <v>Other Non-metallic Products</v>
      </c>
      <c r="E2187" s="6">
        <v>275692</v>
      </c>
      <c r="F2187" s="6">
        <v>0</v>
      </c>
      <c r="G2187" s="6">
        <v>0</v>
      </c>
      <c r="H2187" s="6">
        <v>0</v>
      </c>
      <c r="I2187" s="6">
        <v>0</v>
      </c>
    </row>
    <row r="2188" spans="1:9">
      <c r="A2188" s="6">
        <v>41</v>
      </c>
      <c r="B2188" s="6" t="str">
        <f t="shared" si="68"/>
        <v>Other Transportation Equipment</v>
      </c>
      <c r="C2188" s="6">
        <v>34</v>
      </c>
      <c r="D2188" s="6" t="str">
        <f t="shared" si="69"/>
        <v>Other Non-metallic Products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</row>
    <row r="2189" spans="1:9">
      <c r="A2189" s="6">
        <v>42</v>
      </c>
      <c r="B2189" s="6" t="str">
        <f t="shared" si="68"/>
        <v>Leather Products</v>
      </c>
      <c r="C2189" s="6">
        <v>34</v>
      </c>
      <c r="D2189" s="6" t="str">
        <f t="shared" si="69"/>
        <v>Other Non-metallic Products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</row>
    <row r="2190" spans="1:9">
      <c r="A2190" s="6">
        <v>43</v>
      </c>
      <c r="B2190" s="6" t="str">
        <f t="shared" si="68"/>
        <v>Saw Mills and Wood Products</v>
      </c>
      <c r="C2190" s="6">
        <v>34</v>
      </c>
      <c r="D2190" s="6" t="str">
        <f t="shared" si="69"/>
        <v>Other Non-metallic Products</v>
      </c>
      <c r="E2190" s="6">
        <v>495943</v>
      </c>
      <c r="F2190" s="6">
        <v>28186</v>
      </c>
      <c r="G2190" s="6">
        <v>44951</v>
      </c>
      <c r="H2190" s="6">
        <v>3852</v>
      </c>
      <c r="I2190" s="6">
        <v>11300</v>
      </c>
    </row>
    <row r="2191" spans="1:9">
      <c r="A2191" s="6">
        <v>44</v>
      </c>
      <c r="B2191" s="6" t="str">
        <f t="shared" si="68"/>
        <v>Other Manufacturing Products</v>
      </c>
      <c r="C2191" s="6">
        <v>34</v>
      </c>
      <c r="D2191" s="6" t="str">
        <f t="shared" si="69"/>
        <v>Other Non-metallic Products</v>
      </c>
      <c r="E2191" s="6">
        <v>193661</v>
      </c>
      <c r="F2191" s="6">
        <v>11530</v>
      </c>
      <c r="G2191" s="6">
        <v>14801</v>
      </c>
      <c r="H2191" s="6">
        <v>1930</v>
      </c>
      <c r="I2191" s="6">
        <v>8736</v>
      </c>
    </row>
    <row r="2192" spans="1:9">
      <c r="A2192" s="6">
        <v>45</v>
      </c>
      <c r="B2192" s="6" t="str">
        <f t="shared" si="68"/>
        <v>Electricity and Gas</v>
      </c>
      <c r="C2192" s="6">
        <v>34</v>
      </c>
      <c r="D2192" s="6" t="str">
        <f t="shared" si="69"/>
        <v>Other Non-metallic Products</v>
      </c>
      <c r="E2192" s="6">
        <v>11481055</v>
      </c>
      <c r="F2192" s="6">
        <v>42772</v>
      </c>
      <c r="G2192" s="6">
        <v>47866</v>
      </c>
      <c r="H2192" s="6">
        <v>8926</v>
      </c>
      <c r="I2192" s="6">
        <v>0</v>
      </c>
    </row>
    <row r="2193" spans="1:9">
      <c r="A2193" s="6">
        <v>46</v>
      </c>
      <c r="B2193" s="6" t="str">
        <f t="shared" si="68"/>
        <v>Water Works and Supply</v>
      </c>
      <c r="C2193" s="6">
        <v>34</v>
      </c>
      <c r="D2193" s="6" t="str">
        <f t="shared" si="69"/>
        <v>Other Non-metallic Products</v>
      </c>
      <c r="E2193" s="6">
        <v>110675</v>
      </c>
      <c r="F2193" s="6">
        <v>0</v>
      </c>
      <c r="G2193" s="6">
        <v>0</v>
      </c>
      <c r="H2193" s="6">
        <v>0</v>
      </c>
      <c r="I2193" s="6">
        <v>0</v>
      </c>
    </row>
    <row r="2194" spans="1:9">
      <c r="A2194" s="6">
        <v>47</v>
      </c>
      <c r="B2194" s="6" t="str">
        <f t="shared" si="68"/>
        <v>Building Construction</v>
      </c>
      <c r="C2194" s="6">
        <v>34</v>
      </c>
      <c r="D2194" s="6" t="str">
        <f t="shared" si="69"/>
        <v>Other Non-metallic Products</v>
      </c>
      <c r="E2194" s="6">
        <v>246210</v>
      </c>
      <c r="F2194" s="6">
        <v>0</v>
      </c>
      <c r="G2194" s="6">
        <v>0</v>
      </c>
      <c r="H2194" s="6">
        <v>0</v>
      </c>
      <c r="I2194" s="6">
        <v>0</v>
      </c>
    </row>
    <row r="2195" spans="1:9">
      <c r="A2195" s="6">
        <v>48</v>
      </c>
      <c r="B2195" s="6" t="str">
        <f t="shared" si="68"/>
        <v>Public Works and Other Construction</v>
      </c>
      <c r="C2195" s="6">
        <v>34</v>
      </c>
      <c r="D2195" s="6" t="str">
        <f t="shared" si="69"/>
        <v>Other Non-metallic Products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</row>
    <row r="2196" spans="1:9">
      <c r="A2196" s="6">
        <v>49</v>
      </c>
      <c r="B2196" s="6" t="str">
        <f t="shared" si="68"/>
        <v>Trade</v>
      </c>
      <c r="C2196" s="6">
        <v>34</v>
      </c>
      <c r="D2196" s="6" t="str">
        <f t="shared" si="69"/>
        <v>Other Non-metallic Products</v>
      </c>
      <c r="E2196" s="6">
        <v>0</v>
      </c>
      <c r="F2196" s="6">
        <v>-10093913</v>
      </c>
      <c r="G2196" s="6">
        <v>-5817457</v>
      </c>
      <c r="H2196" s="6">
        <v>0</v>
      </c>
      <c r="I2196" s="6">
        <v>0</v>
      </c>
    </row>
    <row r="2197" spans="1:9">
      <c r="A2197" s="6">
        <v>50</v>
      </c>
      <c r="B2197" s="6" t="str">
        <f t="shared" si="68"/>
        <v>Restaurants and Hotels</v>
      </c>
      <c r="C2197" s="6">
        <v>34</v>
      </c>
      <c r="D2197" s="6" t="str">
        <f t="shared" si="69"/>
        <v>Other Non-metallic Products</v>
      </c>
      <c r="E2197" s="6">
        <v>327475</v>
      </c>
      <c r="F2197" s="6">
        <v>0</v>
      </c>
      <c r="G2197" s="6">
        <v>0</v>
      </c>
      <c r="H2197" s="6">
        <v>0</v>
      </c>
      <c r="I2197" s="6">
        <v>0</v>
      </c>
    </row>
    <row r="2198" spans="1:9">
      <c r="A2198" s="6">
        <v>51</v>
      </c>
      <c r="B2198" s="6" t="str">
        <f t="shared" si="68"/>
        <v>Transportation</v>
      </c>
      <c r="C2198" s="6">
        <v>34</v>
      </c>
      <c r="D2198" s="6" t="str">
        <f t="shared" si="69"/>
        <v>Other Non-metallic Products</v>
      </c>
      <c r="E2198" s="6">
        <v>832192</v>
      </c>
      <c r="F2198" s="6">
        <v>0</v>
      </c>
      <c r="G2198" s="6">
        <v>0</v>
      </c>
      <c r="H2198" s="6">
        <v>-5950019</v>
      </c>
      <c r="I2198" s="6">
        <v>0</v>
      </c>
    </row>
    <row r="2199" spans="1:9">
      <c r="A2199" s="6">
        <v>52</v>
      </c>
      <c r="B2199" s="6" t="str">
        <f t="shared" si="68"/>
        <v>Communication</v>
      </c>
      <c r="C2199" s="6">
        <v>34</v>
      </c>
      <c r="D2199" s="6" t="str">
        <f t="shared" si="69"/>
        <v>Other Non-metallic Products</v>
      </c>
      <c r="E2199" s="6">
        <v>754092</v>
      </c>
      <c r="F2199" s="6">
        <v>0</v>
      </c>
      <c r="G2199" s="6">
        <v>0</v>
      </c>
      <c r="H2199" s="6">
        <v>0</v>
      </c>
      <c r="I2199" s="6">
        <v>0</v>
      </c>
    </row>
    <row r="2200" spans="1:9">
      <c r="A2200" s="6">
        <v>53</v>
      </c>
      <c r="B2200" s="6" t="str">
        <f t="shared" si="68"/>
        <v>Banking and Insurance</v>
      </c>
      <c r="C2200" s="6">
        <v>34</v>
      </c>
      <c r="D2200" s="6" t="str">
        <f t="shared" si="69"/>
        <v>Other Non-metallic Products</v>
      </c>
      <c r="E2200" s="6">
        <v>7927810</v>
      </c>
      <c r="F2200" s="6">
        <v>0</v>
      </c>
      <c r="G2200" s="6">
        <v>0</v>
      </c>
      <c r="H2200" s="6">
        <v>0</v>
      </c>
      <c r="I2200" s="6">
        <v>0</v>
      </c>
    </row>
    <row r="2201" spans="1:9">
      <c r="A2201" s="6">
        <v>54</v>
      </c>
      <c r="B2201" s="6" t="str">
        <f t="shared" si="68"/>
        <v>Real Estate</v>
      </c>
      <c r="C2201" s="6">
        <v>34</v>
      </c>
      <c r="D2201" s="6" t="str">
        <f t="shared" si="69"/>
        <v>Other Non-metallic Products</v>
      </c>
      <c r="E2201" s="6">
        <v>104828</v>
      </c>
      <c r="F2201" s="6">
        <v>0</v>
      </c>
      <c r="G2201" s="6">
        <v>0</v>
      </c>
      <c r="H2201" s="6">
        <v>0</v>
      </c>
      <c r="I2201" s="6">
        <v>0</v>
      </c>
    </row>
    <row r="2202" spans="1:9">
      <c r="A2202" s="6">
        <v>55</v>
      </c>
      <c r="B2202" s="6" t="str">
        <f t="shared" si="68"/>
        <v>Business Services</v>
      </c>
      <c r="C2202" s="6">
        <v>34</v>
      </c>
      <c r="D2202" s="6" t="str">
        <f t="shared" si="69"/>
        <v>Other Non-metallic Products</v>
      </c>
      <c r="E2202" s="6">
        <v>8935184</v>
      </c>
      <c r="F2202" s="6">
        <v>0</v>
      </c>
      <c r="G2202" s="6">
        <v>0</v>
      </c>
      <c r="H2202" s="6">
        <v>0</v>
      </c>
      <c r="I2202" s="6">
        <v>0</v>
      </c>
    </row>
    <row r="2203" spans="1:9">
      <c r="A2203" s="6">
        <v>56</v>
      </c>
      <c r="B2203" s="6" t="str">
        <f t="shared" si="68"/>
        <v>Public Services</v>
      </c>
      <c r="C2203" s="6">
        <v>34</v>
      </c>
      <c r="D2203" s="6" t="str">
        <f t="shared" si="69"/>
        <v>Other Non-metallic Products</v>
      </c>
      <c r="E2203" s="6">
        <v>456505</v>
      </c>
      <c r="F2203" s="6">
        <v>0</v>
      </c>
      <c r="G2203" s="6">
        <v>0</v>
      </c>
      <c r="H2203" s="6">
        <v>0</v>
      </c>
      <c r="I2203" s="6">
        <v>0</v>
      </c>
    </row>
    <row r="2204" spans="1:9">
      <c r="A2204" s="6">
        <v>57</v>
      </c>
      <c r="B2204" s="6" t="str">
        <f t="shared" si="68"/>
        <v>Other Services</v>
      </c>
      <c r="C2204" s="6">
        <v>34</v>
      </c>
      <c r="D2204" s="6" t="str">
        <f t="shared" si="69"/>
        <v>Other Non-metallic Products</v>
      </c>
      <c r="E2204" s="6">
        <v>210844</v>
      </c>
      <c r="F2204" s="6">
        <v>0</v>
      </c>
      <c r="G2204" s="6">
        <v>0</v>
      </c>
      <c r="H2204" s="6">
        <v>0</v>
      </c>
      <c r="I2204" s="6">
        <v>0</v>
      </c>
    </row>
    <row r="2205" spans="1:9">
      <c r="A2205" s="6">
        <v>58</v>
      </c>
      <c r="B2205" s="6" t="str">
        <f t="shared" si="68"/>
        <v>Unclassified</v>
      </c>
      <c r="C2205" s="6">
        <v>34</v>
      </c>
      <c r="D2205" s="6" t="str">
        <f t="shared" si="69"/>
        <v>Other Non-metallic Products</v>
      </c>
      <c r="E2205" s="6">
        <v>1915720</v>
      </c>
      <c r="F2205" s="6">
        <v>0</v>
      </c>
      <c r="G2205" s="6">
        <v>0</v>
      </c>
      <c r="H2205" s="6">
        <v>0</v>
      </c>
      <c r="I2205" s="6">
        <v>169684</v>
      </c>
    </row>
    <row r="2206" spans="1:9">
      <c r="A2206" s="6">
        <v>190</v>
      </c>
      <c r="B2206" s="6" t="str">
        <f t="shared" si="68"/>
        <v>Total Intermedite Transaction</v>
      </c>
      <c r="C2206" s="6">
        <v>34</v>
      </c>
      <c r="D2206" s="6" t="str">
        <f t="shared" si="69"/>
        <v>Other Non-metallic Products</v>
      </c>
      <c r="E2206" s="6">
        <v>190601782</v>
      </c>
      <c r="F2206" s="6">
        <v>0</v>
      </c>
      <c r="G2206" s="6">
        <v>0</v>
      </c>
      <c r="H2206" s="6">
        <v>0</v>
      </c>
      <c r="I2206" s="6">
        <v>44413519</v>
      </c>
    </row>
    <row r="2207" spans="1:9">
      <c r="A2207" s="6">
        <v>201</v>
      </c>
      <c r="B2207" s="6" t="str">
        <f t="shared" si="68"/>
        <v>Wages and Salaries</v>
      </c>
      <c r="C2207" s="6">
        <v>34</v>
      </c>
      <c r="D2207" s="6" t="str">
        <f t="shared" si="69"/>
        <v>Other Non-metallic Products</v>
      </c>
      <c r="E2207" s="6">
        <v>29329386</v>
      </c>
      <c r="F2207" s="6">
        <v>0</v>
      </c>
      <c r="G2207" s="6">
        <v>0</v>
      </c>
      <c r="H2207" s="6">
        <v>0</v>
      </c>
      <c r="I2207" s="6">
        <v>0</v>
      </c>
    </row>
    <row r="2208" spans="1:9">
      <c r="A2208" s="6">
        <v>202</v>
      </c>
      <c r="B2208" s="6" t="str">
        <f t="shared" si="68"/>
        <v>Operating Surplus</v>
      </c>
      <c r="C2208" s="6">
        <v>34</v>
      </c>
      <c r="D2208" s="6" t="str">
        <f t="shared" si="69"/>
        <v>Other Non-metallic Products</v>
      </c>
      <c r="E2208" s="6">
        <v>34035645</v>
      </c>
      <c r="F2208" s="6">
        <v>0</v>
      </c>
      <c r="G2208" s="6">
        <v>0</v>
      </c>
      <c r="H2208" s="6">
        <v>0</v>
      </c>
      <c r="I2208" s="6">
        <v>0</v>
      </c>
    </row>
    <row r="2209" spans="1:9">
      <c r="A2209" s="6">
        <v>203</v>
      </c>
      <c r="B2209" s="6" t="str">
        <f t="shared" si="68"/>
        <v>Depreciation</v>
      </c>
      <c r="C2209" s="6">
        <v>34</v>
      </c>
      <c r="D2209" s="6" t="str">
        <f t="shared" si="69"/>
        <v>Other Non-metallic Products</v>
      </c>
      <c r="E2209" s="6">
        <v>21217832</v>
      </c>
      <c r="F2209" s="6">
        <v>0</v>
      </c>
      <c r="G2209" s="6">
        <v>0</v>
      </c>
      <c r="H2209" s="6">
        <v>0</v>
      </c>
      <c r="I2209" s="6">
        <v>0</v>
      </c>
    </row>
    <row r="2210" spans="1:9">
      <c r="A2210" s="6">
        <v>204</v>
      </c>
      <c r="B2210" s="6" t="str">
        <f t="shared" si="68"/>
        <v>Indirect Taxes less Subsidies</v>
      </c>
      <c r="C2210" s="6">
        <v>34</v>
      </c>
      <c r="D2210" s="6" t="str">
        <f t="shared" si="69"/>
        <v>Other Non-metallic Products</v>
      </c>
      <c r="E2210" s="6">
        <v>6449318</v>
      </c>
      <c r="F2210" s="6">
        <v>0</v>
      </c>
      <c r="G2210" s="6">
        <v>0</v>
      </c>
      <c r="H2210" s="6">
        <v>0</v>
      </c>
      <c r="I2210" s="6">
        <v>0</v>
      </c>
    </row>
    <row r="2211" spans="1:9">
      <c r="A2211" s="6">
        <v>209</v>
      </c>
      <c r="B2211" s="6" t="str">
        <f t="shared" si="68"/>
        <v>Total Value Added</v>
      </c>
      <c r="C2211" s="6">
        <v>34</v>
      </c>
      <c r="D2211" s="6" t="str">
        <f t="shared" si="69"/>
        <v>Other Non-metallic Products</v>
      </c>
      <c r="E2211" s="6">
        <v>91032181</v>
      </c>
      <c r="F2211" s="6">
        <v>0</v>
      </c>
      <c r="G2211" s="6">
        <v>0</v>
      </c>
      <c r="H2211" s="6">
        <v>0</v>
      </c>
      <c r="I2211" s="6">
        <v>0</v>
      </c>
    </row>
    <row r="2212" spans="1:9">
      <c r="A2212" s="6">
        <v>210</v>
      </c>
      <c r="B2212" s="6" t="str">
        <f t="shared" si="68"/>
        <v>Control Total</v>
      </c>
      <c r="C2212" s="6">
        <v>34</v>
      </c>
      <c r="D2212" s="6" t="str">
        <f t="shared" si="69"/>
        <v>Other Non-metallic Products</v>
      </c>
      <c r="E2212" s="6">
        <v>281633963</v>
      </c>
      <c r="F2212" s="6">
        <v>0</v>
      </c>
      <c r="G2212" s="6">
        <v>0</v>
      </c>
      <c r="H2212" s="6">
        <v>0</v>
      </c>
      <c r="I2212" s="6">
        <v>0</v>
      </c>
    </row>
    <row r="2213" spans="1:9">
      <c r="A2213" s="6">
        <v>1</v>
      </c>
      <c r="B2213" s="6" t="str">
        <f t="shared" si="68"/>
        <v>Paddy</v>
      </c>
      <c r="C2213" s="6">
        <v>35</v>
      </c>
      <c r="D2213" s="6" t="str">
        <f t="shared" si="69"/>
        <v>Iron and Steel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</row>
    <row r="2214" spans="1:9">
      <c r="A2214" s="6">
        <v>2</v>
      </c>
      <c r="B2214" s="6" t="str">
        <f t="shared" si="68"/>
        <v>Maize</v>
      </c>
      <c r="C2214" s="6">
        <v>35</v>
      </c>
      <c r="D2214" s="6" t="str">
        <f t="shared" si="69"/>
        <v>Iron and Steel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</row>
    <row r="2215" spans="1:9">
      <c r="A2215" s="6">
        <v>3</v>
      </c>
      <c r="B2215" s="6" t="str">
        <f t="shared" si="68"/>
        <v>Cassava</v>
      </c>
      <c r="C2215" s="6">
        <v>35</v>
      </c>
      <c r="D2215" s="6" t="str">
        <f t="shared" si="69"/>
        <v>Iron and Steel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</row>
    <row r="2216" spans="1:9">
      <c r="A2216" s="6">
        <v>4</v>
      </c>
      <c r="B2216" s="6" t="str">
        <f t="shared" si="68"/>
        <v>Beans and Nuts</v>
      </c>
      <c r="C2216" s="6">
        <v>35</v>
      </c>
      <c r="D2216" s="6" t="str">
        <f t="shared" si="69"/>
        <v>Iron and Steel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</row>
    <row r="2217" spans="1:9">
      <c r="A2217" s="6">
        <v>5</v>
      </c>
      <c r="B2217" s="6" t="str">
        <f t="shared" si="68"/>
        <v>Vegetables and Fruits</v>
      </c>
      <c r="C2217" s="6">
        <v>35</v>
      </c>
      <c r="D2217" s="6" t="str">
        <f t="shared" si="69"/>
        <v>Iron and Steel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</row>
    <row r="2218" spans="1:9">
      <c r="A2218" s="6">
        <v>6</v>
      </c>
      <c r="B2218" s="6" t="str">
        <f t="shared" si="68"/>
        <v>Sugarcane</v>
      </c>
      <c r="C2218" s="6">
        <v>35</v>
      </c>
      <c r="D2218" s="6" t="str">
        <f t="shared" si="69"/>
        <v>Iron and Steel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</row>
    <row r="2219" spans="1:9">
      <c r="A2219" s="6">
        <v>7</v>
      </c>
      <c r="B2219" s="6" t="str">
        <f t="shared" si="68"/>
        <v>Rubber (Latex)</v>
      </c>
      <c r="C2219" s="6">
        <v>35</v>
      </c>
      <c r="D2219" s="6" t="str">
        <f t="shared" si="69"/>
        <v>Iron and Steel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</row>
    <row r="2220" spans="1:9">
      <c r="A2220" s="6">
        <v>8</v>
      </c>
      <c r="B2220" s="6" t="str">
        <f t="shared" si="68"/>
        <v>Other Crops</v>
      </c>
      <c r="C2220" s="6">
        <v>35</v>
      </c>
      <c r="D2220" s="6" t="str">
        <f t="shared" si="69"/>
        <v>Iron and Steel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</row>
    <row r="2221" spans="1:9">
      <c r="A2221" s="6">
        <v>9</v>
      </c>
      <c r="B2221" s="6" t="str">
        <f t="shared" si="68"/>
        <v>Livestock</v>
      </c>
      <c r="C2221" s="6">
        <v>35</v>
      </c>
      <c r="D2221" s="6" t="str">
        <f t="shared" si="69"/>
        <v>Iron and Steel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</row>
    <row r="2222" spans="1:9">
      <c r="A2222" s="6">
        <v>10</v>
      </c>
      <c r="B2222" s="6" t="str">
        <f t="shared" si="68"/>
        <v>Forestry</v>
      </c>
      <c r="C2222" s="6">
        <v>35</v>
      </c>
      <c r="D2222" s="6" t="str">
        <f t="shared" si="69"/>
        <v>Iron and Steel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</row>
    <row r="2223" spans="1:9">
      <c r="A2223" s="6">
        <v>11</v>
      </c>
      <c r="B2223" s="6" t="str">
        <f t="shared" si="68"/>
        <v>Fishery</v>
      </c>
      <c r="C2223" s="6">
        <v>35</v>
      </c>
      <c r="D2223" s="6" t="str">
        <f t="shared" si="69"/>
        <v>Iron and Steel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</row>
    <row r="2224" spans="1:9">
      <c r="A2224" s="6">
        <v>12</v>
      </c>
      <c r="B2224" s="6" t="str">
        <f t="shared" si="68"/>
        <v>Crude Oil and Coal</v>
      </c>
      <c r="C2224" s="6">
        <v>35</v>
      </c>
      <c r="D2224" s="6" t="str">
        <f t="shared" si="69"/>
        <v>Iron and Steel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</row>
    <row r="2225" spans="1:9">
      <c r="A2225" s="6">
        <v>13</v>
      </c>
      <c r="B2225" s="6" t="str">
        <f t="shared" si="68"/>
        <v>Metal Ore</v>
      </c>
      <c r="C2225" s="6">
        <v>35</v>
      </c>
      <c r="D2225" s="6" t="str">
        <f t="shared" si="69"/>
        <v>Iron and Steel</v>
      </c>
      <c r="E2225" s="6">
        <v>1804607</v>
      </c>
      <c r="F2225" s="6">
        <v>691</v>
      </c>
      <c r="G2225" s="6">
        <v>0</v>
      </c>
      <c r="H2225" s="6">
        <v>13637</v>
      </c>
      <c r="I2225" s="6">
        <v>78379</v>
      </c>
    </row>
    <row r="2226" spans="1:9">
      <c r="A2226" s="6">
        <v>14</v>
      </c>
      <c r="B2226" s="6" t="str">
        <f t="shared" si="68"/>
        <v>Non-Metal Ore</v>
      </c>
      <c r="C2226" s="6">
        <v>35</v>
      </c>
      <c r="D2226" s="6" t="str">
        <f t="shared" si="69"/>
        <v>Iron and Steel</v>
      </c>
      <c r="E2226" s="6">
        <v>2115112</v>
      </c>
      <c r="F2226" s="6">
        <v>173048</v>
      </c>
      <c r="G2226" s="6">
        <v>0</v>
      </c>
      <c r="H2226" s="6">
        <v>163817</v>
      </c>
      <c r="I2226" s="6">
        <v>21469</v>
      </c>
    </row>
    <row r="2227" spans="1:9">
      <c r="A2227" s="6">
        <v>15</v>
      </c>
      <c r="B2227" s="6" t="str">
        <f t="shared" si="68"/>
        <v>Slaughtering</v>
      </c>
      <c r="C2227" s="6">
        <v>35</v>
      </c>
      <c r="D2227" s="6" t="str">
        <f t="shared" si="69"/>
        <v>Iron and Steel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</row>
    <row r="2228" spans="1:9">
      <c r="A2228" s="6">
        <v>16</v>
      </c>
      <c r="B2228" s="6" t="str">
        <f t="shared" si="68"/>
        <v>Processing and Presering of Foods</v>
      </c>
      <c r="C2228" s="6">
        <v>35</v>
      </c>
      <c r="D2228" s="6" t="str">
        <f t="shared" si="69"/>
        <v>Iron and Steel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</row>
    <row r="2229" spans="1:9">
      <c r="A2229" s="6">
        <v>17</v>
      </c>
      <c r="B2229" s="6" t="str">
        <f t="shared" si="68"/>
        <v>Rice and Other Grain Milling</v>
      </c>
      <c r="C2229" s="6">
        <v>35</v>
      </c>
      <c r="D2229" s="6" t="str">
        <f t="shared" si="69"/>
        <v>Iron and Steel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</row>
    <row r="2230" spans="1:9">
      <c r="A2230" s="6">
        <v>18</v>
      </c>
      <c r="B2230" s="6" t="str">
        <f t="shared" si="68"/>
        <v>Sugar Refineries</v>
      </c>
      <c r="C2230" s="6">
        <v>35</v>
      </c>
      <c r="D2230" s="6" t="str">
        <f t="shared" si="69"/>
        <v>Iron and Steel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</row>
    <row r="2231" spans="1:9">
      <c r="A2231" s="6">
        <v>19</v>
      </c>
      <c r="B2231" s="6" t="str">
        <f t="shared" si="68"/>
        <v>Other Foods</v>
      </c>
      <c r="C2231" s="6">
        <v>35</v>
      </c>
      <c r="D2231" s="6" t="str">
        <f t="shared" si="69"/>
        <v>Iron and Steel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</row>
    <row r="2232" spans="1:9">
      <c r="A2232" s="6">
        <v>20</v>
      </c>
      <c r="B2232" s="6" t="str">
        <f t="shared" si="68"/>
        <v>Animal Food</v>
      </c>
      <c r="C2232" s="6">
        <v>35</v>
      </c>
      <c r="D2232" s="6" t="str">
        <f t="shared" si="69"/>
        <v>Iron and Steel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</row>
    <row r="2233" spans="1:9">
      <c r="A2233" s="6">
        <v>21</v>
      </c>
      <c r="B2233" s="6" t="str">
        <f t="shared" si="68"/>
        <v>Beverages</v>
      </c>
      <c r="C2233" s="6">
        <v>35</v>
      </c>
      <c r="D2233" s="6" t="str">
        <f t="shared" si="69"/>
        <v>Iron and Steel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</row>
    <row r="2234" spans="1:9">
      <c r="A2234" s="6">
        <v>22</v>
      </c>
      <c r="B2234" s="6" t="str">
        <f t="shared" si="68"/>
        <v>Tobacco Processing and Products</v>
      </c>
      <c r="C2234" s="6">
        <v>35</v>
      </c>
      <c r="D2234" s="6" t="str">
        <f t="shared" si="69"/>
        <v>Iron and Steel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</row>
    <row r="2235" spans="1:9">
      <c r="A2235" s="6">
        <v>23</v>
      </c>
      <c r="B2235" s="6" t="str">
        <f t="shared" si="68"/>
        <v>Spinning, Weaving and Bleaching</v>
      </c>
      <c r="C2235" s="6">
        <v>35</v>
      </c>
      <c r="D2235" s="6" t="str">
        <f t="shared" si="69"/>
        <v>Iron and Steel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</row>
    <row r="2236" spans="1:9">
      <c r="A2236" s="6">
        <v>24</v>
      </c>
      <c r="B2236" s="6" t="str">
        <f t="shared" si="68"/>
        <v>Textile Products</v>
      </c>
      <c r="C2236" s="6">
        <v>35</v>
      </c>
      <c r="D2236" s="6" t="str">
        <f t="shared" si="69"/>
        <v>Iron and Steel</v>
      </c>
      <c r="E2236" s="6">
        <v>59060</v>
      </c>
      <c r="F2236" s="6">
        <v>778</v>
      </c>
      <c r="G2236" s="6">
        <v>936</v>
      </c>
      <c r="H2236" s="6">
        <v>188</v>
      </c>
      <c r="I2236" s="6">
        <v>0</v>
      </c>
    </row>
    <row r="2237" spans="1:9">
      <c r="A2237" s="6">
        <v>25</v>
      </c>
      <c r="B2237" s="6" t="str">
        <f t="shared" si="68"/>
        <v>Paper and Paper Products</v>
      </c>
      <c r="C2237" s="6">
        <v>35</v>
      </c>
      <c r="D2237" s="6" t="str">
        <f t="shared" si="69"/>
        <v>Iron and Steel</v>
      </c>
      <c r="E2237" s="6">
        <v>110694</v>
      </c>
      <c r="F2237" s="6">
        <v>15972</v>
      </c>
      <c r="G2237" s="6">
        <v>14459</v>
      </c>
      <c r="H2237" s="6">
        <v>1959</v>
      </c>
      <c r="I2237" s="6">
        <v>0</v>
      </c>
    </row>
    <row r="2238" spans="1:9">
      <c r="A2238" s="6">
        <v>26</v>
      </c>
      <c r="B2238" s="6" t="str">
        <f t="shared" si="68"/>
        <v>Printing and Publishing</v>
      </c>
      <c r="C2238" s="6">
        <v>35</v>
      </c>
      <c r="D2238" s="6" t="str">
        <f t="shared" si="69"/>
        <v>Iron and Steel</v>
      </c>
      <c r="E2238" s="6">
        <v>69371</v>
      </c>
      <c r="F2238" s="6">
        <v>2550</v>
      </c>
      <c r="G2238" s="6">
        <v>6359</v>
      </c>
      <c r="H2238" s="6">
        <v>613</v>
      </c>
      <c r="I2238" s="6">
        <v>0</v>
      </c>
    </row>
    <row r="2239" spans="1:9">
      <c r="A2239" s="6">
        <v>27</v>
      </c>
      <c r="B2239" s="6" t="str">
        <f t="shared" si="68"/>
        <v>Basic Chemical Products</v>
      </c>
      <c r="C2239" s="6">
        <v>35</v>
      </c>
      <c r="D2239" s="6" t="str">
        <f t="shared" si="69"/>
        <v>Iron and Steel</v>
      </c>
      <c r="E2239" s="6">
        <v>5399137</v>
      </c>
      <c r="F2239" s="6">
        <v>301434</v>
      </c>
      <c r="G2239" s="6">
        <v>122464</v>
      </c>
      <c r="H2239" s="6">
        <v>99805</v>
      </c>
      <c r="I2239" s="6">
        <v>3683672</v>
      </c>
    </row>
    <row r="2240" spans="1:9">
      <c r="A2240" s="6">
        <v>28</v>
      </c>
      <c r="B2240" s="6" t="str">
        <f t="shared" si="68"/>
        <v>Fertilizer and Pesticides</v>
      </c>
      <c r="C2240" s="6">
        <v>35</v>
      </c>
      <c r="D2240" s="6" t="str">
        <f t="shared" si="69"/>
        <v>Iron and Steel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</row>
    <row r="2241" spans="1:9">
      <c r="A2241" s="6">
        <v>29</v>
      </c>
      <c r="B2241" s="6" t="str">
        <f t="shared" si="68"/>
        <v>Other Chemical Products</v>
      </c>
      <c r="C2241" s="6">
        <v>35</v>
      </c>
      <c r="D2241" s="6" t="str">
        <f t="shared" si="69"/>
        <v>Iron and Steel</v>
      </c>
      <c r="E2241" s="6">
        <v>1089250</v>
      </c>
      <c r="F2241" s="6">
        <v>15761</v>
      </c>
      <c r="G2241" s="6">
        <v>82404</v>
      </c>
      <c r="H2241" s="6">
        <v>8405</v>
      </c>
      <c r="I2241" s="6">
        <v>39972</v>
      </c>
    </row>
    <row r="2242" spans="1:9">
      <c r="A2242" s="6">
        <v>30</v>
      </c>
      <c r="B2242" s="6" t="str">
        <f t="shared" si="68"/>
        <v>Petroleum Refineries</v>
      </c>
      <c r="C2242" s="6">
        <v>35</v>
      </c>
      <c r="D2242" s="6" t="str">
        <f t="shared" si="69"/>
        <v>Iron and Steel</v>
      </c>
      <c r="E2242" s="6">
        <v>10988471</v>
      </c>
      <c r="F2242" s="6">
        <v>216926</v>
      </c>
      <c r="G2242" s="6">
        <v>212937</v>
      </c>
      <c r="H2242" s="6">
        <v>84443</v>
      </c>
      <c r="I2242" s="6">
        <v>1761805</v>
      </c>
    </row>
    <row r="2243" spans="1:9">
      <c r="A2243" s="6">
        <v>31</v>
      </c>
      <c r="B2243" s="6" t="str">
        <f t="shared" si="68"/>
        <v>Rubber Products</v>
      </c>
      <c r="C2243" s="6">
        <v>35</v>
      </c>
      <c r="D2243" s="6" t="str">
        <f t="shared" si="69"/>
        <v>Iron and Steel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</row>
    <row r="2244" spans="1:9">
      <c r="A2244" s="6">
        <v>32</v>
      </c>
      <c r="B2244" s="6" t="str">
        <f t="shared" ref="B2244:B2307" si="70">VLOOKUP(A2244,R:S,2,0)</f>
        <v>Plastic Wares</v>
      </c>
      <c r="C2244" s="6">
        <v>35</v>
      </c>
      <c r="D2244" s="6" t="str">
        <f t="shared" ref="D2244:D2307" si="71">VLOOKUP(C2244,R:S,2,0)</f>
        <v>Iron and Steel</v>
      </c>
      <c r="E2244" s="6">
        <v>285211</v>
      </c>
      <c r="F2244" s="6">
        <v>12711</v>
      </c>
      <c r="G2244" s="6">
        <v>16806</v>
      </c>
      <c r="H2244" s="6">
        <v>2666</v>
      </c>
      <c r="I2244" s="6">
        <v>91771</v>
      </c>
    </row>
    <row r="2245" spans="1:9">
      <c r="A2245" s="6">
        <v>33</v>
      </c>
      <c r="B2245" s="6" t="str">
        <f t="shared" si="70"/>
        <v>Cement and Concrete Products</v>
      </c>
      <c r="C2245" s="6">
        <v>35</v>
      </c>
      <c r="D2245" s="6" t="str">
        <f t="shared" si="71"/>
        <v>Iron and Steel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</row>
    <row r="2246" spans="1:9">
      <c r="A2246" s="6">
        <v>34</v>
      </c>
      <c r="B2246" s="6" t="str">
        <f t="shared" si="70"/>
        <v>Other Non-metallic Products</v>
      </c>
      <c r="C2246" s="6">
        <v>35</v>
      </c>
      <c r="D2246" s="6" t="str">
        <f t="shared" si="71"/>
        <v>Iron and Steel</v>
      </c>
      <c r="E2246" s="6">
        <v>65443</v>
      </c>
      <c r="F2246" s="6">
        <v>2833</v>
      </c>
      <c r="G2246" s="6">
        <v>3745</v>
      </c>
      <c r="H2246" s="6">
        <v>488</v>
      </c>
      <c r="I2246" s="6">
        <v>0</v>
      </c>
    </row>
    <row r="2247" spans="1:9">
      <c r="A2247" s="6">
        <v>35</v>
      </c>
      <c r="B2247" s="6" t="str">
        <f t="shared" si="70"/>
        <v>Iron and Steel</v>
      </c>
      <c r="C2247" s="6">
        <v>35</v>
      </c>
      <c r="D2247" s="6" t="str">
        <f t="shared" si="71"/>
        <v>Iron and Steel</v>
      </c>
      <c r="E2247" s="6">
        <v>151566472</v>
      </c>
      <c r="F2247" s="6">
        <v>3574576</v>
      </c>
      <c r="G2247" s="6">
        <v>351462</v>
      </c>
      <c r="H2247" s="6">
        <v>749715</v>
      </c>
      <c r="I2247" s="6">
        <v>56911386</v>
      </c>
    </row>
    <row r="2248" spans="1:9">
      <c r="A2248" s="6">
        <v>36</v>
      </c>
      <c r="B2248" s="6" t="str">
        <f t="shared" si="70"/>
        <v>Non-ferrous Metal</v>
      </c>
      <c r="C2248" s="6">
        <v>35</v>
      </c>
      <c r="D2248" s="6" t="str">
        <f t="shared" si="71"/>
        <v>Iron and Steel</v>
      </c>
      <c r="E2248" s="6">
        <v>1271911</v>
      </c>
      <c r="F2248" s="6">
        <v>73152</v>
      </c>
      <c r="G2248" s="6">
        <v>34342</v>
      </c>
      <c r="H2248" s="6">
        <v>1906</v>
      </c>
      <c r="I2248" s="6">
        <v>957757</v>
      </c>
    </row>
    <row r="2249" spans="1:9">
      <c r="A2249" s="6">
        <v>37</v>
      </c>
      <c r="B2249" s="6" t="str">
        <f t="shared" si="70"/>
        <v>Fabricated Metal Products</v>
      </c>
      <c r="C2249" s="6">
        <v>35</v>
      </c>
      <c r="D2249" s="6" t="str">
        <f t="shared" si="71"/>
        <v>Iron and Steel</v>
      </c>
      <c r="E2249" s="6">
        <v>1128523</v>
      </c>
      <c r="F2249" s="6">
        <v>12465</v>
      </c>
      <c r="G2249" s="6">
        <v>20129</v>
      </c>
      <c r="H2249" s="6">
        <v>2053</v>
      </c>
      <c r="I2249" s="6">
        <v>932841</v>
      </c>
    </row>
    <row r="2250" spans="1:9">
      <c r="A2250" s="6">
        <v>38</v>
      </c>
      <c r="B2250" s="6" t="str">
        <f t="shared" si="70"/>
        <v>Industrial Machinery</v>
      </c>
      <c r="C2250" s="6">
        <v>35</v>
      </c>
      <c r="D2250" s="6" t="str">
        <f t="shared" si="71"/>
        <v>Iron and Steel</v>
      </c>
      <c r="E2250" s="6">
        <v>1999018</v>
      </c>
      <c r="F2250" s="6">
        <v>113885</v>
      </c>
      <c r="G2250" s="6">
        <v>0</v>
      </c>
      <c r="H2250" s="6">
        <v>24463</v>
      </c>
      <c r="I2250" s="6">
        <v>0</v>
      </c>
    </row>
    <row r="2251" spans="1:9">
      <c r="A2251" s="6">
        <v>39</v>
      </c>
      <c r="B2251" s="6" t="str">
        <f t="shared" si="70"/>
        <v>Electrical Machinery and Apparatus</v>
      </c>
      <c r="C2251" s="6">
        <v>35</v>
      </c>
      <c r="D2251" s="6" t="str">
        <f t="shared" si="71"/>
        <v>Iron and Steel</v>
      </c>
      <c r="E2251" s="6">
        <v>178572</v>
      </c>
      <c r="F2251" s="6">
        <v>10225</v>
      </c>
      <c r="G2251" s="6">
        <v>7278</v>
      </c>
      <c r="H2251" s="6">
        <v>1152</v>
      </c>
      <c r="I2251" s="6">
        <v>0</v>
      </c>
    </row>
    <row r="2252" spans="1:9">
      <c r="A2252" s="6">
        <v>40</v>
      </c>
      <c r="B2252" s="6" t="str">
        <f t="shared" si="70"/>
        <v>Motor Vehicles and Repairing</v>
      </c>
      <c r="C2252" s="6">
        <v>35</v>
      </c>
      <c r="D2252" s="6" t="str">
        <f t="shared" si="71"/>
        <v>Iron and Steel</v>
      </c>
      <c r="E2252" s="6">
        <v>165480</v>
      </c>
      <c r="F2252" s="6">
        <v>0</v>
      </c>
      <c r="G2252" s="6">
        <v>0</v>
      </c>
      <c r="H2252" s="6">
        <v>0</v>
      </c>
      <c r="I2252" s="6">
        <v>0</v>
      </c>
    </row>
    <row r="2253" spans="1:9">
      <c r="A2253" s="6">
        <v>41</v>
      </c>
      <c r="B2253" s="6" t="str">
        <f t="shared" si="70"/>
        <v>Other Transportation Equipment</v>
      </c>
      <c r="C2253" s="6">
        <v>35</v>
      </c>
      <c r="D2253" s="6" t="str">
        <f t="shared" si="71"/>
        <v>Iron and Steel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</row>
    <row r="2254" spans="1:9">
      <c r="A2254" s="6">
        <v>42</v>
      </c>
      <c r="B2254" s="6" t="str">
        <f t="shared" si="70"/>
        <v>Leather Products</v>
      </c>
      <c r="C2254" s="6">
        <v>35</v>
      </c>
      <c r="D2254" s="6" t="str">
        <f t="shared" si="71"/>
        <v>Iron and Steel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</row>
    <row r="2255" spans="1:9">
      <c r="A2255" s="6">
        <v>43</v>
      </c>
      <c r="B2255" s="6" t="str">
        <f t="shared" si="70"/>
        <v>Saw Mills and Wood Products</v>
      </c>
      <c r="C2255" s="6">
        <v>35</v>
      </c>
      <c r="D2255" s="6" t="str">
        <f t="shared" si="71"/>
        <v>Iron and Steel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</row>
    <row r="2256" spans="1:9">
      <c r="A2256" s="6">
        <v>44</v>
      </c>
      <c r="B2256" s="6" t="str">
        <f t="shared" si="70"/>
        <v>Other Manufacturing Products</v>
      </c>
      <c r="C2256" s="6">
        <v>35</v>
      </c>
      <c r="D2256" s="6" t="str">
        <f t="shared" si="71"/>
        <v>Iron and Steel</v>
      </c>
      <c r="E2256" s="6">
        <v>252999</v>
      </c>
      <c r="F2256" s="6">
        <v>13589</v>
      </c>
      <c r="G2256" s="6">
        <v>11153</v>
      </c>
      <c r="H2256" s="6">
        <v>2468</v>
      </c>
      <c r="I2256" s="6">
        <v>0</v>
      </c>
    </row>
    <row r="2257" spans="1:9">
      <c r="A2257" s="6">
        <v>45</v>
      </c>
      <c r="B2257" s="6" t="str">
        <f t="shared" si="70"/>
        <v>Electricity and Gas</v>
      </c>
      <c r="C2257" s="6">
        <v>35</v>
      </c>
      <c r="D2257" s="6" t="str">
        <f t="shared" si="71"/>
        <v>Iron and Steel</v>
      </c>
      <c r="E2257" s="6">
        <v>12138123</v>
      </c>
      <c r="F2257" s="6">
        <v>4992</v>
      </c>
      <c r="G2257" s="6">
        <v>9352</v>
      </c>
      <c r="H2257" s="6">
        <v>1016</v>
      </c>
      <c r="I2257" s="6">
        <v>0</v>
      </c>
    </row>
    <row r="2258" spans="1:9">
      <c r="A2258" s="6">
        <v>46</v>
      </c>
      <c r="B2258" s="6" t="str">
        <f t="shared" si="70"/>
        <v>Water Works and Supply</v>
      </c>
      <c r="C2258" s="6">
        <v>35</v>
      </c>
      <c r="D2258" s="6" t="str">
        <f t="shared" si="71"/>
        <v>Iron and Steel</v>
      </c>
      <c r="E2258" s="6">
        <v>21244</v>
      </c>
      <c r="F2258" s="6">
        <v>0</v>
      </c>
      <c r="G2258" s="6">
        <v>0</v>
      </c>
      <c r="H2258" s="6">
        <v>0</v>
      </c>
      <c r="I2258" s="6">
        <v>0</v>
      </c>
    </row>
    <row r="2259" spans="1:9">
      <c r="A2259" s="6">
        <v>47</v>
      </c>
      <c r="B2259" s="6" t="str">
        <f t="shared" si="70"/>
        <v>Building Construction</v>
      </c>
      <c r="C2259" s="6">
        <v>35</v>
      </c>
      <c r="D2259" s="6" t="str">
        <f t="shared" si="71"/>
        <v>Iron and Steel</v>
      </c>
      <c r="E2259" s="6">
        <v>112238</v>
      </c>
      <c r="F2259" s="6">
        <v>0</v>
      </c>
      <c r="G2259" s="6">
        <v>0</v>
      </c>
      <c r="H2259" s="6">
        <v>0</v>
      </c>
      <c r="I2259" s="6">
        <v>0</v>
      </c>
    </row>
    <row r="2260" spans="1:9">
      <c r="A2260" s="6">
        <v>48</v>
      </c>
      <c r="B2260" s="6" t="str">
        <f t="shared" si="70"/>
        <v>Public Works and Other Construction</v>
      </c>
      <c r="C2260" s="6">
        <v>35</v>
      </c>
      <c r="D2260" s="6" t="str">
        <f t="shared" si="71"/>
        <v>Iron and Steel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</row>
    <row r="2261" spans="1:9">
      <c r="A2261" s="6">
        <v>49</v>
      </c>
      <c r="B2261" s="6" t="str">
        <f t="shared" si="70"/>
        <v>Trade</v>
      </c>
      <c r="C2261" s="6">
        <v>35</v>
      </c>
      <c r="D2261" s="6" t="str">
        <f t="shared" si="71"/>
        <v>Iron and Steel</v>
      </c>
      <c r="E2261" s="6">
        <v>0</v>
      </c>
      <c r="F2261" s="6">
        <v>-4545588</v>
      </c>
      <c r="G2261" s="6">
        <v>-893826</v>
      </c>
      <c r="H2261" s="6">
        <v>0</v>
      </c>
      <c r="I2261" s="6">
        <v>0</v>
      </c>
    </row>
    <row r="2262" spans="1:9">
      <c r="A2262" s="6">
        <v>50</v>
      </c>
      <c r="B2262" s="6" t="str">
        <f t="shared" si="70"/>
        <v>Restaurants and Hotels</v>
      </c>
      <c r="C2262" s="6">
        <v>35</v>
      </c>
      <c r="D2262" s="6" t="str">
        <f t="shared" si="71"/>
        <v>Iron and Steel</v>
      </c>
      <c r="E2262" s="6">
        <v>304685</v>
      </c>
      <c r="F2262" s="6">
        <v>0</v>
      </c>
      <c r="G2262" s="6">
        <v>0</v>
      </c>
      <c r="H2262" s="6">
        <v>0</v>
      </c>
      <c r="I2262" s="6">
        <v>0</v>
      </c>
    </row>
    <row r="2263" spans="1:9">
      <c r="A2263" s="6">
        <v>51</v>
      </c>
      <c r="B2263" s="6" t="str">
        <f t="shared" si="70"/>
        <v>Transportation</v>
      </c>
      <c r="C2263" s="6">
        <v>35</v>
      </c>
      <c r="D2263" s="6" t="str">
        <f t="shared" si="71"/>
        <v>Iron and Steel</v>
      </c>
      <c r="E2263" s="6">
        <v>870707</v>
      </c>
      <c r="F2263" s="6">
        <v>0</v>
      </c>
      <c r="G2263" s="6">
        <v>0</v>
      </c>
      <c r="H2263" s="6">
        <v>-1158794</v>
      </c>
      <c r="I2263" s="6">
        <v>0</v>
      </c>
    </row>
    <row r="2264" spans="1:9">
      <c r="A2264" s="6">
        <v>52</v>
      </c>
      <c r="B2264" s="6" t="str">
        <f t="shared" si="70"/>
        <v>Communication</v>
      </c>
      <c r="C2264" s="6">
        <v>35</v>
      </c>
      <c r="D2264" s="6" t="str">
        <f t="shared" si="71"/>
        <v>Iron and Steel</v>
      </c>
      <c r="E2264" s="6">
        <v>267885</v>
      </c>
      <c r="F2264" s="6">
        <v>0</v>
      </c>
      <c r="G2264" s="6">
        <v>0</v>
      </c>
      <c r="H2264" s="6">
        <v>0</v>
      </c>
      <c r="I2264" s="6">
        <v>0</v>
      </c>
    </row>
    <row r="2265" spans="1:9">
      <c r="A2265" s="6">
        <v>53</v>
      </c>
      <c r="B2265" s="6" t="str">
        <f t="shared" si="70"/>
        <v>Banking and Insurance</v>
      </c>
      <c r="C2265" s="6">
        <v>35</v>
      </c>
      <c r="D2265" s="6" t="str">
        <f t="shared" si="71"/>
        <v>Iron and Steel</v>
      </c>
      <c r="E2265" s="6">
        <v>4318564</v>
      </c>
      <c r="F2265" s="6">
        <v>0</v>
      </c>
      <c r="G2265" s="6">
        <v>0</v>
      </c>
      <c r="H2265" s="6">
        <v>0</v>
      </c>
      <c r="I2265" s="6">
        <v>0</v>
      </c>
    </row>
    <row r="2266" spans="1:9">
      <c r="A2266" s="6">
        <v>54</v>
      </c>
      <c r="B2266" s="6" t="str">
        <f t="shared" si="70"/>
        <v>Real Estate</v>
      </c>
      <c r="C2266" s="6">
        <v>35</v>
      </c>
      <c r="D2266" s="6" t="str">
        <f t="shared" si="71"/>
        <v>Iron and Steel</v>
      </c>
      <c r="E2266" s="6">
        <v>98125</v>
      </c>
      <c r="F2266" s="6">
        <v>0</v>
      </c>
      <c r="G2266" s="6">
        <v>0</v>
      </c>
      <c r="H2266" s="6">
        <v>0</v>
      </c>
      <c r="I2266" s="6">
        <v>0</v>
      </c>
    </row>
    <row r="2267" spans="1:9">
      <c r="A2267" s="6">
        <v>55</v>
      </c>
      <c r="B2267" s="6" t="str">
        <f t="shared" si="70"/>
        <v>Business Services</v>
      </c>
      <c r="C2267" s="6">
        <v>35</v>
      </c>
      <c r="D2267" s="6" t="str">
        <f t="shared" si="71"/>
        <v>Iron and Steel</v>
      </c>
      <c r="E2267" s="6">
        <v>1954168</v>
      </c>
      <c r="F2267" s="6">
        <v>0</v>
      </c>
      <c r="G2267" s="6">
        <v>0</v>
      </c>
      <c r="H2267" s="6">
        <v>0</v>
      </c>
      <c r="I2267" s="6">
        <v>0</v>
      </c>
    </row>
    <row r="2268" spans="1:9">
      <c r="A2268" s="6">
        <v>56</v>
      </c>
      <c r="B2268" s="6" t="str">
        <f t="shared" si="70"/>
        <v>Public Services</v>
      </c>
      <c r="C2268" s="6">
        <v>35</v>
      </c>
      <c r="D2268" s="6" t="str">
        <f t="shared" si="71"/>
        <v>Iron and Steel</v>
      </c>
      <c r="E2268" s="6">
        <v>93217</v>
      </c>
      <c r="F2268" s="6">
        <v>0</v>
      </c>
      <c r="G2268" s="6">
        <v>0</v>
      </c>
      <c r="H2268" s="6">
        <v>0</v>
      </c>
      <c r="I2268" s="6">
        <v>0</v>
      </c>
    </row>
    <row r="2269" spans="1:9">
      <c r="A2269" s="6">
        <v>57</v>
      </c>
      <c r="B2269" s="6" t="str">
        <f t="shared" si="70"/>
        <v>Other Services</v>
      </c>
      <c r="C2269" s="6">
        <v>35</v>
      </c>
      <c r="D2269" s="6" t="str">
        <f t="shared" si="71"/>
        <v>Iron and Steel</v>
      </c>
      <c r="E2269" s="6">
        <v>79165</v>
      </c>
      <c r="F2269" s="6">
        <v>0</v>
      </c>
      <c r="G2269" s="6">
        <v>0</v>
      </c>
      <c r="H2269" s="6">
        <v>0</v>
      </c>
      <c r="I2269" s="6">
        <v>0</v>
      </c>
    </row>
    <row r="2270" spans="1:9">
      <c r="A2270" s="6">
        <v>58</v>
      </c>
      <c r="B2270" s="6" t="str">
        <f t="shared" si="70"/>
        <v>Unclassified</v>
      </c>
      <c r="C2270" s="6">
        <v>35</v>
      </c>
      <c r="D2270" s="6" t="str">
        <f t="shared" si="71"/>
        <v>Iron and Steel</v>
      </c>
      <c r="E2270" s="6">
        <v>991417</v>
      </c>
      <c r="F2270" s="6">
        <v>0</v>
      </c>
      <c r="G2270" s="6">
        <v>0</v>
      </c>
      <c r="H2270" s="6">
        <v>0</v>
      </c>
      <c r="I2270" s="6">
        <v>103161</v>
      </c>
    </row>
    <row r="2271" spans="1:9">
      <c r="A2271" s="6">
        <v>190</v>
      </c>
      <c r="B2271" s="6" t="str">
        <f t="shared" si="70"/>
        <v>Total Intermedite Transaction</v>
      </c>
      <c r="C2271" s="6">
        <v>35</v>
      </c>
      <c r="D2271" s="6" t="str">
        <f t="shared" si="71"/>
        <v>Iron and Steel</v>
      </c>
      <c r="E2271" s="6">
        <v>199798869</v>
      </c>
      <c r="F2271" s="6">
        <v>0</v>
      </c>
      <c r="G2271" s="6">
        <v>0</v>
      </c>
      <c r="H2271" s="6">
        <v>0</v>
      </c>
      <c r="I2271" s="6">
        <v>64582213</v>
      </c>
    </row>
    <row r="2272" spans="1:9">
      <c r="A2272" s="6">
        <v>201</v>
      </c>
      <c r="B2272" s="6" t="str">
        <f t="shared" si="70"/>
        <v>Wages and Salaries</v>
      </c>
      <c r="C2272" s="6">
        <v>35</v>
      </c>
      <c r="D2272" s="6" t="str">
        <f t="shared" si="71"/>
        <v>Iron and Steel</v>
      </c>
      <c r="E2272" s="6">
        <v>18482114</v>
      </c>
      <c r="F2272" s="6">
        <v>0</v>
      </c>
      <c r="G2272" s="6">
        <v>0</v>
      </c>
      <c r="H2272" s="6">
        <v>0</v>
      </c>
      <c r="I2272" s="6">
        <v>0</v>
      </c>
    </row>
    <row r="2273" spans="1:9">
      <c r="A2273" s="6">
        <v>202</v>
      </c>
      <c r="B2273" s="6" t="str">
        <f t="shared" si="70"/>
        <v>Operating Surplus</v>
      </c>
      <c r="C2273" s="6">
        <v>35</v>
      </c>
      <c r="D2273" s="6" t="str">
        <f t="shared" si="71"/>
        <v>Iron and Steel</v>
      </c>
      <c r="E2273" s="6">
        <v>26131144</v>
      </c>
      <c r="F2273" s="6">
        <v>0</v>
      </c>
      <c r="G2273" s="6">
        <v>0</v>
      </c>
      <c r="H2273" s="6">
        <v>0</v>
      </c>
      <c r="I2273" s="6">
        <v>0</v>
      </c>
    </row>
    <row r="2274" spans="1:9">
      <c r="A2274" s="6">
        <v>203</v>
      </c>
      <c r="B2274" s="6" t="str">
        <f t="shared" si="70"/>
        <v>Depreciation</v>
      </c>
      <c r="C2274" s="6">
        <v>35</v>
      </c>
      <c r="D2274" s="6" t="str">
        <f t="shared" si="71"/>
        <v>Iron and Steel</v>
      </c>
      <c r="E2274" s="6">
        <v>9025763</v>
      </c>
      <c r="F2274" s="6">
        <v>0</v>
      </c>
      <c r="G2274" s="6">
        <v>0</v>
      </c>
      <c r="H2274" s="6">
        <v>0</v>
      </c>
      <c r="I2274" s="6">
        <v>0</v>
      </c>
    </row>
    <row r="2275" spans="1:9">
      <c r="A2275" s="6">
        <v>204</v>
      </c>
      <c r="B2275" s="6" t="str">
        <f t="shared" si="70"/>
        <v>Indirect Taxes less Subsidies</v>
      </c>
      <c r="C2275" s="6">
        <v>35</v>
      </c>
      <c r="D2275" s="6" t="str">
        <f t="shared" si="71"/>
        <v>Iron and Steel</v>
      </c>
      <c r="E2275" s="6">
        <v>8315757</v>
      </c>
      <c r="F2275" s="6">
        <v>0</v>
      </c>
      <c r="G2275" s="6">
        <v>0</v>
      </c>
      <c r="H2275" s="6">
        <v>0</v>
      </c>
      <c r="I2275" s="6">
        <v>0</v>
      </c>
    </row>
    <row r="2276" spans="1:9">
      <c r="A2276" s="6">
        <v>209</v>
      </c>
      <c r="B2276" s="6" t="str">
        <f t="shared" si="70"/>
        <v>Total Value Added</v>
      </c>
      <c r="C2276" s="6">
        <v>35</v>
      </c>
      <c r="D2276" s="6" t="str">
        <f t="shared" si="71"/>
        <v>Iron and Steel</v>
      </c>
      <c r="E2276" s="6">
        <v>61954778</v>
      </c>
      <c r="F2276" s="6">
        <v>0</v>
      </c>
      <c r="G2276" s="6">
        <v>0</v>
      </c>
      <c r="H2276" s="6">
        <v>0</v>
      </c>
      <c r="I2276" s="6">
        <v>0</v>
      </c>
    </row>
    <row r="2277" spans="1:9">
      <c r="A2277" s="6">
        <v>210</v>
      </c>
      <c r="B2277" s="6" t="str">
        <f t="shared" si="70"/>
        <v>Control Total</v>
      </c>
      <c r="C2277" s="6">
        <v>35</v>
      </c>
      <c r="D2277" s="6" t="str">
        <f t="shared" si="71"/>
        <v>Iron and Steel</v>
      </c>
      <c r="E2277" s="6">
        <v>261753647</v>
      </c>
      <c r="F2277" s="6">
        <v>0</v>
      </c>
      <c r="G2277" s="6">
        <v>0</v>
      </c>
      <c r="H2277" s="6">
        <v>0</v>
      </c>
      <c r="I2277" s="6">
        <v>0</v>
      </c>
    </row>
    <row r="2278" spans="1:9">
      <c r="A2278" s="6">
        <v>1</v>
      </c>
      <c r="B2278" s="6" t="str">
        <f t="shared" si="70"/>
        <v>Paddy</v>
      </c>
      <c r="C2278" s="6">
        <v>36</v>
      </c>
      <c r="D2278" s="6" t="str">
        <f t="shared" si="71"/>
        <v>Non-ferrous Metal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</row>
    <row r="2279" spans="1:9">
      <c r="A2279" s="6">
        <v>2</v>
      </c>
      <c r="B2279" s="6" t="str">
        <f t="shared" si="70"/>
        <v>Maize</v>
      </c>
      <c r="C2279" s="6">
        <v>36</v>
      </c>
      <c r="D2279" s="6" t="str">
        <f t="shared" si="71"/>
        <v>Non-ferrous Metal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</row>
    <row r="2280" spans="1:9">
      <c r="A2280" s="6">
        <v>3</v>
      </c>
      <c r="B2280" s="6" t="str">
        <f t="shared" si="70"/>
        <v>Cassava</v>
      </c>
      <c r="C2280" s="6">
        <v>36</v>
      </c>
      <c r="D2280" s="6" t="str">
        <f t="shared" si="71"/>
        <v>Non-ferrous Metal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</row>
    <row r="2281" spans="1:9">
      <c r="A2281" s="6">
        <v>4</v>
      </c>
      <c r="B2281" s="6" t="str">
        <f t="shared" si="70"/>
        <v>Beans and Nuts</v>
      </c>
      <c r="C2281" s="6">
        <v>36</v>
      </c>
      <c r="D2281" s="6" t="str">
        <f t="shared" si="71"/>
        <v>Non-ferrous Metal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</row>
    <row r="2282" spans="1:9">
      <c r="A2282" s="6">
        <v>5</v>
      </c>
      <c r="B2282" s="6" t="str">
        <f t="shared" si="70"/>
        <v>Vegetables and Fruits</v>
      </c>
      <c r="C2282" s="6">
        <v>36</v>
      </c>
      <c r="D2282" s="6" t="str">
        <f t="shared" si="71"/>
        <v>Non-ferrous Metal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</row>
    <row r="2283" spans="1:9">
      <c r="A2283" s="6">
        <v>6</v>
      </c>
      <c r="B2283" s="6" t="str">
        <f t="shared" si="70"/>
        <v>Sugarcane</v>
      </c>
      <c r="C2283" s="6">
        <v>36</v>
      </c>
      <c r="D2283" s="6" t="str">
        <f t="shared" si="71"/>
        <v>Non-ferrous Metal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</row>
    <row r="2284" spans="1:9">
      <c r="A2284" s="6">
        <v>7</v>
      </c>
      <c r="B2284" s="6" t="str">
        <f t="shared" si="70"/>
        <v>Rubber (Latex)</v>
      </c>
      <c r="C2284" s="6">
        <v>36</v>
      </c>
      <c r="D2284" s="6" t="str">
        <f t="shared" si="71"/>
        <v>Non-ferrous Metal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</row>
    <row r="2285" spans="1:9">
      <c r="A2285" s="6">
        <v>8</v>
      </c>
      <c r="B2285" s="6" t="str">
        <f t="shared" si="70"/>
        <v>Other Crops</v>
      </c>
      <c r="C2285" s="6">
        <v>36</v>
      </c>
      <c r="D2285" s="6" t="str">
        <f t="shared" si="71"/>
        <v>Non-ferrous Metal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</row>
    <row r="2286" spans="1:9">
      <c r="A2286" s="6">
        <v>9</v>
      </c>
      <c r="B2286" s="6" t="str">
        <f t="shared" si="70"/>
        <v>Livestock</v>
      </c>
      <c r="C2286" s="6">
        <v>36</v>
      </c>
      <c r="D2286" s="6" t="str">
        <f t="shared" si="71"/>
        <v>Non-ferrous Metal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</row>
    <row r="2287" spans="1:9">
      <c r="A2287" s="6">
        <v>10</v>
      </c>
      <c r="B2287" s="6" t="str">
        <f t="shared" si="70"/>
        <v>Forestry</v>
      </c>
      <c r="C2287" s="6">
        <v>36</v>
      </c>
      <c r="D2287" s="6" t="str">
        <f t="shared" si="71"/>
        <v>Non-ferrous Metal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</row>
    <row r="2288" spans="1:9">
      <c r="A2288" s="6">
        <v>11</v>
      </c>
      <c r="B2288" s="6" t="str">
        <f t="shared" si="70"/>
        <v>Fishery</v>
      </c>
      <c r="C2288" s="6">
        <v>36</v>
      </c>
      <c r="D2288" s="6" t="str">
        <f t="shared" si="71"/>
        <v>Non-ferrous Metal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</row>
    <row r="2289" spans="1:9">
      <c r="A2289" s="6">
        <v>12</v>
      </c>
      <c r="B2289" s="6" t="str">
        <f t="shared" si="70"/>
        <v>Crude Oil and Coal</v>
      </c>
      <c r="C2289" s="6">
        <v>36</v>
      </c>
      <c r="D2289" s="6" t="str">
        <f t="shared" si="71"/>
        <v>Non-ferrous Metal</v>
      </c>
      <c r="E2289" s="6">
        <v>5289759</v>
      </c>
      <c r="F2289" s="6">
        <v>15463</v>
      </c>
      <c r="G2289" s="6">
        <v>0</v>
      </c>
      <c r="H2289" s="6">
        <v>28192</v>
      </c>
      <c r="I2289" s="6">
        <v>3885514</v>
      </c>
    </row>
    <row r="2290" spans="1:9">
      <c r="A2290" s="6">
        <v>13</v>
      </c>
      <c r="B2290" s="6" t="str">
        <f t="shared" si="70"/>
        <v>Metal Ore</v>
      </c>
      <c r="C2290" s="6">
        <v>36</v>
      </c>
      <c r="D2290" s="6" t="str">
        <f t="shared" si="71"/>
        <v>Non-ferrous Metal</v>
      </c>
      <c r="E2290" s="6">
        <v>22835657</v>
      </c>
      <c r="F2290" s="6">
        <v>1035280</v>
      </c>
      <c r="G2290" s="6">
        <v>0</v>
      </c>
      <c r="H2290" s="6">
        <v>568192</v>
      </c>
      <c r="I2290" s="6">
        <v>18602631</v>
      </c>
    </row>
    <row r="2291" spans="1:9">
      <c r="A2291" s="6">
        <v>14</v>
      </c>
      <c r="B2291" s="6" t="str">
        <f t="shared" si="70"/>
        <v>Non-Metal Ore</v>
      </c>
      <c r="C2291" s="6">
        <v>36</v>
      </c>
      <c r="D2291" s="6" t="str">
        <f t="shared" si="71"/>
        <v>Non-ferrous Metal</v>
      </c>
      <c r="E2291" s="6">
        <v>725897</v>
      </c>
      <c r="F2291" s="6">
        <v>60451</v>
      </c>
      <c r="G2291" s="6">
        <v>0</v>
      </c>
      <c r="H2291" s="6">
        <v>46888</v>
      </c>
      <c r="I2291" s="6">
        <v>8945</v>
      </c>
    </row>
    <row r="2292" spans="1:9">
      <c r="A2292" s="6">
        <v>15</v>
      </c>
      <c r="B2292" s="6" t="str">
        <f t="shared" si="70"/>
        <v>Slaughtering</v>
      </c>
      <c r="C2292" s="6">
        <v>36</v>
      </c>
      <c r="D2292" s="6" t="str">
        <f t="shared" si="71"/>
        <v>Non-ferrous Metal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</row>
    <row r="2293" spans="1:9">
      <c r="A2293" s="6">
        <v>16</v>
      </c>
      <c r="B2293" s="6" t="str">
        <f t="shared" si="70"/>
        <v>Processing and Presering of Foods</v>
      </c>
      <c r="C2293" s="6">
        <v>36</v>
      </c>
      <c r="D2293" s="6" t="str">
        <f t="shared" si="71"/>
        <v>Non-ferrous Metal</v>
      </c>
      <c r="E2293" s="6">
        <v>38</v>
      </c>
      <c r="F2293" s="6">
        <v>2</v>
      </c>
      <c r="G2293" s="6">
        <v>1</v>
      </c>
      <c r="H2293" s="6">
        <v>0</v>
      </c>
      <c r="I2293" s="6">
        <v>0</v>
      </c>
    </row>
    <row r="2294" spans="1:9">
      <c r="A2294" s="6">
        <v>17</v>
      </c>
      <c r="B2294" s="6" t="str">
        <f t="shared" si="70"/>
        <v>Rice and Other Grain Milling</v>
      </c>
      <c r="C2294" s="6">
        <v>36</v>
      </c>
      <c r="D2294" s="6" t="str">
        <f t="shared" si="71"/>
        <v>Non-ferrous Metal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</row>
    <row r="2295" spans="1:9">
      <c r="A2295" s="6">
        <v>18</v>
      </c>
      <c r="B2295" s="6" t="str">
        <f t="shared" si="70"/>
        <v>Sugar Refineries</v>
      </c>
      <c r="C2295" s="6">
        <v>36</v>
      </c>
      <c r="D2295" s="6" t="str">
        <f t="shared" si="71"/>
        <v>Non-ferrous Metal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</row>
    <row r="2296" spans="1:9">
      <c r="A2296" s="6">
        <v>19</v>
      </c>
      <c r="B2296" s="6" t="str">
        <f t="shared" si="70"/>
        <v>Other Foods</v>
      </c>
      <c r="C2296" s="6">
        <v>36</v>
      </c>
      <c r="D2296" s="6" t="str">
        <f t="shared" si="71"/>
        <v>Non-ferrous Metal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</row>
    <row r="2297" spans="1:9">
      <c r="A2297" s="6">
        <v>20</v>
      </c>
      <c r="B2297" s="6" t="str">
        <f t="shared" si="70"/>
        <v>Animal Food</v>
      </c>
      <c r="C2297" s="6">
        <v>36</v>
      </c>
      <c r="D2297" s="6" t="str">
        <f t="shared" si="71"/>
        <v>Non-ferrous Metal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</row>
    <row r="2298" spans="1:9">
      <c r="A2298" s="6">
        <v>21</v>
      </c>
      <c r="B2298" s="6" t="str">
        <f t="shared" si="70"/>
        <v>Beverages</v>
      </c>
      <c r="C2298" s="6">
        <v>36</v>
      </c>
      <c r="D2298" s="6" t="str">
        <f t="shared" si="71"/>
        <v>Non-ferrous Metal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</row>
    <row r="2299" spans="1:9">
      <c r="A2299" s="6">
        <v>22</v>
      </c>
      <c r="B2299" s="6" t="str">
        <f t="shared" si="70"/>
        <v>Tobacco Processing and Products</v>
      </c>
      <c r="C2299" s="6">
        <v>36</v>
      </c>
      <c r="D2299" s="6" t="str">
        <f t="shared" si="71"/>
        <v>Non-ferrous Metal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</row>
    <row r="2300" spans="1:9">
      <c r="A2300" s="6">
        <v>23</v>
      </c>
      <c r="B2300" s="6" t="str">
        <f t="shared" si="70"/>
        <v>Spinning, Weaving and Bleaching</v>
      </c>
      <c r="C2300" s="6">
        <v>36</v>
      </c>
      <c r="D2300" s="6" t="str">
        <f t="shared" si="71"/>
        <v>Non-ferrous Metal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</row>
    <row r="2301" spans="1:9">
      <c r="A2301" s="6">
        <v>24</v>
      </c>
      <c r="B2301" s="6" t="str">
        <f t="shared" si="70"/>
        <v>Textile Products</v>
      </c>
      <c r="C2301" s="6">
        <v>36</v>
      </c>
      <c r="D2301" s="6" t="str">
        <f t="shared" si="71"/>
        <v>Non-ferrous Metal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</row>
    <row r="2302" spans="1:9">
      <c r="A2302" s="6">
        <v>25</v>
      </c>
      <c r="B2302" s="6" t="str">
        <f t="shared" si="70"/>
        <v>Paper and Paper Products</v>
      </c>
      <c r="C2302" s="6">
        <v>36</v>
      </c>
      <c r="D2302" s="6" t="str">
        <f t="shared" si="71"/>
        <v>Non-ferrous Metal</v>
      </c>
      <c r="E2302" s="6">
        <v>139712</v>
      </c>
      <c r="F2302" s="6">
        <v>4589</v>
      </c>
      <c r="G2302" s="6">
        <v>3843</v>
      </c>
      <c r="H2302" s="6">
        <v>1214</v>
      </c>
      <c r="I2302" s="6">
        <v>0</v>
      </c>
    </row>
    <row r="2303" spans="1:9">
      <c r="A2303" s="6">
        <v>26</v>
      </c>
      <c r="B2303" s="6" t="str">
        <f t="shared" si="70"/>
        <v>Printing and Publishing</v>
      </c>
      <c r="C2303" s="6">
        <v>36</v>
      </c>
      <c r="D2303" s="6" t="str">
        <f t="shared" si="71"/>
        <v>Non-ferrous Metal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</row>
    <row r="2304" spans="1:9">
      <c r="A2304" s="6">
        <v>27</v>
      </c>
      <c r="B2304" s="6" t="str">
        <f t="shared" si="70"/>
        <v>Basic Chemical Products</v>
      </c>
      <c r="C2304" s="6">
        <v>36</v>
      </c>
      <c r="D2304" s="6" t="str">
        <f t="shared" si="71"/>
        <v>Non-ferrous Metal</v>
      </c>
      <c r="E2304" s="6">
        <v>1799513</v>
      </c>
      <c r="F2304" s="6">
        <v>124798</v>
      </c>
      <c r="G2304" s="6">
        <v>60074</v>
      </c>
      <c r="H2304" s="6">
        <v>33744</v>
      </c>
      <c r="I2304" s="6">
        <v>945401</v>
      </c>
    </row>
    <row r="2305" spans="1:9">
      <c r="A2305" s="6">
        <v>28</v>
      </c>
      <c r="B2305" s="6" t="str">
        <f t="shared" si="70"/>
        <v>Fertilizer and Pesticides</v>
      </c>
      <c r="C2305" s="6">
        <v>36</v>
      </c>
      <c r="D2305" s="6" t="str">
        <f t="shared" si="71"/>
        <v>Non-ferrous Metal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</row>
    <row r="2306" spans="1:9">
      <c r="A2306" s="6">
        <v>29</v>
      </c>
      <c r="B2306" s="6" t="str">
        <f t="shared" si="70"/>
        <v>Other Chemical Products</v>
      </c>
      <c r="C2306" s="6">
        <v>36</v>
      </c>
      <c r="D2306" s="6" t="str">
        <f t="shared" si="71"/>
        <v>Non-ferrous Metal</v>
      </c>
      <c r="E2306" s="6">
        <v>348622</v>
      </c>
      <c r="F2306" s="6">
        <v>51760</v>
      </c>
      <c r="G2306" s="6">
        <v>61914</v>
      </c>
      <c r="H2306" s="6">
        <v>3262</v>
      </c>
      <c r="I2306" s="6">
        <v>4801</v>
      </c>
    </row>
    <row r="2307" spans="1:9">
      <c r="A2307" s="6">
        <v>30</v>
      </c>
      <c r="B2307" s="6" t="str">
        <f t="shared" si="70"/>
        <v>Petroleum Refineries</v>
      </c>
      <c r="C2307" s="6">
        <v>36</v>
      </c>
      <c r="D2307" s="6" t="str">
        <f t="shared" si="71"/>
        <v>Non-ferrous Metal</v>
      </c>
      <c r="E2307" s="6">
        <v>7112122</v>
      </c>
      <c r="F2307" s="6">
        <v>209054</v>
      </c>
      <c r="G2307" s="6">
        <v>268563</v>
      </c>
      <c r="H2307" s="6">
        <v>56992</v>
      </c>
      <c r="I2307" s="6">
        <v>1270423</v>
      </c>
    </row>
    <row r="2308" spans="1:9">
      <c r="A2308" s="6">
        <v>31</v>
      </c>
      <c r="B2308" s="6" t="str">
        <f t="shared" ref="B2308:B2371" si="72">VLOOKUP(A2308,R:S,2,0)</f>
        <v>Rubber Products</v>
      </c>
      <c r="C2308" s="6">
        <v>36</v>
      </c>
      <c r="D2308" s="6" t="str">
        <f t="shared" ref="D2308:D2371" si="73">VLOOKUP(C2308,R:S,2,0)</f>
        <v>Non-ferrous Metal</v>
      </c>
      <c r="E2308" s="6">
        <v>25626</v>
      </c>
      <c r="F2308" s="6">
        <v>1420</v>
      </c>
      <c r="G2308" s="6">
        <v>2519</v>
      </c>
      <c r="H2308" s="6">
        <v>599</v>
      </c>
      <c r="I2308" s="6">
        <v>0</v>
      </c>
    </row>
    <row r="2309" spans="1:9">
      <c r="A2309" s="6">
        <v>32</v>
      </c>
      <c r="B2309" s="6" t="str">
        <f t="shared" si="72"/>
        <v>Plastic Wares</v>
      </c>
      <c r="C2309" s="6">
        <v>36</v>
      </c>
      <c r="D2309" s="6" t="str">
        <f t="shared" si="73"/>
        <v>Non-ferrous Metal</v>
      </c>
      <c r="E2309" s="6">
        <v>321899</v>
      </c>
      <c r="F2309" s="6">
        <v>13388</v>
      </c>
      <c r="G2309" s="6">
        <v>16624</v>
      </c>
      <c r="H2309" s="6">
        <v>2721</v>
      </c>
      <c r="I2309" s="6">
        <v>104693</v>
      </c>
    </row>
    <row r="2310" spans="1:9">
      <c r="A2310" s="6">
        <v>33</v>
      </c>
      <c r="B2310" s="6" t="str">
        <f t="shared" si="72"/>
        <v>Cement and Concrete Products</v>
      </c>
      <c r="C2310" s="6">
        <v>36</v>
      </c>
      <c r="D2310" s="6" t="str">
        <f t="shared" si="73"/>
        <v>Non-ferrous Metal</v>
      </c>
      <c r="E2310" s="6">
        <v>175971</v>
      </c>
      <c r="F2310" s="6">
        <v>13095</v>
      </c>
      <c r="G2310" s="6">
        <v>5360</v>
      </c>
      <c r="H2310" s="6">
        <v>2849</v>
      </c>
      <c r="I2310" s="6">
        <v>0</v>
      </c>
    </row>
    <row r="2311" spans="1:9">
      <c r="A2311" s="6">
        <v>34</v>
      </c>
      <c r="B2311" s="6" t="str">
        <f t="shared" si="72"/>
        <v>Other Non-metallic Products</v>
      </c>
      <c r="C2311" s="6">
        <v>36</v>
      </c>
      <c r="D2311" s="6" t="str">
        <f t="shared" si="73"/>
        <v>Non-ferrous Metal</v>
      </c>
      <c r="E2311" s="6">
        <v>11548</v>
      </c>
      <c r="F2311" s="6">
        <v>653</v>
      </c>
      <c r="G2311" s="6">
        <v>764</v>
      </c>
      <c r="H2311" s="6">
        <v>76</v>
      </c>
      <c r="I2311" s="6">
        <v>0</v>
      </c>
    </row>
    <row r="2312" spans="1:9">
      <c r="A2312" s="6">
        <v>35</v>
      </c>
      <c r="B2312" s="6" t="str">
        <f t="shared" si="72"/>
        <v>Iron and Steel</v>
      </c>
      <c r="C2312" s="6">
        <v>36</v>
      </c>
      <c r="D2312" s="6" t="str">
        <f t="shared" si="73"/>
        <v>Non-ferrous Metal</v>
      </c>
      <c r="E2312" s="6">
        <v>595543</v>
      </c>
      <c r="F2312" s="6">
        <v>26001</v>
      </c>
      <c r="G2312" s="6">
        <v>26201</v>
      </c>
      <c r="H2312" s="6">
        <v>6355</v>
      </c>
      <c r="I2312" s="6">
        <v>312316</v>
      </c>
    </row>
    <row r="2313" spans="1:9">
      <c r="A2313" s="6">
        <v>36</v>
      </c>
      <c r="B2313" s="6" t="str">
        <f t="shared" si="72"/>
        <v>Non-ferrous Metal</v>
      </c>
      <c r="C2313" s="6">
        <v>36</v>
      </c>
      <c r="D2313" s="6" t="str">
        <f t="shared" si="73"/>
        <v>Non-ferrous Metal</v>
      </c>
      <c r="E2313" s="6">
        <v>35325502</v>
      </c>
      <c r="F2313" s="6">
        <v>1547904</v>
      </c>
      <c r="G2313" s="6">
        <v>1023087</v>
      </c>
      <c r="H2313" s="6">
        <v>72931</v>
      </c>
      <c r="I2313" s="6">
        <v>27694796</v>
      </c>
    </row>
    <row r="2314" spans="1:9">
      <c r="A2314" s="6">
        <v>37</v>
      </c>
      <c r="B2314" s="6" t="str">
        <f t="shared" si="72"/>
        <v>Fabricated Metal Products</v>
      </c>
      <c r="C2314" s="6">
        <v>36</v>
      </c>
      <c r="D2314" s="6" t="str">
        <f t="shared" si="73"/>
        <v>Non-ferrous Metal</v>
      </c>
      <c r="E2314" s="6">
        <v>27617</v>
      </c>
      <c r="F2314" s="6">
        <v>344</v>
      </c>
      <c r="G2314" s="6">
        <v>1049</v>
      </c>
      <c r="H2314" s="6">
        <v>81</v>
      </c>
      <c r="I2314" s="6">
        <v>16832</v>
      </c>
    </row>
    <row r="2315" spans="1:9">
      <c r="A2315" s="6">
        <v>38</v>
      </c>
      <c r="B2315" s="6" t="str">
        <f t="shared" si="72"/>
        <v>Industrial Machinery</v>
      </c>
      <c r="C2315" s="6">
        <v>36</v>
      </c>
      <c r="D2315" s="6" t="str">
        <f t="shared" si="73"/>
        <v>Non-ferrous Metal</v>
      </c>
      <c r="E2315" s="6">
        <v>778360</v>
      </c>
      <c r="F2315" s="6">
        <v>62605</v>
      </c>
      <c r="G2315" s="6">
        <v>0</v>
      </c>
      <c r="H2315" s="6">
        <v>9224</v>
      </c>
      <c r="I2315" s="6">
        <v>0</v>
      </c>
    </row>
    <row r="2316" spans="1:9">
      <c r="A2316" s="6">
        <v>39</v>
      </c>
      <c r="B2316" s="6" t="str">
        <f t="shared" si="72"/>
        <v>Electrical Machinery and Apparatus</v>
      </c>
      <c r="C2316" s="6">
        <v>36</v>
      </c>
      <c r="D2316" s="6" t="str">
        <f t="shared" si="73"/>
        <v>Non-ferrous Metal</v>
      </c>
      <c r="E2316" s="6">
        <v>18354</v>
      </c>
      <c r="F2316" s="6">
        <v>876</v>
      </c>
      <c r="G2316" s="6">
        <v>0</v>
      </c>
      <c r="H2316" s="6">
        <v>202</v>
      </c>
      <c r="I2316" s="6">
        <v>0</v>
      </c>
    </row>
    <row r="2317" spans="1:9">
      <c r="A2317" s="6">
        <v>40</v>
      </c>
      <c r="B2317" s="6" t="str">
        <f t="shared" si="72"/>
        <v>Motor Vehicles and Repairing</v>
      </c>
      <c r="C2317" s="6">
        <v>36</v>
      </c>
      <c r="D2317" s="6" t="str">
        <f t="shared" si="73"/>
        <v>Non-ferrous Metal</v>
      </c>
      <c r="E2317" s="6">
        <v>79299</v>
      </c>
      <c r="F2317" s="6">
        <v>0</v>
      </c>
      <c r="G2317" s="6">
        <v>0</v>
      </c>
      <c r="H2317" s="6">
        <v>0</v>
      </c>
      <c r="I2317" s="6">
        <v>0</v>
      </c>
    </row>
    <row r="2318" spans="1:9">
      <c r="A2318" s="6">
        <v>41</v>
      </c>
      <c r="B2318" s="6" t="str">
        <f t="shared" si="72"/>
        <v>Other Transportation Equipment</v>
      </c>
      <c r="C2318" s="6">
        <v>36</v>
      </c>
      <c r="D2318" s="6" t="str">
        <f t="shared" si="73"/>
        <v>Non-ferrous Metal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</row>
    <row r="2319" spans="1:9">
      <c r="A2319" s="6">
        <v>42</v>
      </c>
      <c r="B2319" s="6" t="str">
        <f t="shared" si="72"/>
        <v>Leather Products</v>
      </c>
      <c r="C2319" s="6">
        <v>36</v>
      </c>
      <c r="D2319" s="6" t="str">
        <f t="shared" si="73"/>
        <v>Non-ferrous Metal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</row>
    <row r="2320" spans="1:9">
      <c r="A2320" s="6">
        <v>43</v>
      </c>
      <c r="B2320" s="6" t="str">
        <f t="shared" si="72"/>
        <v>Saw Mills and Wood Products</v>
      </c>
      <c r="C2320" s="6">
        <v>36</v>
      </c>
      <c r="D2320" s="6" t="str">
        <f t="shared" si="73"/>
        <v>Non-ferrous Metal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</row>
    <row r="2321" spans="1:9">
      <c r="A2321" s="6">
        <v>44</v>
      </c>
      <c r="B2321" s="6" t="str">
        <f t="shared" si="72"/>
        <v>Other Manufacturing Products</v>
      </c>
      <c r="C2321" s="6">
        <v>36</v>
      </c>
      <c r="D2321" s="6" t="str">
        <f t="shared" si="73"/>
        <v>Non-ferrous Metal</v>
      </c>
      <c r="E2321" s="6">
        <v>60081</v>
      </c>
      <c r="F2321" s="6">
        <v>9797</v>
      </c>
      <c r="G2321" s="6">
        <v>7986</v>
      </c>
      <c r="H2321" s="6">
        <v>854</v>
      </c>
      <c r="I2321" s="6">
        <v>0</v>
      </c>
    </row>
    <row r="2322" spans="1:9">
      <c r="A2322" s="6">
        <v>45</v>
      </c>
      <c r="B2322" s="6" t="str">
        <f t="shared" si="72"/>
        <v>Electricity and Gas</v>
      </c>
      <c r="C2322" s="6">
        <v>36</v>
      </c>
      <c r="D2322" s="6" t="str">
        <f t="shared" si="73"/>
        <v>Non-ferrous Metal</v>
      </c>
      <c r="E2322" s="6">
        <v>3139207</v>
      </c>
      <c r="F2322" s="6">
        <v>7071</v>
      </c>
      <c r="G2322" s="6">
        <v>13136</v>
      </c>
      <c r="H2322" s="6">
        <v>1496</v>
      </c>
      <c r="I2322" s="6">
        <v>0</v>
      </c>
    </row>
    <row r="2323" spans="1:9">
      <c r="A2323" s="6">
        <v>46</v>
      </c>
      <c r="B2323" s="6" t="str">
        <f t="shared" si="72"/>
        <v>Water Works and Supply</v>
      </c>
      <c r="C2323" s="6">
        <v>36</v>
      </c>
      <c r="D2323" s="6" t="str">
        <f t="shared" si="73"/>
        <v>Non-ferrous Metal</v>
      </c>
      <c r="E2323" s="6">
        <v>12110</v>
      </c>
      <c r="F2323" s="6">
        <v>0</v>
      </c>
      <c r="G2323" s="6">
        <v>0</v>
      </c>
      <c r="H2323" s="6">
        <v>0</v>
      </c>
      <c r="I2323" s="6">
        <v>0</v>
      </c>
    </row>
    <row r="2324" spans="1:9">
      <c r="A2324" s="6">
        <v>47</v>
      </c>
      <c r="B2324" s="6" t="str">
        <f t="shared" si="72"/>
        <v>Building Construction</v>
      </c>
      <c r="C2324" s="6">
        <v>36</v>
      </c>
      <c r="D2324" s="6" t="str">
        <f t="shared" si="73"/>
        <v>Non-ferrous Metal</v>
      </c>
      <c r="E2324" s="6">
        <v>40946</v>
      </c>
      <c r="F2324" s="6">
        <v>0</v>
      </c>
      <c r="G2324" s="6">
        <v>0</v>
      </c>
      <c r="H2324" s="6">
        <v>0</v>
      </c>
      <c r="I2324" s="6">
        <v>0</v>
      </c>
    </row>
    <row r="2325" spans="1:9">
      <c r="A2325" s="6">
        <v>48</v>
      </c>
      <c r="B2325" s="6" t="str">
        <f t="shared" si="72"/>
        <v>Public Works and Other Construction</v>
      </c>
      <c r="C2325" s="6">
        <v>36</v>
      </c>
      <c r="D2325" s="6" t="str">
        <f t="shared" si="73"/>
        <v>Non-ferrous Metal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</row>
    <row r="2326" spans="1:9">
      <c r="A2326" s="6">
        <v>49</v>
      </c>
      <c r="B2326" s="6" t="str">
        <f t="shared" si="72"/>
        <v>Trade</v>
      </c>
      <c r="C2326" s="6">
        <v>36</v>
      </c>
      <c r="D2326" s="6" t="str">
        <f t="shared" si="73"/>
        <v>Non-ferrous Metal</v>
      </c>
      <c r="E2326" s="6">
        <v>0</v>
      </c>
      <c r="F2326" s="6">
        <v>-3184551</v>
      </c>
      <c r="G2326" s="6">
        <v>-1491121</v>
      </c>
      <c r="H2326" s="6">
        <v>0</v>
      </c>
      <c r="I2326" s="6">
        <v>0</v>
      </c>
    </row>
    <row r="2327" spans="1:9">
      <c r="A2327" s="6">
        <v>50</v>
      </c>
      <c r="B2327" s="6" t="str">
        <f t="shared" si="72"/>
        <v>Restaurants and Hotels</v>
      </c>
      <c r="C2327" s="6">
        <v>36</v>
      </c>
      <c r="D2327" s="6" t="str">
        <f t="shared" si="73"/>
        <v>Non-ferrous Metal</v>
      </c>
      <c r="E2327" s="6">
        <v>87831</v>
      </c>
      <c r="F2327" s="6">
        <v>0</v>
      </c>
      <c r="G2327" s="6">
        <v>0</v>
      </c>
      <c r="H2327" s="6">
        <v>0</v>
      </c>
      <c r="I2327" s="6">
        <v>0</v>
      </c>
    </row>
    <row r="2328" spans="1:9">
      <c r="A2328" s="6">
        <v>51</v>
      </c>
      <c r="B2328" s="6" t="str">
        <f t="shared" si="72"/>
        <v>Transportation</v>
      </c>
      <c r="C2328" s="6">
        <v>36</v>
      </c>
      <c r="D2328" s="6" t="str">
        <f t="shared" si="73"/>
        <v>Non-ferrous Metal</v>
      </c>
      <c r="E2328" s="6">
        <v>310184</v>
      </c>
      <c r="F2328" s="6">
        <v>0</v>
      </c>
      <c r="G2328" s="6">
        <v>0</v>
      </c>
      <c r="H2328" s="6">
        <v>-835872</v>
      </c>
      <c r="I2328" s="6">
        <v>0</v>
      </c>
    </row>
    <row r="2329" spans="1:9">
      <c r="A2329" s="6">
        <v>52</v>
      </c>
      <c r="B2329" s="6" t="str">
        <f t="shared" si="72"/>
        <v>Communication</v>
      </c>
      <c r="C2329" s="6">
        <v>36</v>
      </c>
      <c r="D2329" s="6" t="str">
        <f t="shared" si="73"/>
        <v>Non-ferrous Metal</v>
      </c>
      <c r="E2329" s="6">
        <v>38128</v>
      </c>
      <c r="F2329" s="6">
        <v>0</v>
      </c>
      <c r="G2329" s="6">
        <v>0</v>
      </c>
      <c r="H2329" s="6">
        <v>0</v>
      </c>
      <c r="I2329" s="6">
        <v>0</v>
      </c>
    </row>
    <row r="2330" spans="1:9">
      <c r="A2330" s="6">
        <v>53</v>
      </c>
      <c r="B2330" s="6" t="str">
        <f t="shared" si="72"/>
        <v>Banking and Insurance</v>
      </c>
      <c r="C2330" s="6">
        <v>36</v>
      </c>
      <c r="D2330" s="6" t="str">
        <f t="shared" si="73"/>
        <v>Non-ferrous Metal</v>
      </c>
      <c r="E2330" s="6">
        <v>1576072</v>
      </c>
      <c r="F2330" s="6">
        <v>0</v>
      </c>
      <c r="G2330" s="6">
        <v>0</v>
      </c>
      <c r="H2330" s="6">
        <v>0</v>
      </c>
      <c r="I2330" s="6">
        <v>0</v>
      </c>
    </row>
    <row r="2331" spans="1:9">
      <c r="A2331" s="6">
        <v>54</v>
      </c>
      <c r="B2331" s="6" t="str">
        <f t="shared" si="72"/>
        <v>Real Estate</v>
      </c>
      <c r="C2331" s="6">
        <v>36</v>
      </c>
      <c r="D2331" s="6" t="str">
        <f t="shared" si="73"/>
        <v>Non-ferrous Metal</v>
      </c>
      <c r="E2331" s="6">
        <v>9333</v>
      </c>
      <c r="F2331" s="6">
        <v>0</v>
      </c>
      <c r="G2331" s="6">
        <v>0</v>
      </c>
      <c r="H2331" s="6">
        <v>0</v>
      </c>
      <c r="I2331" s="6">
        <v>0</v>
      </c>
    </row>
    <row r="2332" spans="1:9">
      <c r="A2332" s="6">
        <v>55</v>
      </c>
      <c r="B2332" s="6" t="str">
        <f t="shared" si="72"/>
        <v>Business Services</v>
      </c>
      <c r="C2332" s="6">
        <v>36</v>
      </c>
      <c r="D2332" s="6" t="str">
        <f t="shared" si="73"/>
        <v>Non-ferrous Metal</v>
      </c>
      <c r="E2332" s="6">
        <v>976092</v>
      </c>
      <c r="F2332" s="6">
        <v>0</v>
      </c>
      <c r="G2332" s="6">
        <v>0</v>
      </c>
      <c r="H2332" s="6">
        <v>0</v>
      </c>
      <c r="I2332" s="6">
        <v>0</v>
      </c>
    </row>
    <row r="2333" spans="1:9">
      <c r="A2333" s="6">
        <v>56</v>
      </c>
      <c r="B2333" s="6" t="str">
        <f t="shared" si="72"/>
        <v>Public Services</v>
      </c>
      <c r="C2333" s="6">
        <v>36</v>
      </c>
      <c r="D2333" s="6" t="str">
        <f t="shared" si="73"/>
        <v>Non-ferrous Metal</v>
      </c>
      <c r="E2333" s="6">
        <v>35928</v>
      </c>
      <c r="F2333" s="6">
        <v>0</v>
      </c>
      <c r="G2333" s="6">
        <v>0</v>
      </c>
      <c r="H2333" s="6">
        <v>0</v>
      </c>
      <c r="I2333" s="6">
        <v>0</v>
      </c>
    </row>
    <row r="2334" spans="1:9">
      <c r="A2334" s="6">
        <v>57</v>
      </c>
      <c r="B2334" s="6" t="str">
        <f t="shared" si="72"/>
        <v>Other Services</v>
      </c>
      <c r="C2334" s="6">
        <v>36</v>
      </c>
      <c r="D2334" s="6" t="str">
        <f t="shared" si="73"/>
        <v>Non-ferrous Metal</v>
      </c>
      <c r="E2334" s="6">
        <v>177729</v>
      </c>
      <c r="F2334" s="6">
        <v>0</v>
      </c>
      <c r="G2334" s="6">
        <v>0</v>
      </c>
      <c r="H2334" s="6">
        <v>0</v>
      </c>
      <c r="I2334" s="6">
        <v>0</v>
      </c>
    </row>
    <row r="2335" spans="1:9">
      <c r="A2335" s="6">
        <v>58</v>
      </c>
      <c r="B2335" s="6" t="str">
        <f t="shared" si="72"/>
        <v>Unclassified</v>
      </c>
      <c r="C2335" s="6">
        <v>36</v>
      </c>
      <c r="D2335" s="6" t="str">
        <f t="shared" si="73"/>
        <v>Non-ferrous Metal</v>
      </c>
      <c r="E2335" s="6">
        <v>200012</v>
      </c>
      <c r="F2335" s="6">
        <v>0</v>
      </c>
      <c r="G2335" s="6">
        <v>0</v>
      </c>
      <c r="H2335" s="6">
        <v>0</v>
      </c>
      <c r="I2335" s="6">
        <v>21694</v>
      </c>
    </row>
    <row r="2336" spans="1:9">
      <c r="A2336" s="6">
        <v>190</v>
      </c>
      <c r="B2336" s="6" t="str">
        <f t="shared" si="72"/>
        <v>Total Intermedite Transaction</v>
      </c>
      <c r="C2336" s="6">
        <v>36</v>
      </c>
      <c r="D2336" s="6" t="str">
        <f t="shared" si="73"/>
        <v>Non-ferrous Metal</v>
      </c>
      <c r="E2336" s="6">
        <v>82274692</v>
      </c>
      <c r="F2336" s="6">
        <v>0</v>
      </c>
      <c r="G2336" s="6">
        <v>0</v>
      </c>
      <c r="H2336" s="6">
        <v>0</v>
      </c>
      <c r="I2336" s="6">
        <v>52868046</v>
      </c>
    </row>
    <row r="2337" spans="1:9">
      <c r="A2337" s="6">
        <v>201</v>
      </c>
      <c r="B2337" s="6" t="str">
        <f t="shared" si="72"/>
        <v>Wages and Salaries</v>
      </c>
      <c r="C2337" s="6">
        <v>36</v>
      </c>
      <c r="D2337" s="6" t="str">
        <f t="shared" si="73"/>
        <v>Non-ferrous Metal</v>
      </c>
      <c r="E2337" s="6">
        <v>19138116</v>
      </c>
      <c r="F2337" s="6">
        <v>0</v>
      </c>
      <c r="G2337" s="6">
        <v>0</v>
      </c>
      <c r="H2337" s="6">
        <v>0</v>
      </c>
      <c r="I2337" s="6">
        <v>0</v>
      </c>
    </row>
    <row r="2338" spans="1:9">
      <c r="A2338" s="6">
        <v>202</v>
      </c>
      <c r="B2338" s="6" t="str">
        <f t="shared" si="72"/>
        <v>Operating Surplus</v>
      </c>
      <c r="C2338" s="6">
        <v>36</v>
      </c>
      <c r="D2338" s="6" t="str">
        <f t="shared" si="73"/>
        <v>Non-ferrous Metal</v>
      </c>
      <c r="E2338" s="6">
        <v>24360395</v>
      </c>
      <c r="F2338" s="6">
        <v>0</v>
      </c>
      <c r="G2338" s="6">
        <v>0</v>
      </c>
      <c r="H2338" s="6">
        <v>0</v>
      </c>
      <c r="I2338" s="6">
        <v>0</v>
      </c>
    </row>
    <row r="2339" spans="1:9">
      <c r="A2339" s="6">
        <v>203</v>
      </c>
      <c r="B2339" s="6" t="str">
        <f t="shared" si="72"/>
        <v>Depreciation</v>
      </c>
      <c r="C2339" s="6">
        <v>36</v>
      </c>
      <c r="D2339" s="6" t="str">
        <f t="shared" si="73"/>
        <v>Non-ferrous Metal</v>
      </c>
      <c r="E2339" s="6">
        <v>7725868</v>
      </c>
      <c r="F2339" s="6">
        <v>0</v>
      </c>
      <c r="G2339" s="6">
        <v>0</v>
      </c>
      <c r="H2339" s="6">
        <v>0</v>
      </c>
      <c r="I2339" s="6">
        <v>0</v>
      </c>
    </row>
    <row r="2340" spans="1:9">
      <c r="A2340" s="6">
        <v>204</v>
      </c>
      <c r="B2340" s="6" t="str">
        <f t="shared" si="72"/>
        <v>Indirect Taxes less Subsidies</v>
      </c>
      <c r="C2340" s="6">
        <v>36</v>
      </c>
      <c r="D2340" s="6" t="str">
        <f t="shared" si="73"/>
        <v>Non-ferrous Metal</v>
      </c>
      <c r="E2340" s="6">
        <v>4924091</v>
      </c>
      <c r="F2340" s="6">
        <v>0</v>
      </c>
      <c r="G2340" s="6">
        <v>0</v>
      </c>
      <c r="H2340" s="6">
        <v>0</v>
      </c>
      <c r="I2340" s="6">
        <v>0</v>
      </c>
    </row>
    <row r="2341" spans="1:9">
      <c r="A2341" s="6">
        <v>209</v>
      </c>
      <c r="B2341" s="6" t="str">
        <f t="shared" si="72"/>
        <v>Total Value Added</v>
      </c>
      <c r="C2341" s="6">
        <v>36</v>
      </c>
      <c r="D2341" s="6" t="str">
        <f t="shared" si="73"/>
        <v>Non-ferrous Metal</v>
      </c>
      <c r="E2341" s="6">
        <v>56148470</v>
      </c>
      <c r="F2341" s="6">
        <v>0</v>
      </c>
      <c r="G2341" s="6">
        <v>0</v>
      </c>
      <c r="H2341" s="6">
        <v>0</v>
      </c>
      <c r="I2341" s="6">
        <v>0</v>
      </c>
    </row>
    <row r="2342" spans="1:9">
      <c r="A2342" s="6">
        <v>210</v>
      </c>
      <c r="B2342" s="6" t="str">
        <f t="shared" si="72"/>
        <v>Control Total</v>
      </c>
      <c r="C2342" s="6">
        <v>36</v>
      </c>
      <c r="D2342" s="6" t="str">
        <f t="shared" si="73"/>
        <v>Non-ferrous Metal</v>
      </c>
      <c r="E2342" s="6">
        <v>138423162</v>
      </c>
      <c r="F2342" s="6">
        <v>0</v>
      </c>
      <c r="G2342" s="6">
        <v>0</v>
      </c>
      <c r="H2342" s="6">
        <v>0</v>
      </c>
      <c r="I2342" s="6">
        <v>0</v>
      </c>
    </row>
    <row r="2343" spans="1:9">
      <c r="A2343" s="6">
        <v>1</v>
      </c>
      <c r="B2343" s="6" t="str">
        <f t="shared" si="72"/>
        <v>Paddy</v>
      </c>
      <c r="C2343" s="6">
        <v>37</v>
      </c>
      <c r="D2343" s="6" t="str">
        <f t="shared" si="73"/>
        <v>Fabricated Metal Products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</row>
    <row r="2344" spans="1:9">
      <c r="A2344" s="6">
        <v>2</v>
      </c>
      <c r="B2344" s="6" t="str">
        <f t="shared" si="72"/>
        <v>Maize</v>
      </c>
      <c r="C2344" s="6">
        <v>37</v>
      </c>
      <c r="D2344" s="6" t="str">
        <f t="shared" si="73"/>
        <v>Fabricated Metal Products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</row>
    <row r="2345" spans="1:9">
      <c r="A2345" s="6">
        <v>3</v>
      </c>
      <c r="B2345" s="6" t="str">
        <f t="shared" si="72"/>
        <v>Cassava</v>
      </c>
      <c r="C2345" s="6">
        <v>37</v>
      </c>
      <c r="D2345" s="6" t="str">
        <f t="shared" si="73"/>
        <v>Fabricated Metal Products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</row>
    <row r="2346" spans="1:9">
      <c r="A2346" s="6">
        <v>4</v>
      </c>
      <c r="B2346" s="6" t="str">
        <f t="shared" si="72"/>
        <v>Beans and Nuts</v>
      </c>
      <c r="C2346" s="6">
        <v>37</v>
      </c>
      <c r="D2346" s="6" t="str">
        <f t="shared" si="73"/>
        <v>Fabricated Metal Products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</row>
    <row r="2347" spans="1:9">
      <c r="A2347" s="6">
        <v>5</v>
      </c>
      <c r="B2347" s="6" t="str">
        <f t="shared" si="72"/>
        <v>Vegetables and Fruits</v>
      </c>
      <c r="C2347" s="6">
        <v>37</v>
      </c>
      <c r="D2347" s="6" t="str">
        <f t="shared" si="73"/>
        <v>Fabricated Metal Products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</row>
    <row r="2348" spans="1:9">
      <c r="A2348" s="6">
        <v>6</v>
      </c>
      <c r="B2348" s="6" t="str">
        <f t="shared" si="72"/>
        <v>Sugarcane</v>
      </c>
      <c r="C2348" s="6">
        <v>37</v>
      </c>
      <c r="D2348" s="6" t="str">
        <f t="shared" si="73"/>
        <v>Fabricated Metal Products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</row>
    <row r="2349" spans="1:9">
      <c r="A2349" s="6">
        <v>7</v>
      </c>
      <c r="B2349" s="6" t="str">
        <f t="shared" si="72"/>
        <v>Rubber (Latex)</v>
      </c>
      <c r="C2349" s="6">
        <v>37</v>
      </c>
      <c r="D2349" s="6" t="str">
        <f t="shared" si="73"/>
        <v>Fabricated Metal Products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</row>
    <row r="2350" spans="1:9">
      <c r="A2350" s="6">
        <v>8</v>
      </c>
      <c r="B2350" s="6" t="str">
        <f t="shared" si="72"/>
        <v>Other Crops</v>
      </c>
      <c r="C2350" s="6">
        <v>37</v>
      </c>
      <c r="D2350" s="6" t="str">
        <f t="shared" si="73"/>
        <v>Fabricated Metal Products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</row>
    <row r="2351" spans="1:9">
      <c r="A2351" s="6">
        <v>9</v>
      </c>
      <c r="B2351" s="6" t="str">
        <f t="shared" si="72"/>
        <v>Livestock</v>
      </c>
      <c r="C2351" s="6">
        <v>37</v>
      </c>
      <c r="D2351" s="6" t="str">
        <f t="shared" si="73"/>
        <v>Fabricated Metal Products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</row>
    <row r="2352" spans="1:9">
      <c r="A2352" s="6">
        <v>10</v>
      </c>
      <c r="B2352" s="6" t="str">
        <f t="shared" si="72"/>
        <v>Forestry</v>
      </c>
      <c r="C2352" s="6">
        <v>37</v>
      </c>
      <c r="D2352" s="6" t="str">
        <f t="shared" si="73"/>
        <v>Fabricated Metal Products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</row>
    <row r="2353" spans="1:9">
      <c r="A2353" s="6">
        <v>11</v>
      </c>
      <c r="B2353" s="6" t="str">
        <f t="shared" si="72"/>
        <v>Fishery</v>
      </c>
      <c r="C2353" s="6">
        <v>37</v>
      </c>
      <c r="D2353" s="6" t="str">
        <f t="shared" si="73"/>
        <v>Fabricated Metal Products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</row>
    <row r="2354" spans="1:9">
      <c r="A2354" s="6">
        <v>12</v>
      </c>
      <c r="B2354" s="6" t="str">
        <f t="shared" si="72"/>
        <v>Crude Oil and Coal</v>
      </c>
      <c r="C2354" s="6">
        <v>37</v>
      </c>
      <c r="D2354" s="6" t="str">
        <f t="shared" si="73"/>
        <v>Fabricated Metal Products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</row>
    <row r="2355" spans="1:9">
      <c r="A2355" s="6">
        <v>13</v>
      </c>
      <c r="B2355" s="6" t="str">
        <f t="shared" si="72"/>
        <v>Metal Ore</v>
      </c>
      <c r="C2355" s="6">
        <v>37</v>
      </c>
      <c r="D2355" s="6" t="str">
        <f t="shared" si="73"/>
        <v>Fabricated Metal Products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</row>
    <row r="2356" spans="1:9">
      <c r="A2356" s="6">
        <v>14</v>
      </c>
      <c r="B2356" s="6" t="str">
        <f t="shared" si="72"/>
        <v>Non-Metal Ore</v>
      </c>
      <c r="C2356" s="6">
        <v>37</v>
      </c>
      <c r="D2356" s="6" t="str">
        <f t="shared" si="73"/>
        <v>Fabricated Metal Products</v>
      </c>
      <c r="E2356" s="6">
        <v>262073</v>
      </c>
      <c r="F2356" s="6">
        <v>28067</v>
      </c>
      <c r="G2356" s="6">
        <v>0</v>
      </c>
      <c r="H2356" s="6">
        <v>30382</v>
      </c>
      <c r="I2356" s="6">
        <v>0</v>
      </c>
    </row>
    <row r="2357" spans="1:9">
      <c r="A2357" s="6">
        <v>15</v>
      </c>
      <c r="B2357" s="6" t="str">
        <f t="shared" si="72"/>
        <v>Slaughtering</v>
      </c>
      <c r="C2357" s="6">
        <v>37</v>
      </c>
      <c r="D2357" s="6" t="str">
        <f t="shared" si="73"/>
        <v>Fabricated Metal Products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</row>
    <row r="2358" spans="1:9">
      <c r="A2358" s="6">
        <v>16</v>
      </c>
      <c r="B2358" s="6" t="str">
        <f t="shared" si="72"/>
        <v>Processing and Presering of Foods</v>
      </c>
      <c r="C2358" s="6">
        <v>37</v>
      </c>
      <c r="D2358" s="6" t="str">
        <f t="shared" si="73"/>
        <v>Fabricated Metal Products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</row>
    <row r="2359" spans="1:9">
      <c r="A2359" s="6">
        <v>17</v>
      </c>
      <c r="B2359" s="6" t="str">
        <f t="shared" si="72"/>
        <v>Rice and Other Grain Milling</v>
      </c>
      <c r="C2359" s="6">
        <v>37</v>
      </c>
      <c r="D2359" s="6" t="str">
        <f t="shared" si="73"/>
        <v>Fabricated Metal Products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</row>
    <row r="2360" spans="1:9">
      <c r="A2360" s="6">
        <v>18</v>
      </c>
      <c r="B2360" s="6" t="str">
        <f t="shared" si="72"/>
        <v>Sugar Refineries</v>
      </c>
      <c r="C2360" s="6">
        <v>37</v>
      </c>
      <c r="D2360" s="6" t="str">
        <f t="shared" si="73"/>
        <v>Fabricated Metal Products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</row>
    <row r="2361" spans="1:9">
      <c r="A2361" s="6">
        <v>19</v>
      </c>
      <c r="B2361" s="6" t="str">
        <f t="shared" si="72"/>
        <v>Other Foods</v>
      </c>
      <c r="C2361" s="6">
        <v>37</v>
      </c>
      <c r="D2361" s="6" t="str">
        <f t="shared" si="73"/>
        <v>Fabricated Metal Products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</row>
    <row r="2362" spans="1:9">
      <c r="A2362" s="6">
        <v>20</v>
      </c>
      <c r="B2362" s="6" t="str">
        <f t="shared" si="72"/>
        <v>Animal Food</v>
      </c>
      <c r="C2362" s="6">
        <v>37</v>
      </c>
      <c r="D2362" s="6" t="str">
        <f t="shared" si="73"/>
        <v>Fabricated Metal Products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</row>
    <row r="2363" spans="1:9">
      <c r="A2363" s="6">
        <v>21</v>
      </c>
      <c r="B2363" s="6" t="str">
        <f t="shared" si="72"/>
        <v>Beverages</v>
      </c>
      <c r="C2363" s="6">
        <v>37</v>
      </c>
      <c r="D2363" s="6" t="str">
        <f t="shared" si="73"/>
        <v>Fabricated Metal Products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</row>
    <row r="2364" spans="1:9">
      <c r="A2364" s="6">
        <v>22</v>
      </c>
      <c r="B2364" s="6" t="str">
        <f t="shared" si="72"/>
        <v>Tobacco Processing and Products</v>
      </c>
      <c r="C2364" s="6">
        <v>37</v>
      </c>
      <c r="D2364" s="6" t="str">
        <f t="shared" si="73"/>
        <v>Fabricated Metal Products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</row>
    <row r="2365" spans="1:9">
      <c r="A2365" s="6">
        <v>23</v>
      </c>
      <c r="B2365" s="6" t="str">
        <f t="shared" si="72"/>
        <v>Spinning, Weaving and Bleaching</v>
      </c>
      <c r="C2365" s="6">
        <v>37</v>
      </c>
      <c r="D2365" s="6" t="str">
        <f t="shared" si="73"/>
        <v>Fabricated Metal Products</v>
      </c>
      <c r="E2365" s="6">
        <v>54043</v>
      </c>
      <c r="F2365" s="6">
        <v>5489</v>
      </c>
      <c r="G2365" s="6">
        <v>3910</v>
      </c>
      <c r="H2365" s="6">
        <v>722</v>
      </c>
      <c r="I2365" s="6">
        <v>0</v>
      </c>
    </row>
    <row r="2366" spans="1:9">
      <c r="A2366" s="6">
        <v>24</v>
      </c>
      <c r="B2366" s="6" t="str">
        <f t="shared" si="72"/>
        <v>Textile Products</v>
      </c>
      <c r="C2366" s="6">
        <v>37</v>
      </c>
      <c r="D2366" s="6" t="str">
        <f t="shared" si="73"/>
        <v>Fabricated Metal Products</v>
      </c>
      <c r="E2366" s="6">
        <v>119831</v>
      </c>
      <c r="F2366" s="6">
        <v>10369</v>
      </c>
      <c r="G2366" s="6">
        <v>18584</v>
      </c>
      <c r="H2366" s="6">
        <v>852</v>
      </c>
      <c r="I2366" s="6">
        <v>42379</v>
      </c>
    </row>
    <row r="2367" spans="1:9">
      <c r="A2367" s="6">
        <v>25</v>
      </c>
      <c r="B2367" s="6" t="str">
        <f t="shared" si="72"/>
        <v>Paper and Paper Products</v>
      </c>
      <c r="C2367" s="6">
        <v>37</v>
      </c>
      <c r="D2367" s="6" t="str">
        <f t="shared" si="73"/>
        <v>Fabricated Metal Products</v>
      </c>
      <c r="E2367" s="6">
        <v>1010785</v>
      </c>
      <c r="F2367" s="6">
        <v>53770</v>
      </c>
      <c r="G2367" s="6">
        <v>32481</v>
      </c>
      <c r="H2367" s="6">
        <v>9970</v>
      </c>
      <c r="I2367" s="6">
        <v>0</v>
      </c>
    </row>
    <row r="2368" spans="1:9">
      <c r="A2368" s="6">
        <v>26</v>
      </c>
      <c r="B2368" s="6" t="str">
        <f t="shared" si="72"/>
        <v>Printing and Publishing</v>
      </c>
      <c r="C2368" s="6">
        <v>37</v>
      </c>
      <c r="D2368" s="6" t="str">
        <f t="shared" si="73"/>
        <v>Fabricated Metal Products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</row>
    <row r="2369" spans="1:9">
      <c r="A2369" s="6">
        <v>27</v>
      </c>
      <c r="B2369" s="6" t="str">
        <f t="shared" si="72"/>
        <v>Basic Chemical Products</v>
      </c>
      <c r="C2369" s="6">
        <v>37</v>
      </c>
      <c r="D2369" s="6" t="str">
        <f t="shared" si="73"/>
        <v>Fabricated Metal Products</v>
      </c>
      <c r="E2369" s="6">
        <v>9385422</v>
      </c>
      <c r="F2369" s="6">
        <v>703230</v>
      </c>
      <c r="G2369" s="6">
        <v>383944</v>
      </c>
      <c r="H2369" s="6">
        <v>160846</v>
      </c>
      <c r="I2369" s="6">
        <v>4258408</v>
      </c>
    </row>
    <row r="2370" spans="1:9">
      <c r="A2370" s="6">
        <v>28</v>
      </c>
      <c r="B2370" s="6" t="str">
        <f t="shared" si="72"/>
        <v>Fertilizer and Pesticides</v>
      </c>
      <c r="C2370" s="6">
        <v>37</v>
      </c>
      <c r="D2370" s="6" t="str">
        <f t="shared" si="73"/>
        <v>Fabricated Metal Products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</row>
    <row r="2371" spans="1:9">
      <c r="A2371" s="6">
        <v>29</v>
      </c>
      <c r="B2371" s="6" t="str">
        <f t="shared" si="72"/>
        <v>Other Chemical Products</v>
      </c>
      <c r="C2371" s="6">
        <v>37</v>
      </c>
      <c r="D2371" s="6" t="str">
        <f t="shared" si="73"/>
        <v>Fabricated Metal Products</v>
      </c>
      <c r="E2371" s="6">
        <v>10525598</v>
      </c>
      <c r="F2371" s="6">
        <v>640652</v>
      </c>
      <c r="G2371" s="6">
        <v>570085</v>
      </c>
      <c r="H2371" s="6">
        <v>107802</v>
      </c>
      <c r="I2371" s="6">
        <v>4406065</v>
      </c>
    </row>
    <row r="2372" spans="1:9">
      <c r="A2372" s="6">
        <v>30</v>
      </c>
      <c r="B2372" s="6" t="str">
        <f t="shared" ref="B2372:B2435" si="74">VLOOKUP(A2372,R:S,2,0)</f>
        <v>Petroleum Refineries</v>
      </c>
      <c r="C2372" s="6">
        <v>37</v>
      </c>
      <c r="D2372" s="6" t="str">
        <f t="shared" ref="D2372:D2435" si="75">VLOOKUP(C2372,R:S,2,0)</f>
        <v>Fabricated Metal Products</v>
      </c>
      <c r="E2372" s="6">
        <v>5028448</v>
      </c>
      <c r="F2372" s="6">
        <v>226451</v>
      </c>
      <c r="G2372" s="6">
        <v>254871</v>
      </c>
      <c r="H2372" s="6">
        <v>43254</v>
      </c>
      <c r="I2372" s="6">
        <v>919385</v>
      </c>
    </row>
    <row r="2373" spans="1:9">
      <c r="A2373" s="6">
        <v>31</v>
      </c>
      <c r="B2373" s="6" t="str">
        <f t="shared" si="74"/>
        <v>Rubber Products</v>
      </c>
      <c r="C2373" s="6">
        <v>37</v>
      </c>
      <c r="D2373" s="6" t="str">
        <f t="shared" si="75"/>
        <v>Fabricated Metal Products</v>
      </c>
      <c r="E2373" s="6">
        <v>211739</v>
      </c>
      <c r="F2373" s="6">
        <v>23348</v>
      </c>
      <c r="G2373" s="6">
        <v>34061</v>
      </c>
      <c r="H2373" s="6">
        <v>6471</v>
      </c>
      <c r="I2373" s="6">
        <v>0</v>
      </c>
    </row>
    <row r="2374" spans="1:9">
      <c r="A2374" s="6">
        <v>32</v>
      </c>
      <c r="B2374" s="6" t="str">
        <f t="shared" si="74"/>
        <v>Plastic Wares</v>
      </c>
      <c r="C2374" s="6">
        <v>37</v>
      </c>
      <c r="D2374" s="6" t="str">
        <f t="shared" si="75"/>
        <v>Fabricated Metal Products</v>
      </c>
      <c r="E2374" s="6">
        <v>6164463</v>
      </c>
      <c r="F2374" s="6">
        <v>212389</v>
      </c>
      <c r="G2374" s="6">
        <v>336691</v>
      </c>
      <c r="H2374" s="6">
        <v>42810</v>
      </c>
      <c r="I2374" s="6">
        <v>2189220</v>
      </c>
    </row>
    <row r="2375" spans="1:9">
      <c r="A2375" s="6">
        <v>33</v>
      </c>
      <c r="B2375" s="6" t="str">
        <f t="shared" si="74"/>
        <v>Cement and Concrete Products</v>
      </c>
      <c r="C2375" s="6">
        <v>37</v>
      </c>
      <c r="D2375" s="6" t="str">
        <f t="shared" si="75"/>
        <v>Fabricated Metal Products</v>
      </c>
      <c r="E2375" s="6">
        <v>1074240</v>
      </c>
      <c r="F2375" s="6">
        <v>69642</v>
      </c>
      <c r="G2375" s="6">
        <v>48593</v>
      </c>
      <c r="H2375" s="6">
        <v>14628</v>
      </c>
      <c r="I2375" s="6">
        <v>0</v>
      </c>
    </row>
    <row r="2376" spans="1:9">
      <c r="A2376" s="6">
        <v>34</v>
      </c>
      <c r="B2376" s="6" t="str">
        <f t="shared" si="74"/>
        <v>Other Non-metallic Products</v>
      </c>
      <c r="C2376" s="6">
        <v>37</v>
      </c>
      <c r="D2376" s="6" t="str">
        <f t="shared" si="75"/>
        <v>Fabricated Metal Products</v>
      </c>
      <c r="E2376" s="6">
        <v>2242348</v>
      </c>
      <c r="F2376" s="6">
        <v>140223</v>
      </c>
      <c r="G2376" s="6">
        <v>78785</v>
      </c>
      <c r="H2376" s="6">
        <v>19514</v>
      </c>
      <c r="I2376" s="6">
        <v>0</v>
      </c>
    </row>
    <row r="2377" spans="1:9">
      <c r="A2377" s="6">
        <v>35</v>
      </c>
      <c r="B2377" s="6" t="str">
        <f t="shared" si="74"/>
        <v>Iron and Steel</v>
      </c>
      <c r="C2377" s="6">
        <v>37</v>
      </c>
      <c r="D2377" s="6" t="str">
        <f t="shared" si="75"/>
        <v>Fabricated Metal Products</v>
      </c>
      <c r="E2377" s="6">
        <v>177227063</v>
      </c>
      <c r="F2377" s="6">
        <v>6367441</v>
      </c>
      <c r="G2377" s="6">
        <v>7083756</v>
      </c>
      <c r="H2377" s="6">
        <v>1729972</v>
      </c>
      <c r="I2377" s="6">
        <v>124686993</v>
      </c>
    </row>
    <row r="2378" spans="1:9">
      <c r="A2378" s="6">
        <v>36</v>
      </c>
      <c r="B2378" s="6" t="str">
        <f t="shared" si="74"/>
        <v>Non-ferrous Metal</v>
      </c>
      <c r="C2378" s="6">
        <v>37</v>
      </c>
      <c r="D2378" s="6" t="str">
        <f t="shared" si="75"/>
        <v>Fabricated Metal Products</v>
      </c>
      <c r="E2378" s="6">
        <v>59710744</v>
      </c>
      <c r="F2378" s="6">
        <v>3064526</v>
      </c>
      <c r="G2378" s="6">
        <v>1225814</v>
      </c>
      <c r="H2378" s="6">
        <v>85479</v>
      </c>
      <c r="I2378" s="6">
        <v>43850281</v>
      </c>
    </row>
    <row r="2379" spans="1:9">
      <c r="A2379" s="6">
        <v>37</v>
      </c>
      <c r="B2379" s="6" t="str">
        <f t="shared" si="74"/>
        <v>Fabricated Metal Products</v>
      </c>
      <c r="C2379" s="6">
        <v>37</v>
      </c>
      <c r="D2379" s="6" t="str">
        <f t="shared" si="75"/>
        <v>Fabricated Metal Products</v>
      </c>
      <c r="E2379" s="6">
        <v>24414306</v>
      </c>
      <c r="F2379" s="6">
        <v>245998</v>
      </c>
      <c r="G2379" s="6">
        <v>710617</v>
      </c>
      <c r="H2379" s="6">
        <v>48676</v>
      </c>
      <c r="I2379" s="6">
        <v>21435581</v>
      </c>
    </row>
    <row r="2380" spans="1:9">
      <c r="A2380" s="6">
        <v>38</v>
      </c>
      <c r="B2380" s="6" t="str">
        <f t="shared" si="74"/>
        <v>Industrial Machinery</v>
      </c>
      <c r="C2380" s="6">
        <v>37</v>
      </c>
      <c r="D2380" s="6" t="str">
        <f t="shared" si="75"/>
        <v>Fabricated Metal Products</v>
      </c>
      <c r="E2380" s="6">
        <v>2520425</v>
      </c>
      <c r="F2380" s="6">
        <v>140145</v>
      </c>
      <c r="G2380" s="6">
        <v>0</v>
      </c>
      <c r="H2380" s="6">
        <v>23146</v>
      </c>
      <c r="I2380" s="6">
        <v>281684</v>
      </c>
    </row>
    <row r="2381" spans="1:9">
      <c r="A2381" s="6">
        <v>39</v>
      </c>
      <c r="B2381" s="6" t="str">
        <f t="shared" si="74"/>
        <v>Electrical Machinery and Apparatus</v>
      </c>
      <c r="C2381" s="6">
        <v>37</v>
      </c>
      <c r="D2381" s="6" t="str">
        <f t="shared" si="75"/>
        <v>Fabricated Metal Products</v>
      </c>
      <c r="E2381" s="6">
        <v>1771190</v>
      </c>
      <c r="F2381" s="6">
        <v>77273</v>
      </c>
      <c r="G2381" s="6">
        <v>90020</v>
      </c>
      <c r="H2381" s="6">
        <v>10022</v>
      </c>
      <c r="I2381" s="6">
        <v>0</v>
      </c>
    </row>
    <row r="2382" spans="1:9">
      <c r="A2382" s="6">
        <v>40</v>
      </c>
      <c r="B2382" s="6" t="str">
        <f t="shared" si="74"/>
        <v>Motor Vehicles and Repairing</v>
      </c>
      <c r="C2382" s="6">
        <v>37</v>
      </c>
      <c r="D2382" s="6" t="str">
        <f t="shared" si="75"/>
        <v>Fabricated Metal Products</v>
      </c>
      <c r="E2382" s="6">
        <v>807431</v>
      </c>
      <c r="F2382" s="6">
        <v>0</v>
      </c>
      <c r="G2382" s="6">
        <v>0</v>
      </c>
      <c r="H2382" s="6">
        <v>0</v>
      </c>
      <c r="I2382" s="6">
        <v>0</v>
      </c>
    </row>
    <row r="2383" spans="1:9">
      <c r="A2383" s="6">
        <v>41</v>
      </c>
      <c r="B2383" s="6" t="str">
        <f t="shared" si="74"/>
        <v>Other Transportation Equipment</v>
      </c>
      <c r="C2383" s="6">
        <v>37</v>
      </c>
      <c r="D2383" s="6" t="str">
        <f t="shared" si="75"/>
        <v>Fabricated Metal Products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</row>
    <row r="2384" spans="1:9">
      <c r="A2384" s="6">
        <v>42</v>
      </c>
      <c r="B2384" s="6" t="str">
        <f t="shared" si="74"/>
        <v>Leather Products</v>
      </c>
      <c r="C2384" s="6">
        <v>37</v>
      </c>
      <c r="D2384" s="6" t="str">
        <f t="shared" si="75"/>
        <v>Fabricated Metal Products</v>
      </c>
      <c r="E2384" s="6">
        <v>3148395</v>
      </c>
      <c r="F2384" s="6">
        <v>209309</v>
      </c>
      <c r="G2384" s="6">
        <v>116658</v>
      </c>
      <c r="H2384" s="6">
        <v>15079</v>
      </c>
      <c r="I2384" s="6">
        <v>2403931</v>
      </c>
    </row>
    <row r="2385" spans="1:9">
      <c r="A2385" s="6">
        <v>43</v>
      </c>
      <c r="B2385" s="6" t="str">
        <f t="shared" si="74"/>
        <v>Saw Mills and Wood Products</v>
      </c>
      <c r="C2385" s="6">
        <v>37</v>
      </c>
      <c r="D2385" s="6" t="str">
        <f t="shared" si="75"/>
        <v>Fabricated Metal Products</v>
      </c>
      <c r="E2385" s="6">
        <v>1606135</v>
      </c>
      <c r="F2385" s="6">
        <v>70071</v>
      </c>
      <c r="G2385" s="6">
        <v>136933</v>
      </c>
      <c r="H2385" s="6">
        <v>14319</v>
      </c>
      <c r="I2385" s="6">
        <v>0</v>
      </c>
    </row>
    <row r="2386" spans="1:9">
      <c r="A2386" s="6">
        <v>44</v>
      </c>
      <c r="B2386" s="6" t="str">
        <f t="shared" si="74"/>
        <v>Other Manufacturing Products</v>
      </c>
      <c r="C2386" s="6">
        <v>37</v>
      </c>
      <c r="D2386" s="6" t="str">
        <f t="shared" si="75"/>
        <v>Fabricated Metal Products</v>
      </c>
      <c r="E2386" s="6">
        <v>532989</v>
      </c>
      <c r="F2386" s="6">
        <v>63510</v>
      </c>
      <c r="G2386" s="6">
        <v>63984</v>
      </c>
      <c r="H2386" s="6">
        <v>6651</v>
      </c>
      <c r="I2386" s="6">
        <v>4624</v>
      </c>
    </row>
    <row r="2387" spans="1:9">
      <c r="A2387" s="6">
        <v>45</v>
      </c>
      <c r="B2387" s="6" t="str">
        <f t="shared" si="74"/>
        <v>Electricity and Gas</v>
      </c>
      <c r="C2387" s="6">
        <v>37</v>
      </c>
      <c r="D2387" s="6" t="str">
        <f t="shared" si="75"/>
        <v>Fabricated Metal Products</v>
      </c>
      <c r="E2387" s="6">
        <v>8583184</v>
      </c>
      <c r="F2387" s="6">
        <v>10873</v>
      </c>
      <c r="G2387" s="6">
        <v>19464</v>
      </c>
      <c r="H2387" s="6">
        <v>2425</v>
      </c>
      <c r="I2387" s="6">
        <v>0</v>
      </c>
    </row>
    <row r="2388" spans="1:9">
      <c r="A2388" s="6">
        <v>46</v>
      </c>
      <c r="B2388" s="6" t="str">
        <f t="shared" si="74"/>
        <v>Water Works and Supply</v>
      </c>
      <c r="C2388" s="6">
        <v>37</v>
      </c>
      <c r="D2388" s="6" t="str">
        <f t="shared" si="75"/>
        <v>Fabricated Metal Products</v>
      </c>
      <c r="E2388" s="6">
        <v>102616</v>
      </c>
      <c r="F2388" s="6">
        <v>0</v>
      </c>
      <c r="G2388" s="6">
        <v>0</v>
      </c>
      <c r="H2388" s="6">
        <v>0</v>
      </c>
      <c r="I2388" s="6">
        <v>0</v>
      </c>
    </row>
    <row r="2389" spans="1:9">
      <c r="A2389" s="6">
        <v>47</v>
      </c>
      <c r="B2389" s="6" t="str">
        <f t="shared" si="74"/>
        <v>Building Construction</v>
      </c>
      <c r="C2389" s="6">
        <v>37</v>
      </c>
      <c r="D2389" s="6" t="str">
        <f t="shared" si="75"/>
        <v>Fabricated Metal Products</v>
      </c>
      <c r="E2389" s="6">
        <v>385592</v>
      </c>
      <c r="F2389" s="6">
        <v>0</v>
      </c>
      <c r="G2389" s="6">
        <v>0</v>
      </c>
      <c r="H2389" s="6">
        <v>0</v>
      </c>
      <c r="I2389" s="6">
        <v>0</v>
      </c>
    </row>
    <row r="2390" spans="1:9">
      <c r="A2390" s="6">
        <v>48</v>
      </c>
      <c r="B2390" s="6" t="str">
        <f t="shared" si="74"/>
        <v>Public Works and Other Construction</v>
      </c>
      <c r="C2390" s="6">
        <v>37</v>
      </c>
      <c r="D2390" s="6" t="str">
        <f t="shared" si="75"/>
        <v>Fabricated Metal Products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</row>
    <row r="2391" spans="1:9">
      <c r="A2391" s="6">
        <v>49</v>
      </c>
      <c r="B2391" s="6" t="str">
        <f t="shared" si="74"/>
        <v>Trade</v>
      </c>
      <c r="C2391" s="6">
        <v>37</v>
      </c>
      <c r="D2391" s="6" t="str">
        <f t="shared" si="75"/>
        <v>Fabricated Metal Products</v>
      </c>
      <c r="E2391" s="6">
        <v>0</v>
      </c>
      <c r="F2391" s="6">
        <v>-12362776</v>
      </c>
      <c r="G2391" s="6">
        <v>-11209251</v>
      </c>
      <c r="H2391" s="6">
        <v>0</v>
      </c>
      <c r="I2391" s="6">
        <v>0</v>
      </c>
    </row>
    <row r="2392" spans="1:9">
      <c r="A2392" s="6">
        <v>50</v>
      </c>
      <c r="B2392" s="6" t="str">
        <f t="shared" si="74"/>
        <v>Restaurants and Hotels</v>
      </c>
      <c r="C2392" s="6">
        <v>37</v>
      </c>
      <c r="D2392" s="6" t="str">
        <f t="shared" si="75"/>
        <v>Fabricated Metal Products</v>
      </c>
      <c r="E2392" s="6">
        <v>1050224</v>
      </c>
      <c r="F2392" s="6">
        <v>0</v>
      </c>
      <c r="G2392" s="6">
        <v>0</v>
      </c>
      <c r="H2392" s="6">
        <v>0</v>
      </c>
      <c r="I2392" s="6">
        <v>0</v>
      </c>
    </row>
    <row r="2393" spans="1:9">
      <c r="A2393" s="6">
        <v>51</v>
      </c>
      <c r="B2393" s="6" t="str">
        <f t="shared" si="74"/>
        <v>Transportation</v>
      </c>
      <c r="C2393" s="6">
        <v>37</v>
      </c>
      <c r="D2393" s="6" t="str">
        <f t="shared" si="75"/>
        <v>Fabricated Metal Products</v>
      </c>
      <c r="E2393" s="6">
        <v>2685742</v>
      </c>
      <c r="F2393" s="6">
        <v>0</v>
      </c>
      <c r="G2393" s="6">
        <v>0</v>
      </c>
      <c r="H2393" s="6">
        <v>-2373020</v>
      </c>
      <c r="I2393" s="6">
        <v>0</v>
      </c>
    </row>
    <row r="2394" spans="1:9">
      <c r="A2394" s="6">
        <v>52</v>
      </c>
      <c r="B2394" s="6" t="str">
        <f t="shared" si="74"/>
        <v>Communication</v>
      </c>
      <c r="C2394" s="6">
        <v>37</v>
      </c>
      <c r="D2394" s="6" t="str">
        <f t="shared" si="75"/>
        <v>Fabricated Metal Products</v>
      </c>
      <c r="E2394" s="6">
        <v>678605</v>
      </c>
      <c r="F2394" s="6">
        <v>0</v>
      </c>
      <c r="G2394" s="6">
        <v>0</v>
      </c>
      <c r="H2394" s="6">
        <v>0</v>
      </c>
      <c r="I2394" s="6">
        <v>0</v>
      </c>
    </row>
    <row r="2395" spans="1:9">
      <c r="A2395" s="6">
        <v>53</v>
      </c>
      <c r="B2395" s="6" t="str">
        <f t="shared" si="74"/>
        <v>Banking and Insurance</v>
      </c>
      <c r="C2395" s="6">
        <v>37</v>
      </c>
      <c r="D2395" s="6" t="str">
        <f t="shared" si="75"/>
        <v>Fabricated Metal Products</v>
      </c>
      <c r="E2395" s="6">
        <v>6077310</v>
      </c>
      <c r="F2395" s="6">
        <v>0</v>
      </c>
      <c r="G2395" s="6">
        <v>0</v>
      </c>
      <c r="H2395" s="6">
        <v>0</v>
      </c>
      <c r="I2395" s="6">
        <v>0</v>
      </c>
    </row>
    <row r="2396" spans="1:9">
      <c r="A2396" s="6">
        <v>54</v>
      </c>
      <c r="B2396" s="6" t="str">
        <f t="shared" si="74"/>
        <v>Real Estate</v>
      </c>
      <c r="C2396" s="6">
        <v>37</v>
      </c>
      <c r="D2396" s="6" t="str">
        <f t="shared" si="75"/>
        <v>Fabricated Metal Products</v>
      </c>
      <c r="E2396" s="6">
        <v>138207</v>
      </c>
      <c r="F2396" s="6">
        <v>0</v>
      </c>
      <c r="G2396" s="6">
        <v>0</v>
      </c>
      <c r="H2396" s="6">
        <v>0</v>
      </c>
      <c r="I2396" s="6">
        <v>0</v>
      </c>
    </row>
    <row r="2397" spans="1:9">
      <c r="A2397" s="6">
        <v>55</v>
      </c>
      <c r="B2397" s="6" t="str">
        <f t="shared" si="74"/>
        <v>Business Services</v>
      </c>
      <c r="C2397" s="6">
        <v>37</v>
      </c>
      <c r="D2397" s="6" t="str">
        <f t="shared" si="75"/>
        <v>Fabricated Metal Products</v>
      </c>
      <c r="E2397" s="6">
        <v>5650220</v>
      </c>
      <c r="F2397" s="6">
        <v>0</v>
      </c>
      <c r="G2397" s="6">
        <v>0</v>
      </c>
      <c r="H2397" s="6">
        <v>0</v>
      </c>
      <c r="I2397" s="6">
        <v>0</v>
      </c>
    </row>
    <row r="2398" spans="1:9">
      <c r="A2398" s="6">
        <v>56</v>
      </c>
      <c r="B2398" s="6" t="str">
        <f t="shared" si="74"/>
        <v>Public Services</v>
      </c>
      <c r="C2398" s="6">
        <v>37</v>
      </c>
      <c r="D2398" s="6" t="str">
        <f t="shared" si="75"/>
        <v>Fabricated Metal Products</v>
      </c>
      <c r="E2398" s="6">
        <v>254240</v>
      </c>
      <c r="F2398" s="6">
        <v>0</v>
      </c>
      <c r="G2398" s="6">
        <v>0</v>
      </c>
      <c r="H2398" s="6">
        <v>0</v>
      </c>
      <c r="I2398" s="6">
        <v>0</v>
      </c>
    </row>
    <row r="2399" spans="1:9">
      <c r="A2399" s="6">
        <v>57</v>
      </c>
      <c r="B2399" s="6" t="str">
        <f t="shared" si="74"/>
        <v>Other Services</v>
      </c>
      <c r="C2399" s="6">
        <v>37</v>
      </c>
      <c r="D2399" s="6" t="str">
        <f t="shared" si="75"/>
        <v>Fabricated Metal Products</v>
      </c>
      <c r="E2399" s="6">
        <v>339065</v>
      </c>
      <c r="F2399" s="6">
        <v>0</v>
      </c>
      <c r="G2399" s="6">
        <v>0</v>
      </c>
      <c r="H2399" s="6">
        <v>0</v>
      </c>
      <c r="I2399" s="6">
        <v>0</v>
      </c>
    </row>
    <row r="2400" spans="1:9">
      <c r="A2400" s="6">
        <v>58</v>
      </c>
      <c r="B2400" s="6" t="str">
        <f t="shared" si="74"/>
        <v>Unclassified</v>
      </c>
      <c r="C2400" s="6">
        <v>37</v>
      </c>
      <c r="D2400" s="6" t="str">
        <f t="shared" si="75"/>
        <v>Fabricated Metal Products</v>
      </c>
      <c r="E2400" s="6">
        <v>1078372</v>
      </c>
      <c r="F2400" s="6">
        <v>0</v>
      </c>
      <c r="G2400" s="6">
        <v>0</v>
      </c>
      <c r="H2400" s="6">
        <v>0</v>
      </c>
      <c r="I2400" s="6">
        <v>108436</v>
      </c>
    </row>
    <row r="2401" spans="1:9">
      <c r="A2401" s="6">
        <v>190</v>
      </c>
      <c r="B2401" s="6" t="str">
        <f t="shared" si="74"/>
        <v>Total Intermedite Transaction</v>
      </c>
      <c r="C2401" s="6">
        <v>37</v>
      </c>
      <c r="D2401" s="6" t="str">
        <f t="shared" si="75"/>
        <v>Fabricated Metal Products</v>
      </c>
      <c r="E2401" s="6">
        <v>334841045</v>
      </c>
      <c r="F2401" s="6">
        <v>0</v>
      </c>
      <c r="G2401" s="6">
        <v>0</v>
      </c>
      <c r="H2401" s="6">
        <v>0</v>
      </c>
      <c r="I2401" s="6">
        <v>204586987</v>
      </c>
    </row>
    <row r="2402" spans="1:9">
      <c r="A2402" s="6">
        <v>201</v>
      </c>
      <c r="B2402" s="6" t="str">
        <f t="shared" si="74"/>
        <v>Wages and Salaries</v>
      </c>
      <c r="C2402" s="6">
        <v>37</v>
      </c>
      <c r="D2402" s="6" t="str">
        <f t="shared" si="75"/>
        <v>Fabricated Metal Products</v>
      </c>
      <c r="E2402" s="6">
        <v>53518694</v>
      </c>
      <c r="F2402" s="6">
        <v>0</v>
      </c>
      <c r="G2402" s="6">
        <v>0</v>
      </c>
      <c r="H2402" s="6">
        <v>0</v>
      </c>
      <c r="I2402" s="6">
        <v>0</v>
      </c>
    </row>
    <row r="2403" spans="1:9">
      <c r="A2403" s="6">
        <v>202</v>
      </c>
      <c r="B2403" s="6" t="str">
        <f t="shared" si="74"/>
        <v>Operating Surplus</v>
      </c>
      <c r="C2403" s="6">
        <v>37</v>
      </c>
      <c r="D2403" s="6" t="str">
        <f t="shared" si="75"/>
        <v>Fabricated Metal Products</v>
      </c>
      <c r="E2403" s="6">
        <v>83521995</v>
      </c>
      <c r="F2403" s="6">
        <v>0</v>
      </c>
      <c r="G2403" s="6">
        <v>0</v>
      </c>
      <c r="H2403" s="6">
        <v>0</v>
      </c>
      <c r="I2403" s="6">
        <v>0</v>
      </c>
    </row>
    <row r="2404" spans="1:9">
      <c r="A2404" s="6">
        <v>203</v>
      </c>
      <c r="B2404" s="6" t="str">
        <f t="shared" si="74"/>
        <v>Depreciation</v>
      </c>
      <c r="C2404" s="6">
        <v>37</v>
      </c>
      <c r="D2404" s="6" t="str">
        <f t="shared" si="75"/>
        <v>Fabricated Metal Products</v>
      </c>
      <c r="E2404" s="6">
        <v>24961642</v>
      </c>
      <c r="F2404" s="6">
        <v>0</v>
      </c>
      <c r="G2404" s="6">
        <v>0</v>
      </c>
      <c r="H2404" s="6">
        <v>0</v>
      </c>
      <c r="I2404" s="6">
        <v>0</v>
      </c>
    </row>
    <row r="2405" spans="1:9">
      <c r="A2405" s="6">
        <v>204</v>
      </c>
      <c r="B2405" s="6" t="str">
        <f t="shared" si="74"/>
        <v>Indirect Taxes less Subsidies</v>
      </c>
      <c r="C2405" s="6">
        <v>37</v>
      </c>
      <c r="D2405" s="6" t="str">
        <f t="shared" si="75"/>
        <v>Fabricated Metal Products</v>
      </c>
      <c r="E2405" s="6">
        <v>13275908</v>
      </c>
      <c r="F2405" s="6">
        <v>0</v>
      </c>
      <c r="G2405" s="6">
        <v>0</v>
      </c>
      <c r="H2405" s="6">
        <v>0</v>
      </c>
      <c r="I2405" s="6">
        <v>0</v>
      </c>
    </row>
    <row r="2406" spans="1:9">
      <c r="A2406" s="6">
        <v>209</v>
      </c>
      <c r="B2406" s="6" t="str">
        <f t="shared" si="74"/>
        <v>Total Value Added</v>
      </c>
      <c r="C2406" s="6">
        <v>37</v>
      </c>
      <c r="D2406" s="6" t="str">
        <f t="shared" si="75"/>
        <v>Fabricated Metal Products</v>
      </c>
      <c r="E2406" s="6">
        <v>175278239</v>
      </c>
      <c r="F2406" s="6">
        <v>0</v>
      </c>
      <c r="G2406" s="6">
        <v>0</v>
      </c>
      <c r="H2406" s="6">
        <v>0</v>
      </c>
      <c r="I2406" s="6">
        <v>0</v>
      </c>
    </row>
    <row r="2407" spans="1:9">
      <c r="A2407" s="6">
        <v>210</v>
      </c>
      <c r="B2407" s="6" t="str">
        <f t="shared" si="74"/>
        <v>Control Total</v>
      </c>
      <c r="C2407" s="6">
        <v>37</v>
      </c>
      <c r="D2407" s="6" t="str">
        <f t="shared" si="75"/>
        <v>Fabricated Metal Products</v>
      </c>
      <c r="E2407" s="6">
        <v>510119284</v>
      </c>
      <c r="F2407" s="6">
        <v>0</v>
      </c>
      <c r="G2407" s="6">
        <v>0</v>
      </c>
      <c r="H2407" s="6">
        <v>0</v>
      </c>
      <c r="I2407" s="6">
        <v>0</v>
      </c>
    </row>
    <row r="2408" spans="1:9">
      <c r="A2408" s="6">
        <v>1</v>
      </c>
      <c r="B2408" s="6" t="str">
        <f t="shared" si="74"/>
        <v>Paddy</v>
      </c>
      <c r="C2408" s="6">
        <v>38</v>
      </c>
      <c r="D2408" s="6" t="str">
        <f t="shared" si="75"/>
        <v>Industrial Machinery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</row>
    <row r="2409" spans="1:9">
      <c r="A2409" s="6">
        <v>2</v>
      </c>
      <c r="B2409" s="6" t="str">
        <f t="shared" si="74"/>
        <v>Maize</v>
      </c>
      <c r="C2409" s="6">
        <v>38</v>
      </c>
      <c r="D2409" s="6" t="str">
        <f t="shared" si="75"/>
        <v>Industrial Machinery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</row>
    <row r="2410" spans="1:9">
      <c r="A2410" s="6">
        <v>3</v>
      </c>
      <c r="B2410" s="6" t="str">
        <f t="shared" si="74"/>
        <v>Cassava</v>
      </c>
      <c r="C2410" s="6">
        <v>38</v>
      </c>
      <c r="D2410" s="6" t="str">
        <f t="shared" si="75"/>
        <v>Industrial Machinery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</row>
    <row r="2411" spans="1:9">
      <c r="A2411" s="6">
        <v>4</v>
      </c>
      <c r="B2411" s="6" t="str">
        <f t="shared" si="74"/>
        <v>Beans and Nuts</v>
      </c>
      <c r="C2411" s="6">
        <v>38</v>
      </c>
      <c r="D2411" s="6" t="str">
        <f t="shared" si="75"/>
        <v>Industrial Machinery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</row>
    <row r="2412" spans="1:9">
      <c r="A2412" s="6">
        <v>5</v>
      </c>
      <c r="B2412" s="6" t="str">
        <f t="shared" si="74"/>
        <v>Vegetables and Fruits</v>
      </c>
      <c r="C2412" s="6">
        <v>38</v>
      </c>
      <c r="D2412" s="6" t="str">
        <f t="shared" si="75"/>
        <v>Industrial Machinery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</row>
    <row r="2413" spans="1:9">
      <c r="A2413" s="6">
        <v>6</v>
      </c>
      <c r="B2413" s="6" t="str">
        <f t="shared" si="74"/>
        <v>Sugarcane</v>
      </c>
      <c r="C2413" s="6">
        <v>38</v>
      </c>
      <c r="D2413" s="6" t="str">
        <f t="shared" si="75"/>
        <v>Industrial Machinery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</row>
    <row r="2414" spans="1:9">
      <c r="A2414" s="6">
        <v>7</v>
      </c>
      <c r="B2414" s="6" t="str">
        <f t="shared" si="74"/>
        <v>Rubber (Latex)</v>
      </c>
      <c r="C2414" s="6">
        <v>38</v>
      </c>
      <c r="D2414" s="6" t="str">
        <f t="shared" si="75"/>
        <v>Industrial Machinery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</row>
    <row r="2415" spans="1:9">
      <c r="A2415" s="6">
        <v>8</v>
      </c>
      <c r="B2415" s="6" t="str">
        <f t="shared" si="74"/>
        <v>Other Crops</v>
      </c>
      <c r="C2415" s="6">
        <v>38</v>
      </c>
      <c r="D2415" s="6" t="str">
        <f t="shared" si="75"/>
        <v>Industrial Machinery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</row>
    <row r="2416" spans="1:9">
      <c r="A2416" s="6">
        <v>9</v>
      </c>
      <c r="B2416" s="6" t="str">
        <f t="shared" si="74"/>
        <v>Livestock</v>
      </c>
      <c r="C2416" s="6">
        <v>38</v>
      </c>
      <c r="D2416" s="6" t="str">
        <f t="shared" si="75"/>
        <v>Industrial Machinery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</row>
    <row r="2417" spans="1:9">
      <c r="A2417" s="6">
        <v>10</v>
      </c>
      <c r="B2417" s="6" t="str">
        <f t="shared" si="74"/>
        <v>Forestry</v>
      </c>
      <c r="C2417" s="6">
        <v>38</v>
      </c>
      <c r="D2417" s="6" t="str">
        <f t="shared" si="75"/>
        <v>Industrial Machinery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</row>
    <row r="2418" spans="1:9">
      <c r="A2418" s="6">
        <v>11</v>
      </c>
      <c r="B2418" s="6" t="str">
        <f t="shared" si="74"/>
        <v>Fishery</v>
      </c>
      <c r="C2418" s="6">
        <v>38</v>
      </c>
      <c r="D2418" s="6" t="str">
        <f t="shared" si="75"/>
        <v>Industrial Machinery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</row>
    <row r="2419" spans="1:9">
      <c r="A2419" s="6">
        <v>12</v>
      </c>
      <c r="B2419" s="6" t="str">
        <f t="shared" si="74"/>
        <v>Crude Oil and Coal</v>
      </c>
      <c r="C2419" s="6">
        <v>38</v>
      </c>
      <c r="D2419" s="6" t="str">
        <f t="shared" si="75"/>
        <v>Industrial Machinery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</row>
    <row r="2420" spans="1:9">
      <c r="A2420" s="6">
        <v>13</v>
      </c>
      <c r="B2420" s="6" t="str">
        <f t="shared" si="74"/>
        <v>Metal Ore</v>
      </c>
      <c r="C2420" s="6">
        <v>38</v>
      </c>
      <c r="D2420" s="6" t="str">
        <f t="shared" si="75"/>
        <v>Industrial Machinery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</row>
    <row r="2421" spans="1:9">
      <c r="A2421" s="6">
        <v>14</v>
      </c>
      <c r="B2421" s="6" t="str">
        <f t="shared" si="74"/>
        <v>Non-Metal Ore</v>
      </c>
      <c r="C2421" s="6">
        <v>38</v>
      </c>
      <c r="D2421" s="6" t="str">
        <f t="shared" si="75"/>
        <v>Industrial Machinery</v>
      </c>
      <c r="E2421" s="6">
        <v>421669</v>
      </c>
      <c r="F2421" s="6">
        <v>18894</v>
      </c>
      <c r="G2421" s="6">
        <v>0</v>
      </c>
      <c r="H2421" s="6">
        <v>43519</v>
      </c>
      <c r="I2421" s="6">
        <v>0</v>
      </c>
    </row>
    <row r="2422" spans="1:9">
      <c r="A2422" s="6">
        <v>15</v>
      </c>
      <c r="B2422" s="6" t="str">
        <f t="shared" si="74"/>
        <v>Slaughtering</v>
      </c>
      <c r="C2422" s="6">
        <v>38</v>
      </c>
      <c r="D2422" s="6" t="str">
        <f t="shared" si="75"/>
        <v>Industrial Machinery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</row>
    <row r="2423" spans="1:9">
      <c r="A2423" s="6">
        <v>16</v>
      </c>
      <c r="B2423" s="6" t="str">
        <f t="shared" si="74"/>
        <v>Processing and Presering of Foods</v>
      </c>
      <c r="C2423" s="6">
        <v>38</v>
      </c>
      <c r="D2423" s="6" t="str">
        <f t="shared" si="75"/>
        <v>Industrial Machinery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</row>
    <row r="2424" spans="1:9">
      <c r="A2424" s="6">
        <v>17</v>
      </c>
      <c r="B2424" s="6" t="str">
        <f t="shared" si="74"/>
        <v>Rice and Other Grain Milling</v>
      </c>
      <c r="C2424" s="6">
        <v>38</v>
      </c>
      <c r="D2424" s="6" t="str">
        <f t="shared" si="75"/>
        <v>Industrial Machinery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</row>
    <row r="2425" spans="1:9">
      <c r="A2425" s="6">
        <v>18</v>
      </c>
      <c r="B2425" s="6" t="str">
        <f t="shared" si="74"/>
        <v>Sugar Refineries</v>
      </c>
      <c r="C2425" s="6">
        <v>38</v>
      </c>
      <c r="D2425" s="6" t="str">
        <f t="shared" si="75"/>
        <v>Industrial Machinery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</row>
    <row r="2426" spans="1:9">
      <c r="A2426" s="6">
        <v>19</v>
      </c>
      <c r="B2426" s="6" t="str">
        <f t="shared" si="74"/>
        <v>Other Foods</v>
      </c>
      <c r="C2426" s="6">
        <v>38</v>
      </c>
      <c r="D2426" s="6" t="str">
        <f t="shared" si="75"/>
        <v>Industrial Machinery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</row>
    <row r="2427" spans="1:9">
      <c r="A2427" s="6">
        <v>20</v>
      </c>
      <c r="B2427" s="6" t="str">
        <f t="shared" si="74"/>
        <v>Animal Food</v>
      </c>
      <c r="C2427" s="6">
        <v>38</v>
      </c>
      <c r="D2427" s="6" t="str">
        <f t="shared" si="75"/>
        <v>Industrial Machinery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</row>
    <row r="2428" spans="1:9">
      <c r="A2428" s="6">
        <v>21</v>
      </c>
      <c r="B2428" s="6" t="str">
        <f t="shared" si="74"/>
        <v>Beverages</v>
      </c>
      <c r="C2428" s="6">
        <v>38</v>
      </c>
      <c r="D2428" s="6" t="str">
        <f t="shared" si="75"/>
        <v>Industrial Machinery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</row>
    <row r="2429" spans="1:9">
      <c r="A2429" s="6">
        <v>22</v>
      </c>
      <c r="B2429" s="6" t="str">
        <f t="shared" si="74"/>
        <v>Tobacco Processing and Products</v>
      </c>
      <c r="C2429" s="6">
        <v>38</v>
      </c>
      <c r="D2429" s="6" t="str">
        <f t="shared" si="75"/>
        <v>Industrial Machinery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</row>
    <row r="2430" spans="1:9">
      <c r="A2430" s="6">
        <v>23</v>
      </c>
      <c r="B2430" s="6" t="str">
        <f t="shared" si="74"/>
        <v>Spinning, Weaving and Bleaching</v>
      </c>
      <c r="C2430" s="6">
        <v>38</v>
      </c>
      <c r="D2430" s="6" t="str">
        <f t="shared" si="75"/>
        <v>Industrial Machinery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</row>
    <row r="2431" spans="1:9">
      <c r="A2431" s="6">
        <v>24</v>
      </c>
      <c r="B2431" s="6" t="str">
        <f t="shared" si="74"/>
        <v>Textile Products</v>
      </c>
      <c r="C2431" s="6">
        <v>38</v>
      </c>
      <c r="D2431" s="6" t="str">
        <f t="shared" si="75"/>
        <v>Industrial Machinery</v>
      </c>
      <c r="E2431" s="6">
        <v>133933</v>
      </c>
      <c r="F2431" s="6">
        <v>2760</v>
      </c>
      <c r="G2431" s="6">
        <v>8655</v>
      </c>
      <c r="H2431" s="6">
        <v>908</v>
      </c>
      <c r="I2431" s="6">
        <v>0</v>
      </c>
    </row>
    <row r="2432" spans="1:9">
      <c r="A2432" s="6">
        <v>25</v>
      </c>
      <c r="B2432" s="6" t="str">
        <f t="shared" si="74"/>
        <v>Paper and Paper Products</v>
      </c>
      <c r="C2432" s="6">
        <v>38</v>
      </c>
      <c r="D2432" s="6" t="str">
        <f t="shared" si="75"/>
        <v>Industrial Machinery</v>
      </c>
      <c r="E2432" s="6">
        <v>279796</v>
      </c>
      <c r="F2432" s="6">
        <v>5555</v>
      </c>
      <c r="G2432" s="6">
        <v>7800</v>
      </c>
      <c r="H2432" s="6">
        <v>2368</v>
      </c>
      <c r="I2432" s="6">
        <v>0</v>
      </c>
    </row>
    <row r="2433" spans="1:9">
      <c r="A2433" s="6">
        <v>26</v>
      </c>
      <c r="B2433" s="6" t="str">
        <f t="shared" si="74"/>
        <v>Printing and Publishing</v>
      </c>
      <c r="C2433" s="6">
        <v>38</v>
      </c>
      <c r="D2433" s="6" t="str">
        <f t="shared" si="75"/>
        <v>Industrial Machinery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</row>
    <row r="2434" spans="1:9">
      <c r="A2434" s="6">
        <v>27</v>
      </c>
      <c r="B2434" s="6" t="str">
        <f t="shared" si="74"/>
        <v>Basic Chemical Products</v>
      </c>
      <c r="C2434" s="6">
        <v>38</v>
      </c>
      <c r="D2434" s="6" t="str">
        <f t="shared" si="75"/>
        <v>Industrial Machinery</v>
      </c>
      <c r="E2434" s="6">
        <v>4123987</v>
      </c>
      <c r="F2434" s="6">
        <v>488739</v>
      </c>
      <c r="G2434" s="6">
        <v>154255</v>
      </c>
      <c r="H2434" s="6">
        <v>57430</v>
      </c>
      <c r="I2434" s="6">
        <v>1615517</v>
      </c>
    </row>
    <row r="2435" spans="1:9">
      <c r="A2435" s="6">
        <v>28</v>
      </c>
      <c r="B2435" s="6" t="str">
        <f t="shared" si="74"/>
        <v>Fertilizer and Pesticides</v>
      </c>
      <c r="C2435" s="6">
        <v>38</v>
      </c>
      <c r="D2435" s="6" t="str">
        <f t="shared" si="75"/>
        <v>Industrial Machinery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</row>
    <row r="2436" spans="1:9">
      <c r="A2436" s="6">
        <v>29</v>
      </c>
      <c r="B2436" s="6" t="str">
        <f t="shared" ref="B2436:B2499" si="76">VLOOKUP(A2436,R:S,2,0)</f>
        <v>Other Chemical Products</v>
      </c>
      <c r="C2436" s="6">
        <v>38</v>
      </c>
      <c r="D2436" s="6" t="str">
        <f t="shared" ref="D2436:D2499" si="77">VLOOKUP(C2436,R:S,2,0)</f>
        <v>Industrial Machinery</v>
      </c>
      <c r="E2436" s="6">
        <v>6550864</v>
      </c>
      <c r="F2436" s="6">
        <v>437668</v>
      </c>
      <c r="G2436" s="6">
        <v>446852</v>
      </c>
      <c r="H2436" s="6">
        <v>66925</v>
      </c>
      <c r="I2436" s="6">
        <v>2177148</v>
      </c>
    </row>
    <row r="2437" spans="1:9">
      <c r="A2437" s="6">
        <v>30</v>
      </c>
      <c r="B2437" s="6" t="str">
        <f t="shared" si="76"/>
        <v>Petroleum Refineries</v>
      </c>
      <c r="C2437" s="6">
        <v>38</v>
      </c>
      <c r="D2437" s="6" t="str">
        <f t="shared" si="77"/>
        <v>Industrial Machinery</v>
      </c>
      <c r="E2437" s="6">
        <v>10114192</v>
      </c>
      <c r="F2437" s="6">
        <v>331281</v>
      </c>
      <c r="G2437" s="6">
        <v>356467</v>
      </c>
      <c r="H2437" s="6">
        <v>84580</v>
      </c>
      <c r="I2437" s="6">
        <v>2317662</v>
      </c>
    </row>
    <row r="2438" spans="1:9">
      <c r="A2438" s="6">
        <v>31</v>
      </c>
      <c r="B2438" s="6" t="str">
        <f t="shared" si="76"/>
        <v>Rubber Products</v>
      </c>
      <c r="C2438" s="6">
        <v>38</v>
      </c>
      <c r="D2438" s="6" t="str">
        <f t="shared" si="77"/>
        <v>Industrial Machinery</v>
      </c>
      <c r="E2438" s="6">
        <v>7666971</v>
      </c>
      <c r="F2438" s="6">
        <v>561120</v>
      </c>
      <c r="G2438" s="6">
        <v>1131989</v>
      </c>
      <c r="H2438" s="6">
        <v>183558</v>
      </c>
      <c r="I2438" s="6">
        <v>4665391</v>
      </c>
    </row>
    <row r="2439" spans="1:9">
      <c r="A2439" s="6">
        <v>32</v>
      </c>
      <c r="B2439" s="6" t="str">
        <f t="shared" si="76"/>
        <v>Plastic Wares</v>
      </c>
      <c r="C2439" s="6">
        <v>38</v>
      </c>
      <c r="D2439" s="6" t="str">
        <f t="shared" si="77"/>
        <v>Industrial Machinery</v>
      </c>
      <c r="E2439" s="6">
        <v>5150759</v>
      </c>
      <c r="F2439" s="6">
        <v>134420</v>
      </c>
      <c r="G2439" s="6">
        <v>198353</v>
      </c>
      <c r="H2439" s="6">
        <v>32737</v>
      </c>
      <c r="I2439" s="6">
        <v>2259172</v>
      </c>
    </row>
    <row r="2440" spans="1:9">
      <c r="A2440" s="6">
        <v>33</v>
      </c>
      <c r="B2440" s="6" t="str">
        <f t="shared" si="76"/>
        <v>Cement and Concrete Products</v>
      </c>
      <c r="C2440" s="6">
        <v>38</v>
      </c>
      <c r="D2440" s="6" t="str">
        <f t="shared" si="77"/>
        <v>Industrial Machinery</v>
      </c>
      <c r="E2440" s="6">
        <v>38881</v>
      </c>
      <c r="F2440" s="6">
        <v>2129</v>
      </c>
      <c r="G2440" s="6">
        <v>1574</v>
      </c>
      <c r="H2440" s="6">
        <v>594</v>
      </c>
      <c r="I2440" s="6">
        <v>0</v>
      </c>
    </row>
    <row r="2441" spans="1:9">
      <c r="A2441" s="6">
        <v>34</v>
      </c>
      <c r="B2441" s="6" t="str">
        <f t="shared" si="76"/>
        <v>Other Non-metallic Products</v>
      </c>
      <c r="C2441" s="6">
        <v>38</v>
      </c>
      <c r="D2441" s="6" t="str">
        <f t="shared" si="77"/>
        <v>Industrial Machinery</v>
      </c>
      <c r="E2441" s="6">
        <v>5426190</v>
      </c>
      <c r="F2441" s="6">
        <v>323445</v>
      </c>
      <c r="G2441" s="6">
        <v>378590</v>
      </c>
      <c r="H2441" s="6">
        <v>33543</v>
      </c>
      <c r="I2441" s="6">
        <v>0</v>
      </c>
    </row>
    <row r="2442" spans="1:9">
      <c r="A2442" s="6">
        <v>35</v>
      </c>
      <c r="B2442" s="6" t="str">
        <f t="shared" si="76"/>
        <v>Iron and Steel</v>
      </c>
      <c r="C2442" s="6">
        <v>38</v>
      </c>
      <c r="D2442" s="6" t="str">
        <f t="shared" si="77"/>
        <v>Industrial Machinery</v>
      </c>
      <c r="E2442" s="6">
        <v>81672540</v>
      </c>
      <c r="F2442" s="6">
        <v>3389791</v>
      </c>
      <c r="G2442" s="6">
        <v>4382014</v>
      </c>
      <c r="H2442" s="6">
        <v>860349</v>
      </c>
      <c r="I2442" s="6">
        <v>41845392</v>
      </c>
    </row>
    <row r="2443" spans="1:9">
      <c r="A2443" s="6">
        <v>36</v>
      </c>
      <c r="B2443" s="6" t="str">
        <f t="shared" si="76"/>
        <v>Non-ferrous Metal</v>
      </c>
      <c r="C2443" s="6">
        <v>38</v>
      </c>
      <c r="D2443" s="6" t="str">
        <f t="shared" si="77"/>
        <v>Industrial Machinery</v>
      </c>
      <c r="E2443" s="6">
        <v>15797928</v>
      </c>
      <c r="F2443" s="6">
        <v>610690</v>
      </c>
      <c r="G2443" s="6">
        <v>290559</v>
      </c>
      <c r="H2443" s="6">
        <v>24956</v>
      </c>
      <c r="I2443" s="6">
        <v>10706834</v>
      </c>
    </row>
    <row r="2444" spans="1:9">
      <c r="A2444" s="6">
        <v>37</v>
      </c>
      <c r="B2444" s="6" t="str">
        <f t="shared" si="76"/>
        <v>Fabricated Metal Products</v>
      </c>
      <c r="C2444" s="6">
        <v>38</v>
      </c>
      <c r="D2444" s="6" t="str">
        <f t="shared" si="77"/>
        <v>Industrial Machinery</v>
      </c>
      <c r="E2444" s="6">
        <v>30892041</v>
      </c>
      <c r="F2444" s="6">
        <v>241234</v>
      </c>
      <c r="G2444" s="6">
        <v>844417</v>
      </c>
      <c r="H2444" s="6">
        <v>71883</v>
      </c>
      <c r="I2444" s="6">
        <v>25701121</v>
      </c>
    </row>
    <row r="2445" spans="1:9">
      <c r="A2445" s="6">
        <v>38</v>
      </c>
      <c r="B2445" s="6" t="str">
        <f t="shared" si="76"/>
        <v>Industrial Machinery</v>
      </c>
      <c r="C2445" s="6">
        <v>38</v>
      </c>
      <c r="D2445" s="6" t="str">
        <f t="shared" si="77"/>
        <v>Industrial Machinery</v>
      </c>
      <c r="E2445" s="6">
        <v>187820577</v>
      </c>
      <c r="F2445" s="6">
        <v>14031672</v>
      </c>
      <c r="G2445" s="6">
        <v>6744087</v>
      </c>
      <c r="H2445" s="6">
        <v>1641419</v>
      </c>
      <c r="I2445" s="6">
        <v>137295653</v>
      </c>
    </row>
    <row r="2446" spans="1:9">
      <c r="A2446" s="6">
        <v>39</v>
      </c>
      <c r="B2446" s="6" t="str">
        <f t="shared" si="76"/>
        <v>Electrical Machinery and Apparatus</v>
      </c>
      <c r="C2446" s="6">
        <v>38</v>
      </c>
      <c r="D2446" s="6" t="str">
        <f t="shared" si="77"/>
        <v>Industrial Machinery</v>
      </c>
      <c r="E2446" s="6">
        <v>15498415</v>
      </c>
      <c r="F2446" s="6">
        <v>705477</v>
      </c>
      <c r="G2446" s="6">
        <v>968522</v>
      </c>
      <c r="H2446" s="6">
        <v>131059</v>
      </c>
      <c r="I2446" s="6">
        <v>9436712</v>
      </c>
    </row>
    <row r="2447" spans="1:9">
      <c r="A2447" s="6">
        <v>40</v>
      </c>
      <c r="B2447" s="6" t="str">
        <f t="shared" si="76"/>
        <v>Motor Vehicles and Repairing</v>
      </c>
      <c r="C2447" s="6">
        <v>38</v>
      </c>
      <c r="D2447" s="6" t="str">
        <f t="shared" si="77"/>
        <v>Industrial Machinery</v>
      </c>
      <c r="E2447" s="6">
        <v>3324662</v>
      </c>
      <c r="F2447" s="6">
        <v>28921</v>
      </c>
      <c r="G2447" s="6">
        <v>19928</v>
      </c>
      <c r="H2447" s="6">
        <v>1104</v>
      </c>
      <c r="I2447" s="6">
        <v>70648</v>
      </c>
    </row>
    <row r="2448" spans="1:9">
      <c r="A2448" s="6">
        <v>41</v>
      </c>
      <c r="B2448" s="6" t="str">
        <f t="shared" si="76"/>
        <v>Other Transportation Equipment</v>
      </c>
      <c r="C2448" s="6">
        <v>38</v>
      </c>
      <c r="D2448" s="6" t="str">
        <f t="shared" si="77"/>
        <v>Industrial Machinery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</row>
    <row r="2449" spans="1:9">
      <c r="A2449" s="6">
        <v>42</v>
      </c>
      <c r="B2449" s="6" t="str">
        <f t="shared" si="76"/>
        <v>Leather Products</v>
      </c>
      <c r="C2449" s="6">
        <v>38</v>
      </c>
      <c r="D2449" s="6" t="str">
        <f t="shared" si="77"/>
        <v>Industrial Machinery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</row>
    <row r="2450" spans="1:9">
      <c r="A2450" s="6">
        <v>43</v>
      </c>
      <c r="B2450" s="6" t="str">
        <f t="shared" si="76"/>
        <v>Saw Mills and Wood Products</v>
      </c>
      <c r="C2450" s="6">
        <v>38</v>
      </c>
      <c r="D2450" s="6" t="str">
        <f t="shared" si="77"/>
        <v>Industrial Machinery</v>
      </c>
      <c r="E2450" s="6">
        <v>953271</v>
      </c>
      <c r="F2450" s="6">
        <v>67799</v>
      </c>
      <c r="G2450" s="6">
        <v>109851</v>
      </c>
      <c r="H2450" s="6">
        <v>8929</v>
      </c>
      <c r="I2450" s="6">
        <v>0</v>
      </c>
    </row>
    <row r="2451" spans="1:9">
      <c r="A2451" s="6">
        <v>44</v>
      </c>
      <c r="B2451" s="6" t="str">
        <f t="shared" si="76"/>
        <v>Other Manufacturing Products</v>
      </c>
      <c r="C2451" s="6">
        <v>38</v>
      </c>
      <c r="D2451" s="6" t="str">
        <f t="shared" si="77"/>
        <v>Industrial Machinery</v>
      </c>
      <c r="E2451" s="6">
        <v>2031721</v>
      </c>
      <c r="F2451" s="6">
        <v>126570</v>
      </c>
      <c r="G2451" s="6">
        <v>155819</v>
      </c>
      <c r="H2451" s="6">
        <v>16856</v>
      </c>
      <c r="I2451" s="6">
        <v>1093169</v>
      </c>
    </row>
    <row r="2452" spans="1:9">
      <c r="A2452" s="6">
        <v>45</v>
      </c>
      <c r="B2452" s="6" t="str">
        <f t="shared" si="76"/>
        <v>Electricity and Gas</v>
      </c>
      <c r="C2452" s="6">
        <v>38</v>
      </c>
      <c r="D2452" s="6" t="str">
        <f t="shared" si="77"/>
        <v>Industrial Machinery</v>
      </c>
      <c r="E2452" s="6">
        <v>8989664</v>
      </c>
      <c r="F2452" s="6">
        <v>6177</v>
      </c>
      <c r="G2452" s="6">
        <v>11725</v>
      </c>
      <c r="H2452" s="6">
        <v>1326</v>
      </c>
      <c r="I2452" s="6">
        <v>0</v>
      </c>
    </row>
    <row r="2453" spans="1:9">
      <c r="A2453" s="6">
        <v>46</v>
      </c>
      <c r="B2453" s="6" t="str">
        <f t="shared" si="76"/>
        <v>Water Works and Supply</v>
      </c>
      <c r="C2453" s="6">
        <v>38</v>
      </c>
      <c r="D2453" s="6" t="str">
        <f t="shared" si="77"/>
        <v>Industrial Machinery</v>
      </c>
      <c r="E2453" s="6">
        <v>114271</v>
      </c>
      <c r="F2453" s="6">
        <v>0</v>
      </c>
      <c r="G2453" s="6">
        <v>0</v>
      </c>
      <c r="H2453" s="6">
        <v>0</v>
      </c>
      <c r="I2453" s="6">
        <v>0</v>
      </c>
    </row>
    <row r="2454" spans="1:9">
      <c r="A2454" s="6">
        <v>47</v>
      </c>
      <c r="B2454" s="6" t="str">
        <f t="shared" si="76"/>
        <v>Building Construction</v>
      </c>
      <c r="C2454" s="6">
        <v>38</v>
      </c>
      <c r="D2454" s="6" t="str">
        <f t="shared" si="77"/>
        <v>Industrial Machinery</v>
      </c>
      <c r="E2454" s="6">
        <v>221634</v>
      </c>
      <c r="F2454" s="6">
        <v>0</v>
      </c>
      <c r="G2454" s="6">
        <v>0</v>
      </c>
      <c r="H2454" s="6">
        <v>0</v>
      </c>
      <c r="I2454" s="6">
        <v>0</v>
      </c>
    </row>
    <row r="2455" spans="1:9">
      <c r="A2455" s="6">
        <v>48</v>
      </c>
      <c r="B2455" s="6" t="str">
        <f t="shared" si="76"/>
        <v>Public Works and Other Construction</v>
      </c>
      <c r="C2455" s="6">
        <v>38</v>
      </c>
      <c r="D2455" s="6" t="str">
        <f t="shared" si="77"/>
        <v>Industrial Machinery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</row>
    <row r="2456" spans="1:9">
      <c r="A2456" s="6">
        <v>49</v>
      </c>
      <c r="B2456" s="6" t="str">
        <f t="shared" si="76"/>
        <v>Trade</v>
      </c>
      <c r="C2456" s="6">
        <v>38</v>
      </c>
      <c r="D2456" s="6" t="str">
        <f t="shared" si="77"/>
        <v>Industrial Machinery</v>
      </c>
      <c r="E2456" s="6">
        <v>0</v>
      </c>
      <c r="F2456" s="6">
        <v>-21514342</v>
      </c>
      <c r="G2456" s="6">
        <v>-16211457</v>
      </c>
      <c r="H2456" s="6">
        <v>0</v>
      </c>
      <c r="I2456" s="6">
        <v>0</v>
      </c>
    </row>
    <row r="2457" spans="1:9">
      <c r="A2457" s="6">
        <v>50</v>
      </c>
      <c r="B2457" s="6" t="str">
        <f t="shared" si="76"/>
        <v>Restaurants and Hotels</v>
      </c>
      <c r="C2457" s="6">
        <v>38</v>
      </c>
      <c r="D2457" s="6" t="str">
        <f t="shared" si="77"/>
        <v>Industrial Machinery</v>
      </c>
      <c r="E2457" s="6">
        <v>504724</v>
      </c>
      <c r="F2457" s="6">
        <v>0</v>
      </c>
      <c r="G2457" s="6">
        <v>0</v>
      </c>
      <c r="H2457" s="6">
        <v>0</v>
      </c>
      <c r="I2457" s="6">
        <v>0</v>
      </c>
    </row>
    <row r="2458" spans="1:9">
      <c r="A2458" s="6">
        <v>51</v>
      </c>
      <c r="B2458" s="6" t="str">
        <f t="shared" si="76"/>
        <v>Transportation</v>
      </c>
      <c r="C2458" s="6">
        <v>38</v>
      </c>
      <c r="D2458" s="6" t="str">
        <f t="shared" si="77"/>
        <v>Industrial Machinery</v>
      </c>
      <c r="E2458" s="6">
        <v>903322</v>
      </c>
      <c r="F2458" s="6">
        <v>0</v>
      </c>
      <c r="G2458" s="6">
        <v>0</v>
      </c>
      <c r="H2458" s="6">
        <v>-3264043</v>
      </c>
      <c r="I2458" s="6">
        <v>0</v>
      </c>
    </row>
    <row r="2459" spans="1:9">
      <c r="A2459" s="6">
        <v>52</v>
      </c>
      <c r="B2459" s="6" t="str">
        <f t="shared" si="76"/>
        <v>Communication</v>
      </c>
      <c r="C2459" s="6">
        <v>38</v>
      </c>
      <c r="D2459" s="6" t="str">
        <f t="shared" si="77"/>
        <v>Industrial Machinery</v>
      </c>
      <c r="E2459" s="6">
        <v>379770</v>
      </c>
      <c r="F2459" s="6">
        <v>0</v>
      </c>
      <c r="G2459" s="6">
        <v>0</v>
      </c>
      <c r="H2459" s="6">
        <v>0</v>
      </c>
      <c r="I2459" s="6">
        <v>0</v>
      </c>
    </row>
    <row r="2460" spans="1:9">
      <c r="A2460" s="6">
        <v>53</v>
      </c>
      <c r="B2460" s="6" t="str">
        <f t="shared" si="76"/>
        <v>Banking and Insurance</v>
      </c>
      <c r="C2460" s="6">
        <v>38</v>
      </c>
      <c r="D2460" s="6" t="str">
        <f t="shared" si="77"/>
        <v>Industrial Machinery</v>
      </c>
      <c r="E2460" s="6">
        <v>4430350</v>
      </c>
      <c r="F2460" s="6">
        <v>0</v>
      </c>
      <c r="G2460" s="6">
        <v>0</v>
      </c>
      <c r="H2460" s="6">
        <v>0</v>
      </c>
      <c r="I2460" s="6">
        <v>0</v>
      </c>
    </row>
    <row r="2461" spans="1:9">
      <c r="A2461" s="6">
        <v>54</v>
      </c>
      <c r="B2461" s="6" t="str">
        <f t="shared" si="76"/>
        <v>Real Estate</v>
      </c>
      <c r="C2461" s="6">
        <v>38</v>
      </c>
      <c r="D2461" s="6" t="str">
        <f t="shared" si="77"/>
        <v>Industrial Machinery</v>
      </c>
      <c r="E2461" s="6">
        <v>125822</v>
      </c>
      <c r="F2461" s="6">
        <v>0</v>
      </c>
      <c r="G2461" s="6">
        <v>0</v>
      </c>
      <c r="H2461" s="6">
        <v>0</v>
      </c>
      <c r="I2461" s="6">
        <v>0</v>
      </c>
    </row>
    <row r="2462" spans="1:9">
      <c r="A2462" s="6">
        <v>55</v>
      </c>
      <c r="B2462" s="6" t="str">
        <f t="shared" si="76"/>
        <v>Business Services</v>
      </c>
      <c r="C2462" s="6">
        <v>38</v>
      </c>
      <c r="D2462" s="6" t="str">
        <f t="shared" si="77"/>
        <v>Industrial Machinery</v>
      </c>
      <c r="E2462" s="6">
        <v>6742431</v>
      </c>
      <c r="F2462" s="6">
        <v>0</v>
      </c>
      <c r="G2462" s="6">
        <v>0</v>
      </c>
      <c r="H2462" s="6">
        <v>0</v>
      </c>
      <c r="I2462" s="6">
        <v>0</v>
      </c>
    </row>
    <row r="2463" spans="1:9">
      <c r="A2463" s="6">
        <v>56</v>
      </c>
      <c r="B2463" s="6" t="str">
        <f t="shared" si="76"/>
        <v>Public Services</v>
      </c>
      <c r="C2463" s="6">
        <v>38</v>
      </c>
      <c r="D2463" s="6" t="str">
        <f t="shared" si="77"/>
        <v>Industrial Machinery</v>
      </c>
      <c r="E2463" s="6">
        <v>467584</v>
      </c>
      <c r="F2463" s="6">
        <v>0</v>
      </c>
      <c r="G2463" s="6">
        <v>0</v>
      </c>
      <c r="H2463" s="6">
        <v>0</v>
      </c>
      <c r="I2463" s="6">
        <v>0</v>
      </c>
    </row>
    <row r="2464" spans="1:9">
      <c r="A2464" s="6">
        <v>57</v>
      </c>
      <c r="B2464" s="6" t="str">
        <f t="shared" si="76"/>
        <v>Other Services</v>
      </c>
      <c r="C2464" s="6">
        <v>38</v>
      </c>
      <c r="D2464" s="6" t="str">
        <f t="shared" si="77"/>
        <v>Industrial Machinery</v>
      </c>
      <c r="E2464" s="6">
        <v>326439</v>
      </c>
      <c r="F2464" s="6">
        <v>0</v>
      </c>
      <c r="G2464" s="6">
        <v>0</v>
      </c>
      <c r="H2464" s="6">
        <v>0</v>
      </c>
      <c r="I2464" s="6">
        <v>0</v>
      </c>
    </row>
    <row r="2465" spans="1:9">
      <c r="A2465" s="6">
        <v>58</v>
      </c>
      <c r="B2465" s="6" t="str">
        <f t="shared" si="76"/>
        <v>Unclassified</v>
      </c>
      <c r="C2465" s="6">
        <v>38</v>
      </c>
      <c r="D2465" s="6" t="str">
        <f t="shared" si="77"/>
        <v>Industrial Machinery</v>
      </c>
      <c r="E2465" s="6">
        <v>1684338</v>
      </c>
      <c r="F2465" s="6">
        <v>0</v>
      </c>
      <c r="G2465" s="6">
        <v>0</v>
      </c>
      <c r="H2465" s="6">
        <v>0</v>
      </c>
      <c r="I2465" s="6">
        <v>158371</v>
      </c>
    </row>
    <row r="2466" spans="1:9">
      <c r="A2466" s="6">
        <v>190</v>
      </c>
      <c r="B2466" s="6" t="str">
        <f t="shared" si="76"/>
        <v>Total Intermedite Transaction</v>
      </c>
      <c r="C2466" s="6">
        <v>38</v>
      </c>
      <c r="D2466" s="6" t="str">
        <f t="shared" si="77"/>
        <v>Industrial Machinery</v>
      </c>
      <c r="E2466" s="6">
        <v>402788746</v>
      </c>
      <c r="F2466" s="6">
        <v>0</v>
      </c>
      <c r="G2466" s="6">
        <v>0</v>
      </c>
      <c r="H2466" s="6">
        <v>0</v>
      </c>
      <c r="I2466" s="6">
        <v>239342790</v>
      </c>
    </row>
    <row r="2467" spans="1:9">
      <c r="A2467" s="6">
        <v>201</v>
      </c>
      <c r="B2467" s="6" t="str">
        <f t="shared" si="76"/>
        <v>Wages and Salaries</v>
      </c>
      <c r="C2467" s="6">
        <v>38</v>
      </c>
      <c r="D2467" s="6" t="str">
        <f t="shared" si="77"/>
        <v>Industrial Machinery</v>
      </c>
      <c r="E2467" s="6">
        <v>52341917</v>
      </c>
      <c r="F2467" s="6">
        <v>0</v>
      </c>
      <c r="G2467" s="6">
        <v>0</v>
      </c>
      <c r="H2467" s="6">
        <v>0</v>
      </c>
      <c r="I2467" s="6">
        <v>0</v>
      </c>
    </row>
    <row r="2468" spans="1:9">
      <c r="A2468" s="6">
        <v>202</v>
      </c>
      <c r="B2468" s="6" t="str">
        <f t="shared" si="76"/>
        <v>Operating Surplus</v>
      </c>
      <c r="C2468" s="6">
        <v>38</v>
      </c>
      <c r="D2468" s="6" t="str">
        <f t="shared" si="77"/>
        <v>Industrial Machinery</v>
      </c>
      <c r="E2468" s="6">
        <v>70657723</v>
      </c>
      <c r="F2468" s="6">
        <v>0</v>
      </c>
      <c r="G2468" s="6">
        <v>0</v>
      </c>
      <c r="H2468" s="6">
        <v>0</v>
      </c>
      <c r="I2468" s="6">
        <v>0</v>
      </c>
    </row>
    <row r="2469" spans="1:9">
      <c r="A2469" s="6">
        <v>203</v>
      </c>
      <c r="B2469" s="6" t="str">
        <f t="shared" si="76"/>
        <v>Depreciation</v>
      </c>
      <c r="C2469" s="6">
        <v>38</v>
      </c>
      <c r="D2469" s="6" t="str">
        <f t="shared" si="77"/>
        <v>Industrial Machinery</v>
      </c>
      <c r="E2469" s="6">
        <v>33787543</v>
      </c>
      <c r="F2469" s="6">
        <v>0</v>
      </c>
      <c r="G2469" s="6">
        <v>0</v>
      </c>
      <c r="H2469" s="6">
        <v>0</v>
      </c>
      <c r="I2469" s="6">
        <v>0</v>
      </c>
    </row>
    <row r="2470" spans="1:9">
      <c r="A2470" s="6">
        <v>204</v>
      </c>
      <c r="B2470" s="6" t="str">
        <f t="shared" si="76"/>
        <v>Indirect Taxes less Subsidies</v>
      </c>
      <c r="C2470" s="6">
        <v>38</v>
      </c>
      <c r="D2470" s="6" t="str">
        <f t="shared" si="77"/>
        <v>Industrial Machinery</v>
      </c>
      <c r="E2470" s="6">
        <v>15140477</v>
      </c>
      <c r="F2470" s="6">
        <v>0</v>
      </c>
      <c r="G2470" s="6">
        <v>0</v>
      </c>
      <c r="H2470" s="6">
        <v>0</v>
      </c>
      <c r="I2470" s="6">
        <v>0</v>
      </c>
    </row>
    <row r="2471" spans="1:9">
      <c r="A2471" s="6">
        <v>209</v>
      </c>
      <c r="B2471" s="6" t="str">
        <f t="shared" si="76"/>
        <v>Total Value Added</v>
      </c>
      <c r="C2471" s="6">
        <v>38</v>
      </c>
      <c r="D2471" s="6" t="str">
        <f t="shared" si="77"/>
        <v>Industrial Machinery</v>
      </c>
      <c r="E2471" s="6">
        <v>171927660</v>
      </c>
      <c r="F2471" s="6">
        <v>0</v>
      </c>
      <c r="G2471" s="6">
        <v>0</v>
      </c>
      <c r="H2471" s="6">
        <v>0</v>
      </c>
      <c r="I2471" s="6">
        <v>0</v>
      </c>
    </row>
    <row r="2472" spans="1:9">
      <c r="A2472" s="6">
        <v>210</v>
      </c>
      <c r="B2472" s="6" t="str">
        <f t="shared" si="76"/>
        <v>Control Total</v>
      </c>
      <c r="C2472" s="6">
        <v>38</v>
      </c>
      <c r="D2472" s="6" t="str">
        <f t="shared" si="77"/>
        <v>Industrial Machinery</v>
      </c>
      <c r="E2472" s="6">
        <v>574716406</v>
      </c>
      <c r="F2472" s="6">
        <v>0</v>
      </c>
      <c r="G2472" s="6">
        <v>0</v>
      </c>
      <c r="H2472" s="6">
        <v>0</v>
      </c>
      <c r="I2472" s="6">
        <v>0</v>
      </c>
    </row>
    <row r="2473" spans="1:9">
      <c r="A2473" s="6">
        <v>1</v>
      </c>
      <c r="B2473" s="6" t="str">
        <f t="shared" si="76"/>
        <v>Paddy</v>
      </c>
      <c r="C2473" s="6">
        <v>39</v>
      </c>
      <c r="D2473" s="6" t="str">
        <f t="shared" si="77"/>
        <v>Electrical Machinery and Apparatus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</row>
    <row r="2474" spans="1:9">
      <c r="A2474" s="6">
        <v>2</v>
      </c>
      <c r="B2474" s="6" t="str">
        <f t="shared" si="76"/>
        <v>Maize</v>
      </c>
      <c r="C2474" s="6">
        <v>39</v>
      </c>
      <c r="D2474" s="6" t="str">
        <f t="shared" si="77"/>
        <v>Electrical Machinery and Apparatus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</row>
    <row r="2475" spans="1:9">
      <c r="A2475" s="6">
        <v>3</v>
      </c>
      <c r="B2475" s="6" t="str">
        <f t="shared" si="76"/>
        <v>Cassava</v>
      </c>
      <c r="C2475" s="6">
        <v>39</v>
      </c>
      <c r="D2475" s="6" t="str">
        <f t="shared" si="77"/>
        <v>Electrical Machinery and Apparatus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</row>
    <row r="2476" spans="1:9">
      <c r="A2476" s="6">
        <v>4</v>
      </c>
      <c r="B2476" s="6" t="str">
        <f t="shared" si="76"/>
        <v>Beans and Nuts</v>
      </c>
      <c r="C2476" s="6">
        <v>39</v>
      </c>
      <c r="D2476" s="6" t="str">
        <f t="shared" si="77"/>
        <v>Electrical Machinery and Apparatus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</row>
    <row r="2477" spans="1:9">
      <c r="A2477" s="6">
        <v>5</v>
      </c>
      <c r="B2477" s="6" t="str">
        <f t="shared" si="76"/>
        <v>Vegetables and Fruits</v>
      </c>
      <c r="C2477" s="6">
        <v>39</v>
      </c>
      <c r="D2477" s="6" t="str">
        <f t="shared" si="77"/>
        <v>Electrical Machinery and Apparatus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</row>
    <row r="2478" spans="1:9">
      <c r="A2478" s="6">
        <v>6</v>
      </c>
      <c r="B2478" s="6" t="str">
        <f t="shared" si="76"/>
        <v>Sugarcane</v>
      </c>
      <c r="C2478" s="6">
        <v>39</v>
      </c>
      <c r="D2478" s="6" t="str">
        <f t="shared" si="77"/>
        <v>Electrical Machinery and Apparatus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</row>
    <row r="2479" spans="1:9">
      <c r="A2479" s="6">
        <v>7</v>
      </c>
      <c r="B2479" s="6" t="str">
        <f t="shared" si="76"/>
        <v>Rubber (Latex)</v>
      </c>
      <c r="C2479" s="6">
        <v>39</v>
      </c>
      <c r="D2479" s="6" t="str">
        <f t="shared" si="77"/>
        <v>Electrical Machinery and Apparatus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</row>
    <row r="2480" spans="1:9">
      <c r="A2480" s="6">
        <v>8</v>
      </c>
      <c r="B2480" s="6" t="str">
        <f t="shared" si="76"/>
        <v>Other Crops</v>
      </c>
      <c r="C2480" s="6">
        <v>39</v>
      </c>
      <c r="D2480" s="6" t="str">
        <f t="shared" si="77"/>
        <v>Electrical Machinery and Apparatus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</row>
    <row r="2481" spans="1:9">
      <c r="A2481" s="6">
        <v>9</v>
      </c>
      <c r="B2481" s="6" t="str">
        <f t="shared" si="76"/>
        <v>Livestock</v>
      </c>
      <c r="C2481" s="6">
        <v>39</v>
      </c>
      <c r="D2481" s="6" t="str">
        <f t="shared" si="77"/>
        <v>Electrical Machinery and Apparatus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</row>
    <row r="2482" spans="1:9">
      <c r="A2482" s="6">
        <v>10</v>
      </c>
      <c r="B2482" s="6" t="str">
        <f t="shared" si="76"/>
        <v>Forestry</v>
      </c>
      <c r="C2482" s="6">
        <v>39</v>
      </c>
      <c r="D2482" s="6" t="str">
        <f t="shared" si="77"/>
        <v>Electrical Machinery and Apparatus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</row>
    <row r="2483" spans="1:9">
      <c r="A2483" s="6">
        <v>11</v>
      </c>
      <c r="B2483" s="6" t="str">
        <f t="shared" si="76"/>
        <v>Fishery</v>
      </c>
      <c r="C2483" s="6">
        <v>39</v>
      </c>
      <c r="D2483" s="6" t="str">
        <f t="shared" si="77"/>
        <v>Electrical Machinery and Apparatus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</row>
    <row r="2484" spans="1:9">
      <c r="A2484" s="6">
        <v>12</v>
      </c>
      <c r="B2484" s="6" t="str">
        <f t="shared" si="76"/>
        <v>Crude Oil and Coal</v>
      </c>
      <c r="C2484" s="6">
        <v>39</v>
      </c>
      <c r="D2484" s="6" t="str">
        <f t="shared" si="77"/>
        <v>Electrical Machinery and Apparatus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</row>
    <row r="2485" spans="1:9">
      <c r="A2485" s="6">
        <v>13</v>
      </c>
      <c r="B2485" s="6" t="str">
        <f t="shared" si="76"/>
        <v>Metal Ore</v>
      </c>
      <c r="C2485" s="6">
        <v>39</v>
      </c>
      <c r="D2485" s="6" t="str">
        <f t="shared" si="77"/>
        <v>Electrical Machinery and Apparatus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</row>
    <row r="2486" spans="1:9">
      <c r="A2486" s="6">
        <v>14</v>
      </c>
      <c r="B2486" s="6" t="str">
        <f t="shared" si="76"/>
        <v>Non-Metal Ore</v>
      </c>
      <c r="C2486" s="6">
        <v>39</v>
      </c>
      <c r="D2486" s="6" t="str">
        <f t="shared" si="77"/>
        <v>Electrical Machinery and Apparatus</v>
      </c>
      <c r="E2486" s="6">
        <v>746547</v>
      </c>
      <c r="F2486" s="6">
        <v>30115</v>
      </c>
      <c r="G2486" s="6">
        <v>816</v>
      </c>
      <c r="H2486" s="6">
        <v>51788</v>
      </c>
      <c r="I2486" s="6">
        <v>193205</v>
      </c>
    </row>
    <row r="2487" spans="1:9">
      <c r="A2487" s="6">
        <v>15</v>
      </c>
      <c r="B2487" s="6" t="str">
        <f t="shared" si="76"/>
        <v>Slaughtering</v>
      </c>
      <c r="C2487" s="6">
        <v>39</v>
      </c>
      <c r="D2487" s="6" t="str">
        <f t="shared" si="77"/>
        <v>Electrical Machinery and Apparatus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</row>
    <row r="2488" spans="1:9">
      <c r="A2488" s="6">
        <v>16</v>
      </c>
      <c r="B2488" s="6" t="str">
        <f t="shared" si="76"/>
        <v>Processing and Presering of Foods</v>
      </c>
      <c r="C2488" s="6">
        <v>39</v>
      </c>
      <c r="D2488" s="6" t="str">
        <f t="shared" si="77"/>
        <v>Electrical Machinery and Apparatus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</row>
    <row r="2489" spans="1:9">
      <c r="A2489" s="6">
        <v>17</v>
      </c>
      <c r="B2489" s="6" t="str">
        <f t="shared" si="76"/>
        <v>Rice and Other Grain Milling</v>
      </c>
      <c r="C2489" s="6">
        <v>39</v>
      </c>
      <c r="D2489" s="6" t="str">
        <f t="shared" si="77"/>
        <v>Electrical Machinery and Apparatus</v>
      </c>
      <c r="E2489" s="6">
        <v>28614</v>
      </c>
      <c r="F2489" s="6">
        <v>1504</v>
      </c>
      <c r="G2489" s="6">
        <v>1524</v>
      </c>
      <c r="H2489" s="6">
        <v>599</v>
      </c>
      <c r="I2489" s="6">
        <v>0</v>
      </c>
    </row>
    <row r="2490" spans="1:9">
      <c r="A2490" s="6">
        <v>18</v>
      </c>
      <c r="B2490" s="6" t="str">
        <f t="shared" si="76"/>
        <v>Sugar Refineries</v>
      </c>
      <c r="C2490" s="6">
        <v>39</v>
      </c>
      <c r="D2490" s="6" t="str">
        <f t="shared" si="77"/>
        <v>Electrical Machinery and Apparatus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</row>
    <row r="2491" spans="1:9">
      <c r="A2491" s="6">
        <v>19</v>
      </c>
      <c r="B2491" s="6" t="str">
        <f t="shared" si="76"/>
        <v>Other Foods</v>
      </c>
      <c r="C2491" s="6">
        <v>39</v>
      </c>
      <c r="D2491" s="6" t="str">
        <f t="shared" si="77"/>
        <v>Electrical Machinery and Apparatus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</row>
    <row r="2492" spans="1:9">
      <c r="A2492" s="6">
        <v>20</v>
      </c>
      <c r="B2492" s="6" t="str">
        <f t="shared" si="76"/>
        <v>Animal Food</v>
      </c>
      <c r="C2492" s="6">
        <v>39</v>
      </c>
      <c r="D2492" s="6" t="str">
        <f t="shared" si="77"/>
        <v>Electrical Machinery and Apparatus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</row>
    <row r="2493" spans="1:9">
      <c r="A2493" s="6">
        <v>21</v>
      </c>
      <c r="B2493" s="6" t="str">
        <f t="shared" si="76"/>
        <v>Beverages</v>
      </c>
      <c r="C2493" s="6">
        <v>39</v>
      </c>
      <c r="D2493" s="6" t="str">
        <f t="shared" si="77"/>
        <v>Electrical Machinery and Apparatus</v>
      </c>
      <c r="E2493" s="6">
        <v>33310</v>
      </c>
      <c r="F2493" s="6">
        <v>2788</v>
      </c>
      <c r="G2493" s="6">
        <v>4532</v>
      </c>
      <c r="H2493" s="6">
        <v>806</v>
      </c>
      <c r="I2493" s="6">
        <v>0</v>
      </c>
    </row>
    <row r="2494" spans="1:9">
      <c r="A2494" s="6">
        <v>22</v>
      </c>
      <c r="B2494" s="6" t="str">
        <f t="shared" si="76"/>
        <v>Tobacco Processing and Products</v>
      </c>
      <c r="C2494" s="6">
        <v>39</v>
      </c>
      <c r="D2494" s="6" t="str">
        <f t="shared" si="77"/>
        <v>Electrical Machinery and Apparatus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</row>
    <row r="2495" spans="1:9">
      <c r="A2495" s="6">
        <v>23</v>
      </c>
      <c r="B2495" s="6" t="str">
        <f t="shared" si="76"/>
        <v>Spinning, Weaving and Bleaching</v>
      </c>
      <c r="C2495" s="6">
        <v>39</v>
      </c>
      <c r="D2495" s="6" t="str">
        <f t="shared" si="77"/>
        <v>Electrical Machinery and Apparatus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</row>
    <row r="2496" spans="1:9">
      <c r="A2496" s="6">
        <v>24</v>
      </c>
      <c r="B2496" s="6" t="str">
        <f t="shared" si="76"/>
        <v>Textile Products</v>
      </c>
      <c r="C2496" s="6">
        <v>39</v>
      </c>
      <c r="D2496" s="6" t="str">
        <f t="shared" si="77"/>
        <v>Electrical Machinery and Apparatus</v>
      </c>
      <c r="E2496" s="6">
        <v>3766743</v>
      </c>
      <c r="F2496" s="6">
        <v>61688</v>
      </c>
      <c r="G2496" s="6">
        <v>329398</v>
      </c>
      <c r="H2496" s="6">
        <v>28350</v>
      </c>
      <c r="I2496" s="6">
        <v>2067903</v>
      </c>
    </row>
    <row r="2497" spans="1:9">
      <c r="A2497" s="6">
        <v>25</v>
      </c>
      <c r="B2497" s="6" t="str">
        <f t="shared" si="76"/>
        <v>Paper and Paper Products</v>
      </c>
      <c r="C2497" s="6">
        <v>39</v>
      </c>
      <c r="D2497" s="6" t="str">
        <f t="shared" si="77"/>
        <v>Electrical Machinery and Apparatus</v>
      </c>
      <c r="E2497" s="6">
        <v>9645724</v>
      </c>
      <c r="F2497" s="6">
        <v>664808</v>
      </c>
      <c r="G2497" s="6">
        <v>445560</v>
      </c>
      <c r="H2497" s="6">
        <v>97734</v>
      </c>
      <c r="I2497" s="6">
        <v>0</v>
      </c>
    </row>
    <row r="2498" spans="1:9">
      <c r="A2498" s="6">
        <v>26</v>
      </c>
      <c r="B2498" s="6" t="str">
        <f t="shared" si="76"/>
        <v>Printing and Publishing</v>
      </c>
      <c r="C2498" s="6">
        <v>39</v>
      </c>
      <c r="D2498" s="6" t="str">
        <f t="shared" si="77"/>
        <v>Electrical Machinery and Apparatus</v>
      </c>
      <c r="E2498" s="6">
        <v>274704</v>
      </c>
      <c r="F2498" s="6">
        <v>12832</v>
      </c>
      <c r="G2498" s="6">
        <v>28517</v>
      </c>
      <c r="H2498" s="6">
        <v>2638</v>
      </c>
      <c r="I2498" s="6">
        <v>0</v>
      </c>
    </row>
    <row r="2499" spans="1:9">
      <c r="A2499" s="6">
        <v>27</v>
      </c>
      <c r="B2499" s="6" t="str">
        <f t="shared" si="76"/>
        <v>Basic Chemical Products</v>
      </c>
      <c r="C2499" s="6">
        <v>39</v>
      </c>
      <c r="D2499" s="6" t="str">
        <f t="shared" si="77"/>
        <v>Electrical Machinery and Apparatus</v>
      </c>
      <c r="E2499" s="6">
        <v>74806861</v>
      </c>
      <c r="F2499" s="6">
        <v>9886311</v>
      </c>
      <c r="G2499" s="6">
        <v>8777671</v>
      </c>
      <c r="H2499" s="6">
        <v>1536066</v>
      </c>
      <c r="I2499" s="6">
        <v>37350632</v>
      </c>
    </row>
    <row r="2500" spans="1:9">
      <c r="A2500" s="6">
        <v>28</v>
      </c>
      <c r="B2500" s="6" t="str">
        <f t="shared" ref="B2500:B2563" si="78">VLOOKUP(A2500,R:S,2,0)</f>
        <v>Fertilizer and Pesticides</v>
      </c>
      <c r="C2500" s="6">
        <v>39</v>
      </c>
      <c r="D2500" s="6" t="str">
        <f t="shared" ref="D2500:D2563" si="79">VLOOKUP(C2500,R:S,2,0)</f>
        <v>Electrical Machinery and Apparatus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</row>
    <row r="2501" spans="1:9">
      <c r="A2501" s="6">
        <v>29</v>
      </c>
      <c r="B2501" s="6" t="str">
        <f t="shared" si="78"/>
        <v>Other Chemical Products</v>
      </c>
      <c r="C2501" s="6">
        <v>39</v>
      </c>
      <c r="D2501" s="6" t="str">
        <f t="shared" si="79"/>
        <v>Electrical Machinery and Apparatus</v>
      </c>
      <c r="E2501" s="6">
        <v>39712835</v>
      </c>
      <c r="F2501" s="6">
        <v>4903799</v>
      </c>
      <c r="G2501" s="6">
        <v>5104078</v>
      </c>
      <c r="H2501" s="6">
        <v>471496</v>
      </c>
      <c r="I2501" s="6">
        <v>17256613</v>
      </c>
    </row>
    <row r="2502" spans="1:9">
      <c r="A2502" s="6">
        <v>30</v>
      </c>
      <c r="B2502" s="6" t="str">
        <f t="shared" si="78"/>
        <v>Petroleum Refineries</v>
      </c>
      <c r="C2502" s="6">
        <v>39</v>
      </c>
      <c r="D2502" s="6" t="str">
        <f t="shared" si="79"/>
        <v>Electrical Machinery and Apparatus</v>
      </c>
      <c r="E2502" s="6">
        <v>20447912</v>
      </c>
      <c r="F2502" s="6">
        <v>1558657</v>
      </c>
      <c r="G2502" s="6">
        <v>1620769</v>
      </c>
      <c r="H2502" s="6">
        <v>198512</v>
      </c>
      <c r="I2502" s="6">
        <v>3460692</v>
      </c>
    </row>
    <row r="2503" spans="1:9">
      <c r="A2503" s="6">
        <v>31</v>
      </c>
      <c r="B2503" s="6" t="str">
        <f t="shared" si="78"/>
        <v>Rubber Products</v>
      </c>
      <c r="C2503" s="6">
        <v>39</v>
      </c>
      <c r="D2503" s="6" t="str">
        <f t="shared" si="79"/>
        <v>Electrical Machinery and Apparatus</v>
      </c>
      <c r="E2503" s="6">
        <v>6454265</v>
      </c>
      <c r="F2503" s="6">
        <v>901744</v>
      </c>
      <c r="G2503" s="6">
        <v>1039400</v>
      </c>
      <c r="H2503" s="6">
        <v>197917</v>
      </c>
      <c r="I2503" s="6">
        <v>3062440</v>
      </c>
    </row>
    <row r="2504" spans="1:9">
      <c r="A2504" s="6">
        <v>32</v>
      </c>
      <c r="B2504" s="6" t="str">
        <f t="shared" si="78"/>
        <v>Plastic Wares</v>
      </c>
      <c r="C2504" s="6">
        <v>39</v>
      </c>
      <c r="D2504" s="6" t="str">
        <f t="shared" si="79"/>
        <v>Electrical Machinery and Apparatus</v>
      </c>
      <c r="E2504" s="6">
        <v>84067968</v>
      </c>
      <c r="F2504" s="6">
        <v>2969241</v>
      </c>
      <c r="G2504" s="6">
        <v>4240532</v>
      </c>
      <c r="H2504" s="6">
        <v>684520</v>
      </c>
      <c r="I2504" s="6">
        <v>26808243</v>
      </c>
    </row>
    <row r="2505" spans="1:9">
      <c r="A2505" s="6">
        <v>33</v>
      </c>
      <c r="B2505" s="6" t="str">
        <f t="shared" si="78"/>
        <v>Cement and Concrete Products</v>
      </c>
      <c r="C2505" s="6">
        <v>39</v>
      </c>
      <c r="D2505" s="6" t="str">
        <f t="shared" si="79"/>
        <v>Electrical Machinery and Apparatus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</row>
    <row r="2506" spans="1:9">
      <c r="A2506" s="6">
        <v>34</v>
      </c>
      <c r="B2506" s="6" t="str">
        <f t="shared" si="78"/>
        <v>Other Non-metallic Products</v>
      </c>
      <c r="C2506" s="6">
        <v>39</v>
      </c>
      <c r="D2506" s="6" t="str">
        <f t="shared" si="79"/>
        <v>Electrical Machinery and Apparatus</v>
      </c>
      <c r="E2506" s="6">
        <v>48715815</v>
      </c>
      <c r="F2506" s="6">
        <v>4758446</v>
      </c>
      <c r="G2506" s="6">
        <v>3590635</v>
      </c>
      <c r="H2506" s="6">
        <v>618065</v>
      </c>
      <c r="I2506" s="6">
        <v>5530926</v>
      </c>
    </row>
    <row r="2507" spans="1:9">
      <c r="A2507" s="6">
        <v>35</v>
      </c>
      <c r="B2507" s="6" t="str">
        <f t="shared" si="78"/>
        <v>Iron and Steel</v>
      </c>
      <c r="C2507" s="6">
        <v>39</v>
      </c>
      <c r="D2507" s="6" t="str">
        <f t="shared" si="79"/>
        <v>Electrical Machinery and Apparatus</v>
      </c>
      <c r="E2507" s="6">
        <v>114060177</v>
      </c>
      <c r="F2507" s="6">
        <v>5896878</v>
      </c>
      <c r="G2507" s="6">
        <v>6572242</v>
      </c>
      <c r="H2507" s="6">
        <v>1224312</v>
      </c>
      <c r="I2507" s="6">
        <v>72374722</v>
      </c>
    </row>
    <row r="2508" spans="1:9">
      <c r="A2508" s="6">
        <v>36</v>
      </c>
      <c r="B2508" s="6" t="str">
        <f t="shared" si="78"/>
        <v>Non-ferrous Metal</v>
      </c>
      <c r="C2508" s="6">
        <v>39</v>
      </c>
      <c r="D2508" s="6" t="str">
        <f t="shared" si="79"/>
        <v>Electrical Machinery and Apparatus</v>
      </c>
      <c r="E2508" s="6">
        <v>244342691</v>
      </c>
      <c r="F2508" s="6">
        <v>12138169</v>
      </c>
      <c r="G2508" s="6">
        <v>6394447</v>
      </c>
      <c r="H2508" s="6">
        <v>439820</v>
      </c>
      <c r="I2508" s="6">
        <v>185659271</v>
      </c>
    </row>
    <row r="2509" spans="1:9">
      <c r="A2509" s="6">
        <v>37</v>
      </c>
      <c r="B2509" s="6" t="str">
        <f t="shared" si="78"/>
        <v>Fabricated Metal Products</v>
      </c>
      <c r="C2509" s="6">
        <v>39</v>
      </c>
      <c r="D2509" s="6" t="str">
        <f t="shared" si="79"/>
        <v>Electrical Machinery and Apparatus</v>
      </c>
      <c r="E2509" s="6">
        <v>44264472</v>
      </c>
      <c r="F2509" s="6">
        <v>798089</v>
      </c>
      <c r="G2509" s="6">
        <v>2483429</v>
      </c>
      <c r="H2509" s="6">
        <v>105392</v>
      </c>
      <c r="I2509" s="6">
        <v>34595997</v>
      </c>
    </row>
    <row r="2510" spans="1:9">
      <c r="A2510" s="6">
        <v>38</v>
      </c>
      <c r="B2510" s="6" t="str">
        <f t="shared" si="78"/>
        <v>Industrial Machinery</v>
      </c>
      <c r="C2510" s="6">
        <v>39</v>
      </c>
      <c r="D2510" s="6" t="str">
        <f t="shared" si="79"/>
        <v>Electrical Machinery and Apparatus</v>
      </c>
      <c r="E2510" s="6">
        <v>28325909</v>
      </c>
      <c r="F2510" s="6">
        <v>2553090</v>
      </c>
      <c r="G2510" s="6">
        <v>1406511</v>
      </c>
      <c r="H2510" s="6">
        <v>288093</v>
      </c>
      <c r="I2510" s="6">
        <v>12472734</v>
      </c>
    </row>
    <row r="2511" spans="1:9">
      <c r="A2511" s="6">
        <v>39</v>
      </c>
      <c r="B2511" s="6" t="str">
        <f t="shared" si="78"/>
        <v>Electrical Machinery and Apparatus</v>
      </c>
      <c r="C2511" s="6">
        <v>39</v>
      </c>
      <c r="D2511" s="6" t="str">
        <f t="shared" si="79"/>
        <v>Electrical Machinery and Apparatus</v>
      </c>
      <c r="E2511" s="6">
        <v>1753075785</v>
      </c>
      <c r="F2511" s="6">
        <v>111144633</v>
      </c>
      <c r="G2511" s="6">
        <v>129570476</v>
      </c>
      <c r="H2511" s="6">
        <v>11986545</v>
      </c>
      <c r="I2511" s="6">
        <v>1115274445</v>
      </c>
    </row>
    <row r="2512" spans="1:9">
      <c r="A2512" s="6">
        <v>40</v>
      </c>
      <c r="B2512" s="6" t="str">
        <f t="shared" si="78"/>
        <v>Motor Vehicles and Repairing</v>
      </c>
      <c r="C2512" s="6">
        <v>39</v>
      </c>
      <c r="D2512" s="6" t="str">
        <f t="shared" si="79"/>
        <v>Electrical Machinery and Apparatus</v>
      </c>
      <c r="E2512" s="6">
        <v>8131843</v>
      </c>
      <c r="F2512" s="6">
        <v>29636</v>
      </c>
      <c r="G2512" s="6">
        <v>43287</v>
      </c>
      <c r="H2512" s="6">
        <v>2561</v>
      </c>
      <c r="I2512" s="6">
        <v>0</v>
      </c>
    </row>
    <row r="2513" spans="1:9">
      <c r="A2513" s="6">
        <v>41</v>
      </c>
      <c r="B2513" s="6" t="str">
        <f t="shared" si="78"/>
        <v>Other Transportation Equipment</v>
      </c>
      <c r="C2513" s="6">
        <v>39</v>
      </c>
      <c r="D2513" s="6" t="str">
        <f t="shared" si="79"/>
        <v>Electrical Machinery and Apparatus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</row>
    <row r="2514" spans="1:9">
      <c r="A2514" s="6">
        <v>42</v>
      </c>
      <c r="B2514" s="6" t="str">
        <f t="shared" si="78"/>
        <v>Leather Products</v>
      </c>
      <c r="C2514" s="6">
        <v>39</v>
      </c>
      <c r="D2514" s="6" t="str">
        <f t="shared" si="79"/>
        <v>Electrical Machinery and Apparatus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</row>
    <row r="2515" spans="1:9">
      <c r="A2515" s="6">
        <v>43</v>
      </c>
      <c r="B2515" s="6" t="str">
        <f t="shared" si="78"/>
        <v>Saw Mills and Wood Products</v>
      </c>
      <c r="C2515" s="6">
        <v>39</v>
      </c>
      <c r="D2515" s="6" t="str">
        <f t="shared" si="79"/>
        <v>Electrical Machinery and Apparatus</v>
      </c>
      <c r="E2515" s="6">
        <v>3384380</v>
      </c>
      <c r="F2515" s="6">
        <v>213803</v>
      </c>
      <c r="G2515" s="6">
        <v>192890</v>
      </c>
      <c r="H2515" s="6">
        <v>24540</v>
      </c>
      <c r="I2515" s="6">
        <v>60</v>
      </c>
    </row>
    <row r="2516" spans="1:9">
      <c r="A2516" s="6">
        <v>44</v>
      </c>
      <c r="B2516" s="6" t="str">
        <f t="shared" si="78"/>
        <v>Other Manufacturing Products</v>
      </c>
      <c r="C2516" s="6">
        <v>39</v>
      </c>
      <c r="D2516" s="6" t="str">
        <f t="shared" si="79"/>
        <v>Electrical Machinery and Apparatus</v>
      </c>
      <c r="E2516" s="6">
        <v>18951629</v>
      </c>
      <c r="F2516" s="6">
        <v>2074071</v>
      </c>
      <c r="G2516" s="6">
        <v>2028787</v>
      </c>
      <c r="H2516" s="6">
        <v>159008</v>
      </c>
      <c r="I2516" s="6">
        <v>6007177</v>
      </c>
    </row>
    <row r="2517" spans="1:9">
      <c r="A2517" s="6">
        <v>45</v>
      </c>
      <c r="B2517" s="6" t="str">
        <f t="shared" si="78"/>
        <v>Electricity and Gas</v>
      </c>
      <c r="C2517" s="6">
        <v>39</v>
      </c>
      <c r="D2517" s="6" t="str">
        <f t="shared" si="79"/>
        <v>Electrical Machinery and Apparatus</v>
      </c>
      <c r="E2517" s="6">
        <v>45006251</v>
      </c>
      <c r="F2517" s="6">
        <v>30016</v>
      </c>
      <c r="G2517" s="6">
        <v>61901</v>
      </c>
      <c r="H2517" s="6">
        <v>7610</v>
      </c>
      <c r="I2517" s="6">
        <v>0</v>
      </c>
    </row>
    <row r="2518" spans="1:9">
      <c r="A2518" s="6">
        <v>46</v>
      </c>
      <c r="B2518" s="6" t="str">
        <f t="shared" si="78"/>
        <v>Water Works and Supply</v>
      </c>
      <c r="C2518" s="6">
        <v>39</v>
      </c>
      <c r="D2518" s="6" t="str">
        <f t="shared" si="79"/>
        <v>Electrical Machinery and Apparatus</v>
      </c>
      <c r="E2518" s="6">
        <v>991204</v>
      </c>
      <c r="F2518" s="6">
        <v>0</v>
      </c>
      <c r="G2518" s="6">
        <v>0</v>
      </c>
      <c r="H2518" s="6">
        <v>0</v>
      </c>
      <c r="I2518" s="6">
        <v>0</v>
      </c>
    </row>
    <row r="2519" spans="1:9">
      <c r="A2519" s="6">
        <v>47</v>
      </c>
      <c r="B2519" s="6" t="str">
        <f t="shared" si="78"/>
        <v>Building Construction</v>
      </c>
      <c r="C2519" s="6">
        <v>39</v>
      </c>
      <c r="D2519" s="6" t="str">
        <f t="shared" si="79"/>
        <v>Electrical Machinery and Apparatus</v>
      </c>
      <c r="E2519" s="6">
        <v>1082095</v>
      </c>
      <c r="F2519" s="6">
        <v>0</v>
      </c>
      <c r="G2519" s="6">
        <v>0</v>
      </c>
      <c r="H2519" s="6">
        <v>0</v>
      </c>
      <c r="I2519" s="6">
        <v>0</v>
      </c>
    </row>
    <row r="2520" spans="1:9">
      <c r="A2520" s="6">
        <v>48</v>
      </c>
      <c r="B2520" s="6" t="str">
        <f t="shared" si="78"/>
        <v>Public Works and Other Construction</v>
      </c>
      <c r="C2520" s="6">
        <v>39</v>
      </c>
      <c r="D2520" s="6" t="str">
        <f t="shared" si="79"/>
        <v>Electrical Machinery and Apparatus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</row>
    <row r="2521" spans="1:9">
      <c r="A2521" s="6">
        <v>49</v>
      </c>
      <c r="B2521" s="6" t="str">
        <f t="shared" si="78"/>
        <v>Trade</v>
      </c>
      <c r="C2521" s="6">
        <v>39</v>
      </c>
      <c r="D2521" s="6" t="str">
        <f t="shared" si="79"/>
        <v>Electrical Machinery and Apparatus</v>
      </c>
      <c r="E2521" s="6">
        <v>0</v>
      </c>
      <c r="F2521" s="6">
        <v>-160630318</v>
      </c>
      <c r="G2521" s="6">
        <v>-173937402</v>
      </c>
      <c r="H2521" s="6">
        <v>0</v>
      </c>
      <c r="I2521" s="6">
        <v>0</v>
      </c>
    </row>
    <row r="2522" spans="1:9">
      <c r="A2522" s="6">
        <v>50</v>
      </c>
      <c r="B2522" s="6" t="str">
        <f t="shared" si="78"/>
        <v>Restaurants and Hotels</v>
      </c>
      <c r="C2522" s="6">
        <v>39</v>
      </c>
      <c r="D2522" s="6" t="str">
        <f t="shared" si="79"/>
        <v>Electrical Machinery and Apparatus</v>
      </c>
      <c r="E2522" s="6">
        <v>4119023</v>
      </c>
      <c r="F2522" s="6">
        <v>0</v>
      </c>
      <c r="G2522" s="6">
        <v>0</v>
      </c>
      <c r="H2522" s="6">
        <v>0</v>
      </c>
      <c r="I2522" s="6">
        <v>0</v>
      </c>
    </row>
    <row r="2523" spans="1:9">
      <c r="A2523" s="6">
        <v>51</v>
      </c>
      <c r="B2523" s="6" t="str">
        <f t="shared" si="78"/>
        <v>Transportation</v>
      </c>
      <c r="C2523" s="6">
        <v>39</v>
      </c>
      <c r="D2523" s="6" t="str">
        <f t="shared" si="79"/>
        <v>Electrical Machinery and Apparatus</v>
      </c>
      <c r="E2523" s="6">
        <v>16075630</v>
      </c>
      <c r="F2523" s="6">
        <v>0</v>
      </c>
      <c r="G2523" s="6">
        <v>0</v>
      </c>
      <c r="H2523" s="6">
        <v>-18126372</v>
      </c>
      <c r="I2523" s="6">
        <v>0</v>
      </c>
    </row>
    <row r="2524" spans="1:9">
      <c r="A2524" s="6">
        <v>52</v>
      </c>
      <c r="B2524" s="6" t="str">
        <f t="shared" si="78"/>
        <v>Communication</v>
      </c>
      <c r="C2524" s="6">
        <v>39</v>
      </c>
      <c r="D2524" s="6" t="str">
        <f t="shared" si="79"/>
        <v>Electrical Machinery and Apparatus</v>
      </c>
      <c r="E2524" s="6">
        <v>3605863</v>
      </c>
      <c r="F2524" s="6">
        <v>0</v>
      </c>
      <c r="G2524" s="6">
        <v>0</v>
      </c>
      <c r="H2524" s="6">
        <v>0</v>
      </c>
      <c r="I2524" s="6">
        <v>0</v>
      </c>
    </row>
    <row r="2525" spans="1:9">
      <c r="A2525" s="6">
        <v>53</v>
      </c>
      <c r="B2525" s="6" t="str">
        <f t="shared" si="78"/>
        <v>Banking and Insurance</v>
      </c>
      <c r="C2525" s="6">
        <v>39</v>
      </c>
      <c r="D2525" s="6" t="str">
        <f t="shared" si="79"/>
        <v>Electrical Machinery and Apparatus</v>
      </c>
      <c r="E2525" s="6">
        <v>21017490</v>
      </c>
      <c r="F2525" s="6">
        <v>0</v>
      </c>
      <c r="G2525" s="6">
        <v>0</v>
      </c>
      <c r="H2525" s="6">
        <v>0</v>
      </c>
      <c r="I2525" s="6">
        <v>0</v>
      </c>
    </row>
    <row r="2526" spans="1:9">
      <c r="A2526" s="6">
        <v>54</v>
      </c>
      <c r="B2526" s="6" t="str">
        <f t="shared" si="78"/>
        <v>Real Estate</v>
      </c>
      <c r="C2526" s="6">
        <v>39</v>
      </c>
      <c r="D2526" s="6" t="str">
        <f t="shared" si="79"/>
        <v>Electrical Machinery and Apparatus</v>
      </c>
      <c r="E2526" s="6">
        <v>1520250</v>
      </c>
      <c r="F2526" s="6">
        <v>0</v>
      </c>
      <c r="G2526" s="6">
        <v>0</v>
      </c>
      <c r="H2526" s="6">
        <v>0</v>
      </c>
      <c r="I2526" s="6">
        <v>0</v>
      </c>
    </row>
    <row r="2527" spans="1:9">
      <c r="A2527" s="6">
        <v>55</v>
      </c>
      <c r="B2527" s="6" t="str">
        <f t="shared" si="78"/>
        <v>Business Services</v>
      </c>
      <c r="C2527" s="6">
        <v>39</v>
      </c>
      <c r="D2527" s="6" t="str">
        <f t="shared" si="79"/>
        <v>Electrical Machinery and Apparatus</v>
      </c>
      <c r="E2527" s="6">
        <v>28942831</v>
      </c>
      <c r="F2527" s="6">
        <v>0</v>
      </c>
      <c r="G2527" s="6">
        <v>0</v>
      </c>
      <c r="H2527" s="6">
        <v>0</v>
      </c>
      <c r="I2527" s="6">
        <v>0</v>
      </c>
    </row>
    <row r="2528" spans="1:9">
      <c r="A2528" s="6">
        <v>56</v>
      </c>
      <c r="B2528" s="6" t="str">
        <f t="shared" si="78"/>
        <v>Public Services</v>
      </c>
      <c r="C2528" s="6">
        <v>39</v>
      </c>
      <c r="D2528" s="6" t="str">
        <f t="shared" si="79"/>
        <v>Electrical Machinery and Apparatus</v>
      </c>
      <c r="E2528" s="6">
        <v>2637052</v>
      </c>
      <c r="F2528" s="6">
        <v>0</v>
      </c>
      <c r="G2528" s="6">
        <v>0</v>
      </c>
      <c r="H2528" s="6">
        <v>0</v>
      </c>
      <c r="I2528" s="6">
        <v>0</v>
      </c>
    </row>
    <row r="2529" spans="1:9">
      <c r="A2529" s="6">
        <v>57</v>
      </c>
      <c r="B2529" s="6" t="str">
        <f t="shared" si="78"/>
        <v>Other Services</v>
      </c>
      <c r="C2529" s="6">
        <v>39</v>
      </c>
      <c r="D2529" s="6" t="str">
        <f t="shared" si="79"/>
        <v>Electrical Machinery and Apparatus</v>
      </c>
      <c r="E2529" s="6">
        <v>9686108</v>
      </c>
      <c r="F2529" s="6">
        <v>0</v>
      </c>
      <c r="G2529" s="6">
        <v>0</v>
      </c>
      <c r="H2529" s="6">
        <v>0</v>
      </c>
      <c r="I2529" s="6">
        <v>0</v>
      </c>
    </row>
    <row r="2530" spans="1:9">
      <c r="A2530" s="6">
        <v>58</v>
      </c>
      <c r="B2530" s="6" t="str">
        <f t="shared" si="78"/>
        <v>Unclassified</v>
      </c>
      <c r="C2530" s="6">
        <v>39</v>
      </c>
      <c r="D2530" s="6" t="str">
        <f t="shared" si="79"/>
        <v>Electrical Machinery and Apparatus</v>
      </c>
      <c r="E2530" s="6">
        <v>3927501</v>
      </c>
      <c r="F2530" s="6">
        <v>0</v>
      </c>
      <c r="G2530" s="6">
        <v>0</v>
      </c>
      <c r="H2530" s="6">
        <v>0</v>
      </c>
      <c r="I2530" s="6">
        <v>422657</v>
      </c>
    </row>
    <row r="2531" spans="1:9">
      <c r="A2531" s="6">
        <v>190</v>
      </c>
      <c r="B2531" s="6" t="str">
        <f t="shared" si="78"/>
        <v>Total Intermedite Transaction</v>
      </c>
      <c r="C2531" s="6">
        <v>39</v>
      </c>
      <c r="D2531" s="6" t="str">
        <f t="shared" si="79"/>
        <v>Electrical Machinery and Apparatus</v>
      </c>
      <c r="E2531" s="6">
        <v>2641849482</v>
      </c>
      <c r="F2531" s="6">
        <v>0</v>
      </c>
      <c r="G2531" s="6">
        <v>0</v>
      </c>
      <c r="H2531" s="6">
        <v>0</v>
      </c>
      <c r="I2531" s="6">
        <v>1522537717</v>
      </c>
    </row>
    <row r="2532" spans="1:9">
      <c r="A2532" s="6">
        <v>201</v>
      </c>
      <c r="B2532" s="6" t="str">
        <f t="shared" si="78"/>
        <v>Wages and Salaries</v>
      </c>
      <c r="C2532" s="6">
        <v>39</v>
      </c>
      <c r="D2532" s="6" t="str">
        <f t="shared" si="79"/>
        <v>Electrical Machinery and Apparatus</v>
      </c>
      <c r="E2532" s="6">
        <v>211962643</v>
      </c>
      <c r="F2532" s="6">
        <v>0</v>
      </c>
      <c r="G2532" s="6">
        <v>0</v>
      </c>
      <c r="H2532" s="6">
        <v>0</v>
      </c>
      <c r="I2532" s="6">
        <v>0</v>
      </c>
    </row>
    <row r="2533" spans="1:9">
      <c r="A2533" s="6">
        <v>202</v>
      </c>
      <c r="B2533" s="6" t="str">
        <f t="shared" si="78"/>
        <v>Operating Surplus</v>
      </c>
      <c r="C2533" s="6">
        <v>39</v>
      </c>
      <c r="D2533" s="6" t="str">
        <f t="shared" si="79"/>
        <v>Electrical Machinery and Apparatus</v>
      </c>
      <c r="E2533" s="6">
        <v>320472134</v>
      </c>
      <c r="F2533" s="6">
        <v>0</v>
      </c>
      <c r="G2533" s="6">
        <v>0</v>
      </c>
      <c r="H2533" s="6">
        <v>0</v>
      </c>
      <c r="I2533" s="6">
        <v>0</v>
      </c>
    </row>
    <row r="2534" spans="1:9">
      <c r="A2534" s="6">
        <v>203</v>
      </c>
      <c r="B2534" s="6" t="str">
        <f t="shared" si="78"/>
        <v>Depreciation</v>
      </c>
      <c r="C2534" s="6">
        <v>39</v>
      </c>
      <c r="D2534" s="6" t="str">
        <f t="shared" si="79"/>
        <v>Electrical Machinery and Apparatus</v>
      </c>
      <c r="E2534" s="6">
        <v>153620165</v>
      </c>
      <c r="F2534" s="6">
        <v>0</v>
      </c>
      <c r="G2534" s="6">
        <v>0</v>
      </c>
      <c r="H2534" s="6">
        <v>0</v>
      </c>
      <c r="I2534" s="6">
        <v>0</v>
      </c>
    </row>
    <row r="2535" spans="1:9">
      <c r="A2535" s="6">
        <v>204</v>
      </c>
      <c r="B2535" s="6" t="str">
        <f t="shared" si="78"/>
        <v>Indirect Taxes less Subsidies</v>
      </c>
      <c r="C2535" s="6">
        <v>39</v>
      </c>
      <c r="D2535" s="6" t="str">
        <f t="shared" si="79"/>
        <v>Electrical Machinery and Apparatus</v>
      </c>
      <c r="E2535" s="6">
        <v>79347221</v>
      </c>
      <c r="F2535" s="6">
        <v>0</v>
      </c>
      <c r="G2535" s="6">
        <v>0</v>
      </c>
      <c r="H2535" s="6">
        <v>0</v>
      </c>
      <c r="I2535" s="6">
        <v>0</v>
      </c>
    </row>
    <row r="2536" spans="1:9">
      <c r="A2536" s="6">
        <v>209</v>
      </c>
      <c r="B2536" s="6" t="str">
        <f t="shared" si="78"/>
        <v>Total Value Added</v>
      </c>
      <c r="C2536" s="6">
        <v>39</v>
      </c>
      <c r="D2536" s="6" t="str">
        <f t="shared" si="79"/>
        <v>Electrical Machinery and Apparatus</v>
      </c>
      <c r="E2536" s="6">
        <v>765402163</v>
      </c>
      <c r="F2536" s="6">
        <v>0</v>
      </c>
      <c r="G2536" s="6">
        <v>0</v>
      </c>
      <c r="H2536" s="6">
        <v>0</v>
      </c>
      <c r="I2536" s="6">
        <v>0</v>
      </c>
    </row>
    <row r="2537" spans="1:9">
      <c r="A2537" s="6">
        <v>210</v>
      </c>
      <c r="B2537" s="6" t="str">
        <f t="shared" si="78"/>
        <v>Control Total</v>
      </c>
      <c r="C2537" s="6">
        <v>39</v>
      </c>
      <c r="D2537" s="6" t="str">
        <f t="shared" si="79"/>
        <v>Electrical Machinery and Apparatus</v>
      </c>
      <c r="E2537" s="6">
        <v>3407251645</v>
      </c>
      <c r="F2537" s="6">
        <v>0</v>
      </c>
      <c r="G2537" s="6">
        <v>0</v>
      </c>
      <c r="H2537" s="6">
        <v>0</v>
      </c>
      <c r="I2537" s="6">
        <v>0</v>
      </c>
    </row>
    <row r="2538" spans="1:9">
      <c r="A2538" s="6">
        <v>1</v>
      </c>
      <c r="B2538" s="6" t="str">
        <f t="shared" si="78"/>
        <v>Paddy</v>
      </c>
      <c r="C2538" s="6">
        <v>40</v>
      </c>
      <c r="D2538" s="6" t="str">
        <f t="shared" si="79"/>
        <v>Motor Vehicles and Repairing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</row>
    <row r="2539" spans="1:9">
      <c r="A2539" s="6">
        <v>2</v>
      </c>
      <c r="B2539" s="6" t="str">
        <f t="shared" si="78"/>
        <v>Maize</v>
      </c>
      <c r="C2539" s="6">
        <v>40</v>
      </c>
      <c r="D2539" s="6" t="str">
        <f t="shared" si="79"/>
        <v>Motor Vehicles and Repairing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</row>
    <row r="2540" spans="1:9">
      <c r="A2540" s="6">
        <v>3</v>
      </c>
      <c r="B2540" s="6" t="str">
        <f t="shared" si="78"/>
        <v>Cassava</v>
      </c>
      <c r="C2540" s="6">
        <v>40</v>
      </c>
      <c r="D2540" s="6" t="str">
        <f t="shared" si="79"/>
        <v>Motor Vehicles and Repairing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</row>
    <row r="2541" spans="1:9">
      <c r="A2541" s="6">
        <v>4</v>
      </c>
      <c r="B2541" s="6" t="str">
        <f t="shared" si="78"/>
        <v>Beans and Nuts</v>
      </c>
      <c r="C2541" s="6">
        <v>40</v>
      </c>
      <c r="D2541" s="6" t="str">
        <f t="shared" si="79"/>
        <v>Motor Vehicles and Repairing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</row>
    <row r="2542" spans="1:9">
      <c r="A2542" s="6">
        <v>5</v>
      </c>
      <c r="B2542" s="6" t="str">
        <f t="shared" si="78"/>
        <v>Vegetables and Fruits</v>
      </c>
      <c r="C2542" s="6">
        <v>40</v>
      </c>
      <c r="D2542" s="6" t="str">
        <f t="shared" si="79"/>
        <v>Motor Vehicles and Repairing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</row>
    <row r="2543" spans="1:9">
      <c r="A2543" s="6">
        <v>6</v>
      </c>
      <c r="B2543" s="6" t="str">
        <f t="shared" si="78"/>
        <v>Sugarcane</v>
      </c>
      <c r="C2543" s="6">
        <v>40</v>
      </c>
      <c r="D2543" s="6" t="str">
        <f t="shared" si="79"/>
        <v>Motor Vehicles and Repairing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</row>
    <row r="2544" spans="1:9">
      <c r="A2544" s="6">
        <v>7</v>
      </c>
      <c r="B2544" s="6" t="str">
        <f t="shared" si="78"/>
        <v>Rubber (Latex)</v>
      </c>
      <c r="C2544" s="6">
        <v>40</v>
      </c>
      <c r="D2544" s="6" t="str">
        <f t="shared" si="79"/>
        <v>Motor Vehicles and Repairing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</row>
    <row r="2545" spans="1:9">
      <c r="A2545" s="6">
        <v>8</v>
      </c>
      <c r="B2545" s="6" t="str">
        <f t="shared" si="78"/>
        <v>Other Crops</v>
      </c>
      <c r="C2545" s="6">
        <v>40</v>
      </c>
      <c r="D2545" s="6" t="str">
        <f t="shared" si="79"/>
        <v>Motor Vehicles and Repairing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</row>
    <row r="2546" spans="1:9">
      <c r="A2546" s="6">
        <v>9</v>
      </c>
      <c r="B2546" s="6" t="str">
        <f t="shared" si="78"/>
        <v>Livestock</v>
      </c>
      <c r="C2546" s="6">
        <v>40</v>
      </c>
      <c r="D2546" s="6" t="str">
        <f t="shared" si="79"/>
        <v>Motor Vehicles and Repairing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</row>
    <row r="2547" spans="1:9">
      <c r="A2547" s="6">
        <v>10</v>
      </c>
      <c r="B2547" s="6" t="str">
        <f t="shared" si="78"/>
        <v>Forestry</v>
      </c>
      <c r="C2547" s="6">
        <v>40</v>
      </c>
      <c r="D2547" s="6" t="str">
        <f t="shared" si="79"/>
        <v>Motor Vehicles and Repairing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</row>
    <row r="2548" spans="1:9">
      <c r="A2548" s="6">
        <v>11</v>
      </c>
      <c r="B2548" s="6" t="str">
        <f t="shared" si="78"/>
        <v>Fishery</v>
      </c>
      <c r="C2548" s="6">
        <v>40</v>
      </c>
      <c r="D2548" s="6" t="str">
        <f t="shared" si="79"/>
        <v>Motor Vehicles and Repairing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</row>
    <row r="2549" spans="1:9">
      <c r="A2549" s="6">
        <v>12</v>
      </c>
      <c r="B2549" s="6" t="str">
        <f t="shared" si="78"/>
        <v>Crude Oil and Coal</v>
      </c>
      <c r="C2549" s="6">
        <v>40</v>
      </c>
      <c r="D2549" s="6" t="str">
        <f t="shared" si="79"/>
        <v>Motor Vehicles and Repairing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</row>
    <row r="2550" spans="1:9">
      <c r="A2550" s="6">
        <v>13</v>
      </c>
      <c r="B2550" s="6" t="str">
        <f t="shared" si="78"/>
        <v>Metal Ore</v>
      </c>
      <c r="C2550" s="6">
        <v>40</v>
      </c>
      <c r="D2550" s="6" t="str">
        <f t="shared" si="79"/>
        <v>Motor Vehicles and Repairing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</row>
    <row r="2551" spans="1:9">
      <c r="A2551" s="6">
        <v>14</v>
      </c>
      <c r="B2551" s="6" t="str">
        <f t="shared" si="78"/>
        <v>Non-Metal Ore</v>
      </c>
      <c r="C2551" s="6">
        <v>40</v>
      </c>
      <c r="D2551" s="6" t="str">
        <f t="shared" si="79"/>
        <v>Motor Vehicles and Repairing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</row>
    <row r="2552" spans="1:9">
      <c r="A2552" s="6">
        <v>15</v>
      </c>
      <c r="B2552" s="6" t="str">
        <f t="shared" si="78"/>
        <v>Slaughtering</v>
      </c>
      <c r="C2552" s="6">
        <v>40</v>
      </c>
      <c r="D2552" s="6" t="str">
        <f t="shared" si="79"/>
        <v>Motor Vehicles and Repairing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</row>
    <row r="2553" spans="1:9">
      <c r="A2553" s="6">
        <v>16</v>
      </c>
      <c r="B2553" s="6" t="str">
        <f t="shared" si="78"/>
        <v>Processing and Presering of Foods</v>
      </c>
      <c r="C2553" s="6">
        <v>40</v>
      </c>
      <c r="D2553" s="6" t="str">
        <f t="shared" si="79"/>
        <v>Motor Vehicles and Repairing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</row>
    <row r="2554" spans="1:9">
      <c r="A2554" s="6">
        <v>17</v>
      </c>
      <c r="B2554" s="6" t="str">
        <f t="shared" si="78"/>
        <v>Rice and Other Grain Milling</v>
      </c>
      <c r="C2554" s="6">
        <v>40</v>
      </c>
      <c r="D2554" s="6" t="str">
        <f t="shared" si="79"/>
        <v>Motor Vehicles and Repairing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</row>
    <row r="2555" spans="1:9">
      <c r="A2555" s="6">
        <v>18</v>
      </c>
      <c r="B2555" s="6" t="str">
        <f t="shared" si="78"/>
        <v>Sugar Refineries</v>
      </c>
      <c r="C2555" s="6">
        <v>40</v>
      </c>
      <c r="D2555" s="6" t="str">
        <f t="shared" si="79"/>
        <v>Motor Vehicles and Repairing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</row>
    <row r="2556" spans="1:9">
      <c r="A2556" s="6">
        <v>19</v>
      </c>
      <c r="B2556" s="6" t="str">
        <f t="shared" si="78"/>
        <v>Other Foods</v>
      </c>
      <c r="C2556" s="6">
        <v>40</v>
      </c>
      <c r="D2556" s="6" t="str">
        <f t="shared" si="79"/>
        <v>Motor Vehicles and Repairing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</row>
    <row r="2557" spans="1:9">
      <c r="A2557" s="6">
        <v>20</v>
      </c>
      <c r="B2557" s="6" t="str">
        <f t="shared" si="78"/>
        <v>Animal Food</v>
      </c>
      <c r="C2557" s="6">
        <v>40</v>
      </c>
      <c r="D2557" s="6" t="str">
        <f t="shared" si="79"/>
        <v>Motor Vehicles and Repairing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</row>
    <row r="2558" spans="1:9">
      <c r="A2558" s="6">
        <v>21</v>
      </c>
      <c r="B2558" s="6" t="str">
        <f t="shared" si="78"/>
        <v>Beverages</v>
      </c>
      <c r="C2558" s="6">
        <v>40</v>
      </c>
      <c r="D2558" s="6" t="str">
        <f t="shared" si="79"/>
        <v>Motor Vehicles and Repairing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</row>
    <row r="2559" spans="1:9">
      <c r="A2559" s="6">
        <v>22</v>
      </c>
      <c r="B2559" s="6" t="str">
        <f t="shared" si="78"/>
        <v>Tobacco Processing and Products</v>
      </c>
      <c r="C2559" s="6">
        <v>40</v>
      </c>
      <c r="D2559" s="6" t="str">
        <f t="shared" si="79"/>
        <v>Motor Vehicles and Repairing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</row>
    <row r="2560" spans="1:9">
      <c r="A2560" s="6">
        <v>23</v>
      </c>
      <c r="B2560" s="6" t="str">
        <f t="shared" si="78"/>
        <v>Spinning, Weaving and Bleaching</v>
      </c>
      <c r="C2560" s="6">
        <v>40</v>
      </c>
      <c r="D2560" s="6" t="str">
        <f t="shared" si="79"/>
        <v>Motor Vehicles and Repairing</v>
      </c>
      <c r="E2560" s="6">
        <v>592576</v>
      </c>
      <c r="F2560" s="6">
        <v>18753</v>
      </c>
      <c r="G2560" s="6">
        <v>13001</v>
      </c>
      <c r="H2560" s="6">
        <v>2860</v>
      </c>
      <c r="I2560" s="6">
        <v>0</v>
      </c>
    </row>
    <row r="2561" spans="1:9">
      <c r="A2561" s="6">
        <v>24</v>
      </c>
      <c r="B2561" s="6" t="str">
        <f t="shared" si="78"/>
        <v>Textile Products</v>
      </c>
      <c r="C2561" s="6">
        <v>40</v>
      </c>
      <c r="D2561" s="6" t="str">
        <f t="shared" si="79"/>
        <v>Motor Vehicles and Repairing</v>
      </c>
      <c r="E2561" s="6">
        <v>2401793</v>
      </c>
      <c r="F2561" s="6">
        <v>70181</v>
      </c>
      <c r="G2561" s="6">
        <v>137247</v>
      </c>
      <c r="H2561" s="6">
        <v>13958</v>
      </c>
      <c r="I2561" s="6">
        <v>1030859</v>
      </c>
    </row>
    <row r="2562" spans="1:9">
      <c r="A2562" s="6">
        <v>25</v>
      </c>
      <c r="B2562" s="6" t="str">
        <f t="shared" si="78"/>
        <v>Paper and Paper Products</v>
      </c>
      <c r="C2562" s="6">
        <v>40</v>
      </c>
      <c r="D2562" s="6" t="str">
        <f t="shared" si="79"/>
        <v>Motor Vehicles and Repairing</v>
      </c>
      <c r="E2562" s="6">
        <v>7705666</v>
      </c>
      <c r="F2562" s="6">
        <v>196695</v>
      </c>
      <c r="G2562" s="6">
        <v>145964</v>
      </c>
      <c r="H2562" s="6">
        <v>66924</v>
      </c>
      <c r="I2562" s="6">
        <v>0</v>
      </c>
    </row>
    <row r="2563" spans="1:9">
      <c r="A2563" s="6">
        <v>26</v>
      </c>
      <c r="B2563" s="6" t="str">
        <f t="shared" si="78"/>
        <v>Printing and Publishing</v>
      </c>
      <c r="C2563" s="6">
        <v>40</v>
      </c>
      <c r="D2563" s="6" t="str">
        <f t="shared" si="79"/>
        <v>Motor Vehicles and Repairing</v>
      </c>
      <c r="E2563" s="6">
        <v>363919</v>
      </c>
      <c r="F2563" s="6">
        <v>16089</v>
      </c>
      <c r="G2563" s="6">
        <v>35663</v>
      </c>
      <c r="H2563" s="6">
        <v>3408</v>
      </c>
      <c r="I2563" s="6">
        <v>0</v>
      </c>
    </row>
    <row r="2564" spans="1:9">
      <c r="A2564" s="6">
        <v>27</v>
      </c>
      <c r="B2564" s="6" t="str">
        <f t="shared" ref="B2564:B2627" si="80">VLOOKUP(A2564,R:S,2,0)</f>
        <v>Basic Chemical Products</v>
      </c>
      <c r="C2564" s="6">
        <v>40</v>
      </c>
      <c r="D2564" s="6" t="str">
        <f t="shared" ref="D2564:D2627" si="81">VLOOKUP(C2564,R:S,2,0)</f>
        <v>Motor Vehicles and Repairing</v>
      </c>
      <c r="E2564" s="6">
        <v>14857271</v>
      </c>
      <c r="F2564" s="6">
        <v>891784</v>
      </c>
      <c r="G2564" s="6">
        <v>315319</v>
      </c>
      <c r="H2564" s="6">
        <v>156090</v>
      </c>
      <c r="I2564" s="6">
        <v>4809365</v>
      </c>
    </row>
    <row r="2565" spans="1:9">
      <c r="A2565" s="6">
        <v>28</v>
      </c>
      <c r="B2565" s="6" t="str">
        <f t="shared" si="80"/>
        <v>Fertilizer and Pesticides</v>
      </c>
      <c r="C2565" s="6">
        <v>40</v>
      </c>
      <c r="D2565" s="6" t="str">
        <f t="shared" si="81"/>
        <v>Motor Vehicles and Repairing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</row>
    <row r="2566" spans="1:9">
      <c r="A2566" s="6">
        <v>29</v>
      </c>
      <c r="B2566" s="6" t="str">
        <f t="shared" si="80"/>
        <v>Other Chemical Products</v>
      </c>
      <c r="C2566" s="6">
        <v>40</v>
      </c>
      <c r="D2566" s="6" t="str">
        <f t="shared" si="81"/>
        <v>Motor Vehicles and Repairing</v>
      </c>
      <c r="E2566" s="6">
        <v>68026968</v>
      </c>
      <c r="F2566" s="6">
        <v>5486277</v>
      </c>
      <c r="G2566" s="6">
        <v>4889616</v>
      </c>
      <c r="H2566" s="6">
        <v>559296</v>
      </c>
      <c r="I2566" s="6">
        <v>17189451</v>
      </c>
    </row>
    <row r="2567" spans="1:9">
      <c r="A2567" s="6">
        <v>30</v>
      </c>
      <c r="B2567" s="6" t="str">
        <f t="shared" si="80"/>
        <v>Petroleum Refineries</v>
      </c>
      <c r="C2567" s="6">
        <v>40</v>
      </c>
      <c r="D2567" s="6" t="str">
        <f t="shared" si="81"/>
        <v>Motor Vehicles and Repairing</v>
      </c>
      <c r="E2567" s="6">
        <v>39430065</v>
      </c>
      <c r="F2567" s="6">
        <v>2116396</v>
      </c>
      <c r="G2567" s="6">
        <v>1171322</v>
      </c>
      <c r="H2567" s="6">
        <v>298593</v>
      </c>
      <c r="I2567" s="6">
        <v>14135743</v>
      </c>
    </row>
    <row r="2568" spans="1:9">
      <c r="A2568" s="6">
        <v>31</v>
      </c>
      <c r="B2568" s="6" t="str">
        <f t="shared" si="80"/>
        <v>Rubber Products</v>
      </c>
      <c r="C2568" s="6">
        <v>40</v>
      </c>
      <c r="D2568" s="6" t="str">
        <f t="shared" si="81"/>
        <v>Motor Vehicles and Repairing</v>
      </c>
      <c r="E2568" s="6">
        <v>60105400</v>
      </c>
      <c r="F2568" s="6">
        <v>3392300</v>
      </c>
      <c r="G2568" s="6">
        <v>5535397</v>
      </c>
      <c r="H2568" s="6">
        <v>680695</v>
      </c>
      <c r="I2568" s="6">
        <v>26002683</v>
      </c>
    </row>
    <row r="2569" spans="1:9">
      <c r="A2569" s="6">
        <v>32</v>
      </c>
      <c r="B2569" s="6" t="str">
        <f t="shared" si="80"/>
        <v>Plastic Wares</v>
      </c>
      <c r="C2569" s="6">
        <v>40</v>
      </c>
      <c r="D2569" s="6" t="str">
        <f t="shared" si="81"/>
        <v>Motor Vehicles and Repairing</v>
      </c>
      <c r="E2569" s="6">
        <v>42078283</v>
      </c>
      <c r="F2569" s="6">
        <v>696681</v>
      </c>
      <c r="G2569" s="6">
        <v>724262</v>
      </c>
      <c r="H2569" s="6">
        <v>308374</v>
      </c>
      <c r="I2569" s="6">
        <v>10666551</v>
      </c>
    </row>
    <row r="2570" spans="1:9">
      <c r="A2570" s="6">
        <v>33</v>
      </c>
      <c r="B2570" s="6" t="str">
        <f t="shared" si="80"/>
        <v>Cement and Concrete Products</v>
      </c>
      <c r="C2570" s="6">
        <v>40</v>
      </c>
      <c r="D2570" s="6" t="str">
        <f t="shared" si="81"/>
        <v>Motor Vehicles and Repairing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</row>
    <row r="2571" spans="1:9">
      <c r="A2571" s="6">
        <v>34</v>
      </c>
      <c r="B2571" s="6" t="str">
        <f t="shared" si="80"/>
        <v>Other Non-metallic Products</v>
      </c>
      <c r="C2571" s="6">
        <v>40</v>
      </c>
      <c r="D2571" s="6" t="str">
        <f t="shared" si="81"/>
        <v>Motor Vehicles and Repairing</v>
      </c>
      <c r="E2571" s="6">
        <v>21928023</v>
      </c>
      <c r="F2571" s="6">
        <v>1462538</v>
      </c>
      <c r="G2571" s="6">
        <v>733305</v>
      </c>
      <c r="H2571" s="6">
        <v>217590</v>
      </c>
      <c r="I2571" s="6">
        <v>9159683</v>
      </c>
    </row>
    <row r="2572" spans="1:9">
      <c r="A2572" s="6">
        <v>35</v>
      </c>
      <c r="B2572" s="6" t="str">
        <f t="shared" si="80"/>
        <v>Iron and Steel</v>
      </c>
      <c r="C2572" s="6">
        <v>40</v>
      </c>
      <c r="D2572" s="6" t="str">
        <f t="shared" si="81"/>
        <v>Motor Vehicles and Repairing</v>
      </c>
      <c r="E2572" s="6">
        <v>287940083</v>
      </c>
      <c r="F2572" s="6">
        <v>9587167</v>
      </c>
      <c r="G2572" s="6">
        <v>11066963</v>
      </c>
      <c r="H2572" s="6">
        <v>2673629</v>
      </c>
      <c r="I2572" s="6">
        <v>194058495</v>
      </c>
    </row>
    <row r="2573" spans="1:9">
      <c r="A2573" s="6">
        <v>36</v>
      </c>
      <c r="B2573" s="6" t="str">
        <f t="shared" si="80"/>
        <v>Non-ferrous Metal</v>
      </c>
      <c r="C2573" s="6">
        <v>40</v>
      </c>
      <c r="D2573" s="6" t="str">
        <f t="shared" si="81"/>
        <v>Motor Vehicles and Repairing</v>
      </c>
      <c r="E2573" s="6">
        <v>30399130</v>
      </c>
      <c r="F2573" s="6">
        <v>532648</v>
      </c>
      <c r="G2573" s="6">
        <v>231453</v>
      </c>
      <c r="H2573" s="6">
        <v>38714</v>
      </c>
      <c r="I2573" s="6">
        <v>22520097</v>
      </c>
    </row>
    <row r="2574" spans="1:9">
      <c r="A2574" s="6">
        <v>37</v>
      </c>
      <c r="B2574" s="6" t="str">
        <f t="shared" si="80"/>
        <v>Fabricated Metal Products</v>
      </c>
      <c r="C2574" s="6">
        <v>40</v>
      </c>
      <c r="D2574" s="6" t="str">
        <f t="shared" si="81"/>
        <v>Motor Vehicles and Repairing</v>
      </c>
      <c r="E2574" s="6">
        <v>37805580</v>
      </c>
      <c r="F2574" s="6">
        <v>521093</v>
      </c>
      <c r="G2574" s="6">
        <v>1521961</v>
      </c>
      <c r="H2574" s="6">
        <v>66463</v>
      </c>
      <c r="I2574" s="6">
        <v>32994173</v>
      </c>
    </row>
    <row r="2575" spans="1:9">
      <c r="A2575" s="6">
        <v>38</v>
      </c>
      <c r="B2575" s="6" t="str">
        <f t="shared" si="80"/>
        <v>Industrial Machinery</v>
      </c>
      <c r="C2575" s="6">
        <v>40</v>
      </c>
      <c r="D2575" s="6" t="str">
        <f t="shared" si="81"/>
        <v>Motor Vehicles and Repairing</v>
      </c>
      <c r="E2575" s="6">
        <v>143192291</v>
      </c>
      <c r="F2575" s="6">
        <v>9197620</v>
      </c>
      <c r="G2575" s="6">
        <v>1744516</v>
      </c>
      <c r="H2575" s="6">
        <v>716412</v>
      </c>
      <c r="I2575" s="6">
        <v>91104100</v>
      </c>
    </row>
    <row r="2576" spans="1:9">
      <c r="A2576" s="6">
        <v>39</v>
      </c>
      <c r="B2576" s="6" t="str">
        <f t="shared" si="80"/>
        <v>Electrical Machinery and Apparatus</v>
      </c>
      <c r="C2576" s="6">
        <v>40</v>
      </c>
      <c r="D2576" s="6" t="str">
        <f t="shared" si="81"/>
        <v>Motor Vehicles and Repairing</v>
      </c>
      <c r="E2576" s="6">
        <v>191768620</v>
      </c>
      <c r="F2576" s="6">
        <v>7436803</v>
      </c>
      <c r="G2576" s="6">
        <v>7645129</v>
      </c>
      <c r="H2576" s="6">
        <v>967603</v>
      </c>
      <c r="I2576" s="6">
        <v>130057906</v>
      </c>
    </row>
    <row r="2577" spans="1:9">
      <c r="A2577" s="6">
        <v>40</v>
      </c>
      <c r="B2577" s="6" t="str">
        <f t="shared" si="80"/>
        <v>Motor Vehicles and Repairing</v>
      </c>
      <c r="C2577" s="6">
        <v>40</v>
      </c>
      <c r="D2577" s="6" t="str">
        <f t="shared" si="81"/>
        <v>Motor Vehicles and Repairing</v>
      </c>
      <c r="E2577" s="6">
        <v>476531360</v>
      </c>
      <c r="F2577" s="6">
        <v>25870905</v>
      </c>
      <c r="G2577" s="6">
        <v>46178045</v>
      </c>
      <c r="H2577" s="6">
        <v>3902237</v>
      </c>
      <c r="I2577" s="6">
        <v>276141403</v>
      </c>
    </row>
    <row r="2578" spans="1:9">
      <c r="A2578" s="6">
        <v>41</v>
      </c>
      <c r="B2578" s="6" t="str">
        <f t="shared" si="80"/>
        <v>Other Transportation Equipment</v>
      </c>
      <c r="C2578" s="6">
        <v>40</v>
      </c>
      <c r="D2578" s="6" t="str">
        <f t="shared" si="81"/>
        <v>Motor Vehicles and Repairing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</row>
    <row r="2579" spans="1:9">
      <c r="A2579" s="6">
        <v>42</v>
      </c>
      <c r="B2579" s="6" t="str">
        <f t="shared" si="80"/>
        <v>Leather Products</v>
      </c>
      <c r="C2579" s="6">
        <v>40</v>
      </c>
      <c r="D2579" s="6" t="str">
        <f t="shared" si="81"/>
        <v>Motor Vehicles and Repairing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</row>
    <row r="2580" spans="1:9">
      <c r="A2580" s="6">
        <v>43</v>
      </c>
      <c r="B2580" s="6" t="str">
        <f t="shared" si="80"/>
        <v>Saw Mills and Wood Products</v>
      </c>
      <c r="C2580" s="6">
        <v>40</v>
      </c>
      <c r="D2580" s="6" t="str">
        <f t="shared" si="81"/>
        <v>Motor Vehicles and Repairing</v>
      </c>
      <c r="E2580" s="6">
        <v>2425686</v>
      </c>
      <c r="F2580" s="6">
        <v>126418</v>
      </c>
      <c r="G2580" s="6">
        <v>162037</v>
      </c>
      <c r="H2580" s="6">
        <v>20757</v>
      </c>
      <c r="I2580" s="6">
        <v>0</v>
      </c>
    </row>
    <row r="2581" spans="1:9">
      <c r="A2581" s="6">
        <v>44</v>
      </c>
      <c r="B2581" s="6" t="str">
        <f t="shared" si="80"/>
        <v>Other Manufacturing Products</v>
      </c>
      <c r="C2581" s="6">
        <v>40</v>
      </c>
      <c r="D2581" s="6" t="str">
        <f t="shared" si="81"/>
        <v>Motor Vehicles and Repairing</v>
      </c>
      <c r="E2581" s="6">
        <v>4955104</v>
      </c>
      <c r="F2581" s="6">
        <v>314784</v>
      </c>
      <c r="G2581" s="6">
        <v>229066</v>
      </c>
      <c r="H2581" s="6">
        <v>36953</v>
      </c>
      <c r="I2581" s="6">
        <v>2502678</v>
      </c>
    </row>
    <row r="2582" spans="1:9">
      <c r="A2582" s="6">
        <v>45</v>
      </c>
      <c r="B2582" s="6" t="str">
        <f t="shared" si="80"/>
        <v>Electricity and Gas</v>
      </c>
      <c r="C2582" s="6">
        <v>40</v>
      </c>
      <c r="D2582" s="6" t="str">
        <f t="shared" si="81"/>
        <v>Motor Vehicles and Repairing</v>
      </c>
      <c r="E2582" s="6">
        <v>36010944</v>
      </c>
      <c r="F2582" s="6">
        <v>27946</v>
      </c>
      <c r="G2582" s="6">
        <v>42087</v>
      </c>
      <c r="H2582" s="6">
        <v>9120</v>
      </c>
      <c r="I2582" s="6">
        <v>0</v>
      </c>
    </row>
    <row r="2583" spans="1:9">
      <c r="A2583" s="6">
        <v>46</v>
      </c>
      <c r="B2583" s="6" t="str">
        <f t="shared" si="80"/>
        <v>Water Works and Supply</v>
      </c>
      <c r="C2583" s="6">
        <v>40</v>
      </c>
      <c r="D2583" s="6" t="str">
        <f t="shared" si="81"/>
        <v>Motor Vehicles and Repairing</v>
      </c>
      <c r="E2583" s="6">
        <v>705358</v>
      </c>
      <c r="F2583" s="6">
        <v>0</v>
      </c>
      <c r="G2583" s="6">
        <v>0</v>
      </c>
      <c r="H2583" s="6">
        <v>0</v>
      </c>
      <c r="I2583" s="6">
        <v>0</v>
      </c>
    </row>
    <row r="2584" spans="1:9">
      <c r="A2584" s="6">
        <v>47</v>
      </c>
      <c r="B2584" s="6" t="str">
        <f t="shared" si="80"/>
        <v>Building Construction</v>
      </c>
      <c r="C2584" s="6">
        <v>40</v>
      </c>
      <c r="D2584" s="6" t="str">
        <f t="shared" si="81"/>
        <v>Motor Vehicles and Repairing</v>
      </c>
      <c r="E2584" s="6">
        <v>759797</v>
      </c>
      <c r="F2584" s="6">
        <v>0</v>
      </c>
      <c r="G2584" s="6">
        <v>0</v>
      </c>
      <c r="H2584" s="6">
        <v>0</v>
      </c>
      <c r="I2584" s="6">
        <v>0</v>
      </c>
    </row>
    <row r="2585" spans="1:9">
      <c r="A2585" s="6">
        <v>48</v>
      </c>
      <c r="B2585" s="6" t="str">
        <f t="shared" si="80"/>
        <v>Public Works and Other Construction</v>
      </c>
      <c r="C2585" s="6">
        <v>40</v>
      </c>
      <c r="D2585" s="6" t="str">
        <f t="shared" si="81"/>
        <v>Motor Vehicles and Repairing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</row>
    <row r="2586" spans="1:9">
      <c r="A2586" s="6">
        <v>49</v>
      </c>
      <c r="B2586" s="6" t="str">
        <f t="shared" si="80"/>
        <v>Trade</v>
      </c>
      <c r="C2586" s="6">
        <v>40</v>
      </c>
      <c r="D2586" s="6" t="str">
        <f t="shared" si="81"/>
        <v>Motor Vehicles and Repairing</v>
      </c>
      <c r="E2586" s="6">
        <v>0</v>
      </c>
      <c r="F2586" s="6">
        <v>-67963078</v>
      </c>
      <c r="G2586" s="6">
        <v>-82522353</v>
      </c>
      <c r="H2586" s="6">
        <v>0</v>
      </c>
      <c r="I2586" s="6">
        <v>0</v>
      </c>
    </row>
    <row r="2587" spans="1:9">
      <c r="A2587" s="6">
        <v>50</v>
      </c>
      <c r="B2587" s="6" t="str">
        <f t="shared" si="80"/>
        <v>Restaurants and Hotels</v>
      </c>
      <c r="C2587" s="6">
        <v>40</v>
      </c>
      <c r="D2587" s="6" t="str">
        <f t="shared" si="81"/>
        <v>Motor Vehicles and Repairing</v>
      </c>
      <c r="E2587" s="6">
        <v>2074471</v>
      </c>
      <c r="F2587" s="6">
        <v>0</v>
      </c>
      <c r="G2587" s="6">
        <v>0</v>
      </c>
      <c r="H2587" s="6">
        <v>0</v>
      </c>
      <c r="I2587" s="6">
        <v>0</v>
      </c>
    </row>
    <row r="2588" spans="1:9">
      <c r="A2588" s="6">
        <v>51</v>
      </c>
      <c r="B2588" s="6" t="str">
        <f t="shared" si="80"/>
        <v>Transportation</v>
      </c>
      <c r="C2588" s="6">
        <v>40</v>
      </c>
      <c r="D2588" s="6" t="str">
        <f t="shared" si="81"/>
        <v>Motor Vehicles and Repairing</v>
      </c>
      <c r="E2588" s="6">
        <v>14256507</v>
      </c>
      <c r="F2588" s="6">
        <v>0</v>
      </c>
      <c r="G2588" s="6">
        <v>0</v>
      </c>
      <c r="H2588" s="6">
        <v>-10739676</v>
      </c>
      <c r="I2588" s="6">
        <v>0</v>
      </c>
    </row>
    <row r="2589" spans="1:9">
      <c r="A2589" s="6">
        <v>52</v>
      </c>
      <c r="B2589" s="6" t="str">
        <f t="shared" si="80"/>
        <v>Communication</v>
      </c>
      <c r="C2589" s="6">
        <v>40</v>
      </c>
      <c r="D2589" s="6" t="str">
        <f t="shared" si="81"/>
        <v>Motor Vehicles and Repairing</v>
      </c>
      <c r="E2589" s="6">
        <v>2988081</v>
      </c>
      <c r="F2589" s="6">
        <v>0</v>
      </c>
      <c r="G2589" s="6">
        <v>0</v>
      </c>
      <c r="H2589" s="6">
        <v>0</v>
      </c>
      <c r="I2589" s="6">
        <v>0</v>
      </c>
    </row>
    <row r="2590" spans="1:9">
      <c r="A2590" s="6">
        <v>53</v>
      </c>
      <c r="B2590" s="6" t="str">
        <f t="shared" si="80"/>
        <v>Banking and Insurance</v>
      </c>
      <c r="C2590" s="6">
        <v>40</v>
      </c>
      <c r="D2590" s="6" t="str">
        <f t="shared" si="81"/>
        <v>Motor Vehicles and Repairing</v>
      </c>
      <c r="E2590" s="6">
        <v>35222209</v>
      </c>
      <c r="F2590" s="6">
        <v>0</v>
      </c>
      <c r="G2590" s="6">
        <v>0</v>
      </c>
      <c r="H2590" s="6">
        <v>0</v>
      </c>
      <c r="I2590" s="6">
        <v>0</v>
      </c>
    </row>
    <row r="2591" spans="1:9">
      <c r="A2591" s="6">
        <v>54</v>
      </c>
      <c r="B2591" s="6" t="str">
        <f t="shared" si="80"/>
        <v>Real Estate</v>
      </c>
      <c r="C2591" s="6">
        <v>40</v>
      </c>
      <c r="D2591" s="6" t="str">
        <f t="shared" si="81"/>
        <v>Motor Vehicles and Repairing</v>
      </c>
      <c r="E2591" s="6">
        <v>610708</v>
      </c>
      <c r="F2591" s="6">
        <v>0</v>
      </c>
      <c r="G2591" s="6">
        <v>0</v>
      </c>
      <c r="H2591" s="6">
        <v>0</v>
      </c>
      <c r="I2591" s="6">
        <v>0</v>
      </c>
    </row>
    <row r="2592" spans="1:9">
      <c r="A2592" s="6">
        <v>55</v>
      </c>
      <c r="B2592" s="6" t="str">
        <f t="shared" si="80"/>
        <v>Business Services</v>
      </c>
      <c r="C2592" s="6">
        <v>40</v>
      </c>
      <c r="D2592" s="6" t="str">
        <f t="shared" si="81"/>
        <v>Motor Vehicles and Repairing</v>
      </c>
      <c r="E2592" s="6">
        <v>30181223</v>
      </c>
      <c r="F2592" s="6">
        <v>0</v>
      </c>
      <c r="G2592" s="6">
        <v>0</v>
      </c>
      <c r="H2592" s="6">
        <v>0</v>
      </c>
      <c r="I2592" s="6">
        <v>0</v>
      </c>
    </row>
    <row r="2593" spans="1:9">
      <c r="A2593" s="6">
        <v>56</v>
      </c>
      <c r="B2593" s="6" t="str">
        <f t="shared" si="80"/>
        <v>Public Services</v>
      </c>
      <c r="C2593" s="6">
        <v>40</v>
      </c>
      <c r="D2593" s="6" t="str">
        <f t="shared" si="81"/>
        <v>Motor Vehicles and Repairing</v>
      </c>
      <c r="E2593" s="6">
        <v>3614400</v>
      </c>
      <c r="F2593" s="6">
        <v>0</v>
      </c>
      <c r="G2593" s="6">
        <v>0</v>
      </c>
      <c r="H2593" s="6">
        <v>0</v>
      </c>
      <c r="I2593" s="6">
        <v>0</v>
      </c>
    </row>
    <row r="2594" spans="1:9">
      <c r="A2594" s="6">
        <v>57</v>
      </c>
      <c r="B2594" s="6" t="str">
        <f t="shared" si="80"/>
        <v>Other Services</v>
      </c>
      <c r="C2594" s="6">
        <v>40</v>
      </c>
      <c r="D2594" s="6" t="str">
        <f t="shared" si="81"/>
        <v>Motor Vehicles and Repairing</v>
      </c>
      <c r="E2594" s="6">
        <v>3158093</v>
      </c>
      <c r="F2594" s="6">
        <v>0</v>
      </c>
      <c r="G2594" s="6">
        <v>0</v>
      </c>
      <c r="H2594" s="6">
        <v>0</v>
      </c>
      <c r="I2594" s="6">
        <v>0</v>
      </c>
    </row>
    <row r="2595" spans="1:9">
      <c r="A2595" s="6">
        <v>58</v>
      </c>
      <c r="B2595" s="6" t="str">
        <f t="shared" si="80"/>
        <v>Unclassified</v>
      </c>
      <c r="C2595" s="6">
        <v>40</v>
      </c>
      <c r="D2595" s="6" t="str">
        <f t="shared" si="81"/>
        <v>Motor Vehicles and Repairing</v>
      </c>
      <c r="E2595" s="6">
        <v>6080645</v>
      </c>
      <c r="F2595" s="6">
        <v>0</v>
      </c>
      <c r="G2595" s="6">
        <v>0</v>
      </c>
      <c r="H2595" s="6">
        <v>0</v>
      </c>
      <c r="I2595" s="6">
        <v>549398</v>
      </c>
    </row>
    <row r="2596" spans="1:9">
      <c r="A2596" s="6">
        <v>190</v>
      </c>
      <c r="B2596" s="6" t="str">
        <f t="shared" si="80"/>
        <v>Total Intermedite Transaction</v>
      </c>
      <c r="C2596" s="6">
        <v>40</v>
      </c>
      <c r="D2596" s="6" t="str">
        <f t="shared" si="81"/>
        <v>Motor Vehicles and Repairing</v>
      </c>
      <c r="E2596" s="6">
        <v>1568170254</v>
      </c>
      <c r="F2596" s="6">
        <v>0</v>
      </c>
      <c r="G2596" s="6">
        <v>0</v>
      </c>
      <c r="H2596" s="6">
        <v>0</v>
      </c>
      <c r="I2596" s="6">
        <v>832922585</v>
      </c>
    </row>
    <row r="2597" spans="1:9">
      <c r="A2597" s="6">
        <v>201</v>
      </c>
      <c r="B2597" s="6" t="str">
        <f t="shared" si="80"/>
        <v>Wages and Salaries</v>
      </c>
      <c r="C2597" s="6">
        <v>40</v>
      </c>
      <c r="D2597" s="6" t="str">
        <f t="shared" si="81"/>
        <v>Motor Vehicles and Repairing</v>
      </c>
      <c r="E2597" s="6">
        <v>182634401</v>
      </c>
      <c r="F2597" s="6">
        <v>0</v>
      </c>
      <c r="G2597" s="6">
        <v>0</v>
      </c>
      <c r="H2597" s="6">
        <v>0</v>
      </c>
      <c r="I2597" s="6">
        <v>0</v>
      </c>
    </row>
    <row r="2598" spans="1:9">
      <c r="A2598" s="6">
        <v>202</v>
      </c>
      <c r="B2598" s="6" t="str">
        <f t="shared" si="80"/>
        <v>Operating Surplus</v>
      </c>
      <c r="C2598" s="6">
        <v>40</v>
      </c>
      <c r="D2598" s="6" t="str">
        <f t="shared" si="81"/>
        <v>Motor Vehicles and Repairing</v>
      </c>
      <c r="E2598" s="6">
        <v>207807404</v>
      </c>
      <c r="F2598" s="6">
        <v>0</v>
      </c>
      <c r="G2598" s="6">
        <v>0</v>
      </c>
      <c r="H2598" s="6">
        <v>0</v>
      </c>
      <c r="I2598" s="6">
        <v>0</v>
      </c>
    </row>
    <row r="2599" spans="1:9">
      <c r="A2599" s="6">
        <v>203</v>
      </c>
      <c r="B2599" s="6" t="str">
        <f t="shared" si="80"/>
        <v>Depreciation</v>
      </c>
      <c r="C2599" s="6">
        <v>40</v>
      </c>
      <c r="D2599" s="6" t="str">
        <f t="shared" si="81"/>
        <v>Motor Vehicles and Repairing</v>
      </c>
      <c r="E2599" s="6">
        <v>108764737</v>
      </c>
      <c r="F2599" s="6">
        <v>0</v>
      </c>
      <c r="G2599" s="6">
        <v>0</v>
      </c>
      <c r="H2599" s="6">
        <v>0</v>
      </c>
      <c r="I2599" s="6">
        <v>0</v>
      </c>
    </row>
    <row r="2600" spans="1:9">
      <c r="A2600" s="6">
        <v>204</v>
      </c>
      <c r="B2600" s="6" t="str">
        <f t="shared" si="80"/>
        <v>Indirect Taxes less Subsidies</v>
      </c>
      <c r="C2600" s="6">
        <v>40</v>
      </c>
      <c r="D2600" s="6" t="str">
        <f t="shared" si="81"/>
        <v>Motor Vehicles and Repairing</v>
      </c>
      <c r="E2600" s="6">
        <v>115825059</v>
      </c>
      <c r="F2600" s="6">
        <v>0</v>
      </c>
      <c r="G2600" s="6">
        <v>0</v>
      </c>
      <c r="H2600" s="6">
        <v>0</v>
      </c>
      <c r="I2600" s="6">
        <v>0</v>
      </c>
    </row>
    <row r="2601" spans="1:9">
      <c r="A2601" s="6">
        <v>209</v>
      </c>
      <c r="B2601" s="6" t="str">
        <f t="shared" si="80"/>
        <v>Total Value Added</v>
      </c>
      <c r="C2601" s="6">
        <v>40</v>
      </c>
      <c r="D2601" s="6" t="str">
        <f t="shared" si="81"/>
        <v>Motor Vehicles and Repairing</v>
      </c>
      <c r="E2601" s="6">
        <v>615031601</v>
      </c>
      <c r="F2601" s="6">
        <v>0</v>
      </c>
      <c r="G2601" s="6">
        <v>0</v>
      </c>
      <c r="H2601" s="6">
        <v>0</v>
      </c>
      <c r="I2601" s="6">
        <v>0</v>
      </c>
    </row>
    <row r="2602" spans="1:9">
      <c r="A2602" s="6">
        <v>210</v>
      </c>
      <c r="B2602" s="6" t="str">
        <f t="shared" si="80"/>
        <v>Control Total</v>
      </c>
      <c r="C2602" s="6">
        <v>40</v>
      </c>
      <c r="D2602" s="6" t="str">
        <f t="shared" si="81"/>
        <v>Motor Vehicles and Repairing</v>
      </c>
      <c r="E2602" s="6">
        <v>2183201855</v>
      </c>
      <c r="F2602" s="6">
        <v>0</v>
      </c>
      <c r="G2602" s="6">
        <v>0</v>
      </c>
      <c r="H2602" s="6">
        <v>0</v>
      </c>
      <c r="I2602" s="6">
        <v>0</v>
      </c>
    </row>
    <row r="2603" spans="1:9">
      <c r="A2603" s="6">
        <v>1</v>
      </c>
      <c r="B2603" s="6" t="str">
        <f t="shared" si="80"/>
        <v>Paddy</v>
      </c>
      <c r="C2603" s="6">
        <v>41</v>
      </c>
      <c r="D2603" s="6" t="str">
        <f t="shared" si="81"/>
        <v>Other Transportation Equipment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</row>
    <row r="2604" spans="1:9">
      <c r="A2604" s="6">
        <v>2</v>
      </c>
      <c r="B2604" s="6" t="str">
        <f t="shared" si="80"/>
        <v>Maize</v>
      </c>
      <c r="C2604" s="6">
        <v>41</v>
      </c>
      <c r="D2604" s="6" t="str">
        <f t="shared" si="81"/>
        <v>Other Transportation Equipment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</row>
    <row r="2605" spans="1:9">
      <c r="A2605" s="6">
        <v>3</v>
      </c>
      <c r="B2605" s="6" t="str">
        <f t="shared" si="80"/>
        <v>Cassava</v>
      </c>
      <c r="C2605" s="6">
        <v>41</v>
      </c>
      <c r="D2605" s="6" t="str">
        <f t="shared" si="81"/>
        <v>Other Transportation Equipment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</row>
    <row r="2606" spans="1:9">
      <c r="A2606" s="6">
        <v>4</v>
      </c>
      <c r="B2606" s="6" t="str">
        <f t="shared" si="80"/>
        <v>Beans and Nuts</v>
      </c>
      <c r="C2606" s="6">
        <v>41</v>
      </c>
      <c r="D2606" s="6" t="str">
        <f t="shared" si="81"/>
        <v>Other Transportation Equipment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</row>
    <row r="2607" spans="1:9">
      <c r="A2607" s="6">
        <v>5</v>
      </c>
      <c r="B2607" s="6" t="str">
        <f t="shared" si="80"/>
        <v>Vegetables and Fruits</v>
      </c>
      <c r="C2607" s="6">
        <v>41</v>
      </c>
      <c r="D2607" s="6" t="str">
        <f t="shared" si="81"/>
        <v>Other Transportation Equipment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</row>
    <row r="2608" spans="1:9">
      <c r="A2608" s="6">
        <v>6</v>
      </c>
      <c r="B2608" s="6" t="str">
        <f t="shared" si="80"/>
        <v>Sugarcane</v>
      </c>
      <c r="C2608" s="6">
        <v>41</v>
      </c>
      <c r="D2608" s="6" t="str">
        <f t="shared" si="81"/>
        <v>Other Transportation Equipment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</row>
    <row r="2609" spans="1:9">
      <c r="A2609" s="6">
        <v>7</v>
      </c>
      <c r="B2609" s="6" t="str">
        <f t="shared" si="80"/>
        <v>Rubber (Latex)</v>
      </c>
      <c r="C2609" s="6">
        <v>41</v>
      </c>
      <c r="D2609" s="6" t="str">
        <f t="shared" si="81"/>
        <v>Other Transportation Equipment</v>
      </c>
      <c r="E2609" s="6">
        <v>15939</v>
      </c>
      <c r="F2609" s="6">
        <v>92</v>
      </c>
      <c r="G2609" s="6">
        <v>0</v>
      </c>
      <c r="H2609" s="6">
        <v>110</v>
      </c>
      <c r="I2609" s="6">
        <v>0</v>
      </c>
    </row>
    <row r="2610" spans="1:9">
      <c r="A2610" s="6">
        <v>8</v>
      </c>
      <c r="B2610" s="6" t="str">
        <f t="shared" si="80"/>
        <v>Other Crops</v>
      </c>
      <c r="C2610" s="6">
        <v>41</v>
      </c>
      <c r="D2610" s="6" t="str">
        <f t="shared" si="81"/>
        <v>Other Transportation Equipment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</row>
    <row r="2611" spans="1:9">
      <c r="A2611" s="6">
        <v>9</v>
      </c>
      <c r="B2611" s="6" t="str">
        <f t="shared" si="80"/>
        <v>Livestock</v>
      </c>
      <c r="C2611" s="6">
        <v>41</v>
      </c>
      <c r="D2611" s="6" t="str">
        <f t="shared" si="81"/>
        <v>Other Transportation Equipment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</row>
    <row r="2612" spans="1:9">
      <c r="A2612" s="6">
        <v>10</v>
      </c>
      <c r="B2612" s="6" t="str">
        <f t="shared" si="80"/>
        <v>Forestry</v>
      </c>
      <c r="C2612" s="6">
        <v>41</v>
      </c>
      <c r="D2612" s="6" t="str">
        <f t="shared" si="81"/>
        <v>Other Transportation Equipment</v>
      </c>
      <c r="E2612" s="6">
        <v>7227</v>
      </c>
      <c r="F2612" s="6">
        <v>188</v>
      </c>
      <c r="G2612" s="6">
        <v>0</v>
      </c>
      <c r="H2612" s="6">
        <v>165</v>
      </c>
      <c r="I2612" s="6">
        <v>646</v>
      </c>
    </row>
    <row r="2613" spans="1:9">
      <c r="A2613" s="6">
        <v>11</v>
      </c>
      <c r="B2613" s="6" t="str">
        <f t="shared" si="80"/>
        <v>Fishery</v>
      </c>
      <c r="C2613" s="6">
        <v>41</v>
      </c>
      <c r="D2613" s="6" t="str">
        <f t="shared" si="81"/>
        <v>Other Transportation Equipment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</row>
    <row r="2614" spans="1:9">
      <c r="A2614" s="6">
        <v>12</v>
      </c>
      <c r="B2614" s="6" t="str">
        <f t="shared" si="80"/>
        <v>Crude Oil and Coal</v>
      </c>
      <c r="C2614" s="6">
        <v>41</v>
      </c>
      <c r="D2614" s="6" t="str">
        <f t="shared" si="81"/>
        <v>Other Transportation Equipment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</row>
    <row r="2615" spans="1:9">
      <c r="A2615" s="6">
        <v>13</v>
      </c>
      <c r="B2615" s="6" t="str">
        <f t="shared" si="80"/>
        <v>Metal Ore</v>
      </c>
      <c r="C2615" s="6">
        <v>41</v>
      </c>
      <c r="D2615" s="6" t="str">
        <f t="shared" si="81"/>
        <v>Other Transportation Equipment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</row>
    <row r="2616" spans="1:9">
      <c r="A2616" s="6">
        <v>14</v>
      </c>
      <c r="B2616" s="6" t="str">
        <f t="shared" si="80"/>
        <v>Non-Metal Ore</v>
      </c>
      <c r="C2616" s="6">
        <v>41</v>
      </c>
      <c r="D2616" s="6" t="str">
        <f t="shared" si="81"/>
        <v>Other Transportation Equipment</v>
      </c>
      <c r="E2616" s="6">
        <v>114389</v>
      </c>
      <c r="F2616" s="6">
        <v>15234</v>
      </c>
      <c r="G2616" s="6">
        <v>0</v>
      </c>
      <c r="H2616" s="6">
        <v>13911</v>
      </c>
      <c r="I2616" s="6">
        <v>0</v>
      </c>
    </row>
    <row r="2617" spans="1:9">
      <c r="A2617" s="6">
        <v>15</v>
      </c>
      <c r="B2617" s="6" t="str">
        <f t="shared" si="80"/>
        <v>Slaughtering</v>
      </c>
      <c r="C2617" s="6">
        <v>41</v>
      </c>
      <c r="D2617" s="6" t="str">
        <f t="shared" si="81"/>
        <v>Other Transportation Equipment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</row>
    <row r="2618" spans="1:9">
      <c r="A2618" s="6">
        <v>16</v>
      </c>
      <c r="B2618" s="6" t="str">
        <f t="shared" si="80"/>
        <v>Processing and Presering of Foods</v>
      </c>
      <c r="C2618" s="6">
        <v>41</v>
      </c>
      <c r="D2618" s="6" t="str">
        <f t="shared" si="81"/>
        <v>Other Transportation Equipment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</row>
    <row r="2619" spans="1:9">
      <c r="A2619" s="6">
        <v>17</v>
      </c>
      <c r="B2619" s="6" t="str">
        <f t="shared" si="80"/>
        <v>Rice and Other Grain Milling</v>
      </c>
      <c r="C2619" s="6">
        <v>41</v>
      </c>
      <c r="D2619" s="6" t="str">
        <f t="shared" si="81"/>
        <v>Other Transportation Equipment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</row>
    <row r="2620" spans="1:9">
      <c r="A2620" s="6">
        <v>18</v>
      </c>
      <c r="B2620" s="6" t="str">
        <f t="shared" si="80"/>
        <v>Sugar Refineries</v>
      </c>
      <c r="C2620" s="6">
        <v>41</v>
      </c>
      <c r="D2620" s="6" t="str">
        <f t="shared" si="81"/>
        <v>Other Transportation Equipment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</row>
    <row r="2621" spans="1:9">
      <c r="A2621" s="6">
        <v>19</v>
      </c>
      <c r="B2621" s="6" t="str">
        <f t="shared" si="80"/>
        <v>Other Foods</v>
      </c>
      <c r="C2621" s="6">
        <v>41</v>
      </c>
      <c r="D2621" s="6" t="str">
        <f t="shared" si="81"/>
        <v>Other Transportation Equipment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</row>
    <row r="2622" spans="1:9">
      <c r="A2622" s="6">
        <v>20</v>
      </c>
      <c r="B2622" s="6" t="str">
        <f t="shared" si="80"/>
        <v>Animal Food</v>
      </c>
      <c r="C2622" s="6">
        <v>41</v>
      </c>
      <c r="D2622" s="6" t="str">
        <f t="shared" si="81"/>
        <v>Other Transportation Equipment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</row>
    <row r="2623" spans="1:9">
      <c r="A2623" s="6">
        <v>21</v>
      </c>
      <c r="B2623" s="6" t="str">
        <f t="shared" si="80"/>
        <v>Beverages</v>
      </c>
      <c r="C2623" s="6">
        <v>41</v>
      </c>
      <c r="D2623" s="6" t="str">
        <f t="shared" si="81"/>
        <v>Other Transportation Equipment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</row>
    <row r="2624" spans="1:9">
      <c r="A2624" s="6">
        <v>22</v>
      </c>
      <c r="B2624" s="6" t="str">
        <f t="shared" si="80"/>
        <v>Tobacco Processing and Products</v>
      </c>
      <c r="C2624" s="6">
        <v>41</v>
      </c>
      <c r="D2624" s="6" t="str">
        <f t="shared" si="81"/>
        <v>Other Transportation Equipment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</row>
    <row r="2625" spans="1:9">
      <c r="A2625" s="6">
        <v>23</v>
      </c>
      <c r="B2625" s="6" t="str">
        <f t="shared" si="80"/>
        <v>Spinning, Weaving and Bleaching</v>
      </c>
      <c r="C2625" s="6">
        <v>41</v>
      </c>
      <c r="D2625" s="6" t="str">
        <f t="shared" si="81"/>
        <v>Other Transportation Equipment</v>
      </c>
      <c r="E2625" s="6">
        <v>49849</v>
      </c>
      <c r="F2625" s="6">
        <v>2479</v>
      </c>
      <c r="G2625" s="6">
        <v>1270</v>
      </c>
      <c r="H2625" s="6">
        <v>231</v>
      </c>
      <c r="I2625" s="6">
        <v>0</v>
      </c>
    </row>
    <row r="2626" spans="1:9">
      <c r="A2626" s="6">
        <v>24</v>
      </c>
      <c r="B2626" s="6" t="str">
        <f t="shared" si="80"/>
        <v>Textile Products</v>
      </c>
      <c r="C2626" s="6">
        <v>41</v>
      </c>
      <c r="D2626" s="6" t="str">
        <f t="shared" si="81"/>
        <v>Other Transportation Equipment</v>
      </c>
      <c r="E2626" s="6">
        <v>1593070</v>
      </c>
      <c r="F2626" s="6">
        <v>76128</v>
      </c>
      <c r="G2626" s="6">
        <v>141398</v>
      </c>
      <c r="H2626" s="6">
        <v>8067</v>
      </c>
      <c r="I2626" s="6">
        <v>93661</v>
      </c>
    </row>
    <row r="2627" spans="1:9">
      <c r="A2627" s="6">
        <v>25</v>
      </c>
      <c r="B2627" s="6" t="str">
        <f t="shared" si="80"/>
        <v>Paper and Paper Products</v>
      </c>
      <c r="C2627" s="6">
        <v>41</v>
      </c>
      <c r="D2627" s="6" t="str">
        <f t="shared" si="81"/>
        <v>Other Transportation Equipment</v>
      </c>
      <c r="E2627" s="6">
        <v>34481</v>
      </c>
      <c r="F2627" s="6">
        <v>796</v>
      </c>
      <c r="G2627" s="6">
        <v>499</v>
      </c>
      <c r="H2627" s="6">
        <v>267</v>
      </c>
      <c r="I2627" s="6">
        <v>0</v>
      </c>
    </row>
    <row r="2628" spans="1:9">
      <c r="A2628" s="6">
        <v>26</v>
      </c>
      <c r="B2628" s="6" t="str">
        <f t="shared" ref="B2628:B2691" si="82">VLOOKUP(A2628,R:S,2,0)</f>
        <v>Printing and Publishing</v>
      </c>
      <c r="C2628" s="6">
        <v>41</v>
      </c>
      <c r="D2628" s="6" t="str">
        <f t="shared" ref="D2628:D2691" si="83">VLOOKUP(C2628,R:S,2,0)</f>
        <v>Other Transportation Equipment</v>
      </c>
      <c r="E2628" s="6">
        <v>5436</v>
      </c>
      <c r="F2628" s="6">
        <v>125</v>
      </c>
      <c r="G2628" s="6">
        <v>255</v>
      </c>
      <c r="H2628" s="6">
        <v>43</v>
      </c>
      <c r="I2628" s="6">
        <v>0</v>
      </c>
    </row>
    <row r="2629" spans="1:9">
      <c r="A2629" s="6">
        <v>27</v>
      </c>
      <c r="B2629" s="6" t="str">
        <f t="shared" si="82"/>
        <v>Basic Chemical Products</v>
      </c>
      <c r="C2629" s="6">
        <v>41</v>
      </c>
      <c r="D2629" s="6" t="str">
        <f t="shared" si="83"/>
        <v>Other Transportation Equipment</v>
      </c>
      <c r="E2629" s="6">
        <v>2388325</v>
      </c>
      <c r="F2629" s="6">
        <v>281302</v>
      </c>
      <c r="G2629" s="6">
        <v>151290</v>
      </c>
      <c r="H2629" s="6">
        <v>29012</v>
      </c>
      <c r="I2629" s="6">
        <v>583325</v>
      </c>
    </row>
    <row r="2630" spans="1:9">
      <c r="A2630" s="6">
        <v>28</v>
      </c>
      <c r="B2630" s="6" t="str">
        <f t="shared" si="82"/>
        <v>Fertilizer and Pesticides</v>
      </c>
      <c r="C2630" s="6">
        <v>41</v>
      </c>
      <c r="D2630" s="6" t="str">
        <f t="shared" si="83"/>
        <v>Other Transportation Equipment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</row>
    <row r="2631" spans="1:9">
      <c r="A2631" s="6">
        <v>29</v>
      </c>
      <c r="B2631" s="6" t="str">
        <f t="shared" si="82"/>
        <v>Other Chemical Products</v>
      </c>
      <c r="C2631" s="6">
        <v>41</v>
      </c>
      <c r="D2631" s="6" t="str">
        <f t="shared" si="83"/>
        <v>Other Transportation Equipment</v>
      </c>
      <c r="E2631" s="6">
        <v>3416810</v>
      </c>
      <c r="F2631" s="6">
        <v>212683</v>
      </c>
      <c r="G2631" s="6">
        <v>248204</v>
      </c>
      <c r="H2631" s="6">
        <v>31072</v>
      </c>
      <c r="I2631" s="6">
        <v>749752</v>
      </c>
    </row>
    <row r="2632" spans="1:9">
      <c r="A2632" s="6">
        <v>30</v>
      </c>
      <c r="B2632" s="6" t="str">
        <f t="shared" si="82"/>
        <v>Petroleum Refineries</v>
      </c>
      <c r="C2632" s="6">
        <v>41</v>
      </c>
      <c r="D2632" s="6" t="str">
        <f t="shared" si="83"/>
        <v>Other Transportation Equipment</v>
      </c>
      <c r="E2632" s="6">
        <v>1068799</v>
      </c>
      <c r="F2632" s="6">
        <v>27130</v>
      </c>
      <c r="G2632" s="6">
        <v>27206</v>
      </c>
      <c r="H2632" s="6">
        <v>8569</v>
      </c>
      <c r="I2632" s="6">
        <v>150627</v>
      </c>
    </row>
    <row r="2633" spans="1:9">
      <c r="A2633" s="6">
        <v>31</v>
      </c>
      <c r="B2633" s="6" t="str">
        <f t="shared" si="82"/>
        <v>Rubber Products</v>
      </c>
      <c r="C2633" s="6">
        <v>41</v>
      </c>
      <c r="D2633" s="6" t="str">
        <f t="shared" si="83"/>
        <v>Other Transportation Equipment</v>
      </c>
      <c r="E2633" s="6">
        <v>197279</v>
      </c>
      <c r="F2633" s="6">
        <v>13952</v>
      </c>
      <c r="G2633" s="6">
        <v>24083</v>
      </c>
      <c r="H2633" s="6">
        <v>4550</v>
      </c>
      <c r="I2633" s="6">
        <v>147746</v>
      </c>
    </row>
    <row r="2634" spans="1:9">
      <c r="A2634" s="6">
        <v>32</v>
      </c>
      <c r="B2634" s="6" t="str">
        <f t="shared" si="82"/>
        <v>Plastic Wares</v>
      </c>
      <c r="C2634" s="6">
        <v>41</v>
      </c>
      <c r="D2634" s="6" t="str">
        <f t="shared" si="83"/>
        <v>Other Transportation Equipment</v>
      </c>
      <c r="E2634" s="6">
        <v>615738</v>
      </c>
      <c r="F2634" s="6">
        <v>10898</v>
      </c>
      <c r="G2634" s="6">
        <v>10741</v>
      </c>
      <c r="H2634" s="6">
        <v>4124</v>
      </c>
      <c r="I2634" s="6">
        <v>149380</v>
      </c>
    </row>
    <row r="2635" spans="1:9">
      <c r="A2635" s="6">
        <v>33</v>
      </c>
      <c r="B2635" s="6" t="str">
        <f t="shared" si="82"/>
        <v>Cement and Concrete Products</v>
      </c>
      <c r="C2635" s="6">
        <v>41</v>
      </c>
      <c r="D2635" s="6" t="str">
        <f t="shared" si="83"/>
        <v>Other Transportation Equipment</v>
      </c>
      <c r="E2635" s="6">
        <v>15342</v>
      </c>
      <c r="F2635" s="6">
        <v>848</v>
      </c>
      <c r="G2635" s="6">
        <v>504</v>
      </c>
      <c r="H2635" s="6">
        <v>226</v>
      </c>
      <c r="I2635" s="6">
        <v>0</v>
      </c>
    </row>
    <row r="2636" spans="1:9">
      <c r="A2636" s="6">
        <v>34</v>
      </c>
      <c r="B2636" s="6" t="str">
        <f t="shared" si="82"/>
        <v>Other Non-metallic Products</v>
      </c>
      <c r="C2636" s="6">
        <v>41</v>
      </c>
      <c r="D2636" s="6" t="str">
        <f t="shared" si="83"/>
        <v>Other Transportation Equipment</v>
      </c>
      <c r="E2636" s="6">
        <v>3803442</v>
      </c>
      <c r="F2636" s="6">
        <v>212841</v>
      </c>
      <c r="G2636" s="6">
        <v>190863</v>
      </c>
      <c r="H2636" s="6">
        <v>33862</v>
      </c>
      <c r="I2636" s="6">
        <v>10967</v>
      </c>
    </row>
    <row r="2637" spans="1:9">
      <c r="A2637" s="6">
        <v>35</v>
      </c>
      <c r="B2637" s="6" t="str">
        <f t="shared" si="82"/>
        <v>Iron and Steel</v>
      </c>
      <c r="C2637" s="6">
        <v>41</v>
      </c>
      <c r="D2637" s="6" t="str">
        <f t="shared" si="83"/>
        <v>Other Transportation Equipment</v>
      </c>
      <c r="E2637" s="6">
        <v>10224733</v>
      </c>
      <c r="F2637" s="6">
        <v>387892</v>
      </c>
      <c r="G2637" s="6">
        <v>1016068</v>
      </c>
      <c r="H2637" s="6">
        <v>113481</v>
      </c>
      <c r="I2637" s="6">
        <v>3705077</v>
      </c>
    </row>
    <row r="2638" spans="1:9">
      <c r="A2638" s="6">
        <v>36</v>
      </c>
      <c r="B2638" s="6" t="str">
        <f t="shared" si="82"/>
        <v>Non-ferrous Metal</v>
      </c>
      <c r="C2638" s="6">
        <v>41</v>
      </c>
      <c r="D2638" s="6" t="str">
        <f t="shared" si="83"/>
        <v>Other Transportation Equipment</v>
      </c>
      <c r="E2638" s="6">
        <v>2604719</v>
      </c>
      <c r="F2638" s="6">
        <v>100502</v>
      </c>
      <c r="G2638" s="6">
        <v>46196</v>
      </c>
      <c r="H2638" s="6">
        <v>3750</v>
      </c>
      <c r="I2638" s="6">
        <v>1562690</v>
      </c>
    </row>
    <row r="2639" spans="1:9">
      <c r="A2639" s="6">
        <v>37</v>
      </c>
      <c r="B2639" s="6" t="str">
        <f t="shared" si="82"/>
        <v>Fabricated Metal Products</v>
      </c>
      <c r="C2639" s="6">
        <v>41</v>
      </c>
      <c r="D2639" s="6" t="str">
        <f t="shared" si="83"/>
        <v>Other Transportation Equipment</v>
      </c>
      <c r="E2639" s="6">
        <v>3884996</v>
      </c>
      <c r="F2639" s="6">
        <v>33024</v>
      </c>
      <c r="G2639" s="6">
        <v>113632</v>
      </c>
      <c r="H2639" s="6">
        <v>7327</v>
      </c>
      <c r="I2639" s="6">
        <v>3388197</v>
      </c>
    </row>
    <row r="2640" spans="1:9">
      <c r="A2640" s="6">
        <v>38</v>
      </c>
      <c r="B2640" s="6" t="str">
        <f t="shared" si="82"/>
        <v>Industrial Machinery</v>
      </c>
      <c r="C2640" s="6">
        <v>41</v>
      </c>
      <c r="D2640" s="6" t="str">
        <f t="shared" si="83"/>
        <v>Other Transportation Equipment</v>
      </c>
      <c r="E2640" s="6">
        <v>10864624</v>
      </c>
      <c r="F2640" s="6">
        <v>1098886</v>
      </c>
      <c r="G2640" s="6">
        <v>15685</v>
      </c>
      <c r="H2640" s="6">
        <v>57927</v>
      </c>
      <c r="I2640" s="6">
        <v>2137678</v>
      </c>
    </row>
    <row r="2641" spans="1:9">
      <c r="A2641" s="6">
        <v>39</v>
      </c>
      <c r="B2641" s="6" t="str">
        <f t="shared" si="82"/>
        <v>Electrical Machinery and Apparatus</v>
      </c>
      <c r="C2641" s="6">
        <v>41</v>
      </c>
      <c r="D2641" s="6" t="str">
        <f t="shared" si="83"/>
        <v>Other Transportation Equipment</v>
      </c>
      <c r="E2641" s="6">
        <v>4126709</v>
      </c>
      <c r="F2641" s="6">
        <v>132061</v>
      </c>
      <c r="G2641" s="6">
        <v>108314</v>
      </c>
      <c r="H2641" s="6">
        <v>20486</v>
      </c>
      <c r="I2641" s="6">
        <v>2031643</v>
      </c>
    </row>
    <row r="2642" spans="1:9">
      <c r="A2642" s="6">
        <v>40</v>
      </c>
      <c r="B2642" s="6" t="str">
        <f t="shared" si="82"/>
        <v>Motor Vehicles and Repairing</v>
      </c>
      <c r="C2642" s="6">
        <v>41</v>
      </c>
      <c r="D2642" s="6" t="str">
        <f t="shared" si="83"/>
        <v>Other Transportation Equipment</v>
      </c>
      <c r="E2642" s="6">
        <v>309271</v>
      </c>
      <c r="F2642" s="6">
        <v>15546</v>
      </c>
      <c r="G2642" s="6">
        <v>33287</v>
      </c>
      <c r="H2642" s="6">
        <v>1465</v>
      </c>
      <c r="I2642" s="6">
        <v>113580</v>
      </c>
    </row>
    <row r="2643" spans="1:9">
      <c r="A2643" s="6">
        <v>41</v>
      </c>
      <c r="B2643" s="6" t="str">
        <f t="shared" si="82"/>
        <v>Other Transportation Equipment</v>
      </c>
      <c r="C2643" s="6">
        <v>41</v>
      </c>
      <c r="D2643" s="6" t="str">
        <f t="shared" si="83"/>
        <v>Other Transportation Equipment</v>
      </c>
      <c r="E2643" s="6">
        <v>11047837</v>
      </c>
      <c r="F2643" s="6">
        <v>187535</v>
      </c>
      <c r="G2643" s="6">
        <v>84753</v>
      </c>
      <c r="H2643" s="6">
        <v>62120</v>
      </c>
      <c r="I2643" s="6">
        <v>7651800</v>
      </c>
    </row>
    <row r="2644" spans="1:9">
      <c r="A2644" s="6">
        <v>42</v>
      </c>
      <c r="B2644" s="6" t="str">
        <f t="shared" si="82"/>
        <v>Leather Products</v>
      </c>
      <c r="C2644" s="6">
        <v>41</v>
      </c>
      <c r="D2644" s="6" t="str">
        <f t="shared" si="83"/>
        <v>Other Transportation Equipment</v>
      </c>
      <c r="E2644" s="6">
        <v>40927</v>
      </c>
      <c r="F2644" s="6">
        <v>2597</v>
      </c>
      <c r="G2644" s="6">
        <v>6529</v>
      </c>
      <c r="H2644" s="6">
        <v>312</v>
      </c>
      <c r="I2644" s="6">
        <v>0</v>
      </c>
    </row>
    <row r="2645" spans="1:9">
      <c r="A2645" s="6">
        <v>43</v>
      </c>
      <c r="B2645" s="6" t="str">
        <f t="shared" si="82"/>
        <v>Saw Mills and Wood Products</v>
      </c>
      <c r="C2645" s="6">
        <v>41</v>
      </c>
      <c r="D2645" s="6" t="str">
        <f t="shared" si="83"/>
        <v>Other Transportation Equipment</v>
      </c>
      <c r="E2645" s="6">
        <v>2696168</v>
      </c>
      <c r="F2645" s="6">
        <v>150240</v>
      </c>
      <c r="G2645" s="6">
        <v>186316</v>
      </c>
      <c r="H2645" s="6">
        <v>24109</v>
      </c>
      <c r="I2645" s="6">
        <v>0</v>
      </c>
    </row>
    <row r="2646" spans="1:9">
      <c r="A2646" s="6">
        <v>44</v>
      </c>
      <c r="B2646" s="6" t="str">
        <f t="shared" si="82"/>
        <v>Other Manufacturing Products</v>
      </c>
      <c r="C2646" s="6">
        <v>41</v>
      </c>
      <c r="D2646" s="6" t="str">
        <f t="shared" si="83"/>
        <v>Other Transportation Equipment</v>
      </c>
      <c r="E2646" s="6">
        <v>128116</v>
      </c>
      <c r="F2646" s="6">
        <v>5473</v>
      </c>
      <c r="G2646" s="6">
        <v>5849</v>
      </c>
      <c r="H2646" s="6">
        <v>1098</v>
      </c>
      <c r="I2646" s="6">
        <v>0</v>
      </c>
    </row>
    <row r="2647" spans="1:9">
      <c r="A2647" s="6">
        <v>45</v>
      </c>
      <c r="B2647" s="6" t="str">
        <f t="shared" si="82"/>
        <v>Electricity and Gas</v>
      </c>
      <c r="C2647" s="6">
        <v>41</v>
      </c>
      <c r="D2647" s="6" t="str">
        <f t="shared" si="83"/>
        <v>Other Transportation Equipment</v>
      </c>
      <c r="E2647" s="6">
        <v>2571562</v>
      </c>
      <c r="F2647" s="6">
        <v>6943</v>
      </c>
      <c r="G2647" s="6">
        <v>8144</v>
      </c>
      <c r="H2647" s="6">
        <v>3038</v>
      </c>
      <c r="I2647" s="6">
        <v>0</v>
      </c>
    </row>
    <row r="2648" spans="1:9">
      <c r="A2648" s="6">
        <v>46</v>
      </c>
      <c r="B2648" s="6" t="str">
        <f t="shared" si="82"/>
        <v>Water Works and Supply</v>
      </c>
      <c r="C2648" s="6">
        <v>41</v>
      </c>
      <c r="D2648" s="6" t="str">
        <f t="shared" si="83"/>
        <v>Other Transportation Equipment</v>
      </c>
      <c r="E2648" s="6">
        <v>40909</v>
      </c>
      <c r="F2648" s="6">
        <v>0</v>
      </c>
      <c r="G2648" s="6">
        <v>0</v>
      </c>
      <c r="H2648" s="6">
        <v>0</v>
      </c>
      <c r="I2648" s="6">
        <v>0</v>
      </c>
    </row>
    <row r="2649" spans="1:9">
      <c r="A2649" s="6">
        <v>47</v>
      </c>
      <c r="B2649" s="6" t="str">
        <f t="shared" si="82"/>
        <v>Building Construction</v>
      </c>
      <c r="C2649" s="6">
        <v>41</v>
      </c>
      <c r="D2649" s="6" t="str">
        <f t="shared" si="83"/>
        <v>Other Transportation Equipment</v>
      </c>
      <c r="E2649" s="6">
        <v>66503</v>
      </c>
      <c r="F2649" s="6">
        <v>0</v>
      </c>
      <c r="G2649" s="6">
        <v>0</v>
      </c>
      <c r="H2649" s="6">
        <v>0</v>
      </c>
      <c r="I2649" s="6">
        <v>0</v>
      </c>
    </row>
    <row r="2650" spans="1:9">
      <c r="A2650" s="6">
        <v>48</v>
      </c>
      <c r="B2650" s="6" t="str">
        <f t="shared" si="82"/>
        <v>Public Works and Other Construction</v>
      </c>
      <c r="C2650" s="6">
        <v>41</v>
      </c>
      <c r="D2650" s="6" t="str">
        <f t="shared" si="83"/>
        <v>Other Transportation Equipment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</row>
    <row r="2651" spans="1:9">
      <c r="A2651" s="6">
        <v>49</v>
      </c>
      <c r="B2651" s="6" t="str">
        <f t="shared" si="82"/>
        <v>Trade</v>
      </c>
      <c r="C2651" s="6">
        <v>41</v>
      </c>
      <c r="D2651" s="6" t="str">
        <f t="shared" si="83"/>
        <v>Other Transportation Equipment</v>
      </c>
      <c r="E2651" s="6">
        <v>0</v>
      </c>
      <c r="F2651" s="6">
        <v>-2975395</v>
      </c>
      <c r="G2651" s="6">
        <v>-2421086</v>
      </c>
      <c r="H2651" s="6">
        <v>0</v>
      </c>
      <c r="I2651" s="6">
        <v>0</v>
      </c>
    </row>
    <row r="2652" spans="1:9">
      <c r="A2652" s="6">
        <v>50</v>
      </c>
      <c r="B2652" s="6" t="str">
        <f t="shared" si="82"/>
        <v>Restaurants and Hotels</v>
      </c>
      <c r="C2652" s="6">
        <v>41</v>
      </c>
      <c r="D2652" s="6" t="str">
        <f t="shared" si="83"/>
        <v>Other Transportation Equipment</v>
      </c>
      <c r="E2652" s="6">
        <v>419365</v>
      </c>
      <c r="F2652" s="6">
        <v>0</v>
      </c>
      <c r="G2652" s="6">
        <v>0</v>
      </c>
      <c r="H2652" s="6">
        <v>0</v>
      </c>
      <c r="I2652" s="6">
        <v>0</v>
      </c>
    </row>
    <row r="2653" spans="1:9">
      <c r="A2653" s="6">
        <v>51</v>
      </c>
      <c r="B2653" s="6" t="str">
        <f t="shared" si="82"/>
        <v>Transportation</v>
      </c>
      <c r="C2653" s="6">
        <v>41</v>
      </c>
      <c r="D2653" s="6" t="str">
        <f t="shared" si="83"/>
        <v>Other Transportation Equipment</v>
      </c>
      <c r="E2653" s="6">
        <v>274455</v>
      </c>
      <c r="F2653" s="6">
        <v>0</v>
      </c>
      <c r="G2653" s="6">
        <v>0</v>
      </c>
      <c r="H2653" s="6">
        <v>-429322</v>
      </c>
      <c r="I2653" s="6">
        <v>0</v>
      </c>
    </row>
    <row r="2654" spans="1:9">
      <c r="A2654" s="6">
        <v>52</v>
      </c>
      <c r="B2654" s="6" t="str">
        <f t="shared" si="82"/>
        <v>Communication</v>
      </c>
      <c r="C2654" s="6">
        <v>41</v>
      </c>
      <c r="D2654" s="6" t="str">
        <f t="shared" si="83"/>
        <v>Other Transportation Equipment</v>
      </c>
      <c r="E2654" s="6">
        <v>106894</v>
      </c>
      <c r="F2654" s="6">
        <v>0</v>
      </c>
      <c r="G2654" s="6">
        <v>0</v>
      </c>
      <c r="H2654" s="6">
        <v>0</v>
      </c>
      <c r="I2654" s="6">
        <v>0</v>
      </c>
    </row>
    <row r="2655" spans="1:9">
      <c r="A2655" s="6">
        <v>53</v>
      </c>
      <c r="B2655" s="6" t="str">
        <f t="shared" si="82"/>
        <v>Banking and Insurance</v>
      </c>
      <c r="C2655" s="6">
        <v>41</v>
      </c>
      <c r="D2655" s="6" t="str">
        <f t="shared" si="83"/>
        <v>Other Transportation Equipment</v>
      </c>
      <c r="E2655" s="6">
        <v>2002589</v>
      </c>
      <c r="F2655" s="6">
        <v>0</v>
      </c>
      <c r="G2655" s="6">
        <v>0</v>
      </c>
      <c r="H2655" s="6">
        <v>0</v>
      </c>
      <c r="I2655" s="6">
        <v>0</v>
      </c>
    </row>
    <row r="2656" spans="1:9">
      <c r="A2656" s="6">
        <v>54</v>
      </c>
      <c r="B2656" s="6" t="str">
        <f t="shared" si="82"/>
        <v>Real Estate</v>
      </c>
      <c r="C2656" s="6">
        <v>41</v>
      </c>
      <c r="D2656" s="6" t="str">
        <f t="shared" si="83"/>
        <v>Other Transportation Equipment</v>
      </c>
      <c r="E2656" s="6">
        <v>81325</v>
      </c>
      <c r="F2656" s="6">
        <v>0</v>
      </c>
      <c r="G2656" s="6">
        <v>0</v>
      </c>
      <c r="H2656" s="6">
        <v>0</v>
      </c>
      <c r="I2656" s="6">
        <v>0</v>
      </c>
    </row>
    <row r="2657" spans="1:9">
      <c r="A2657" s="6">
        <v>55</v>
      </c>
      <c r="B2657" s="6" t="str">
        <f t="shared" si="82"/>
        <v>Business Services</v>
      </c>
      <c r="C2657" s="6">
        <v>41</v>
      </c>
      <c r="D2657" s="6" t="str">
        <f t="shared" si="83"/>
        <v>Other Transportation Equipment</v>
      </c>
      <c r="E2657" s="6">
        <v>606126</v>
      </c>
      <c r="F2657" s="6">
        <v>0</v>
      </c>
      <c r="G2657" s="6">
        <v>0</v>
      </c>
      <c r="H2657" s="6">
        <v>0</v>
      </c>
      <c r="I2657" s="6">
        <v>0</v>
      </c>
    </row>
    <row r="2658" spans="1:9">
      <c r="A2658" s="6">
        <v>56</v>
      </c>
      <c r="B2658" s="6" t="str">
        <f t="shared" si="82"/>
        <v>Public Services</v>
      </c>
      <c r="C2658" s="6">
        <v>41</v>
      </c>
      <c r="D2658" s="6" t="str">
        <f t="shared" si="83"/>
        <v>Other Transportation Equipment</v>
      </c>
      <c r="E2658" s="6">
        <v>20994</v>
      </c>
      <c r="F2658" s="6">
        <v>0</v>
      </c>
      <c r="G2658" s="6">
        <v>0</v>
      </c>
      <c r="H2658" s="6">
        <v>0</v>
      </c>
      <c r="I2658" s="6">
        <v>0</v>
      </c>
    </row>
    <row r="2659" spans="1:9">
      <c r="A2659" s="6">
        <v>57</v>
      </c>
      <c r="B2659" s="6" t="str">
        <f t="shared" si="82"/>
        <v>Other Services</v>
      </c>
      <c r="C2659" s="6">
        <v>41</v>
      </c>
      <c r="D2659" s="6" t="str">
        <f t="shared" si="83"/>
        <v>Other Transportation Equipment</v>
      </c>
      <c r="E2659" s="6">
        <v>104314</v>
      </c>
      <c r="F2659" s="6">
        <v>0</v>
      </c>
      <c r="G2659" s="6">
        <v>0</v>
      </c>
      <c r="H2659" s="6">
        <v>0</v>
      </c>
      <c r="I2659" s="6">
        <v>0</v>
      </c>
    </row>
    <row r="2660" spans="1:9">
      <c r="A2660" s="6">
        <v>58</v>
      </c>
      <c r="B2660" s="6" t="str">
        <f t="shared" si="82"/>
        <v>Unclassified</v>
      </c>
      <c r="C2660" s="6">
        <v>41</v>
      </c>
      <c r="D2660" s="6" t="str">
        <f t="shared" si="83"/>
        <v>Other Transportation Equipment</v>
      </c>
      <c r="E2660" s="6">
        <v>527589</v>
      </c>
      <c r="F2660" s="6">
        <v>0</v>
      </c>
      <c r="G2660" s="6">
        <v>0</v>
      </c>
      <c r="H2660" s="6">
        <v>0</v>
      </c>
      <c r="I2660" s="6">
        <v>53016</v>
      </c>
    </row>
    <row r="2661" spans="1:9">
      <c r="A2661" s="6">
        <v>190</v>
      </c>
      <c r="B2661" s="6" t="str">
        <f t="shared" si="82"/>
        <v>Total Intermedite Transaction</v>
      </c>
      <c r="C2661" s="6">
        <v>41</v>
      </c>
      <c r="D2661" s="6" t="str">
        <f t="shared" si="83"/>
        <v>Other Transportation Equipment</v>
      </c>
      <c r="E2661" s="6">
        <v>66076851</v>
      </c>
      <c r="F2661" s="6">
        <v>0</v>
      </c>
      <c r="G2661" s="6">
        <v>0</v>
      </c>
      <c r="H2661" s="6">
        <v>0</v>
      </c>
      <c r="I2661" s="6">
        <v>22529785</v>
      </c>
    </row>
    <row r="2662" spans="1:9">
      <c r="A2662" s="6">
        <v>201</v>
      </c>
      <c r="B2662" s="6" t="str">
        <f t="shared" si="82"/>
        <v>Wages and Salaries</v>
      </c>
      <c r="C2662" s="6">
        <v>41</v>
      </c>
      <c r="D2662" s="6" t="str">
        <f t="shared" si="83"/>
        <v>Other Transportation Equipment</v>
      </c>
      <c r="E2662" s="6">
        <v>14952073</v>
      </c>
      <c r="F2662" s="6">
        <v>0</v>
      </c>
      <c r="G2662" s="6">
        <v>0</v>
      </c>
      <c r="H2662" s="6">
        <v>0</v>
      </c>
      <c r="I2662" s="6">
        <v>0</v>
      </c>
    </row>
    <row r="2663" spans="1:9">
      <c r="A2663" s="6">
        <v>202</v>
      </c>
      <c r="B2663" s="6" t="str">
        <f t="shared" si="82"/>
        <v>Operating Surplus</v>
      </c>
      <c r="C2663" s="6">
        <v>41</v>
      </c>
      <c r="D2663" s="6" t="str">
        <f t="shared" si="83"/>
        <v>Other Transportation Equipment</v>
      </c>
      <c r="E2663" s="6">
        <v>22816474</v>
      </c>
      <c r="F2663" s="6">
        <v>0</v>
      </c>
      <c r="G2663" s="6">
        <v>0</v>
      </c>
      <c r="H2663" s="6">
        <v>0</v>
      </c>
      <c r="I2663" s="6">
        <v>0</v>
      </c>
    </row>
    <row r="2664" spans="1:9">
      <c r="A2664" s="6">
        <v>203</v>
      </c>
      <c r="B2664" s="6" t="str">
        <f t="shared" si="82"/>
        <v>Depreciation</v>
      </c>
      <c r="C2664" s="6">
        <v>41</v>
      </c>
      <c r="D2664" s="6" t="str">
        <f t="shared" si="83"/>
        <v>Other Transportation Equipment</v>
      </c>
      <c r="E2664" s="6">
        <v>6793652</v>
      </c>
      <c r="F2664" s="6">
        <v>0</v>
      </c>
      <c r="G2664" s="6">
        <v>0</v>
      </c>
      <c r="H2664" s="6">
        <v>0</v>
      </c>
      <c r="I2664" s="6">
        <v>0</v>
      </c>
    </row>
    <row r="2665" spans="1:9">
      <c r="A2665" s="6">
        <v>204</v>
      </c>
      <c r="B2665" s="6" t="str">
        <f t="shared" si="82"/>
        <v>Indirect Taxes less Subsidies</v>
      </c>
      <c r="C2665" s="6">
        <v>41</v>
      </c>
      <c r="D2665" s="6" t="str">
        <f t="shared" si="83"/>
        <v>Other Transportation Equipment</v>
      </c>
      <c r="E2665" s="6">
        <v>2387607</v>
      </c>
      <c r="F2665" s="6">
        <v>0</v>
      </c>
      <c r="G2665" s="6">
        <v>0</v>
      </c>
      <c r="H2665" s="6">
        <v>0</v>
      </c>
      <c r="I2665" s="6">
        <v>0</v>
      </c>
    </row>
    <row r="2666" spans="1:9">
      <c r="A2666" s="6">
        <v>209</v>
      </c>
      <c r="B2666" s="6" t="str">
        <f t="shared" si="82"/>
        <v>Total Value Added</v>
      </c>
      <c r="C2666" s="6">
        <v>41</v>
      </c>
      <c r="D2666" s="6" t="str">
        <f t="shared" si="83"/>
        <v>Other Transportation Equipment</v>
      </c>
      <c r="E2666" s="6">
        <v>46949806</v>
      </c>
      <c r="F2666" s="6">
        <v>0</v>
      </c>
      <c r="G2666" s="6">
        <v>0</v>
      </c>
      <c r="H2666" s="6">
        <v>0</v>
      </c>
      <c r="I2666" s="6">
        <v>0</v>
      </c>
    </row>
    <row r="2667" spans="1:9">
      <c r="A2667" s="6">
        <v>210</v>
      </c>
      <c r="B2667" s="6" t="str">
        <f t="shared" si="82"/>
        <v>Control Total</v>
      </c>
      <c r="C2667" s="6">
        <v>41</v>
      </c>
      <c r="D2667" s="6" t="str">
        <f t="shared" si="83"/>
        <v>Other Transportation Equipment</v>
      </c>
      <c r="E2667" s="6">
        <v>113026657</v>
      </c>
      <c r="F2667" s="6">
        <v>0</v>
      </c>
      <c r="G2667" s="6">
        <v>0</v>
      </c>
      <c r="H2667" s="6">
        <v>0</v>
      </c>
      <c r="I2667" s="6">
        <v>0</v>
      </c>
    </row>
    <row r="2668" spans="1:9">
      <c r="A2668" s="6">
        <v>1</v>
      </c>
      <c r="B2668" s="6" t="str">
        <f t="shared" si="82"/>
        <v>Paddy</v>
      </c>
      <c r="C2668" s="6">
        <v>42</v>
      </c>
      <c r="D2668" s="6" t="str">
        <f t="shared" si="83"/>
        <v>Leather Products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</row>
    <row r="2669" spans="1:9">
      <c r="A2669" s="6">
        <v>2</v>
      </c>
      <c r="B2669" s="6" t="str">
        <f t="shared" si="82"/>
        <v>Maize</v>
      </c>
      <c r="C2669" s="6">
        <v>42</v>
      </c>
      <c r="D2669" s="6" t="str">
        <f t="shared" si="83"/>
        <v>Leather Products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</row>
    <row r="2670" spans="1:9">
      <c r="A2670" s="6">
        <v>3</v>
      </c>
      <c r="B2670" s="6" t="str">
        <f t="shared" si="82"/>
        <v>Cassava</v>
      </c>
      <c r="C2670" s="6">
        <v>42</v>
      </c>
      <c r="D2670" s="6" t="str">
        <f t="shared" si="83"/>
        <v>Leather Products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</row>
    <row r="2671" spans="1:9">
      <c r="A2671" s="6">
        <v>4</v>
      </c>
      <c r="B2671" s="6" t="str">
        <f t="shared" si="82"/>
        <v>Beans and Nuts</v>
      </c>
      <c r="C2671" s="6">
        <v>42</v>
      </c>
      <c r="D2671" s="6" t="str">
        <f t="shared" si="83"/>
        <v>Leather Products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</row>
    <row r="2672" spans="1:9">
      <c r="A2672" s="6">
        <v>5</v>
      </c>
      <c r="B2672" s="6" t="str">
        <f t="shared" si="82"/>
        <v>Vegetables and Fruits</v>
      </c>
      <c r="C2672" s="6">
        <v>42</v>
      </c>
      <c r="D2672" s="6" t="str">
        <f t="shared" si="83"/>
        <v>Leather Products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</row>
    <row r="2673" spans="1:9">
      <c r="A2673" s="6">
        <v>6</v>
      </c>
      <c r="B2673" s="6" t="str">
        <f t="shared" si="82"/>
        <v>Sugarcane</v>
      </c>
      <c r="C2673" s="6">
        <v>42</v>
      </c>
      <c r="D2673" s="6" t="str">
        <f t="shared" si="83"/>
        <v>Leather Products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</row>
    <row r="2674" spans="1:9">
      <c r="A2674" s="6">
        <v>7</v>
      </c>
      <c r="B2674" s="6" t="str">
        <f t="shared" si="82"/>
        <v>Rubber (Latex)</v>
      </c>
      <c r="C2674" s="6">
        <v>42</v>
      </c>
      <c r="D2674" s="6" t="str">
        <f t="shared" si="83"/>
        <v>Leather Products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</row>
    <row r="2675" spans="1:9">
      <c r="A2675" s="6">
        <v>8</v>
      </c>
      <c r="B2675" s="6" t="str">
        <f t="shared" si="82"/>
        <v>Other Crops</v>
      </c>
      <c r="C2675" s="6">
        <v>42</v>
      </c>
      <c r="D2675" s="6" t="str">
        <f t="shared" si="83"/>
        <v>Leather Products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</row>
    <row r="2676" spans="1:9">
      <c r="A2676" s="6">
        <v>9</v>
      </c>
      <c r="B2676" s="6" t="str">
        <f t="shared" si="82"/>
        <v>Livestock</v>
      </c>
      <c r="C2676" s="6">
        <v>42</v>
      </c>
      <c r="D2676" s="6" t="str">
        <f t="shared" si="83"/>
        <v>Leather Products</v>
      </c>
      <c r="E2676" s="6">
        <v>1313067</v>
      </c>
      <c r="F2676" s="6">
        <v>31960</v>
      </c>
      <c r="G2676" s="6">
        <v>0</v>
      </c>
      <c r="H2676" s="6">
        <v>1565</v>
      </c>
      <c r="I2676" s="6">
        <v>1258007</v>
      </c>
    </row>
    <row r="2677" spans="1:9">
      <c r="A2677" s="6">
        <v>10</v>
      </c>
      <c r="B2677" s="6" t="str">
        <f t="shared" si="82"/>
        <v>Forestry</v>
      </c>
      <c r="C2677" s="6">
        <v>42</v>
      </c>
      <c r="D2677" s="6" t="str">
        <f t="shared" si="83"/>
        <v>Leather Products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</row>
    <row r="2678" spans="1:9">
      <c r="A2678" s="6">
        <v>11</v>
      </c>
      <c r="B2678" s="6" t="str">
        <f t="shared" si="82"/>
        <v>Fishery</v>
      </c>
      <c r="C2678" s="6">
        <v>42</v>
      </c>
      <c r="D2678" s="6" t="str">
        <f t="shared" si="83"/>
        <v>Leather Products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</row>
    <row r="2679" spans="1:9">
      <c r="A2679" s="6">
        <v>12</v>
      </c>
      <c r="B2679" s="6" t="str">
        <f t="shared" si="82"/>
        <v>Crude Oil and Coal</v>
      </c>
      <c r="C2679" s="6">
        <v>42</v>
      </c>
      <c r="D2679" s="6" t="str">
        <f t="shared" si="83"/>
        <v>Leather Products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</row>
    <row r="2680" spans="1:9">
      <c r="A2680" s="6">
        <v>13</v>
      </c>
      <c r="B2680" s="6" t="str">
        <f t="shared" si="82"/>
        <v>Metal Ore</v>
      </c>
      <c r="C2680" s="6">
        <v>42</v>
      </c>
      <c r="D2680" s="6" t="str">
        <f t="shared" si="83"/>
        <v>Leather Products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</row>
    <row r="2681" spans="1:9">
      <c r="A2681" s="6">
        <v>14</v>
      </c>
      <c r="B2681" s="6" t="str">
        <f t="shared" si="82"/>
        <v>Non-Metal Ore</v>
      </c>
      <c r="C2681" s="6">
        <v>42</v>
      </c>
      <c r="D2681" s="6" t="str">
        <f t="shared" si="83"/>
        <v>Leather Products</v>
      </c>
      <c r="E2681" s="6">
        <v>49830</v>
      </c>
      <c r="F2681" s="6">
        <v>5217</v>
      </c>
      <c r="G2681" s="6">
        <v>3331</v>
      </c>
      <c r="H2681" s="6">
        <v>1080</v>
      </c>
      <c r="I2681" s="6">
        <v>0</v>
      </c>
    </row>
    <row r="2682" spans="1:9">
      <c r="A2682" s="6">
        <v>15</v>
      </c>
      <c r="B2682" s="6" t="str">
        <f t="shared" si="82"/>
        <v>Slaughtering</v>
      </c>
      <c r="C2682" s="6">
        <v>42</v>
      </c>
      <c r="D2682" s="6" t="str">
        <f t="shared" si="83"/>
        <v>Leather Products</v>
      </c>
      <c r="E2682" s="6">
        <v>9719406</v>
      </c>
      <c r="F2682" s="6">
        <v>5749</v>
      </c>
      <c r="G2682" s="6">
        <v>4902</v>
      </c>
      <c r="H2682" s="6">
        <v>21393</v>
      </c>
      <c r="I2682" s="6">
        <v>0</v>
      </c>
    </row>
    <row r="2683" spans="1:9">
      <c r="A2683" s="6">
        <v>16</v>
      </c>
      <c r="B2683" s="6" t="str">
        <f t="shared" si="82"/>
        <v>Processing and Presering of Foods</v>
      </c>
      <c r="C2683" s="6">
        <v>42</v>
      </c>
      <c r="D2683" s="6" t="str">
        <f t="shared" si="83"/>
        <v>Leather Products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</row>
    <row r="2684" spans="1:9">
      <c r="A2684" s="6">
        <v>17</v>
      </c>
      <c r="B2684" s="6" t="str">
        <f t="shared" si="82"/>
        <v>Rice and Other Grain Milling</v>
      </c>
      <c r="C2684" s="6">
        <v>42</v>
      </c>
      <c r="D2684" s="6" t="str">
        <f t="shared" si="83"/>
        <v>Leather Products</v>
      </c>
      <c r="E2684" s="6">
        <v>18432</v>
      </c>
      <c r="F2684" s="6">
        <v>1059</v>
      </c>
      <c r="G2684" s="6">
        <v>1302</v>
      </c>
      <c r="H2684" s="6">
        <v>292</v>
      </c>
      <c r="I2684" s="6">
        <v>0</v>
      </c>
    </row>
    <row r="2685" spans="1:9">
      <c r="A2685" s="6">
        <v>18</v>
      </c>
      <c r="B2685" s="6" t="str">
        <f t="shared" si="82"/>
        <v>Sugar Refineries</v>
      </c>
      <c r="C2685" s="6">
        <v>42</v>
      </c>
      <c r="D2685" s="6" t="str">
        <f t="shared" si="83"/>
        <v>Leather Products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</row>
    <row r="2686" spans="1:9">
      <c r="A2686" s="6">
        <v>19</v>
      </c>
      <c r="B2686" s="6" t="str">
        <f t="shared" si="82"/>
        <v>Other Foods</v>
      </c>
      <c r="C2686" s="6">
        <v>42</v>
      </c>
      <c r="D2686" s="6" t="str">
        <f t="shared" si="83"/>
        <v>Leather Products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</row>
    <row r="2687" spans="1:9">
      <c r="A2687" s="6">
        <v>20</v>
      </c>
      <c r="B2687" s="6" t="str">
        <f t="shared" si="82"/>
        <v>Animal Food</v>
      </c>
      <c r="C2687" s="6">
        <v>42</v>
      </c>
      <c r="D2687" s="6" t="str">
        <f t="shared" si="83"/>
        <v>Leather Products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</row>
    <row r="2688" spans="1:9">
      <c r="A2688" s="6">
        <v>21</v>
      </c>
      <c r="B2688" s="6" t="str">
        <f t="shared" si="82"/>
        <v>Beverages</v>
      </c>
      <c r="C2688" s="6">
        <v>42</v>
      </c>
      <c r="D2688" s="6" t="str">
        <f t="shared" si="83"/>
        <v>Leather Products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</row>
    <row r="2689" spans="1:9">
      <c r="A2689" s="6">
        <v>22</v>
      </c>
      <c r="B2689" s="6" t="str">
        <f t="shared" si="82"/>
        <v>Tobacco Processing and Products</v>
      </c>
      <c r="C2689" s="6">
        <v>42</v>
      </c>
      <c r="D2689" s="6" t="str">
        <f t="shared" si="83"/>
        <v>Leather Products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</row>
    <row r="2690" spans="1:9">
      <c r="A2690" s="6">
        <v>23</v>
      </c>
      <c r="B2690" s="6" t="str">
        <f t="shared" si="82"/>
        <v>Spinning, Weaving and Bleaching</v>
      </c>
      <c r="C2690" s="6">
        <v>42</v>
      </c>
      <c r="D2690" s="6" t="str">
        <f t="shared" si="83"/>
        <v>Leather Products</v>
      </c>
      <c r="E2690" s="6">
        <v>4014291</v>
      </c>
      <c r="F2690" s="6">
        <v>101279</v>
      </c>
      <c r="G2690" s="6">
        <v>71172</v>
      </c>
      <c r="H2690" s="6">
        <v>35026</v>
      </c>
      <c r="I2690" s="6">
        <v>0</v>
      </c>
    </row>
    <row r="2691" spans="1:9">
      <c r="A2691" s="6">
        <v>24</v>
      </c>
      <c r="B2691" s="6" t="str">
        <f t="shared" si="82"/>
        <v>Textile Products</v>
      </c>
      <c r="C2691" s="6">
        <v>42</v>
      </c>
      <c r="D2691" s="6" t="str">
        <f t="shared" si="83"/>
        <v>Leather Products</v>
      </c>
      <c r="E2691" s="6">
        <v>1067732</v>
      </c>
      <c r="F2691" s="6">
        <v>69280</v>
      </c>
      <c r="G2691" s="6">
        <v>133101</v>
      </c>
      <c r="H2691" s="6">
        <v>7360</v>
      </c>
      <c r="I2691" s="6">
        <v>482806</v>
      </c>
    </row>
    <row r="2692" spans="1:9">
      <c r="A2692" s="6">
        <v>25</v>
      </c>
      <c r="B2692" s="6" t="str">
        <f t="shared" ref="B2692:B2755" si="84">VLOOKUP(A2692,R:S,2,0)</f>
        <v>Paper and Paper Products</v>
      </c>
      <c r="C2692" s="6">
        <v>42</v>
      </c>
      <c r="D2692" s="6" t="str">
        <f t="shared" ref="D2692:D2755" si="85">VLOOKUP(C2692,R:S,2,0)</f>
        <v>Leather Products</v>
      </c>
      <c r="E2692" s="6">
        <v>400919</v>
      </c>
      <c r="F2692" s="6">
        <v>39595</v>
      </c>
      <c r="G2692" s="6">
        <v>8339</v>
      </c>
      <c r="H2692" s="6">
        <v>4875</v>
      </c>
      <c r="I2692" s="6">
        <v>0</v>
      </c>
    </row>
    <row r="2693" spans="1:9">
      <c r="A2693" s="6">
        <v>26</v>
      </c>
      <c r="B2693" s="6" t="str">
        <f t="shared" si="84"/>
        <v>Printing and Publishing</v>
      </c>
      <c r="C2693" s="6">
        <v>42</v>
      </c>
      <c r="D2693" s="6" t="str">
        <f t="shared" si="85"/>
        <v>Leather Products</v>
      </c>
      <c r="E2693" s="6">
        <v>4142</v>
      </c>
      <c r="F2693" s="6">
        <v>56</v>
      </c>
      <c r="G2693" s="6">
        <v>109</v>
      </c>
      <c r="H2693" s="6">
        <v>32</v>
      </c>
      <c r="I2693" s="6">
        <v>0</v>
      </c>
    </row>
    <row r="2694" spans="1:9">
      <c r="A2694" s="6">
        <v>27</v>
      </c>
      <c r="B2694" s="6" t="str">
        <f t="shared" si="84"/>
        <v>Basic Chemical Products</v>
      </c>
      <c r="C2694" s="6">
        <v>42</v>
      </c>
      <c r="D2694" s="6" t="str">
        <f t="shared" si="85"/>
        <v>Leather Products</v>
      </c>
      <c r="E2694" s="6">
        <v>4349661</v>
      </c>
      <c r="F2694" s="6">
        <v>456349</v>
      </c>
      <c r="G2694" s="6">
        <v>401524</v>
      </c>
      <c r="H2694" s="6">
        <v>69824</v>
      </c>
      <c r="I2694" s="6">
        <v>1402374</v>
      </c>
    </row>
    <row r="2695" spans="1:9">
      <c r="A2695" s="6">
        <v>28</v>
      </c>
      <c r="B2695" s="6" t="str">
        <f t="shared" si="84"/>
        <v>Fertilizer and Pesticides</v>
      </c>
      <c r="C2695" s="6">
        <v>42</v>
      </c>
      <c r="D2695" s="6" t="str">
        <f t="shared" si="85"/>
        <v>Leather Products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</row>
    <row r="2696" spans="1:9">
      <c r="A2696" s="6">
        <v>29</v>
      </c>
      <c r="B2696" s="6" t="str">
        <f t="shared" si="84"/>
        <v>Other Chemical Products</v>
      </c>
      <c r="C2696" s="6">
        <v>42</v>
      </c>
      <c r="D2696" s="6" t="str">
        <f t="shared" si="85"/>
        <v>Leather Products</v>
      </c>
      <c r="E2696" s="6">
        <v>3002154</v>
      </c>
      <c r="F2696" s="6">
        <v>297973</v>
      </c>
      <c r="G2696" s="6">
        <v>403522</v>
      </c>
      <c r="H2696" s="6">
        <v>37524</v>
      </c>
      <c r="I2696" s="6">
        <v>1825309</v>
      </c>
    </row>
    <row r="2697" spans="1:9">
      <c r="A2697" s="6">
        <v>30</v>
      </c>
      <c r="B2697" s="6" t="str">
        <f t="shared" si="84"/>
        <v>Petroleum Refineries</v>
      </c>
      <c r="C2697" s="6">
        <v>42</v>
      </c>
      <c r="D2697" s="6" t="str">
        <f t="shared" si="85"/>
        <v>Leather Products</v>
      </c>
      <c r="E2697" s="6">
        <v>454585</v>
      </c>
      <c r="F2697" s="6">
        <v>32296</v>
      </c>
      <c r="G2697" s="6">
        <v>33450</v>
      </c>
      <c r="H2697" s="6">
        <v>4705</v>
      </c>
      <c r="I2697" s="6">
        <v>81834</v>
      </c>
    </row>
    <row r="2698" spans="1:9">
      <c r="A2698" s="6">
        <v>31</v>
      </c>
      <c r="B2698" s="6" t="str">
        <f t="shared" si="84"/>
        <v>Rubber Products</v>
      </c>
      <c r="C2698" s="6">
        <v>42</v>
      </c>
      <c r="D2698" s="6" t="str">
        <f t="shared" si="85"/>
        <v>Leather Products</v>
      </c>
      <c r="E2698" s="6">
        <v>4813119</v>
      </c>
      <c r="F2698" s="6">
        <v>465080</v>
      </c>
      <c r="G2698" s="6">
        <v>679348</v>
      </c>
      <c r="H2698" s="6">
        <v>142968</v>
      </c>
      <c r="I2698" s="6">
        <v>2094253</v>
      </c>
    </row>
    <row r="2699" spans="1:9">
      <c r="A2699" s="6">
        <v>32</v>
      </c>
      <c r="B2699" s="6" t="str">
        <f t="shared" si="84"/>
        <v>Plastic Wares</v>
      </c>
      <c r="C2699" s="6">
        <v>42</v>
      </c>
      <c r="D2699" s="6" t="str">
        <f t="shared" si="85"/>
        <v>Leather Products</v>
      </c>
      <c r="E2699" s="6">
        <v>2622628</v>
      </c>
      <c r="F2699" s="6">
        <v>42771</v>
      </c>
      <c r="G2699" s="6">
        <v>42768</v>
      </c>
      <c r="H2699" s="6">
        <v>17273</v>
      </c>
      <c r="I2699" s="6">
        <v>1553045</v>
      </c>
    </row>
    <row r="2700" spans="1:9">
      <c r="A2700" s="6">
        <v>33</v>
      </c>
      <c r="B2700" s="6" t="str">
        <f t="shared" si="84"/>
        <v>Cement and Concrete Products</v>
      </c>
      <c r="C2700" s="6">
        <v>42</v>
      </c>
      <c r="D2700" s="6" t="str">
        <f t="shared" si="85"/>
        <v>Leather Products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</row>
    <row r="2701" spans="1:9">
      <c r="A2701" s="6">
        <v>34</v>
      </c>
      <c r="B2701" s="6" t="str">
        <f t="shared" si="84"/>
        <v>Other Non-metallic Products</v>
      </c>
      <c r="C2701" s="6">
        <v>42</v>
      </c>
      <c r="D2701" s="6" t="str">
        <f t="shared" si="85"/>
        <v>Leather Products</v>
      </c>
      <c r="E2701" s="6">
        <v>621</v>
      </c>
      <c r="F2701" s="6">
        <v>28</v>
      </c>
      <c r="G2701" s="6">
        <v>37</v>
      </c>
      <c r="H2701" s="6">
        <v>4</v>
      </c>
      <c r="I2701" s="6">
        <v>0</v>
      </c>
    </row>
    <row r="2702" spans="1:9">
      <c r="A2702" s="6">
        <v>35</v>
      </c>
      <c r="B2702" s="6" t="str">
        <f t="shared" si="84"/>
        <v>Iron and Steel</v>
      </c>
      <c r="C2702" s="6">
        <v>42</v>
      </c>
      <c r="D2702" s="6" t="str">
        <f t="shared" si="85"/>
        <v>Leather Products</v>
      </c>
      <c r="E2702" s="6">
        <v>8156</v>
      </c>
      <c r="F2702" s="6">
        <v>356</v>
      </c>
      <c r="G2702" s="6">
        <v>430</v>
      </c>
      <c r="H2702" s="6">
        <v>89</v>
      </c>
      <c r="I2702" s="6">
        <v>2081</v>
      </c>
    </row>
    <row r="2703" spans="1:9">
      <c r="A2703" s="6">
        <v>36</v>
      </c>
      <c r="B2703" s="6" t="str">
        <f t="shared" si="84"/>
        <v>Non-ferrous Metal</v>
      </c>
      <c r="C2703" s="6">
        <v>42</v>
      </c>
      <c r="D2703" s="6" t="str">
        <f t="shared" si="85"/>
        <v>Leather Products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</row>
    <row r="2704" spans="1:9">
      <c r="A2704" s="6">
        <v>37</v>
      </c>
      <c r="B2704" s="6" t="str">
        <f t="shared" si="84"/>
        <v>Fabricated Metal Products</v>
      </c>
      <c r="C2704" s="6">
        <v>42</v>
      </c>
      <c r="D2704" s="6" t="str">
        <f t="shared" si="85"/>
        <v>Leather Products</v>
      </c>
      <c r="E2704" s="6">
        <v>1402123</v>
      </c>
      <c r="F2704" s="6">
        <v>24275</v>
      </c>
      <c r="G2704" s="6">
        <v>47801</v>
      </c>
      <c r="H2704" s="6">
        <v>3885</v>
      </c>
      <c r="I2704" s="6">
        <v>981729</v>
      </c>
    </row>
    <row r="2705" spans="1:9">
      <c r="A2705" s="6">
        <v>38</v>
      </c>
      <c r="B2705" s="6" t="str">
        <f t="shared" si="84"/>
        <v>Industrial Machinery</v>
      </c>
      <c r="C2705" s="6">
        <v>42</v>
      </c>
      <c r="D2705" s="6" t="str">
        <f t="shared" si="85"/>
        <v>Leather Products</v>
      </c>
      <c r="E2705" s="6">
        <v>513539</v>
      </c>
      <c r="F2705" s="6">
        <v>27583</v>
      </c>
      <c r="G2705" s="6">
        <v>0</v>
      </c>
      <c r="H2705" s="6">
        <v>5058</v>
      </c>
      <c r="I2705" s="6">
        <v>0</v>
      </c>
    </row>
    <row r="2706" spans="1:9">
      <c r="A2706" s="6">
        <v>39</v>
      </c>
      <c r="B2706" s="6" t="str">
        <f t="shared" si="84"/>
        <v>Electrical Machinery and Apparatus</v>
      </c>
      <c r="C2706" s="6">
        <v>42</v>
      </c>
      <c r="D2706" s="6" t="str">
        <f t="shared" si="85"/>
        <v>Leather Products</v>
      </c>
      <c r="E2706" s="6">
        <v>182158</v>
      </c>
      <c r="F2706" s="6">
        <v>8890</v>
      </c>
      <c r="G2706" s="6">
        <v>8541</v>
      </c>
      <c r="H2706" s="6">
        <v>1805</v>
      </c>
      <c r="I2706" s="6">
        <v>0</v>
      </c>
    </row>
    <row r="2707" spans="1:9">
      <c r="A2707" s="6">
        <v>40</v>
      </c>
      <c r="B2707" s="6" t="str">
        <f t="shared" si="84"/>
        <v>Motor Vehicles and Repairing</v>
      </c>
      <c r="C2707" s="6">
        <v>42</v>
      </c>
      <c r="D2707" s="6" t="str">
        <f t="shared" si="85"/>
        <v>Leather Products</v>
      </c>
      <c r="E2707" s="6">
        <v>189346</v>
      </c>
      <c r="F2707" s="6">
        <v>0</v>
      </c>
      <c r="G2707" s="6">
        <v>0</v>
      </c>
      <c r="H2707" s="6">
        <v>0</v>
      </c>
      <c r="I2707" s="6">
        <v>0</v>
      </c>
    </row>
    <row r="2708" spans="1:9">
      <c r="A2708" s="6">
        <v>41</v>
      </c>
      <c r="B2708" s="6" t="str">
        <f t="shared" si="84"/>
        <v>Other Transportation Equipment</v>
      </c>
      <c r="C2708" s="6">
        <v>42</v>
      </c>
      <c r="D2708" s="6" t="str">
        <f t="shared" si="85"/>
        <v>Leather Products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</row>
    <row r="2709" spans="1:9">
      <c r="A2709" s="6">
        <v>42</v>
      </c>
      <c r="B2709" s="6" t="str">
        <f t="shared" si="84"/>
        <v>Leather Products</v>
      </c>
      <c r="C2709" s="6">
        <v>42</v>
      </c>
      <c r="D2709" s="6" t="str">
        <f t="shared" si="85"/>
        <v>Leather Products</v>
      </c>
      <c r="E2709" s="6">
        <v>17375565</v>
      </c>
      <c r="F2709" s="6">
        <v>1234883</v>
      </c>
      <c r="G2709" s="6">
        <v>768359</v>
      </c>
      <c r="H2709" s="6">
        <v>93153</v>
      </c>
      <c r="I2709" s="6">
        <v>14764942</v>
      </c>
    </row>
    <row r="2710" spans="1:9">
      <c r="A2710" s="6">
        <v>43</v>
      </c>
      <c r="B2710" s="6" t="str">
        <f t="shared" si="84"/>
        <v>Saw Mills and Wood Products</v>
      </c>
      <c r="C2710" s="6">
        <v>42</v>
      </c>
      <c r="D2710" s="6" t="str">
        <f t="shared" si="85"/>
        <v>Leather Products</v>
      </c>
      <c r="E2710" s="6">
        <v>68339</v>
      </c>
      <c r="F2710" s="6">
        <v>5562</v>
      </c>
      <c r="G2710" s="6">
        <v>12476</v>
      </c>
      <c r="H2710" s="6">
        <v>879</v>
      </c>
      <c r="I2710" s="6">
        <v>0</v>
      </c>
    </row>
    <row r="2711" spans="1:9">
      <c r="A2711" s="6">
        <v>44</v>
      </c>
      <c r="B2711" s="6" t="str">
        <f t="shared" si="84"/>
        <v>Other Manufacturing Products</v>
      </c>
      <c r="C2711" s="6">
        <v>42</v>
      </c>
      <c r="D2711" s="6" t="str">
        <f t="shared" si="85"/>
        <v>Leather Products</v>
      </c>
      <c r="E2711" s="6">
        <v>3249233</v>
      </c>
      <c r="F2711" s="6">
        <v>340613</v>
      </c>
      <c r="G2711" s="6">
        <v>327167</v>
      </c>
      <c r="H2711" s="6">
        <v>43741</v>
      </c>
      <c r="I2711" s="6">
        <v>456097</v>
      </c>
    </row>
    <row r="2712" spans="1:9">
      <c r="A2712" s="6">
        <v>45</v>
      </c>
      <c r="B2712" s="6" t="str">
        <f t="shared" si="84"/>
        <v>Electricity and Gas</v>
      </c>
      <c r="C2712" s="6">
        <v>42</v>
      </c>
      <c r="D2712" s="6" t="str">
        <f t="shared" si="85"/>
        <v>Leather Products</v>
      </c>
      <c r="E2712" s="6">
        <v>1117194</v>
      </c>
      <c r="F2712" s="6">
        <v>242</v>
      </c>
      <c r="G2712" s="6">
        <v>406</v>
      </c>
      <c r="H2712" s="6">
        <v>80</v>
      </c>
      <c r="I2712" s="6">
        <v>0</v>
      </c>
    </row>
    <row r="2713" spans="1:9">
      <c r="A2713" s="6">
        <v>46</v>
      </c>
      <c r="B2713" s="6" t="str">
        <f t="shared" si="84"/>
        <v>Water Works and Supply</v>
      </c>
      <c r="C2713" s="6">
        <v>42</v>
      </c>
      <c r="D2713" s="6" t="str">
        <f t="shared" si="85"/>
        <v>Leather Products</v>
      </c>
      <c r="E2713" s="6">
        <v>37821</v>
      </c>
      <c r="F2713" s="6">
        <v>0</v>
      </c>
      <c r="G2713" s="6">
        <v>0</v>
      </c>
      <c r="H2713" s="6">
        <v>0</v>
      </c>
      <c r="I2713" s="6">
        <v>0</v>
      </c>
    </row>
    <row r="2714" spans="1:9">
      <c r="A2714" s="6">
        <v>47</v>
      </c>
      <c r="B2714" s="6" t="str">
        <f t="shared" si="84"/>
        <v>Building Construction</v>
      </c>
      <c r="C2714" s="6">
        <v>42</v>
      </c>
      <c r="D2714" s="6" t="str">
        <f t="shared" si="85"/>
        <v>Leather Products</v>
      </c>
      <c r="E2714" s="6">
        <v>50381</v>
      </c>
      <c r="F2714" s="6">
        <v>0</v>
      </c>
      <c r="G2714" s="6">
        <v>0</v>
      </c>
      <c r="H2714" s="6">
        <v>0</v>
      </c>
      <c r="I2714" s="6">
        <v>0</v>
      </c>
    </row>
    <row r="2715" spans="1:9">
      <c r="A2715" s="6">
        <v>48</v>
      </c>
      <c r="B2715" s="6" t="str">
        <f t="shared" si="84"/>
        <v>Public Works and Other Construction</v>
      </c>
      <c r="C2715" s="6">
        <v>42</v>
      </c>
      <c r="D2715" s="6" t="str">
        <f t="shared" si="85"/>
        <v>Leather Products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</row>
    <row r="2716" spans="1:9">
      <c r="A2716" s="6">
        <v>49</v>
      </c>
      <c r="B2716" s="6" t="str">
        <f t="shared" si="84"/>
        <v>Trade</v>
      </c>
      <c r="C2716" s="6">
        <v>42</v>
      </c>
      <c r="D2716" s="6" t="str">
        <f t="shared" si="85"/>
        <v>Leather Products</v>
      </c>
      <c r="E2716" s="6">
        <v>0</v>
      </c>
      <c r="F2716" s="6">
        <v>-3191096</v>
      </c>
      <c r="G2716" s="6">
        <v>-2948085</v>
      </c>
      <c r="H2716" s="6">
        <v>0</v>
      </c>
      <c r="I2716" s="6">
        <v>0</v>
      </c>
    </row>
    <row r="2717" spans="1:9">
      <c r="A2717" s="6">
        <v>50</v>
      </c>
      <c r="B2717" s="6" t="str">
        <f t="shared" si="84"/>
        <v>Restaurants and Hotels</v>
      </c>
      <c r="C2717" s="6">
        <v>42</v>
      </c>
      <c r="D2717" s="6" t="str">
        <f t="shared" si="85"/>
        <v>Leather Products</v>
      </c>
      <c r="E2717" s="6">
        <v>274804</v>
      </c>
      <c r="F2717" s="6">
        <v>0</v>
      </c>
      <c r="G2717" s="6">
        <v>0</v>
      </c>
      <c r="H2717" s="6">
        <v>0</v>
      </c>
      <c r="I2717" s="6">
        <v>0</v>
      </c>
    </row>
    <row r="2718" spans="1:9">
      <c r="A2718" s="6">
        <v>51</v>
      </c>
      <c r="B2718" s="6" t="str">
        <f t="shared" si="84"/>
        <v>Transportation</v>
      </c>
      <c r="C2718" s="6">
        <v>42</v>
      </c>
      <c r="D2718" s="6" t="str">
        <f t="shared" si="85"/>
        <v>Leather Products</v>
      </c>
      <c r="E2718" s="6">
        <v>406070</v>
      </c>
      <c r="F2718" s="6">
        <v>0</v>
      </c>
      <c r="G2718" s="6">
        <v>0</v>
      </c>
      <c r="H2718" s="6">
        <v>-492611</v>
      </c>
      <c r="I2718" s="6">
        <v>0</v>
      </c>
    </row>
    <row r="2719" spans="1:9">
      <c r="A2719" s="6">
        <v>52</v>
      </c>
      <c r="B2719" s="6" t="str">
        <f t="shared" si="84"/>
        <v>Communication</v>
      </c>
      <c r="C2719" s="6">
        <v>42</v>
      </c>
      <c r="D2719" s="6" t="str">
        <f t="shared" si="85"/>
        <v>Leather Products</v>
      </c>
      <c r="E2719" s="6">
        <v>130471</v>
      </c>
      <c r="F2719" s="6">
        <v>0</v>
      </c>
      <c r="G2719" s="6">
        <v>0</v>
      </c>
      <c r="H2719" s="6">
        <v>0</v>
      </c>
      <c r="I2719" s="6">
        <v>0</v>
      </c>
    </row>
    <row r="2720" spans="1:9">
      <c r="A2720" s="6">
        <v>53</v>
      </c>
      <c r="B2720" s="6" t="str">
        <f t="shared" si="84"/>
        <v>Banking and Insurance</v>
      </c>
      <c r="C2720" s="6">
        <v>42</v>
      </c>
      <c r="D2720" s="6" t="str">
        <f t="shared" si="85"/>
        <v>Leather Products</v>
      </c>
      <c r="E2720" s="6">
        <v>996935</v>
      </c>
      <c r="F2720" s="6">
        <v>0</v>
      </c>
      <c r="G2720" s="6">
        <v>0</v>
      </c>
      <c r="H2720" s="6">
        <v>0</v>
      </c>
      <c r="I2720" s="6">
        <v>0</v>
      </c>
    </row>
    <row r="2721" spans="1:9">
      <c r="A2721" s="6">
        <v>54</v>
      </c>
      <c r="B2721" s="6" t="str">
        <f t="shared" si="84"/>
        <v>Real Estate</v>
      </c>
      <c r="C2721" s="6">
        <v>42</v>
      </c>
      <c r="D2721" s="6" t="str">
        <f t="shared" si="85"/>
        <v>Leather Products</v>
      </c>
      <c r="E2721" s="6">
        <v>67979</v>
      </c>
      <c r="F2721" s="6">
        <v>0</v>
      </c>
      <c r="G2721" s="6">
        <v>0</v>
      </c>
      <c r="H2721" s="6">
        <v>0</v>
      </c>
      <c r="I2721" s="6">
        <v>0</v>
      </c>
    </row>
    <row r="2722" spans="1:9">
      <c r="A2722" s="6">
        <v>55</v>
      </c>
      <c r="B2722" s="6" t="str">
        <f t="shared" si="84"/>
        <v>Business Services</v>
      </c>
      <c r="C2722" s="6">
        <v>42</v>
      </c>
      <c r="D2722" s="6" t="str">
        <f t="shared" si="85"/>
        <v>Leather Products</v>
      </c>
      <c r="E2722" s="6">
        <v>1239822</v>
      </c>
      <c r="F2722" s="6">
        <v>0</v>
      </c>
      <c r="G2722" s="6">
        <v>0</v>
      </c>
      <c r="H2722" s="6">
        <v>0</v>
      </c>
      <c r="I2722" s="6">
        <v>0</v>
      </c>
    </row>
    <row r="2723" spans="1:9">
      <c r="A2723" s="6">
        <v>56</v>
      </c>
      <c r="B2723" s="6" t="str">
        <f t="shared" si="84"/>
        <v>Public Services</v>
      </c>
      <c r="C2723" s="6">
        <v>42</v>
      </c>
      <c r="D2723" s="6" t="str">
        <f t="shared" si="85"/>
        <v>Leather Products</v>
      </c>
      <c r="E2723" s="6">
        <v>57833</v>
      </c>
      <c r="F2723" s="6">
        <v>0</v>
      </c>
      <c r="G2723" s="6">
        <v>0</v>
      </c>
      <c r="H2723" s="6">
        <v>0</v>
      </c>
      <c r="I2723" s="6">
        <v>0</v>
      </c>
    </row>
    <row r="2724" spans="1:9">
      <c r="A2724" s="6">
        <v>57</v>
      </c>
      <c r="B2724" s="6" t="str">
        <f t="shared" si="84"/>
        <v>Other Services</v>
      </c>
      <c r="C2724" s="6">
        <v>42</v>
      </c>
      <c r="D2724" s="6" t="str">
        <f t="shared" si="85"/>
        <v>Leather Products</v>
      </c>
      <c r="E2724" s="6">
        <v>73249</v>
      </c>
      <c r="F2724" s="6">
        <v>0</v>
      </c>
      <c r="G2724" s="6">
        <v>0</v>
      </c>
      <c r="H2724" s="6">
        <v>0</v>
      </c>
      <c r="I2724" s="6">
        <v>0</v>
      </c>
    </row>
    <row r="2725" spans="1:9">
      <c r="A2725" s="6">
        <v>58</v>
      </c>
      <c r="B2725" s="6" t="str">
        <f t="shared" si="84"/>
        <v>Unclassified</v>
      </c>
      <c r="C2725" s="6">
        <v>42</v>
      </c>
      <c r="D2725" s="6" t="str">
        <f t="shared" si="85"/>
        <v>Leather Products</v>
      </c>
      <c r="E2725" s="6">
        <v>224972</v>
      </c>
      <c r="F2725" s="6">
        <v>0</v>
      </c>
      <c r="G2725" s="6">
        <v>0</v>
      </c>
      <c r="H2725" s="6">
        <v>0</v>
      </c>
      <c r="I2725" s="6">
        <v>25313</v>
      </c>
    </row>
    <row r="2726" spans="1:9">
      <c r="A2726" s="6">
        <v>190</v>
      </c>
      <c r="B2726" s="6" t="str">
        <f t="shared" si="84"/>
        <v>Total Intermedite Transaction</v>
      </c>
      <c r="C2726" s="6">
        <v>42</v>
      </c>
      <c r="D2726" s="6" t="str">
        <f t="shared" si="85"/>
        <v>Leather Products</v>
      </c>
      <c r="E2726" s="6">
        <v>59496577</v>
      </c>
      <c r="F2726" s="6">
        <v>0</v>
      </c>
      <c r="G2726" s="6">
        <v>0</v>
      </c>
      <c r="H2726" s="6">
        <v>0</v>
      </c>
      <c r="I2726" s="6">
        <v>24927790</v>
      </c>
    </row>
    <row r="2727" spans="1:9">
      <c r="A2727" s="6">
        <v>201</v>
      </c>
      <c r="B2727" s="6" t="str">
        <f t="shared" si="84"/>
        <v>Wages and Salaries</v>
      </c>
      <c r="C2727" s="6">
        <v>42</v>
      </c>
      <c r="D2727" s="6" t="str">
        <f t="shared" si="85"/>
        <v>Leather Products</v>
      </c>
      <c r="E2727" s="6">
        <v>9470241</v>
      </c>
      <c r="F2727" s="6">
        <v>0</v>
      </c>
      <c r="G2727" s="6">
        <v>0</v>
      </c>
      <c r="H2727" s="6">
        <v>0</v>
      </c>
      <c r="I2727" s="6">
        <v>0</v>
      </c>
    </row>
    <row r="2728" spans="1:9">
      <c r="A2728" s="6">
        <v>202</v>
      </c>
      <c r="B2728" s="6" t="str">
        <f t="shared" si="84"/>
        <v>Operating Surplus</v>
      </c>
      <c r="C2728" s="6">
        <v>42</v>
      </c>
      <c r="D2728" s="6" t="str">
        <f t="shared" si="85"/>
        <v>Leather Products</v>
      </c>
      <c r="E2728" s="6">
        <v>11479631</v>
      </c>
      <c r="F2728" s="6">
        <v>0</v>
      </c>
      <c r="G2728" s="6">
        <v>0</v>
      </c>
      <c r="H2728" s="6">
        <v>0</v>
      </c>
      <c r="I2728" s="6">
        <v>0</v>
      </c>
    </row>
    <row r="2729" spans="1:9">
      <c r="A2729" s="6">
        <v>203</v>
      </c>
      <c r="B2729" s="6" t="str">
        <f t="shared" si="84"/>
        <v>Depreciation</v>
      </c>
      <c r="C2729" s="6">
        <v>42</v>
      </c>
      <c r="D2729" s="6" t="str">
        <f t="shared" si="85"/>
        <v>Leather Products</v>
      </c>
      <c r="E2729" s="6">
        <v>4893238</v>
      </c>
      <c r="F2729" s="6">
        <v>0</v>
      </c>
      <c r="G2729" s="6">
        <v>0</v>
      </c>
      <c r="H2729" s="6">
        <v>0</v>
      </c>
      <c r="I2729" s="6">
        <v>0</v>
      </c>
    </row>
    <row r="2730" spans="1:9">
      <c r="A2730" s="6">
        <v>204</v>
      </c>
      <c r="B2730" s="6" t="str">
        <f t="shared" si="84"/>
        <v>Indirect Taxes less Subsidies</v>
      </c>
      <c r="C2730" s="6">
        <v>42</v>
      </c>
      <c r="D2730" s="6" t="str">
        <f t="shared" si="85"/>
        <v>Leather Products</v>
      </c>
      <c r="E2730" s="6">
        <v>2148117</v>
      </c>
      <c r="F2730" s="6">
        <v>0</v>
      </c>
      <c r="G2730" s="6">
        <v>0</v>
      </c>
      <c r="H2730" s="6">
        <v>0</v>
      </c>
      <c r="I2730" s="6">
        <v>0</v>
      </c>
    </row>
    <row r="2731" spans="1:9">
      <c r="A2731" s="6">
        <v>209</v>
      </c>
      <c r="B2731" s="6" t="str">
        <f t="shared" si="84"/>
        <v>Total Value Added</v>
      </c>
      <c r="C2731" s="6">
        <v>42</v>
      </c>
      <c r="D2731" s="6" t="str">
        <f t="shared" si="85"/>
        <v>Leather Products</v>
      </c>
      <c r="E2731" s="6">
        <v>27991227</v>
      </c>
      <c r="F2731" s="6">
        <v>0</v>
      </c>
      <c r="G2731" s="6">
        <v>0</v>
      </c>
      <c r="H2731" s="6">
        <v>0</v>
      </c>
      <c r="I2731" s="6">
        <v>0</v>
      </c>
    </row>
    <row r="2732" spans="1:9">
      <c r="A2732" s="6">
        <v>210</v>
      </c>
      <c r="B2732" s="6" t="str">
        <f t="shared" si="84"/>
        <v>Control Total</v>
      </c>
      <c r="C2732" s="6">
        <v>42</v>
      </c>
      <c r="D2732" s="6" t="str">
        <f t="shared" si="85"/>
        <v>Leather Products</v>
      </c>
      <c r="E2732" s="6">
        <v>87487804</v>
      </c>
      <c r="F2732" s="6">
        <v>0</v>
      </c>
      <c r="G2732" s="6">
        <v>0</v>
      </c>
      <c r="H2732" s="6">
        <v>0</v>
      </c>
      <c r="I2732" s="6">
        <v>0</v>
      </c>
    </row>
    <row r="2733" spans="1:9">
      <c r="A2733" s="6">
        <v>1</v>
      </c>
      <c r="B2733" s="6" t="str">
        <f t="shared" si="84"/>
        <v>Paddy</v>
      </c>
      <c r="C2733" s="6">
        <v>43</v>
      </c>
      <c r="D2733" s="6" t="str">
        <f t="shared" si="85"/>
        <v>Saw Mills and Wood Products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</row>
    <row r="2734" spans="1:9">
      <c r="A2734" s="6">
        <v>2</v>
      </c>
      <c r="B2734" s="6" t="str">
        <f t="shared" si="84"/>
        <v>Maize</v>
      </c>
      <c r="C2734" s="6">
        <v>43</v>
      </c>
      <c r="D2734" s="6" t="str">
        <f t="shared" si="85"/>
        <v>Saw Mills and Wood Products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</row>
    <row r="2735" spans="1:9">
      <c r="A2735" s="6">
        <v>3</v>
      </c>
      <c r="B2735" s="6" t="str">
        <f t="shared" si="84"/>
        <v>Cassava</v>
      </c>
      <c r="C2735" s="6">
        <v>43</v>
      </c>
      <c r="D2735" s="6" t="str">
        <f t="shared" si="85"/>
        <v>Saw Mills and Wood Products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</row>
    <row r="2736" spans="1:9">
      <c r="A2736" s="6">
        <v>4</v>
      </c>
      <c r="B2736" s="6" t="str">
        <f t="shared" si="84"/>
        <v>Beans and Nuts</v>
      </c>
      <c r="C2736" s="6">
        <v>43</v>
      </c>
      <c r="D2736" s="6" t="str">
        <f t="shared" si="85"/>
        <v>Saw Mills and Wood Products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</row>
    <row r="2737" spans="1:9">
      <c r="A2737" s="6">
        <v>5</v>
      </c>
      <c r="B2737" s="6" t="str">
        <f t="shared" si="84"/>
        <v>Vegetables and Fruits</v>
      </c>
      <c r="C2737" s="6">
        <v>43</v>
      </c>
      <c r="D2737" s="6" t="str">
        <f t="shared" si="85"/>
        <v>Saw Mills and Wood Products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</row>
    <row r="2738" spans="1:9">
      <c r="A2738" s="6">
        <v>6</v>
      </c>
      <c r="B2738" s="6" t="str">
        <f t="shared" si="84"/>
        <v>Sugarcane</v>
      </c>
      <c r="C2738" s="6">
        <v>43</v>
      </c>
      <c r="D2738" s="6" t="str">
        <f t="shared" si="85"/>
        <v>Saw Mills and Wood Products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</row>
    <row r="2739" spans="1:9">
      <c r="A2739" s="6">
        <v>7</v>
      </c>
      <c r="B2739" s="6" t="str">
        <f t="shared" si="84"/>
        <v>Rubber (Latex)</v>
      </c>
      <c r="C2739" s="6">
        <v>43</v>
      </c>
      <c r="D2739" s="6" t="str">
        <f t="shared" si="85"/>
        <v>Saw Mills and Wood Products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</row>
    <row r="2740" spans="1:9">
      <c r="A2740" s="6">
        <v>8</v>
      </c>
      <c r="B2740" s="6" t="str">
        <f t="shared" si="84"/>
        <v>Other Crops</v>
      </c>
      <c r="C2740" s="6">
        <v>43</v>
      </c>
      <c r="D2740" s="6" t="str">
        <f t="shared" si="85"/>
        <v>Saw Mills and Wood Products</v>
      </c>
      <c r="E2740" s="6">
        <v>255123</v>
      </c>
      <c r="F2740" s="6">
        <v>37894</v>
      </c>
      <c r="G2740" s="6">
        <v>0</v>
      </c>
      <c r="H2740" s="6">
        <v>3711</v>
      </c>
      <c r="I2740" s="6">
        <v>0</v>
      </c>
    </row>
    <row r="2741" spans="1:9">
      <c r="A2741" s="6">
        <v>9</v>
      </c>
      <c r="B2741" s="6" t="str">
        <f t="shared" si="84"/>
        <v>Livestock</v>
      </c>
      <c r="C2741" s="6">
        <v>43</v>
      </c>
      <c r="D2741" s="6" t="str">
        <f t="shared" si="85"/>
        <v>Saw Mills and Wood Products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</row>
    <row r="2742" spans="1:9">
      <c r="A2742" s="6">
        <v>10</v>
      </c>
      <c r="B2742" s="6" t="str">
        <f t="shared" si="84"/>
        <v>Forestry</v>
      </c>
      <c r="C2742" s="6">
        <v>43</v>
      </c>
      <c r="D2742" s="6" t="str">
        <f t="shared" si="85"/>
        <v>Saw Mills and Wood Products</v>
      </c>
      <c r="E2742" s="6">
        <v>38887303</v>
      </c>
      <c r="F2742" s="6">
        <v>2472930</v>
      </c>
      <c r="G2742" s="6">
        <v>198270</v>
      </c>
      <c r="H2742" s="6">
        <v>556315</v>
      </c>
      <c r="I2742" s="6">
        <v>703872</v>
      </c>
    </row>
    <row r="2743" spans="1:9">
      <c r="A2743" s="6">
        <v>11</v>
      </c>
      <c r="B2743" s="6" t="str">
        <f t="shared" si="84"/>
        <v>Fishery</v>
      </c>
      <c r="C2743" s="6">
        <v>43</v>
      </c>
      <c r="D2743" s="6" t="str">
        <f t="shared" si="85"/>
        <v>Saw Mills and Wood Products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</row>
    <row r="2744" spans="1:9">
      <c r="A2744" s="6">
        <v>12</v>
      </c>
      <c r="B2744" s="6" t="str">
        <f t="shared" si="84"/>
        <v>Crude Oil and Coal</v>
      </c>
      <c r="C2744" s="6">
        <v>43</v>
      </c>
      <c r="D2744" s="6" t="str">
        <f t="shared" si="85"/>
        <v>Saw Mills and Wood Products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</row>
    <row r="2745" spans="1:9">
      <c r="A2745" s="6">
        <v>13</v>
      </c>
      <c r="B2745" s="6" t="str">
        <f t="shared" si="84"/>
        <v>Metal Ore</v>
      </c>
      <c r="C2745" s="6">
        <v>43</v>
      </c>
      <c r="D2745" s="6" t="str">
        <f t="shared" si="85"/>
        <v>Saw Mills and Wood Products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</row>
    <row r="2746" spans="1:9">
      <c r="A2746" s="6">
        <v>14</v>
      </c>
      <c r="B2746" s="6" t="str">
        <f t="shared" si="84"/>
        <v>Non-Metal Ore</v>
      </c>
      <c r="C2746" s="6">
        <v>43</v>
      </c>
      <c r="D2746" s="6" t="str">
        <f t="shared" si="85"/>
        <v>Saw Mills and Wood Products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</row>
    <row r="2747" spans="1:9">
      <c r="A2747" s="6">
        <v>15</v>
      </c>
      <c r="B2747" s="6" t="str">
        <f t="shared" si="84"/>
        <v>Slaughtering</v>
      </c>
      <c r="C2747" s="6">
        <v>43</v>
      </c>
      <c r="D2747" s="6" t="str">
        <f t="shared" si="85"/>
        <v>Saw Mills and Wood Products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</row>
    <row r="2748" spans="1:9">
      <c r="A2748" s="6">
        <v>16</v>
      </c>
      <c r="B2748" s="6" t="str">
        <f t="shared" si="84"/>
        <v>Processing and Presering of Foods</v>
      </c>
      <c r="C2748" s="6">
        <v>43</v>
      </c>
      <c r="D2748" s="6" t="str">
        <f t="shared" si="85"/>
        <v>Saw Mills and Wood Products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</row>
    <row r="2749" spans="1:9">
      <c r="A2749" s="6">
        <v>17</v>
      </c>
      <c r="B2749" s="6" t="str">
        <f t="shared" si="84"/>
        <v>Rice and Other Grain Milling</v>
      </c>
      <c r="C2749" s="6">
        <v>43</v>
      </c>
      <c r="D2749" s="6" t="str">
        <f t="shared" si="85"/>
        <v>Saw Mills and Wood Products</v>
      </c>
      <c r="E2749" s="6">
        <v>14797</v>
      </c>
      <c r="F2749" s="6">
        <v>905</v>
      </c>
      <c r="G2749" s="6">
        <v>422</v>
      </c>
      <c r="H2749" s="6">
        <v>108</v>
      </c>
      <c r="I2749" s="6">
        <v>0</v>
      </c>
    </row>
    <row r="2750" spans="1:9">
      <c r="A2750" s="6">
        <v>18</v>
      </c>
      <c r="B2750" s="6" t="str">
        <f t="shared" si="84"/>
        <v>Sugar Refineries</v>
      </c>
      <c r="C2750" s="6">
        <v>43</v>
      </c>
      <c r="D2750" s="6" t="str">
        <f t="shared" si="85"/>
        <v>Saw Mills and Wood Products</v>
      </c>
      <c r="E2750" s="6">
        <v>495360</v>
      </c>
      <c r="F2750" s="6">
        <v>10459</v>
      </c>
      <c r="G2750" s="6">
        <v>0</v>
      </c>
      <c r="H2750" s="6">
        <v>6424</v>
      </c>
      <c r="I2750" s="6">
        <v>0</v>
      </c>
    </row>
    <row r="2751" spans="1:9">
      <c r="A2751" s="6">
        <v>19</v>
      </c>
      <c r="B2751" s="6" t="str">
        <f t="shared" si="84"/>
        <v>Other Foods</v>
      </c>
      <c r="C2751" s="6">
        <v>43</v>
      </c>
      <c r="D2751" s="6" t="str">
        <f t="shared" si="85"/>
        <v>Saw Mills and Wood Products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</row>
    <row r="2752" spans="1:9">
      <c r="A2752" s="6">
        <v>20</v>
      </c>
      <c r="B2752" s="6" t="str">
        <f t="shared" si="84"/>
        <v>Animal Food</v>
      </c>
      <c r="C2752" s="6">
        <v>43</v>
      </c>
      <c r="D2752" s="6" t="str">
        <f t="shared" si="85"/>
        <v>Saw Mills and Wood Products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</row>
    <row r="2753" spans="1:9">
      <c r="A2753" s="6">
        <v>21</v>
      </c>
      <c r="B2753" s="6" t="str">
        <f t="shared" si="84"/>
        <v>Beverages</v>
      </c>
      <c r="C2753" s="6">
        <v>43</v>
      </c>
      <c r="D2753" s="6" t="str">
        <f t="shared" si="85"/>
        <v>Saw Mills and Wood Products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</row>
    <row r="2754" spans="1:9">
      <c r="A2754" s="6">
        <v>22</v>
      </c>
      <c r="B2754" s="6" t="str">
        <f t="shared" si="84"/>
        <v>Tobacco Processing and Products</v>
      </c>
      <c r="C2754" s="6">
        <v>43</v>
      </c>
      <c r="D2754" s="6" t="str">
        <f t="shared" si="85"/>
        <v>Saw Mills and Wood Products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</row>
    <row r="2755" spans="1:9">
      <c r="A2755" s="6">
        <v>23</v>
      </c>
      <c r="B2755" s="6" t="str">
        <f t="shared" si="84"/>
        <v>Spinning, Weaving and Bleaching</v>
      </c>
      <c r="C2755" s="6">
        <v>43</v>
      </c>
      <c r="D2755" s="6" t="str">
        <f t="shared" si="85"/>
        <v>Saw Mills and Wood Products</v>
      </c>
      <c r="E2755" s="6">
        <v>121572</v>
      </c>
      <c r="F2755" s="6">
        <v>489</v>
      </c>
      <c r="G2755" s="6">
        <v>234</v>
      </c>
      <c r="H2755" s="6">
        <v>385</v>
      </c>
      <c r="I2755" s="6">
        <v>0</v>
      </c>
    </row>
    <row r="2756" spans="1:9">
      <c r="A2756" s="6">
        <v>24</v>
      </c>
      <c r="B2756" s="6" t="str">
        <f t="shared" ref="B2756:B2819" si="86">VLOOKUP(A2756,R:S,2,0)</f>
        <v>Textile Products</v>
      </c>
      <c r="C2756" s="6">
        <v>43</v>
      </c>
      <c r="D2756" s="6" t="str">
        <f t="shared" ref="D2756:D2819" si="87">VLOOKUP(C2756,R:S,2,0)</f>
        <v>Saw Mills and Wood Products</v>
      </c>
      <c r="E2756" s="6">
        <v>16963</v>
      </c>
      <c r="F2756" s="6">
        <v>1829</v>
      </c>
      <c r="G2756" s="6">
        <v>2585</v>
      </c>
      <c r="H2756" s="6">
        <v>71</v>
      </c>
      <c r="I2756" s="6">
        <v>0</v>
      </c>
    </row>
    <row r="2757" spans="1:9">
      <c r="A2757" s="6">
        <v>25</v>
      </c>
      <c r="B2757" s="6" t="str">
        <f t="shared" si="86"/>
        <v>Paper and Paper Products</v>
      </c>
      <c r="C2757" s="6">
        <v>43</v>
      </c>
      <c r="D2757" s="6" t="str">
        <f t="shared" si="87"/>
        <v>Saw Mills and Wood Products</v>
      </c>
      <c r="E2757" s="6">
        <v>521598</v>
      </c>
      <c r="F2757" s="6">
        <v>15271</v>
      </c>
      <c r="G2757" s="6">
        <v>13061</v>
      </c>
      <c r="H2757" s="6">
        <v>4524</v>
      </c>
      <c r="I2757" s="6">
        <v>0</v>
      </c>
    </row>
    <row r="2758" spans="1:9">
      <c r="A2758" s="6">
        <v>26</v>
      </c>
      <c r="B2758" s="6" t="str">
        <f t="shared" si="86"/>
        <v>Printing and Publishing</v>
      </c>
      <c r="C2758" s="6">
        <v>43</v>
      </c>
      <c r="D2758" s="6" t="str">
        <f t="shared" si="87"/>
        <v>Saw Mills and Wood Products</v>
      </c>
      <c r="E2758" s="6">
        <v>32623</v>
      </c>
      <c r="F2758" s="6">
        <v>1428</v>
      </c>
      <c r="G2758" s="6">
        <v>1873</v>
      </c>
      <c r="H2758" s="6">
        <v>246</v>
      </c>
      <c r="I2758" s="6">
        <v>0</v>
      </c>
    </row>
    <row r="2759" spans="1:9">
      <c r="A2759" s="6">
        <v>27</v>
      </c>
      <c r="B2759" s="6" t="str">
        <f t="shared" si="86"/>
        <v>Basic Chemical Products</v>
      </c>
      <c r="C2759" s="6">
        <v>43</v>
      </c>
      <c r="D2759" s="6" t="str">
        <f t="shared" si="87"/>
        <v>Saw Mills and Wood Products</v>
      </c>
      <c r="E2759" s="6">
        <v>1527351</v>
      </c>
      <c r="F2759" s="6">
        <v>113002</v>
      </c>
      <c r="G2759" s="6">
        <v>55126</v>
      </c>
      <c r="H2759" s="6">
        <v>20501</v>
      </c>
      <c r="I2759" s="6">
        <v>474024</v>
      </c>
    </row>
    <row r="2760" spans="1:9">
      <c r="A2760" s="6">
        <v>28</v>
      </c>
      <c r="B2760" s="6" t="str">
        <f t="shared" si="86"/>
        <v>Fertilizer and Pesticides</v>
      </c>
      <c r="C2760" s="6">
        <v>43</v>
      </c>
      <c r="D2760" s="6" t="str">
        <f t="shared" si="87"/>
        <v>Saw Mills and Wood Products</v>
      </c>
      <c r="E2760" s="6">
        <v>172118</v>
      </c>
      <c r="F2760" s="6">
        <v>15522</v>
      </c>
      <c r="G2760" s="6">
        <v>15629</v>
      </c>
      <c r="H2760" s="6">
        <v>5962</v>
      </c>
      <c r="I2760" s="6">
        <v>74400</v>
      </c>
    </row>
    <row r="2761" spans="1:9">
      <c r="A2761" s="6">
        <v>29</v>
      </c>
      <c r="B2761" s="6" t="str">
        <f t="shared" si="86"/>
        <v>Other Chemical Products</v>
      </c>
      <c r="C2761" s="6">
        <v>43</v>
      </c>
      <c r="D2761" s="6" t="str">
        <f t="shared" si="87"/>
        <v>Saw Mills and Wood Products</v>
      </c>
      <c r="E2761" s="6">
        <v>13495482</v>
      </c>
      <c r="F2761" s="6">
        <v>1594675</v>
      </c>
      <c r="G2761" s="6">
        <v>1449445</v>
      </c>
      <c r="H2761" s="6">
        <v>149847</v>
      </c>
      <c r="I2761" s="6">
        <v>5782763</v>
      </c>
    </row>
    <row r="2762" spans="1:9">
      <c r="A2762" s="6">
        <v>30</v>
      </c>
      <c r="B2762" s="6" t="str">
        <f t="shared" si="86"/>
        <v>Petroleum Refineries</v>
      </c>
      <c r="C2762" s="6">
        <v>43</v>
      </c>
      <c r="D2762" s="6" t="str">
        <f t="shared" si="87"/>
        <v>Saw Mills and Wood Products</v>
      </c>
      <c r="E2762" s="6">
        <v>2356995</v>
      </c>
      <c r="F2762" s="6">
        <v>171439</v>
      </c>
      <c r="G2762" s="6">
        <v>184235</v>
      </c>
      <c r="H2762" s="6">
        <v>26731</v>
      </c>
      <c r="I2762" s="6">
        <v>434301</v>
      </c>
    </row>
    <row r="2763" spans="1:9">
      <c r="A2763" s="6">
        <v>31</v>
      </c>
      <c r="B2763" s="6" t="str">
        <f t="shared" si="86"/>
        <v>Rubber Products</v>
      </c>
      <c r="C2763" s="6">
        <v>43</v>
      </c>
      <c r="D2763" s="6" t="str">
        <f t="shared" si="87"/>
        <v>Saw Mills and Wood Products</v>
      </c>
      <c r="E2763" s="6">
        <v>73977</v>
      </c>
      <c r="F2763" s="6">
        <v>8149</v>
      </c>
      <c r="G2763" s="6">
        <v>11409</v>
      </c>
      <c r="H2763" s="6">
        <v>2064</v>
      </c>
      <c r="I2763" s="6">
        <v>0</v>
      </c>
    </row>
    <row r="2764" spans="1:9">
      <c r="A2764" s="6">
        <v>32</v>
      </c>
      <c r="B2764" s="6" t="str">
        <f t="shared" si="86"/>
        <v>Plastic Wares</v>
      </c>
      <c r="C2764" s="6">
        <v>43</v>
      </c>
      <c r="D2764" s="6" t="str">
        <f t="shared" si="87"/>
        <v>Saw Mills and Wood Products</v>
      </c>
      <c r="E2764" s="6">
        <v>3514405</v>
      </c>
      <c r="F2764" s="6">
        <v>59394</v>
      </c>
      <c r="G2764" s="6">
        <v>58904</v>
      </c>
      <c r="H2764" s="6">
        <v>23292</v>
      </c>
      <c r="I2764" s="6">
        <v>1595942</v>
      </c>
    </row>
    <row r="2765" spans="1:9">
      <c r="A2765" s="6">
        <v>33</v>
      </c>
      <c r="B2765" s="6" t="str">
        <f t="shared" si="86"/>
        <v>Cement and Concrete Products</v>
      </c>
      <c r="C2765" s="6">
        <v>43</v>
      </c>
      <c r="D2765" s="6" t="str">
        <f t="shared" si="87"/>
        <v>Saw Mills and Wood Products</v>
      </c>
      <c r="E2765" s="6">
        <v>163978</v>
      </c>
      <c r="F2765" s="6">
        <v>5850</v>
      </c>
      <c r="G2765" s="6">
        <v>4599</v>
      </c>
      <c r="H2765" s="6">
        <v>2753</v>
      </c>
      <c r="I2765" s="6">
        <v>0</v>
      </c>
    </row>
    <row r="2766" spans="1:9">
      <c r="A2766" s="6">
        <v>34</v>
      </c>
      <c r="B2766" s="6" t="str">
        <f t="shared" si="86"/>
        <v>Other Non-metallic Products</v>
      </c>
      <c r="C2766" s="6">
        <v>43</v>
      </c>
      <c r="D2766" s="6" t="str">
        <f t="shared" si="87"/>
        <v>Saw Mills and Wood Products</v>
      </c>
      <c r="E2766" s="6">
        <v>350701</v>
      </c>
      <c r="F2766" s="6">
        <v>46650</v>
      </c>
      <c r="G2766" s="6">
        <v>46423</v>
      </c>
      <c r="H2766" s="6">
        <v>4012</v>
      </c>
      <c r="I2766" s="6">
        <v>0</v>
      </c>
    </row>
    <row r="2767" spans="1:9">
      <c r="A2767" s="6">
        <v>35</v>
      </c>
      <c r="B2767" s="6" t="str">
        <f t="shared" si="86"/>
        <v>Iron and Steel</v>
      </c>
      <c r="C2767" s="6">
        <v>43</v>
      </c>
      <c r="D2767" s="6" t="str">
        <f t="shared" si="87"/>
        <v>Saw Mills and Wood Products</v>
      </c>
      <c r="E2767" s="6">
        <v>311703</v>
      </c>
      <c r="F2767" s="6">
        <v>16563</v>
      </c>
      <c r="G2767" s="6">
        <v>25526</v>
      </c>
      <c r="H2767" s="6">
        <v>4438</v>
      </c>
      <c r="I2767" s="6">
        <v>83222</v>
      </c>
    </row>
    <row r="2768" spans="1:9">
      <c r="A2768" s="6">
        <v>36</v>
      </c>
      <c r="B2768" s="6" t="str">
        <f t="shared" si="86"/>
        <v>Non-ferrous Metal</v>
      </c>
      <c r="C2768" s="6">
        <v>43</v>
      </c>
      <c r="D2768" s="6" t="str">
        <f t="shared" si="87"/>
        <v>Saw Mills and Wood Products</v>
      </c>
      <c r="E2768" s="6">
        <v>391559</v>
      </c>
      <c r="F2768" s="6">
        <v>6179</v>
      </c>
      <c r="G2768" s="6">
        <v>2831</v>
      </c>
      <c r="H2768" s="6">
        <v>635</v>
      </c>
      <c r="I2768" s="6">
        <v>238471</v>
      </c>
    </row>
    <row r="2769" spans="1:9">
      <c r="A2769" s="6">
        <v>37</v>
      </c>
      <c r="B2769" s="6" t="str">
        <f t="shared" si="86"/>
        <v>Fabricated Metal Products</v>
      </c>
      <c r="C2769" s="6">
        <v>43</v>
      </c>
      <c r="D2769" s="6" t="str">
        <f t="shared" si="87"/>
        <v>Saw Mills and Wood Products</v>
      </c>
      <c r="E2769" s="6">
        <v>6271953</v>
      </c>
      <c r="F2769" s="6">
        <v>87824</v>
      </c>
      <c r="G2769" s="6">
        <v>181076</v>
      </c>
      <c r="H2769" s="6">
        <v>15213</v>
      </c>
      <c r="I2769" s="6">
        <v>4563456</v>
      </c>
    </row>
    <row r="2770" spans="1:9">
      <c r="A2770" s="6">
        <v>38</v>
      </c>
      <c r="B2770" s="6" t="str">
        <f t="shared" si="86"/>
        <v>Industrial Machinery</v>
      </c>
      <c r="C2770" s="6">
        <v>43</v>
      </c>
      <c r="D2770" s="6" t="str">
        <f t="shared" si="87"/>
        <v>Saw Mills and Wood Products</v>
      </c>
      <c r="E2770" s="6">
        <v>2568541</v>
      </c>
      <c r="F2770" s="6">
        <v>152907</v>
      </c>
      <c r="G2770" s="6">
        <v>0</v>
      </c>
      <c r="H2770" s="6">
        <v>23308</v>
      </c>
      <c r="I2770" s="6">
        <v>0</v>
      </c>
    </row>
    <row r="2771" spans="1:9">
      <c r="A2771" s="6">
        <v>39</v>
      </c>
      <c r="B2771" s="6" t="str">
        <f t="shared" si="86"/>
        <v>Electrical Machinery and Apparatus</v>
      </c>
      <c r="C2771" s="6">
        <v>43</v>
      </c>
      <c r="D2771" s="6" t="str">
        <f t="shared" si="87"/>
        <v>Saw Mills and Wood Products</v>
      </c>
      <c r="E2771" s="6">
        <v>88463</v>
      </c>
      <c r="F2771" s="6">
        <v>4243</v>
      </c>
      <c r="G2771" s="6">
        <v>2163</v>
      </c>
      <c r="H2771" s="6">
        <v>759</v>
      </c>
      <c r="I2771" s="6">
        <v>0</v>
      </c>
    </row>
    <row r="2772" spans="1:9">
      <c r="A2772" s="6">
        <v>40</v>
      </c>
      <c r="B2772" s="6" t="str">
        <f t="shared" si="86"/>
        <v>Motor Vehicles and Repairing</v>
      </c>
      <c r="C2772" s="6">
        <v>43</v>
      </c>
      <c r="D2772" s="6" t="str">
        <f t="shared" si="87"/>
        <v>Saw Mills and Wood Products</v>
      </c>
      <c r="E2772" s="6">
        <v>385735</v>
      </c>
      <c r="F2772" s="6">
        <v>0</v>
      </c>
      <c r="G2772" s="6">
        <v>0</v>
      </c>
      <c r="H2772" s="6">
        <v>0</v>
      </c>
      <c r="I2772" s="6">
        <v>0</v>
      </c>
    </row>
    <row r="2773" spans="1:9">
      <c r="A2773" s="6">
        <v>41</v>
      </c>
      <c r="B2773" s="6" t="str">
        <f t="shared" si="86"/>
        <v>Other Transportation Equipment</v>
      </c>
      <c r="C2773" s="6">
        <v>43</v>
      </c>
      <c r="D2773" s="6" t="str">
        <f t="shared" si="87"/>
        <v>Saw Mills and Wood Products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</row>
    <row r="2774" spans="1:9">
      <c r="A2774" s="6">
        <v>42</v>
      </c>
      <c r="B2774" s="6" t="str">
        <f t="shared" si="86"/>
        <v>Leather Products</v>
      </c>
      <c r="C2774" s="6">
        <v>43</v>
      </c>
      <c r="D2774" s="6" t="str">
        <f t="shared" si="87"/>
        <v>Saw Mills and Wood Products</v>
      </c>
      <c r="E2774" s="6">
        <v>470050</v>
      </c>
      <c r="F2774" s="6">
        <v>12146</v>
      </c>
      <c r="G2774" s="6">
        <v>7834</v>
      </c>
      <c r="H2774" s="6">
        <v>2164</v>
      </c>
      <c r="I2774" s="6">
        <v>436475</v>
      </c>
    </row>
    <row r="2775" spans="1:9">
      <c r="A2775" s="6">
        <v>43</v>
      </c>
      <c r="B2775" s="6" t="str">
        <f t="shared" si="86"/>
        <v>Saw Mills and Wood Products</v>
      </c>
      <c r="C2775" s="6">
        <v>43</v>
      </c>
      <c r="D2775" s="6" t="str">
        <f t="shared" si="87"/>
        <v>Saw Mills and Wood Products</v>
      </c>
      <c r="E2775" s="6">
        <v>66816170</v>
      </c>
      <c r="F2775" s="6">
        <v>8851215</v>
      </c>
      <c r="G2775" s="6">
        <v>10517903</v>
      </c>
      <c r="H2775" s="6">
        <v>536474</v>
      </c>
      <c r="I2775" s="6">
        <v>17933240</v>
      </c>
    </row>
    <row r="2776" spans="1:9">
      <c r="A2776" s="6">
        <v>44</v>
      </c>
      <c r="B2776" s="6" t="str">
        <f t="shared" si="86"/>
        <v>Other Manufacturing Products</v>
      </c>
      <c r="C2776" s="6">
        <v>43</v>
      </c>
      <c r="D2776" s="6" t="str">
        <f t="shared" si="87"/>
        <v>Saw Mills and Wood Products</v>
      </c>
      <c r="E2776" s="6">
        <v>782316</v>
      </c>
      <c r="F2776" s="6">
        <v>56470</v>
      </c>
      <c r="G2776" s="6">
        <v>50773</v>
      </c>
      <c r="H2776" s="6">
        <v>7732</v>
      </c>
      <c r="I2776" s="6">
        <v>36434</v>
      </c>
    </row>
    <row r="2777" spans="1:9">
      <c r="A2777" s="6">
        <v>45</v>
      </c>
      <c r="B2777" s="6" t="str">
        <f t="shared" si="86"/>
        <v>Electricity and Gas</v>
      </c>
      <c r="C2777" s="6">
        <v>43</v>
      </c>
      <c r="D2777" s="6" t="str">
        <f t="shared" si="87"/>
        <v>Saw Mills and Wood Products</v>
      </c>
      <c r="E2777" s="6">
        <v>6682382</v>
      </c>
      <c r="F2777" s="6">
        <v>858</v>
      </c>
      <c r="G2777" s="6">
        <v>1602</v>
      </c>
      <c r="H2777" s="6">
        <v>280</v>
      </c>
      <c r="I2777" s="6">
        <v>0</v>
      </c>
    </row>
    <row r="2778" spans="1:9">
      <c r="A2778" s="6">
        <v>46</v>
      </c>
      <c r="B2778" s="6" t="str">
        <f t="shared" si="86"/>
        <v>Water Works and Supply</v>
      </c>
      <c r="C2778" s="6">
        <v>43</v>
      </c>
      <c r="D2778" s="6" t="str">
        <f t="shared" si="87"/>
        <v>Saw Mills and Wood Products</v>
      </c>
      <c r="E2778" s="6">
        <v>83785</v>
      </c>
      <c r="F2778" s="6">
        <v>0</v>
      </c>
      <c r="G2778" s="6">
        <v>0</v>
      </c>
      <c r="H2778" s="6">
        <v>0</v>
      </c>
      <c r="I2778" s="6">
        <v>0</v>
      </c>
    </row>
    <row r="2779" spans="1:9">
      <c r="A2779" s="6">
        <v>47</v>
      </c>
      <c r="B2779" s="6" t="str">
        <f t="shared" si="86"/>
        <v>Building Construction</v>
      </c>
      <c r="C2779" s="6">
        <v>43</v>
      </c>
      <c r="D2779" s="6" t="str">
        <f t="shared" si="87"/>
        <v>Saw Mills and Wood Products</v>
      </c>
      <c r="E2779" s="6">
        <v>148979</v>
      </c>
      <c r="F2779" s="6">
        <v>0</v>
      </c>
      <c r="G2779" s="6">
        <v>0</v>
      </c>
      <c r="H2779" s="6">
        <v>0</v>
      </c>
      <c r="I2779" s="6">
        <v>0</v>
      </c>
    </row>
    <row r="2780" spans="1:9">
      <c r="A2780" s="6">
        <v>48</v>
      </c>
      <c r="B2780" s="6" t="str">
        <f t="shared" si="86"/>
        <v>Public Works and Other Construction</v>
      </c>
      <c r="C2780" s="6">
        <v>43</v>
      </c>
      <c r="D2780" s="6" t="str">
        <f t="shared" si="87"/>
        <v>Saw Mills and Wood Products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</row>
    <row r="2781" spans="1:9">
      <c r="A2781" s="6">
        <v>49</v>
      </c>
      <c r="B2781" s="6" t="str">
        <f t="shared" si="86"/>
        <v>Trade</v>
      </c>
      <c r="C2781" s="6">
        <v>43</v>
      </c>
      <c r="D2781" s="6" t="str">
        <f t="shared" si="87"/>
        <v>Saw Mills and Wood Products</v>
      </c>
      <c r="E2781" s="6">
        <v>0</v>
      </c>
      <c r="F2781" s="6">
        <v>-13744291</v>
      </c>
      <c r="G2781" s="6">
        <v>-12831923</v>
      </c>
      <c r="H2781" s="6">
        <v>0</v>
      </c>
      <c r="I2781" s="6">
        <v>0</v>
      </c>
    </row>
    <row r="2782" spans="1:9">
      <c r="A2782" s="6">
        <v>50</v>
      </c>
      <c r="B2782" s="6" t="str">
        <f t="shared" si="86"/>
        <v>Restaurants and Hotels</v>
      </c>
      <c r="C2782" s="6">
        <v>43</v>
      </c>
      <c r="D2782" s="6" t="str">
        <f t="shared" si="87"/>
        <v>Saw Mills and Wood Products</v>
      </c>
      <c r="E2782" s="6">
        <v>788176</v>
      </c>
      <c r="F2782" s="6">
        <v>0</v>
      </c>
      <c r="G2782" s="6">
        <v>0</v>
      </c>
      <c r="H2782" s="6">
        <v>0</v>
      </c>
      <c r="I2782" s="6">
        <v>0</v>
      </c>
    </row>
    <row r="2783" spans="1:9">
      <c r="A2783" s="6">
        <v>51</v>
      </c>
      <c r="B2783" s="6" t="str">
        <f t="shared" si="86"/>
        <v>Transportation</v>
      </c>
      <c r="C2783" s="6">
        <v>43</v>
      </c>
      <c r="D2783" s="6" t="str">
        <f t="shared" si="87"/>
        <v>Saw Mills and Wood Products</v>
      </c>
      <c r="E2783" s="6">
        <v>869939</v>
      </c>
      <c r="F2783" s="6">
        <v>0</v>
      </c>
      <c r="G2783" s="6">
        <v>0</v>
      </c>
      <c r="H2783" s="6">
        <v>-1397949</v>
      </c>
      <c r="I2783" s="6">
        <v>0</v>
      </c>
    </row>
    <row r="2784" spans="1:9">
      <c r="A2784" s="6">
        <v>52</v>
      </c>
      <c r="B2784" s="6" t="str">
        <f t="shared" si="86"/>
        <v>Communication</v>
      </c>
      <c r="C2784" s="6">
        <v>43</v>
      </c>
      <c r="D2784" s="6" t="str">
        <f t="shared" si="87"/>
        <v>Saw Mills and Wood Products</v>
      </c>
      <c r="E2784" s="6">
        <v>222931</v>
      </c>
      <c r="F2784" s="6">
        <v>0</v>
      </c>
      <c r="G2784" s="6">
        <v>0</v>
      </c>
      <c r="H2784" s="6">
        <v>0</v>
      </c>
      <c r="I2784" s="6">
        <v>0</v>
      </c>
    </row>
    <row r="2785" spans="1:9">
      <c r="A2785" s="6">
        <v>53</v>
      </c>
      <c r="B2785" s="6" t="str">
        <f t="shared" si="86"/>
        <v>Banking and Insurance</v>
      </c>
      <c r="C2785" s="6">
        <v>43</v>
      </c>
      <c r="D2785" s="6" t="str">
        <f t="shared" si="87"/>
        <v>Saw Mills and Wood Products</v>
      </c>
      <c r="E2785" s="6">
        <v>5362687</v>
      </c>
      <c r="F2785" s="6">
        <v>0</v>
      </c>
      <c r="G2785" s="6">
        <v>0</v>
      </c>
      <c r="H2785" s="6">
        <v>0</v>
      </c>
      <c r="I2785" s="6">
        <v>0</v>
      </c>
    </row>
    <row r="2786" spans="1:9">
      <c r="A2786" s="6">
        <v>54</v>
      </c>
      <c r="B2786" s="6" t="str">
        <f t="shared" si="86"/>
        <v>Real Estate</v>
      </c>
      <c r="C2786" s="6">
        <v>43</v>
      </c>
      <c r="D2786" s="6" t="str">
        <f t="shared" si="87"/>
        <v>Saw Mills and Wood Products</v>
      </c>
      <c r="E2786" s="6">
        <v>323688</v>
      </c>
      <c r="F2786" s="6">
        <v>0</v>
      </c>
      <c r="G2786" s="6">
        <v>0</v>
      </c>
      <c r="H2786" s="6">
        <v>0</v>
      </c>
      <c r="I2786" s="6">
        <v>0</v>
      </c>
    </row>
    <row r="2787" spans="1:9">
      <c r="A2787" s="6">
        <v>55</v>
      </c>
      <c r="B2787" s="6" t="str">
        <f t="shared" si="86"/>
        <v>Business Services</v>
      </c>
      <c r="C2787" s="6">
        <v>43</v>
      </c>
      <c r="D2787" s="6" t="str">
        <f t="shared" si="87"/>
        <v>Saw Mills and Wood Products</v>
      </c>
      <c r="E2787" s="6">
        <v>4095129</v>
      </c>
      <c r="F2787" s="6">
        <v>0</v>
      </c>
      <c r="G2787" s="6">
        <v>0</v>
      </c>
      <c r="H2787" s="6">
        <v>0</v>
      </c>
      <c r="I2787" s="6">
        <v>0</v>
      </c>
    </row>
    <row r="2788" spans="1:9">
      <c r="A2788" s="6">
        <v>56</v>
      </c>
      <c r="B2788" s="6" t="str">
        <f t="shared" si="86"/>
        <v>Public Services</v>
      </c>
      <c r="C2788" s="6">
        <v>43</v>
      </c>
      <c r="D2788" s="6" t="str">
        <f t="shared" si="87"/>
        <v>Saw Mills and Wood Products</v>
      </c>
      <c r="E2788" s="6">
        <v>65926</v>
      </c>
      <c r="F2788" s="6">
        <v>0</v>
      </c>
      <c r="G2788" s="6">
        <v>0</v>
      </c>
      <c r="H2788" s="6">
        <v>0</v>
      </c>
      <c r="I2788" s="6">
        <v>0</v>
      </c>
    </row>
    <row r="2789" spans="1:9">
      <c r="A2789" s="6">
        <v>57</v>
      </c>
      <c r="B2789" s="6" t="str">
        <f t="shared" si="86"/>
        <v>Other Services</v>
      </c>
      <c r="C2789" s="6">
        <v>43</v>
      </c>
      <c r="D2789" s="6" t="str">
        <f t="shared" si="87"/>
        <v>Saw Mills and Wood Products</v>
      </c>
      <c r="E2789" s="6">
        <v>95691</v>
      </c>
      <c r="F2789" s="6">
        <v>0</v>
      </c>
      <c r="G2789" s="6">
        <v>0</v>
      </c>
      <c r="H2789" s="6">
        <v>0</v>
      </c>
      <c r="I2789" s="6">
        <v>0</v>
      </c>
    </row>
    <row r="2790" spans="1:9">
      <c r="A2790" s="6">
        <v>58</v>
      </c>
      <c r="B2790" s="6" t="str">
        <f t="shared" si="86"/>
        <v>Unclassified</v>
      </c>
      <c r="C2790" s="6">
        <v>43</v>
      </c>
      <c r="D2790" s="6" t="str">
        <f t="shared" si="87"/>
        <v>Saw Mills and Wood Products</v>
      </c>
      <c r="E2790" s="6">
        <v>695409</v>
      </c>
      <c r="F2790" s="6">
        <v>0</v>
      </c>
      <c r="G2790" s="6">
        <v>0</v>
      </c>
      <c r="H2790" s="6">
        <v>0</v>
      </c>
      <c r="I2790" s="6">
        <v>71745</v>
      </c>
    </row>
    <row r="2791" spans="1:9">
      <c r="A2791" s="6">
        <v>190</v>
      </c>
      <c r="B2791" s="6" t="str">
        <f t="shared" si="86"/>
        <v>Total Intermedite Transaction</v>
      </c>
      <c r="C2791" s="6">
        <v>43</v>
      </c>
      <c r="D2791" s="6" t="str">
        <f t="shared" si="87"/>
        <v>Saw Mills and Wood Products</v>
      </c>
      <c r="E2791" s="6">
        <v>159521558</v>
      </c>
      <c r="F2791" s="6">
        <v>0</v>
      </c>
      <c r="G2791" s="6">
        <v>0</v>
      </c>
      <c r="H2791" s="6">
        <v>0</v>
      </c>
      <c r="I2791" s="6">
        <v>32428345</v>
      </c>
    </row>
    <row r="2792" spans="1:9">
      <c r="A2792" s="6">
        <v>201</v>
      </c>
      <c r="B2792" s="6" t="str">
        <f t="shared" si="86"/>
        <v>Wages and Salaries</v>
      </c>
      <c r="C2792" s="6">
        <v>43</v>
      </c>
      <c r="D2792" s="6" t="str">
        <f t="shared" si="87"/>
        <v>Saw Mills and Wood Products</v>
      </c>
      <c r="E2792" s="6">
        <v>36677620</v>
      </c>
      <c r="F2792" s="6">
        <v>0</v>
      </c>
      <c r="G2792" s="6">
        <v>0</v>
      </c>
      <c r="H2792" s="6">
        <v>0</v>
      </c>
      <c r="I2792" s="6">
        <v>0</v>
      </c>
    </row>
    <row r="2793" spans="1:9">
      <c r="A2793" s="6">
        <v>202</v>
      </c>
      <c r="B2793" s="6" t="str">
        <f t="shared" si="86"/>
        <v>Operating Surplus</v>
      </c>
      <c r="C2793" s="6">
        <v>43</v>
      </c>
      <c r="D2793" s="6" t="str">
        <f t="shared" si="87"/>
        <v>Saw Mills and Wood Products</v>
      </c>
      <c r="E2793" s="6">
        <v>48466444</v>
      </c>
      <c r="F2793" s="6">
        <v>0</v>
      </c>
      <c r="G2793" s="6">
        <v>0</v>
      </c>
      <c r="H2793" s="6">
        <v>0</v>
      </c>
      <c r="I2793" s="6">
        <v>0</v>
      </c>
    </row>
    <row r="2794" spans="1:9">
      <c r="A2794" s="6">
        <v>203</v>
      </c>
      <c r="B2794" s="6" t="str">
        <f t="shared" si="86"/>
        <v>Depreciation</v>
      </c>
      <c r="C2794" s="6">
        <v>43</v>
      </c>
      <c r="D2794" s="6" t="str">
        <f t="shared" si="87"/>
        <v>Saw Mills and Wood Products</v>
      </c>
      <c r="E2794" s="6">
        <v>15956666</v>
      </c>
      <c r="F2794" s="6">
        <v>0</v>
      </c>
      <c r="G2794" s="6">
        <v>0</v>
      </c>
      <c r="H2794" s="6">
        <v>0</v>
      </c>
      <c r="I2794" s="6">
        <v>0</v>
      </c>
    </row>
    <row r="2795" spans="1:9">
      <c r="A2795" s="6">
        <v>204</v>
      </c>
      <c r="B2795" s="6" t="str">
        <f t="shared" si="86"/>
        <v>Indirect Taxes less Subsidies</v>
      </c>
      <c r="C2795" s="6">
        <v>43</v>
      </c>
      <c r="D2795" s="6" t="str">
        <f t="shared" si="87"/>
        <v>Saw Mills and Wood Products</v>
      </c>
      <c r="E2795" s="6">
        <v>5624269</v>
      </c>
      <c r="F2795" s="6">
        <v>0</v>
      </c>
      <c r="G2795" s="6">
        <v>0</v>
      </c>
      <c r="H2795" s="6">
        <v>0</v>
      </c>
      <c r="I2795" s="6">
        <v>0</v>
      </c>
    </row>
    <row r="2796" spans="1:9">
      <c r="A2796" s="6">
        <v>209</v>
      </c>
      <c r="B2796" s="6" t="str">
        <f t="shared" si="86"/>
        <v>Total Value Added</v>
      </c>
      <c r="C2796" s="6">
        <v>43</v>
      </c>
      <c r="D2796" s="6" t="str">
        <f t="shared" si="87"/>
        <v>Saw Mills and Wood Products</v>
      </c>
      <c r="E2796" s="6">
        <v>106724999</v>
      </c>
      <c r="F2796" s="6">
        <v>0</v>
      </c>
      <c r="G2796" s="6">
        <v>0</v>
      </c>
      <c r="H2796" s="6">
        <v>0</v>
      </c>
      <c r="I2796" s="6">
        <v>0</v>
      </c>
    </row>
    <row r="2797" spans="1:9">
      <c r="A2797" s="6">
        <v>210</v>
      </c>
      <c r="B2797" s="6" t="str">
        <f t="shared" si="86"/>
        <v>Control Total</v>
      </c>
      <c r="C2797" s="6">
        <v>43</v>
      </c>
      <c r="D2797" s="6" t="str">
        <f t="shared" si="87"/>
        <v>Saw Mills and Wood Products</v>
      </c>
      <c r="E2797" s="6">
        <v>266246557</v>
      </c>
      <c r="F2797" s="6">
        <v>0</v>
      </c>
      <c r="G2797" s="6">
        <v>0</v>
      </c>
      <c r="H2797" s="6">
        <v>0</v>
      </c>
      <c r="I2797" s="6">
        <v>0</v>
      </c>
    </row>
    <row r="2798" spans="1:9">
      <c r="A2798" s="6">
        <v>1</v>
      </c>
      <c r="B2798" s="6" t="str">
        <f t="shared" si="86"/>
        <v>Paddy</v>
      </c>
      <c r="C2798" s="6">
        <v>44</v>
      </c>
      <c r="D2798" s="6" t="str">
        <f t="shared" si="87"/>
        <v>Other Manufacturing Products</v>
      </c>
      <c r="E2798" s="6">
        <v>68315</v>
      </c>
      <c r="F2798" s="6">
        <v>4648</v>
      </c>
      <c r="G2798" s="6">
        <v>3258</v>
      </c>
      <c r="H2798" s="6">
        <v>565</v>
      </c>
      <c r="I2798" s="6">
        <v>0</v>
      </c>
    </row>
    <row r="2799" spans="1:9">
      <c r="A2799" s="6">
        <v>2</v>
      </c>
      <c r="B2799" s="6" t="str">
        <f t="shared" si="86"/>
        <v>Maize</v>
      </c>
      <c r="C2799" s="6">
        <v>44</v>
      </c>
      <c r="D2799" s="6" t="str">
        <f t="shared" si="87"/>
        <v>Other Manufacturing Products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</row>
    <row r="2800" spans="1:9">
      <c r="A2800" s="6">
        <v>3</v>
      </c>
      <c r="B2800" s="6" t="str">
        <f t="shared" si="86"/>
        <v>Cassava</v>
      </c>
      <c r="C2800" s="6">
        <v>44</v>
      </c>
      <c r="D2800" s="6" t="str">
        <f t="shared" si="87"/>
        <v>Other Manufacturing Products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</row>
    <row r="2801" spans="1:9">
      <c r="A2801" s="6">
        <v>4</v>
      </c>
      <c r="B2801" s="6" t="str">
        <f t="shared" si="86"/>
        <v>Beans and Nuts</v>
      </c>
      <c r="C2801" s="6">
        <v>44</v>
      </c>
      <c r="D2801" s="6" t="str">
        <f t="shared" si="87"/>
        <v>Other Manufacturing Products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</row>
    <row r="2802" spans="1:9">
      <c r="A2802" s="6">
        <v>5</v>
      </c>
      <c r="B2802" s="6" t="str">
        <f t="shared" si="86"/>
        <v>Vegetables and Fruits</v>
      </c>
      <c r="C2802" s="6">
        <v>44</v>
      </c>
      <c r="D2802" s="6" t="str">
        <f t="shared" si="87"/>
        <v>Other Manufacturing Products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</row>
    <row r="2803" spans="1:9">
      <c r="A2803" s="6">
        <v>6</v>
      </c>
      <c r="B2803" s="6" t="str">
        <f t="shared" si="86"/>
        <v>Sugarcane</v>
      </c>
      <c r="C2803" s="6">
        <v>44</v>
      </c>
      <c r="D2803" s="6" t="str">
        <f t="shared" si="87"/>
        <v>Other Manufacturing Products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</row>
    <row r="2804" spans="1:9">
      <c r="A2804" s="6">
        <v>7</v>
      </c>
      <c r="B2804" s="6" t="str">
        <f t="shared" si="86"/>
        <v>Rubber (Latex)</v>
      </c>
      <c r="C2804" s="6">
        <v>44</v>
      </c>
      <c r="D2804" s="6" t="str">
        <f t="shared" si="87"/>
        <v>Other Manufacturing Products</v>
      </c>
      <c r="E2804" s="6">
        <v>35200</v>
      </c>
      <c r="F2804" s="6">
        <v>1167</v>
      </c>
      <c r="G2804" s="6">
        <v>0</v>
      </c>
      <c r="H2804" s="6">
        <v>275</v>
      </c>
      <c r="I2804" s="6">
        <v>0</v>
      </c>
    </row>
    <row r="2805" spans="1:9">
      <c r="A2805" s="6">
        <v>8</v>
      </c>
      <c r="B2805" s="6" t="str">
        <f t="shared" si="86"/>
        <v>Other Crops</v>
      </c>
      <c r="C2805" s="6">
        <v>44</v>
      </c>
      <c r="D2805" s="6" t="str">
        <f t="shared" si="87"/>
        <v>Other Manufacturing Products</v>
      </c>
      <c r="E2805" s="6">
        <v>160203</v>
      </c>
      <c r="F2805" s="6">
        <v>5893</v>
      </c>
      <c r="G2805" s="6">
        <v>114</v>
      </c>
      <c r="H2805" s="6">
        <v>2513</v>
      </c>
      <c r="I2805" s="6">
        <v>0</v>
      </c>
    </row>
    <row r="2806" spans="1:9">
      <c r="A2806" s="6">
        <v>9</v>
      </c>
      <c r="B2806" s="6" t="str">
        <f t="shared" si="86"/>
        <v>Livestock</v>
      </c>
      <c r="C2806" s="6">
        <v>44</v>
      </c>
      <c r="D2806" s="6" t="str">
        <f t="shared" si="87"/>
        <v>Other Manufacturing Products</v>
      </c>
      <c r="E2806" s="6">
        <v>25524</v>
      </c>
      <c r="F2806" s="6">
        <v>728</v>
      </c>
      <c r="G2806" s="6">
        <v>1426</v>
      </c>
      <c r="H2806" s="6">
        <v>176</v>
      </c>
      <c r="I2806" s="6">
        <v>0</v>
      </c>
    </row>
    <row r="2807" spans="1:9">
      <c r="A2807" s="6">
        <v>10</v>
      </c>
      <c r="B2807" s="6" t="str">
        <f t="shared" si="86"/>
        <v>Forestry</v>
      </c>
      <c r="C2807" s="6">
        <v>44</v>
      </c>
      <c r="D2807" s="6" t="str">
        <f t="shared" si="87"/>
        <v>Other Manufacturing Products</v>
      </c>
      <c r="E2807" s="6">
        <v>22766</v>
      </c>
      <c r="F2807" s="6">
        <v>3260</v>
      </c>
      <c r="G2807" s="6">
        <v>4420</v>
      </c>
      <c r="H2807" s="6">
        <v>805</v>
      </c>
      <c r="I2807" s="6">
        <v>0</v>
      </c>
    </row>
    <row r="2808" spans="1:9">
      <c r="A2808" s="6">
        <v>11</v>
      </c>
      <c r="B2808" s="6" t="str">
        <f t="shared" si="86"/>
        <v>Fishery</v>
      </c>
      <c r="C2808" s="6">
        <v>44</v>
      </c>
      <c r="D2808" s="6" t="str">
        <f t="shared" si="87"/>
        <v>Other Manufacturing Products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</row>
    <row r="2809" spans="1:9">
      <c r="A2809" s="6">
        <v>12</v>
      </c>
      <c r="B2809" s="6" t="str">
        <f t="shared" si="86"/>
        <v>Crude Oil and Coal</v>
      </c>
      <c r="C2809" s="6">
        <v>44</v>
      </c>
      <c r="D2809" s="6" t="str">
        <f t="shared" si="87"/>
        <v>Other Manufacturing Products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</row>
    <row r="2810" spans="1:9">
      <c r="A2810" s="6">
        <v>13</v>
      </c>
      <c r="B2810" s="6" t="str">
        <f t="shared" si="86"/>
        <v>Metal Ore</v>
      </c>
      <c r="C2810" s="6">
        <v>44</v>
      </c>
      <c r="D2810" s="6" t="str">
        <f t="shared" si="87"/>
        <v>Other Manufacturing Products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</row>
    <row r="2811" spans="1:9">
      <c r="A2811" s="6">
        <v>14</v>
      </c>
      <c r="B2811" s="6" t="str">
        <f t="shared" si="86"/>
        <v>Non-Metal Ore</v>
      </c>
      <c r="C2811" s="6">
        <v>44</v>
      </c>
      <c r="D2811" s="6" t="str">
        <f t="shared" si="87"/>
        <v>Other Manufacturing Products</v>
      </c>
      <c r="E2811" s="6">
        <v>10671636</v>
      </c>
      <c r="F2811" s="6">
        <v>312321</v>
      </c>
      <c r="G2811" s="6">
        <v>0</v>
      </c>
      <c r="H2811" s="6">
        <v>1016666</v>
      </c>
      <c r="I2811" s="6">
        <v>8689</v>
      </c>
    </row>
    <row r="2812" spans="1:9">
      <c r="A2812" s="6">
        <v>15</v>
      </c>
      <c r="B2812" s="6" t="str">
        <f t="shared" si="86"/>
        <v>Slaughtering</v>
      </c>
      <c r="C2812" s="6">
        <v>44</v>
      </c>
      <c r="D2812" s="6" t="str">
        <f t="shared" si="87"/>
        <v>Other Manufacturing Products</v>
      </c>
      <c r="E2812" s="6">
        <v>2147182</v>
      </c>
      <c r="F2812" s="6">
        <v>1879</v>
      </c>
      <c r="G2812" s="6">
        <v>2297</v>
      </c>
      <c r="H2812" s="6">
        <v>4813</v>
      </c>
      <c r="I2812" s="6">
        <v>10102</v>
      </c>
    </row>
    <row r="2813" spans="1:9">
      <c r="A2813" s="6">
        <v>16</v>
      </c>
      <c r="B2813" s="6" t="str">
        <f t="shared" si="86"/>
        <v>Processing and Presering of Foods</v>
      </c>
      <c r="C2813" s="6">
        <v>44</v>
      </c>
      <c r="D2813" s="6" t="str">
        <f t="shared" si="87"/>
        <v>Other Manufacturing Products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</row>
    <row r="2814" spans="1:9">
      <c r="A2814" s="6">
        <v>17</v>
      </c>
      <c r="B2814" s="6" t="str">
        <f t="shared" si="86"/>
        <v>Rice and Other Grain Milling</v>
      </c>
      <c r="C2814" s="6">
        <v>44</v>
      </c>
      <c r="D2814" s="6" t="str">
        <f t="shared" si="87"/>
        <v>Other Manufacturing Products</v>
      </c>
      <c r="E2814" s="6">
        <v>9196</v>
      </c>
      <c r="F2814" s="6">
        <v>397</v>
      </c>
      <c r="G2814" s="6">
        <v>432</v>
      </c>
      <c r="H2814" s="6">
        <v>147</v>
      </c>
      <c r="I2814" s="6">
        <v>0</v>
      </c>
    </row>
    <row r="2815" spans="1:9">
      <c r="A2815" s="6">
        <v>18</v>
      </c>
      <c r="B2815" s="6" t="str">
        <f t="shared" si="86"/>
        <v>Sugar Refineries</v>
      </c>
      <c r="C2815" s="6">
        <v>44</v>
      </c>
      <c r="D2815" s="6" t="str">
        <f t="shared" si="87"/>
        <v>Other Manufacturing Products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</row>
    <row r="2816" spans="1:9">
      <c r="A2816" s="6">
        <v>19</v>
      </c>
      <c r="B2816" s="6" t="str">
        <f t="shared" si="86"/>
        <v>Other Foods</v>
      </c>
      <c r="C2816" s="6">
        <v>44</v>
      </c>
      <c r="D2816" s="6" t="str">
        <f t="shared" si="87"/>
        <v>Other Manufacturing Products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</row>
    <row r="2817" spans="1:9">
      <c r="A2817" s="6">
        <v>20</v>
      </c>
      <c r="B2817" s="6" t="str">
        <f t="shared" si="86"/>
        <v>Animal Food</v>
      </c>
      <c r="C2817" s="6">
        <v>44</v>
      </c>
      <c r="D2817" s="6" t="str">
        <f t="shared" si="87"/>
        <v>Other Manufacturing Products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</row>
    <row r="2818" spans="1:9">
      <c r="A2818" s="6">
        <v>21</v>
      </c>
      <c r="B2818" s="6" t="str">
        <f t="shared" si="86"/>
        <v>Beverages</v>
      </c>
      <c r="C2818" s="6">
        <v>44</v>
      </c>
      <c r="D2818" s="6" t="str">
        <f t="shared" si="87"/>
        <v>Other Manufacturing Products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</row>
    <row r="2819" spans="1:9">
      <c r="A2819" s="6">
        <v>22</v>
      </c>
      <c r="B2819" s="6" t="str">
        <f t="shared" si="86"/>
        <v>Tobacco Processing and Products</v>
      </c>
      <c r="C2819" s="6">
        <v>44</v>
      </c>
      <c r="D2819" s="6" t="str">
        <f t="shared" si="87"/>
        <v>Other Manufacturing Products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</row>
    <row r="2820" spans="1:9">
      <c r="A2820" s="6">
        <v>23</v>
      </c>
      <c r="B2820" s="6" t="str">
        <f t="shared" ref="B2820:B2883" si="88">VLOOKUP(A2820,R:S,2,0)</f>
        <v>Spinning, Weaving and Bleaching</v>
      </c>
      <c r="C2820" s="6">
        <v>44</v>
      </c>
      <c r="D2820" s="6" t="str">
        <f t="shared" ref="D2820:D2883" si="89">VLOOKUP(C2820,R:S,2,0)</f>
        <v>Other Manufacturing Products</v>
      </c>
      <c r="E2820" s="6">
        <v>8458963</v>
      </c>
      <c r="F2820" s="6">
        <v>808941</v>
      </c>
      <c r="G2820" s="6">
        <v>301499</v>
      </c>
      <c r="H2820" s="6">
        <v>64205</v>
      </c>
      <c r="I2820" s="6">
        <v>734406</v>
      </c>
    </row>
    <row r="2821" spans="1:9">
      <c r="A2821" s="6">
        <v>24</v>
      </c>
      <c r="B2821" s="6" t="str">
        <f t="shared" si="88"/>
        <v>Textile Products</v>
      </c>
      <c r="C2821" s="6">
        <v>44</v>
      </c>
      <c r="D2821" s="6" t="str">
        <f t="shared" si="89"/>
        <v>Other Manufacturing Products</v>
      </c>
      <c r="E2821" s="6">
        <v>4318771</v>
      </c>
      <c r="F2821" s="6">
        <v>134700</v>
      </c>
      <c r="G2821" s="6">
        <v>690141</v>
      </c>
      <c r="H2821" s="6">
        <v>32759</v>
      </c>
      <c r="I2821" s="6">
        <v>2651174</v>
      </c>
    </row>
    <row r="2822" spans="1:9">
      <c r="A2822" s="6">
        <v>25</v>
      </c>
      <c r="B2822" s="6" t="str">
        <f t="shared" si="88"/>
        <v>Paper and Paper Products</v>
      </c>
      <c r="C2822" s="6">
        <v>44</v>
      </c>
      <c r="D2822" s="6" t="str">
        <f t="shared" si="89"/>
        <v>Other Manufacturing Products</v>
      </c>
      <c r="E2822" s="6">
        <v>5301099</v>
      </c>
      <c r="F2822" s="6">
        <v>514200</v>
      </c>
      <c r="G2822" s="6">
        <v>567608</v>
      </c>
      <c r="H2822" s="6">
        <v>85481</v>
      </c>
      <c r="I2822" s="6">
        <v>561517</v>
      </c>
    </row>
    <row r="2823" spans="1:9">
      <c r="A2823" s="6">
        <v>26</v>
      </c>
      <c r="B2823" s="6" t="str">
        <f t="shared" si="88"/>
        <v>Printing and Publishing</v>
      </c>
      <c r="C2823" s="6">
        <v>44</v>
      </c>
      <c r="D2823" s="6" t="str">
        <f t="shared" si="89"/>
        <v>Other Manufacturing Products</v>
      </c>
      <c r="E2823" s="6">
        <v>119707</v>
      </c>
      <c r="F2823" s="6">
        <v>5824</v>
      </c>
      <c r="G2823" s="6">
        <v>12820</v>
      </c>
      <c r="H2823" s="6">
        <v>1186</v>
      </c>
      <c r="I2823" s="6">
        <v>0</v>
      </c>
    </row>
    <row r="2824" spans="1:9">
      <c r="A2824" s="6">
        <v>27</v>
      </c>
      <c r="B2824" s="6" t="str">
        <f t="shared" si="88"/>
        <v>Basic Chemical Products</v>
      </c>
      <c r="C2824" s="6">
        <v>44</v>
      </c>
      <c r="D2824" s="6" t="str">
        <f t="shared" si="89"/>
        <v>Other Manufacturing Products</v>
      </c>
      <c r="E2824" s="6">
        <v>25191384</v>
      </c>
      <c r="F2824" s="6">
        <v>2621035</v>
      </c>
      <c r="G2824" s="6">
        <v>1140844</v>
      </c>
      <c r="H2824" s="6">
        <v>355029</v>
      </c>
      <c r="I2824" s="6">
        <v>9516529</v>
      </c>
    </row>
    <row r="2825" spans="1:9">
      <c r="A2825" s="6">
        <v>28</v>
      </c>
      <c r="B2825" s="6" t="str">
        <f t="shared" si="88"/>
        <v>Fertilizer and Pesticides</v>
      </c>
      <c r="C2825" s="6">
        <v>44</v>
      </c>
      <c r="D2825" s="6" t="str">
        <f t="shared" si="89"/>
        <v>Other Manufacturing Products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</row>
    <row r="2826" spans="1:9">
      <c r="A2826" s="6">
        <v>29</v>
      </c>
      <c r="B2826" s="6" t="str">
        <f t="shared" si="88"/>
        <v>Other Chemical Products</v>
      </c>
      <c r="C2826" s="6">
        <v>44</v>
      </c>
      <c r="D2826" s="6" t="str">
        <f t="shared" si="89"/>
        <v>Other Manufacturing Products</v>
      </c>
      <c r="E2826" s="6">
        <v>10814307</v>
      </c>
      <c r="F2826" s="6">
        <v>954645</v>
      </c>
      <c r="G2826" s="6">
        <v>988115</v>
      </c>
      <c r="H2826" s="6">
        <v>136188</v>
      </c>
      <c r="I2826" s="6">
        <v>5421593</v>
      </c>
    </row>
    <row r="2827" spans="1:9">
      <c r="A2827" s="6">
        <v>30</v>
      </c>
      <c r="B2827" s="6" t="str">
        <f t="shared" si="88"/>
        <v>Petroleum Refineries</v>
      </c>
      <c r="C2827" s="6">
        <v>44</v>
      </c>
      <c r="D2827" s="6" t="str">
        <f t="shared" si="89"/>
        <v>Other Manufacturing Products</v>
      </c>
      <c r="E2827" s="6">
        <v>6867271</v>
      </c>
      <c r="F2827" s="6">
        <v>387372</v>
      </c>
      <c r="G2827" s="6">
        <v>430868</v>
      </c>
      <c r="H2827" s="6">
        <v>64332</v>
      </c>
      <c r="I2827" s="6">
        <v>1196367</v>
      </c>
    </row>
    <row r="2828" spans="1:9">
      <c r="A2828" s="6">
        <v>31</v>
      </c>
      <c r="B2828" s="6" t="str">
        <f t="shared" si="88"/>
        <v>Rubber Products</v>
      </c>
      <c r="C2828" s="6">
        <v>44</v>
      </c>
      <c r="D2828" s="6" t="str">
        <f t="shared" si="89"/>
        <v>Other Manufacturing Products</v>
      </c>
      <c r="E2828" s="6">
        <v>6728304</v>
      </c>
      <c r="F2828" s="6">
        <v>856495</v>
      </c>
      <c r="G2828" s="6">
        <v>990412</v>
      </c>
      <c r="H2828" s="6">
        <v>211680</v>
      </c>
      <c r="I2828" s="6">
        <v>1522104</v>
      </c>
    </row>
    <row r="2829" spans="1:9">
      <c r="A2829" s="6">
        <v>32</v>
      </c>
      <c r="B2829" s="6" t="str">
        <f t="shared" si="88"/>
        <v>Plastic Wares</v>
      </c>
      <c r="C2829" s="6">
        <v>44</v>
      </c>
      <c r="D2829" s="6" t="str">
        <f t="shared" si="89"/>
        <v>Other Manufacturing Products</v>
      </c>
      <c r="E2829" s="6">
        <v>21376772</v>
      </c>
      <c r="F2829" s="6">
        <v>871470</v>
      </c>
      <c r="G2829" s="6">
        <v>1138891</v>
      </c>
      <c r="H2829" s="6">
        <v>172747</v>
      </c>
      <c r="I2829" s="6">
        <v>5428050</v>
      </c>
    </row>
    <row r="2830" spans="1:9">
      <c r="A2830" s="6">
        <v>33</v>
      </c>
      <c r="B2830" s="6" t="str">
        <f t="shared" si="88"/>
        <v>Cement and Concrete Products</v>
      </c>
      <c r="C2830" s="6">
        <v>44</v>
      </c>
      <c r="D2830" s="6" t="str">
        <f t="shared" si="89"/>
        <v>Other Manufacturing Products</v>
      </c>
      <c r="E2830" s="6">
        <v>4574</v>
      </c>
      <c r="F2830" s="6">
        <v>252</v>
      </c>
      <c r="G2830" s="6">
        <v>187</v>
      </c>
      <c r="H2830" s="6">
        <v>70</v>
      </c>
      <c r="I2830" s="6">
        <v>0</v>
      </c>
    </row>
    <row r="2831" spans="1:9">
      <c r="A2831" s="6">
        <v>34</v>
      </c>
      <c r="B2831" s="6" t="str">
        <f t="shared" si="88"/>
        <v>Other Non-metallic Products</v>
      </c>
      <c r="C2831" s="6">
        <v>44</v>
      </c>
      <c r="D2831" s="6" t="str">
        <f t="shared" si="89"/>
        <v>Other Manufacturing Products</v>
      </c>
      <c r="E2831" s="6">
        <v>17022569</v>
      </c>
      <c r="F2831" s="6">
        <v>667652</v>
      </c>
      <c r="G2831" s="6">
        <v>790571</v>
      </c>
      <c r="H2831" s="6">
        <v>209366</v>
      </c>
      <c r="I2831" s="6">
        <v>9430795</v>
      </c>
    </row>
    <row r="2832" spans="1:9">
      <c r="A2832" s="6">
        <v>35</v>
      </c>
      <c r="B2832" s="6" t="str">
        <f t="shared" si="88"/>
        <v>Iron and Steel</v>
      </c>
      <c r="C2832" s="6">
        <v>44</v>
      </c>
      <c r="D2832" s="6" t="str">
        <f t="shared" si="89"/>
        <v>Other Manufacturing Products</v>
      </c>
      <c r="E2832" s="6">
        <v>15421600</v>
      </c>
      <c r="F2832" s="6">
        <v>1149771</v>
      </c>
      <c r="G2832" s="6">
        <v>1469500</v>
      </c>
      <c r="H2832" s="6">
        <v>198379</v>
      </c>
      <c r="I2832" s="6">
        <v>7948362</v>
      </c>
    </row>
    <row r="2833" spans="1:9">
      <c r="A2833" s="6">
        <v>36</v>
      </c>
      <c r="B2833" s="6" t="str">
        <f t="shared" si="88"/>
        <v>Non-ferrous Metal</v>
      </c>
      <c r="C2833" s="6">
        <v>44</v>
      </c>
      <c r="D2833" s="6" t="str">
        <f t="shared" si="89"/>
        <v>Other Manufacturing Products</v>
      </c>
      <c r="E2833" s="6">
        <v>220341608</v>
      </c>
      <c r="F2833" s="6">
        <v>13055023</v>
      </c>
      <c r="G2833" s="6">
        <v>7336922</v>
      </c>
      <c r="H2833" s="6">
        <v>304963</v>
      </c>
      <c r="I2833" s="6">
        <v>183162924</v>
      </c>
    </row>
    <row r="2834" spans="1:9">
      <c r="A2834" s="6">
        <v>37</v>
      </c>
      <c r="B2834" s="6" t="str">
        <f t="shared" si="88"/>
        <v>Fabricated Metal Products</v>
      </c>
      <c r="C2834" s="6">
        <v>44</v>
      </c>
      <c r="D2834" s="6" t="str">
        <f t="shared" si="89"/>
        <v>Other Manufacturing Products</v>
      </c>
      <c r="E2834" s="6">
        <v>6182526</v>
      </c>
      <c r="F2834" s="6">
        <v>103507</v>
      </c>
      <c r="G2834" s="6">
        <v>343640</v>
      </c>
      <c r="H2834" s="6">
        <v>15990</v>
      </c>
      <c r="I2834" s="6">
        <v>4881970</v>
      </c>
    </row>
    <row r="2835" spans="1:9">
      <c r="A2835" s="6">
        <v>38</v>
      </c>
      <c r="B2835" s="6" t="str">
        <f t="shared" si="88"/>
        <v>Industrial Machinery</v>
      </c>
      <c r="C2835" s="6">
        <v>44</v>
      </c>
      <c r="D2835" s="6" t="str">
        <f t="shared" si="89"/>
        <v>Other Manufacturing Products</v>
      </c>
      <c r="E2835" s="6">
        <v>4608876</v>
      </c>
      <c r="F2835" s="6">
        <v>275772</v>
      </c>
      <c r="G2835" s="6">
        <v>0</v>
      </c>
      <c r="H2835" s="6">
        <v>47739</v>
      </c>
      <c r="I2835" s="6">
        <v>0</v>
      </c>
    </row>
    <row r="2836" spans="1:9">
      <c r="A2836" s="6">
        <v>39</v>
      </c>
      <c r="B2836" s="6" t="str">
        <f t="shared" si="88"/>
        <v>Electrical Machinery and Apparatus</v>
      </c>
      <c r="C2836" s="6">
        <v>44</v>
      </c>
      <c r="D2836" s="6" t="str">
        <f t="shared" si="89"/>
        <v>Other Manufacturing Products</v>
      </c>
      <c r="E2836" s="6">
        <v>3569069</v>
      </c>
      <c r="F2836" s="6">
        <v>172747</v>
      </c>
      <c r="G2836" s="6">
        <v>150482</v>
      </c>
      <c r="H2836" s="6">
        <v>18296</v>
      </c>
      <c r="I2836" s="6">
        <v>1230006</v>
      </c>
    </row>
    <row r="2837" spans="1:9">
      <c r="A2837" s="6">
        <v>40</v>
      </c>
      <c r="B2837" s="6" t="str">
        <f t="shared" si="88"/>
        <v>Motor Vehicles and Repairing</v>
      </c>
      <c r="C2837" s="6">
        <v>44</v>
      </c>
      <c r="D2837" s="6" t="str">
        <f t="shared" si="89"/>
        <v>Other Manufacturing Products</v>
      </c>
      <c r="E2837" s="6">
        <v>2014696</v>
      </c>
      <c r="F2837" s="6">
        <v>1809</v>
      </c>
      <c r="G2837" s="6">
        <v>0</v>
      </c>
      <c r="H2837" s="6">
        <v>175</v>
      </c>
      <c r="I2837" s="6">
        <v>0</v>
      </c>
    </row>
    <row r="2838" spans="1:9">
      <c r="A2838" s="6">
        <v>41</v>
      </c>
      <c r="B2838" s="6" t="str">
        <f t="shared" si="88"/>
        <v>Other Transportation Equipment</v>
      </c>
      <c r="C2838" s="6">
        <v>44</v>
      </c>
      <c r="D2838" s="6" t="str">
        <f t="shared" si="89"/>
        <v>Other Manufacturing Products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</row>
    <row r="2839" spans="1:9">
      <c r="A2839" s="6">
        <v>42</v>
      </c>
      <c r="B2839" s="6" t="str">
        <f t="shared" si="88"/>
        <v>Leather Products</v>
      </c>
      <c r="C2839" s="6">
        <v>44</v>
      </c>
      <c r="D2839" s="6" t="str">
        <f t="shared" si="89"/>
        <v>Other Manufacturing Products</v>
      </c>
      <c r="E2839" s="6">
        <v>4151513</v>
      </c>
      <c r="F2839" s="6">
        <v>185153</v>
      </c>
      <c r="G2839" s="6">
        <v>193772</v>
      </c>
      <c r="H2839" s="6">
        <v>21755</v>
      </c>
      <c r="I2839" s="6">
        <v>3349669</v>
      </c>
    </row>
    <row r="2840" spans="1:9">
      <c r="A2840" s="6">
        <v>43</v>
      </c>
      <c r="B2840" s="6" t="str">
        <f t="shared" si="88"/>
        <v>Saw Mills and Wood Products</v>
      </c>
      <c r="C2840" s="6">
        <v>44</v>
      </c>
      <c r="D2840" s="6" t="str">
        <f t="shared" si="89"/>
        <v>Other Manufacturing Products</v>
      </c>
      <c r="E2840" s="6">
        <v>4745886</v>
      </c>
      <c r="F2840" s="6">
        <v>528575</v>
      </c>
      <c r="G2840" s="6">
        <v>770412</v>
      </c>
      <c r="H2840" s="6">
        <v>45859</v>
      </c>
      <c r="I2840" s="6">
        <v>237738</v>
      </c>
    </row>
    <row r="2841" spans="1:9">
      <c r="A2841" s="6">
        <v>44</v>
      </c>
      <c r="B2841" s="6" t="str">
        <f t="shared" si="88"/>
        <v>Other Manufacturing Products</v>
      </c>
      <c r="C2841" s="6">
        <v>44</v>
      </c>
      <c r="D2841" s="6" t="str">
        <f t="shared" si="89"/>
        <v>Other Manufacturing Products</v>
      </c>
      <c r="E2841" s="6">
        <v>497965378</v>
      </c>
      <c r="F2841" s="6">
        <v>27744984</v>
      </c>
      <c r="G2841" s="6">
        <v>57470639</v>
      </c>
      <c r="H2841" s="6">
        <v>1230944</v>
      </c>
      <c r="I2841" s="6">
        <v>164176485</v>
      </c>
    </row>
    <row r="2842" spans="1:9">
      <c r="A2842" s="6">
        <v>45</v>
      </c>
      <c r="B2842" s="6" t="str">
        <f t="shared" si="88"/>
        <v>Electricity and Gas</v>
      </c>
      <c r="C2842" s="6">
        <v>44</v>
      </c>
      <c r="D2842" s="6" t="str">
        <f t="shared" si="89"/>
        <v>Other Manufacturing Products</v>
      </c>
      <c r="E2842" s="6">
        <v>15030187</v>
      </c>
      <c r="F2842" s="6">
        <v>6177</v>
      </c>
      <c r="G2842" s="6">
        <v>8630</v>
      </c>
      <c r="H2842" s="6">
        <v>2844</v>
      </c>
      <c r="I2842" s="6">
        <v>0</v>
      </c>
    </row>
    <row r="2843" spans="1:9">
      <c r="A2843" s="6">
        <v>46</v>
      </c>
      <c r="B2843" s="6" t="str">
        <f t="shared" si="88"/>
        <v>Water Works and Supply</v>
      </c>
      <c r="C2843" s="6">
        <v>44</v>
      </c>
      <c r="D2843" s="6" t="str">
        <f t="shared" si="89"/>
        <v>Other Manufacturing Products</v>
      </c>
      <c r="E2843" s="6">
        <v>340288</v>
      </c>
      <c r="F2843" s="6">
        <v>0</v>
      </c>
      <c r="G2843" s="6">
        <v>0</v>
      </c>
      <c r="H2843" s="6">
        <v>0</v>
      </c>
      <c r="I2843" s="6">
        <v>0</v>
      </c>
    </row>
    <row r="2844" spans="1:9">
      <c r="A2844" s="6">
        <v>47</v>
      </c>
      <c r="B2844" s="6" t="str">
        <f t="shared" si="88"/>
        <v>Building Construction</v>
      </c>
      <c r="C2844" s="6">
        <v>44</v>
      </c>
      <c r="D2844" s="6" t="str">
        <f t="shared" si="89"/>
        <v>Other Manufacturing Products</v>
      </c>
      <c r="E2844" s="6">
        <v>373471</v>
      </c>
      <c r="F2844" s="6">
        <v>0</v>
      </c>
      <c r="G2844" s="6">
        <v>0</v>
      </c>
      <c r="H2844" s="6">
        <v>0</v>
      </c>
      <c r="I2844" s="6">
        <v>0</v>
      </c>
    </row>
    <row r="2845" spans="1:9">
      <c r="A2845" s="6">
        <v>48</v>
      </c>
      <c r="B2845" s="6" t="str">
        <f t="shared" si="88"/>
        <v>Public Works and Other Construction</v>
      </c>
      <c r="C2845" s="6">
        <v>44</v>
      </c>
      <c r="D2845" s="6" t="str">
        <f t="shared" si="89"/>
        <v>Other Manufacturing Products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</row>
    <row r="2846" spans="1:9">
      <c r="A2846" s="6">
        <v>49</v>
      </c>
      <c r="B2846" s="6" t="str">
        <f t="shared" si="88"/>
        <v>Trade</v>
      </c>
      <c r="C2846" s="6">
        <v>44</v>
      </c>
      <c r="D2846" s="6" t="str">
        <f t="shared" si="89"/>
        <v>Other Manufacturing Products</v>
      </c>
      <c r="E2846" s="6">
        <v>0</v>
      </c>
      <c r="F2846" s="6">
        <v>-51376397</v>
      </c>
      <c r="G2846" s="6">
        <v>-74807900</v>
      </c>
      <c r="H2846" s="6">
        <v>0</v>
      </c>
      <c r="I2846" s="6">
        <v>0</v>
      </c>
    </row>
    <row r="2847" spans="1:9">
      <c r="A2847" s="6">
        <v>50</v>
      </c>
      <c r="B2847" s="6" t="str">
        <f t="shared" si="88"/>
        <v>Restaurants and Hotels</v>
      </c>
      <c r="C2847" s="6">
        <v>44</v>
      </c>
      <c r="D2847" s="6" t="str">
        <f t="shared" si="89"/>
        <v>Other Manufacturing Products</v>
      </c>
      <c r="E2847" s="6">
        <v>1804474</v>
      </c>
      <c r="F2847" s="6">
        <v>0</v>
      </c>
      <c r="G2847" s="6">
        <v>0</v>
      </c>
      <c r="H2847" s="6">
        <v>0</v>
      </c>
      <c r="I2847" s="6">
        <v>0</v>
      </c>
    </row>
    <row r="2848" spans="1:9">
      <c r="A2848" s="6">
        <v>51</v>
      </c>
      <c r="B2848" s="6" t="str">
        <f t="shared" si="88"/>
        <v>Transportation</v>
      </c>
      <c r="C2848" s="6">
        <v>44</v>
      </c>
      <c r="D2848" s="6" t="str">
        <f t="shared" si="89"/>
        <v>Other Manufacturing Products</v>
      </c>
      <c r="E2848" s="6">
        <v>5914012</v>
      </c>
      <c r="F2848" s="6">
        <v>0</v>
      </c>
      <c r="G2848" s="6">
        <v>0</v>
      </c>
      <c r="H2848" s="6">
        <v>-4245947</v>
      </c>
      <c r="I2848" s="6">
        <v>0</v>
      </c>
    </row>
    <row r="2849" spans="1:9">
      <c r="A2849" s="6">
        <v>52</v>
      </c>
      <c r="B2849" s="6" t="str">
        <f t="shared" si="88"/>
        <v>Communication</v>
      </c>
      <c r="C2849" s="6">
        <v>44</v>
      </c>
      <c r="D2849" s="6" t="str">
        <f t="shared" si="89"/>
        <v>Other Manufacturing Products</v>
      </c>
      <c r="E2849" s="6">
        <v>2304959</v>
      </c>
      <c r="F2849" s="6">
        <v>0</v>
      </c>
      <c r="G2849" s="6">
        <v>0</v>
      </c>
      <c r="H2849" s="6">
        <v>0</v>
      </c>
      <c r="I2849" s="6">
        <v>0</v>
      </c>
    </row>
    <row r="2850" spans="1:9">
      <c r="A2850" s="6">
        <v>53</v>
      </c>
      <c r="B2850" s="6" t="str">
        <f t="shared" si="88"/>
        <v>Banking and Insurance</v>
      </c>
      <c r="C2850" s="6">
        <v>44</v>
      </c>
      <c r="D2850" s="6" t="str">
        <f t="shared" si="89"/>
        <v>Other Manufacturing Products</v>
      </c>
      <c r="E2850" s="6">
        <v>19401593</v>
      </c>
      <c r="F2850" s="6">
        <v>0</v>
      </c>
      <c r="G2850" s="6">
        <v>0</v>
      </c>
      <c r="H2850" s="6">
        <v>0</v>
      </c>
      <c r="I2850" s="6">
        <v>0</v>
      </c>
    </row>
    <row r="2851" spans="1:9">
      <c r="A2851" s="6">
        <v>54</v>
      </c>
      <c r="B2851" s="6" t="str">
        <f t="shared" si="88"/>
        <v>Real Estate</v>
      </c>
      <c r="C2851" s="6">
        <v>44</v>
      </c>
      <c r="D2851" s="6" t="str">
        <f t="shared" si="89"/>
        <v>Other Manufacturing Products</v>
      </c>
      <c r="E2851" s="6">
        <v>1339666</v>
      </c>
      <c r="F2851" s="6">
        <v>0</v>
      </c>
      <c r="G2851" s="6">
        <v>0</v>
      </c>
      <c r="H2851" s="6">
        <v>0</v>
      </c>
      <c r="I2851" s="6">
        <v>0</v>
      </c>
    </row>
    <row r="2852" spans="1:9">
      <c r="A2852" s="6">
        <v>55</v>
      </c>
      <c r="B2852" s="6" t="str">
        <f t="shared" si="88"/>
        <v>Business Services</v>
      </c>
      <c r="C2852" s="6">
        <v>44</v>
      </c>
      <c r="D2852" s="6" t="str">
        <f t="shared" si="89"/>
        <v>Other Manufacturing Products</v>
      </c>
      <c r="E2852" s="6">
        <v>22175090</v>
      </c>
      <c r="F2852" s="6">
        <v>0</v>
      </c>
      <c r="G2852" s="6">
        <v>0</v>
      </c>
      <c r="H2852" s="6">
        <v>0</v>
      </c>
      <c r="I2852" s="6">
        <v>0</v>
      </c>
    </row>
    <row r="2853" spans="1:9">
      <c r="A2853" s="6">
        <v>56</v>
      </c>
      <c r="B2853" s="6" t="str">
        <f t="shared" si="88"/>
        <v>Public Services</v>
      </c>
      <c r="C2853" s="6">
        <v>44</v>
      </c>
      <c r="D2853" s="6" t="str">
        <f t="shared" si="89"/>
        <v>Other Manufacturing Products</v>
      </c>
      <c r="E2853" s="6">
        <v>236087</v>
      </c>
      <c r="F2853" s="6">
        <v>0</v>
      </c>
      <c r="G2853" s="6">
        <v>0</v>
      </c>
      <c r="H2853" s="6">
        <v>0</v>
      </c>
      <c r="I2853" s="6">
        <v>0</v>
      </c>
    </row>
    <row r="2854" spans="1:9">
      <c r="A2854" s="6">
        <v>57</v>
      </c>
      <c r="B2854" s="6" t="str">
        <f t="shared" si="88"/>
        <v>Other Services</v>
      </c>
      <c r="C2854" s="6">
        <v>44</v>
      </c>
      <c r="D2854" s="6" t="str">
        <f t="shared" si="89"/>
        <v>Other Manufacturing Products</v>
      </c>
      <c r="E2854" s="6">
        <v>915066</v>
      </c>
      <c r="F2854" s="6">
        <v>0</v>
      </c>
      <c r="G2854" s="6">
        <v>0</v>
      </c>
      <c r="H2854" s="6">
        <v>0</v>
      </c>
      <c r="I2854" s="6">
        <v>0</v>
      </c>
    </row>
    <row r="2855" spans="1:9">
      <c r="A2855" s="6">
        <v>58</v>
      </c>
      <c r="B2855" s="6" t="str">
        <f t="shared" si="88"/>
        <v>Unclassified</v>
      </c>
      <c r="C2855" s="6">
        <v>44</v>
      </c>
      <c r="D2855" s="6" t="str">
        <f t="shared" si="89"/>
        <v>Other Manufacturing Products</v>
      </c>
      <c r="E2855" s="6">
        <v>1948485</v>
      </c>
      <c r="F2855" s="6">
        <v>0</v>
      </c>
      <c r="G2855" s="6">
        <v>0</v>
      </c>
      <c r="H2855" s="6">
        <v>0</v>
      </c>
      <c r="I2855" s="6">
        <v>196283</v>
      </c>
    </row>
    <row r="2856" spans="1:9">
      <c r="A2856" s="6">
        <v>190</v>
      </c>
      <c r="B2856" s="6" t="str">
        <f t="shared" si="88"/>
        <v>Total Intermedite Transaction</v>
      </c>
      <c r="C2856" s="6">
        <v>44</v>
      </c>
      <c r="D2856" s="6" t="str">
        <f t="shared" si="89"/>
        <v>Other Manufacturing Products</v>
      </c>
      <c r="E2856" s="6">
        <v>950128273</v>
      </c>
      <c r="F2856" s="6">
        <v>0</v>
      </c>
      <c r="G2856" s="6">
        <v>0</v>
      </c>
      <c r="H2856" s="6">
        <v>0</v>
      </c>
      <c r="I2856" s="6">
        <v>401664763</v>
      </c>
    </row>
    <row r="2857" spans="1:9">
      <c r="A2857" s="6">
        <v>201</v>
      </c>
      <c r="B2857" s="6" t="str">
        <f t="shared" si="88"/>
        <v>Wages and Salaries</v>
      </c>
      <c r="C2857" s="6">
        <v>44</v>
      </c>
      <c r="D2857" s="6" t="str">
        <f t="shared" si="89"/>
        <v>Other Manufacturing Products</v>
      </c>
      <c r="E2857" s="6">
        <v>102883422</v>
      </c>
      <c r="F2857" s="6">
        <v>0</v>
      </c>
      <c r="G2857" s="6">
        <v>0</v>
      </c>
      <c r="H2857" s="6">
        <v>0</v>
      </c>
      <c r="I2857" s="6">
        <v>0</v>
      </c>
    </row>
    <row r="2858" spans="1:9">
      <c r="A2858" s="6">
        <v>202</v>
      </c>
      <c r="B2858" s="6" t="str">
        <f t="shared" si="88"/>
        <v>Operating Surplus</v>
      </c>
      <c r="C2858" s="6">
        <v>44</v>
      </c>
      <c r="D2858" s="6" t="str">
        <f t="shared" si="89"/>
        <v>Other Manufacturing Products</v>
      </c>
      <c r="E2858" s="6">
        <v>151097808</v>
      </c>
      <c r="F2858" s="6">
        <v>0</v>
      </c>
      <c r="G2858" s="6">
        <v>0</v>
      </c>
      <c r="H2858" s="6">
        <v>0</v>
      </c>
      <c r="I2858" s="6">
        <v>0</v>
      </c>
    </row>
    <row r="2859" spans="1:9">
      <c r="A2859" s="6">
        <v>203</v>
      </c>
      <c r="B2859" s="6" t="str">
        <f t="shared" si="88"/>
        <v>Depreciation</v>
      </c>
      <c r="C2859" s="6">
        <v>44</v>
      </c>
      <c r="D2859" s="6" t="str">
        <f t="shared" si="89"/>
        <v>Other Manufacturing Products</v>
      </c>
      <c r="E2859" s="6">
        <v>61092259</v>
      </c>
      <c r="F2859" s="6">
        <v>0</v>
      </c>
      <c r="G2859" s="6">
        <v>0</v>
      </c>
      <c r="H2859" s="6">
        <v>0</v>
      </c>
      <c r="I2859" s="6">
        <v>0</v>
      </c>
    </row>
    <row r="2860" spans="1:9">
      <c r="A2860" s="6">
        <v>204</v>
      </c>
      <c r="B2860" s="6" t="str">
        <f t="shared" si="88"/>
        <v>Indirect Taxes less Subsidies</v>
      </c>
      <c r="C2860" s="6">
        <v>44</v>
      </c>
      <c r="D2860" s="6" t="str">
        <f t="shared" si="89"/>
        <v>Other Manufacturing Products</v>
      </c>
      <c r="E2860" s="6">
        <v>28174403</v>
      </c>
      <c r="F2860" s="6">
        <v>0</v>
      </c>
      <c r="G2860" s="6">
        <v>0</v>
      </c>
      <c r="H2860" s="6">
        <v>0</v>
      </c>
      <c r="I2860" s="6">
        <v>0</v>
      </c>
    </row>
    <row r="2861" spans="1:9">
      <c r="A2861" s="6">
        <v>209</v>
      </c>
      <c r="B2861" s="6" t="str">
        <f t="shared" si="88"/>
        <v>Total Value Added</v>
      </c>
      <c r="C2861" s="6">
        <v>44</v>
      </c>
      <c r="D2861" s="6" t="str">
        <f t="shared" si="89"/>
        <v>Other Manufacturing Products</v>
      </c>
      <c r="E2861" s="6">
        <v>343247892</v>
      </c>
      <c r="F2861" s="6">
        <v>0</v>
      </c>
      <c r="G2861" s="6">
        <v>0</v>
      </c>
      <c r="H2861" s="6">
        <v>0</v>
      </c>
      <c r="I2861" s="6">
        <v>0</v>
      </c>
    </row>
    <row r="2862" spans="1:9">
      <c r="A2862" s="6">
        <v>210</v>
      </c>
      <c r="B2862" s="6" t="str">
        <f t="shared" si="88"/>
        <v>Control Total</v>
      </c>
      <c r="C2862" s="6">
        <v>44</v>
      </c>
      <c r="D2862" s="6" t="str">
        <f t="shared" si="89"/>
        <v>Other Manufacturing Products</v>
      </c>
      <c r="E2862" s="6">
        <v>1293376165</v>
      </c>
      <c r="F2862" s="6">
        <v>0</v>
      </c>
      <c r="G2862" s="6">
        <v>0</v>
      </c>
      <c r="H2862" s="6">
        <v>0</v>
      </c>
      <c r="I2862" s="6">
        <v>0</v>
      </c>
    </row>
    <row r="2863" spans="1:9">
      <c r="A2863" s="6">
        <v>1</v>
      </c>
      <c r="B2863" s="6" t="str">
        <f t="shared" si="88"/>
        <v>Paddy</v>
      </c>
      <c r="C2863" s="6">
        <v>45</v>
      </c>
      <c r="D2863" s="6" t="str">
        <f t="shared" si="89"/>
        <v>Electricity and Gas</v>
      </c>
      <c r="E2863" s="6">
        <v>296681</v>
      </c>
      <c r="F2863" s="6">
        <v>13201</v>
      </c>
      <c r="G2863" s="6">
        <v>0</v>
      </c>
      <c r="H2863" s="6">
        <v>1835</v>
      </c>
      <c r="I2863" s="6">
        <v>0</v>
      </c>
    </row>
    <row r="2864" spans="1:9">
      <c r="A2864" s="6">
        <v>2</v>
      </c>
      <c r="B2864" s="6" t="str">
        <f t="shared" si="88"/>
        <v>Maize</v>
      </c>
      <c r="C2864" s="6">
        <v>45</v>
      </c>
      <c r="D2864" s="6" t="str">
        <f t="shared" si="89"/>
        <v>Electricity and Gas</v>
      </c>
      <c r="E2864" s="6">
        <v>43796</v>
      </c>
      <c r="F2864" s="6">
        <v>1075</v>
      </c>
      <c r="G2864" s="6">
        <v>0</v>
      </c>
      <c r="H2864" s="6">
        <v>319</v>
      </c>
      <c r="I2864" s="6">
        <v>0</v>
      </c>
    </row>
    <row r="2865" spans="1:9">
      <c r="A2865" s="6">
        <v>3</v>
      </c>
      <c r="B2865" s="6" t="str">
        <f t="shared" si="88"/>
        <v>Cassava</v>
      </c>
      <c r="C2865" s="6">
        <v>45</v>
      </c>
      <c r="D2865" s="6" t="str">
        <f t="shared" si="89"/>
        <v>Electricity and Gas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</row>
    <row r="2866" spans="1:9">
      <c r="A2866" s="6">
        <v>4</v>
      </c>
      <c r="B2866" s="6" t="str">
        <f t="shared" si="88"/>
        <v>Beans and Nuts</v>
      </c>
      <c r="C2866" s="6">
        <v>45</v>
      </c>
      <c r="D2866" s="6" t="str">
        <f t="shared" si="89"/>
        <v>Electricity and Gas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</row>
    <row r="2867" spans="1:9">
      <c r="A2867" s="6">
        <v>5</v>
      </c>
      <c r="B2867" s="6" t="str">
        <f t="shared" si="88"/>
        <v>Vegetables and Fruits</v>
      </c>
      <c r="C2867" s="6">
        <v>45</v>
      </c>
      <c r="D2867" s="6" t="str">
        <f t="shared" si="89"/>
        <v>Electricity and Gas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</row>
    <row r="2868" spans="1:9">
      <c r="A2868" s="6">
        <v>6</v>
      </c>
      <c r="B2868" s="6" t="str">
        <f t="shared" si="88"/>
        <v>Sugarcane</v>
      </c>
      <c r="C2868" s="6">
        <v>45</v>
      </c>
      <c r="D2868" s="6" t="str">
        <f t="shared" si="89"/>
        <v>Electricity and Gas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</row>
    <row r="2869" spans="1:9">
      <c r="A2869" s="6">
        <v>7</v>
      </c>
      <c r="B2869" s="6" t="str">
        <f t="shared" si="88"/>
        <v>Rubber (Latex)</v>
      </c>
      <c r="C2869" s="6">
        <v>45</v>
      </c>
      <c r="D2869" s="6" t="str">
        <f t="shared" si="89"/>
        <v>Electricity and Gas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</row>
    <row r="2870" spans="1:9">
      <c r="A2870" s="6">
        <v>8</v>
      </c>
      <c r="B2870" s="6" t="str">
        <f t="shared" si="88"/>
        <v>Other Crops</v>
      </c>
      <c r="C2870" s="6">
        <v>45</v>
      </c>
      <c r="D2870" s="6" t="str">
        <f t="shared" si="89"/>
        <v>Electricity and Gas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</row>
    <row r="2871" spans="1:9">
      <c r="A2871" s="6">
        <v>9</v>
      </c>
      <c r="B2871" s="6" t="str">
        <f t="shared" si="88"/>
        <v>Livestock</v>
      </c>
      <c r="C2871" s="6">
        <v>45</v>
      </c>
      <c r="D2871" s="6" t="str">
        <f t="shared" si="89"/>
        <v>Electricity and Gas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</row>
    <row r="2872" spans="1:9">
      <c r="A2872" s="6">
        <v>10</v>
      </c>
      <c r="B2872" s="6" t="str">
        <f t="shared" si="88"/>
        <v>Forestry</v>
      </c>
      <c r="C2872" s="6">
        <v>45</v>
      </c>
      <c r="D2872" s="6" t="str">
        <f t="shared" si="89"/>
        <v>Electricity and Gas</v>
      </c>
      <c r="E2872" s="6">
        <v>345213</v>
      </c>
      <c r="F2872" s="6">
        <v>18180</v>
      </c>
      <c r="G2872" s="6">
        <v>24228</v>
      </c>
      <c r="H2872" s="6">
        <v>1707</v>
      </c>
      <c r="I2872" s="6">
        <v>0</v>
      </c>
    </row>
    <row r="2873" spans="1:9">
      <c r="A2873" s="6">
        <v>11</v>
      </c>
      <c r="B2873" s="6" t="str">
        <f t="shared" si="88"/>
        <v>Fishery</v>
      </c>
      <c r="C2873" s="6">
        <v>45</v>
      </c>
      <c r="D2873" s="6" t="str">
        <f t="shared" si="89"/>
        <v>Electricity and Gas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</row>
    <row r="2874" spans="1:9">
      <c r="A2874" s="6">
        <v>12</v>
      </c>
      <c r="B2874" s="6" t="str">
        <f t="shared" si="88"/>
        <v>Crude Oil and Coal</v>
      </c>
      <c r="C2874" s="6">
        <v>45</v>
      </c>
      <c r="D2874" s="6" t="str">
        <f t="shared" si="89"/>
        <v>Electricity and Gas</v>
      </c>
      <c r="E2874" s="6">
        <v>401159406</v>
      </c>
      <c r="F2874" s="6">
        <v>745779</v>
      </c>
      <c r="G2874" s="6">
        <v>0</v>
      </c>
      <c r="H2874" s="6">
        <v>668160</v>
      </c>
      <c r="I2874" s="6">
        <v>331348057</v>
      </c>
    </row>
    <row r="2875" spans="1:9">
      <c r="A2875" s="6">
        <v>13</v>
      </c>
      <c r="B2875" s="6" t="str">
        <f t="shared" si="88"/>
        <v>Metal Ore</v>
      </c>
      <c r="C2875" s="6">
        <v>45</v>
      </c>
      <c r="D2875" s="6" t="str">
        <f t="shared" si="89"/>
        <v>Electricity and Gas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</row>
    <row r="2876" spans="1:9">
      <c r="A2876" s="6">
        <v>14</v>
      </c>
      <c r="B2876" s="6" t="str">
        <f t="shared" si="88"/>
        <v>Non-Metal Ore</v>
      </c>
      <c r="C2876" s="6">
        <v>45</v>
      </c>
      <c r="D2876" s="6" t="str">
        <f t="shared" si="89"/>
        <v>Electricity and Gas</v>
      </c>
      <c r="E2876" s="6">
        <v>29524</v>
      </c>
      <c r="F2876" s="6">
        <v>653</v>
      </c>
      <c r="G2876" s="6">
        <v>0</v>
      </c>
      <c r="H2876" s="6">
        <v>939</v>
      </c>
      <c r="I2876" s="6">
        <v>0</v>
      </c>
    </row>
    <row r="2877" spans="1:9">
      <c r="A2877" s="6">
        <v>15</v>
      </c>
      <c r="B2877" s="6" t="str">
        <f t="shared" si="88"/>
        <v>Slaughtering</v>
      </c>
      <c r="C2877" s="6">
        <v>45</v>
      </c>
      <c r="D2877" s="6" t="str">
        <f t="shared" si="89"/>
        <v>Electricity and Gas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</row>
    <row r="2878" spans="1:9">
      <c r="A2878" s="6">
        <v>16</v>
      </c>
      <c r="B2878" s="6" t="str">
        <f t="shared" si="88"/>
        <v>Processing and Presering of Foods</v>
      </c>
      <c r="C2878" s="6">
        <v>45</v>
      </c>
      <c r="D2878" s="6" t="str">
        <f t="shared" si="89"/>
        <v>Electricity and Gas</v>
      </c>
      <c r="E2878" s="6">
        <v>27541</v>
      </c>
      <c r="F2878" s="6">
        <v>1271</v>
      </c>
      <c r="G2878" s="6">
        <v>781</v>
      </c>
      <c r="H2878" s="6">
        <v>257</v>
      </c>
      <c r="I2878" s="6">
        <v>0</v>
      </c>
    </row>
    <row r="2879" spans="1:9">
      <c r="A2879" s="6">
        <v>17</v>
      </c>
      <c r="B2879" s="6" t="str">
        <f t="shared" si="88"/>
        <v>Rice and Other Grain Milling</v>
      </c>
      <c r="C2879" s="6">
        <v>45</v>
      </c>
      <c r="D2879" s="6" t="str">
        <f t="shared" si="89"/>
        <v>Electricity and Gas</v>
      </c>
      <c r="E2879" s="6">
        <v>780304</v>
      </c>
      <c r="F2879" s="6">
        <v>19831</v>
      </c>
      <c r="G2879" s="6">
        <v>31292</v>
      </c>
      <c r="H2879" s="6">
        <v>13409</v>
      </c>
      <c r="I2879" s="6">
        <v>0</v>
      </c>
    </row>
    <row r="2880" spans="1:9">
      <c r="A2880" s="6">
        <v>18</v>
      </c>
      <c r="B2880" s="6" t="str">
        <f t="shared" si="88"/>
        <v>Sugar Refineries</v>
      </c>
      <c r="C2880" s="6">
        <v>45</v>
      </c>
      <c r="D2880" s="6" t="str">
        <f t="shared" si="89"/>
        <v>Electricity and Gas</v>
      </c>
      <c r="E2880" s="6">
        <v>1455650</v>
      </c>
      <c r="F2880" s="6">
        <v>30734</v>
      </c>
      <c r="G2880" s="6">
        <v>0</v>
      </c>
      <c r="H2880" s="6">
        <v>18877</v>
      </c>
      <c r="I2880" s="6">
        <v>776558</v>
      </c>
    </row>
    <row r="2881" spans="1:9">
      <c r="A2881" s="6">
        <v>19</v>
      </c>
      <c r="B2881" s="6" t="str">
        <f t="shared" si="88"/>
        <v>Other Foods</v>
      </c>
      <c r="C2881" s="6">
        <v>45</v>
      </c>
      <c r="D2881" s="6" t="str">
        <f t="shared" si="89"/>
        <v>Electricity and Gas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</row>
    <row r="2882" spans="1:9">
      <c r="A2882" s="6">
        <v>20</v>
      </c>
      <c r="B2882" s="6" t="str">
        <f t="shared" si="88"/>
        <v>Animal Food</v>
      </c>
      <c r="C2882" s="6">
        <v>45</v>
      </c>
      <c r="D2882" s="6" t="str">
        <f t="shared" si="89"/>
        <v>Electricity and Gas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</row>
    <row r="2883" spans="1:9">
      <c r="A2883" s="6">
        <v>21</v>
      </c>
      <c r="B2883" s="6" t="str">
        <f t="shared" si="88"/>
        <v>Beverages</v>
      </c>
      <c r="C2883" s="6">
        <v>45</v>
      </c>
      <c r="D2883" s="6" t="str">
        <f t="shared" si="89"/>
        <v>Electricity and Gas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</row>
    <row r="2884" spans="1:9">
      <c r="A2884" s="6">
        <v>22</v>
      </c>
      <c r="B2884" s="6" t="str">
        <f t="shared" ref="B2884:B2947" si="90">VLOOKUP(A2884,R:S,2,0)</f>
        <v>Tobacco Processing and Products</v>
      </c>
      <c r="C2884" s="6">
        <v>45</v>
      </c>
      <c r="D2884" s="6" t="str">
        <f t="shared" ref="D2884:D2947" si="91">VLOOKUP(C2884,R:S,2,0)</f>
        <v>Electricity and Gas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</row>
    <row r="2885" spans="1:9">
      <c r="A2885" s="6">
        <v>23</v>
      </c>
      <c r="B2885" s="6" t="str">
        <f t="shared" si="90"/>
        <v>Spinning, Weaving and Bleaching</v>
      </c>
      <c r="C2885" s="6">
        <v>45</v>
      </c>
      <c r="D2885" s="6" t="str">
        <f t="shared" si="91"/>
        <v>Electricity and Gas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</row>
    <row r="2886" spans="1:9">
      <c r="A2886" s="6">
        <v>24</v>
      </c>
      <c r="B2886" s="6" t="str">
        <f t="shared" si="90"/>
        <v>Textile Products</v>
      </c>
      <c r="C2886" s="6">
        <v>45</v>
      </c>
      <c r="D2886" s="6" t="str">
        <f t="shared" si="91"/>
        <v>Electricity and Gas</v>
      </c>
      <c r="E2886" s="6">
        <v>167278</v>
      </c>
      <c r="F2886" s="6">
        <v>5676</v>
      </c>
      <c r="G2886" s="6">
        <v>14146</v>
      </c>
      <c r="H2886" s="6">
        <v>1195</v>
      </c>
      <c r="I2886" s="6">
        <v>16550</v>
      </c>
    </row>
    <row r="2887" spans="1:9">
      <c r="A2887" s="6">
        <v>25</v>
      </c>
      <c r="B2887" s="6" t="str">
        <f t="shared" si="90"/>
        <v>Paper and Paper Products</v>
      </c>
      <c r="C2887" s="6">
        <v>45</v>
      </c>
      <c r="D2887" s="6" t="str">
        <f t="shared" si="91"/>
        <v>Electricity and Gas</v>
      </c>
      <c r="E2887" s="6">
        <v>766212</v>
      </c>
      <c r="F2887" s="6">
        <v>24115</v>
      </c>
      <c r="G2887" s="6">
        <v>21611</v>
      </c>
      <c r="H2887" s="6">
        <v>6441</v>
      </c>
      <c r="I2887" s="6">
        <v>0</v>
      </c>
    </row>
    <row r="2888" spans="1:9">
      <c r="A2888" s="6">
        <v>26</v>
      </c>
      <c r="B2888" s="6" t="str">
        <f t="shared" si="90"/>
        <v>Printing and Publishing</v>
      </c>
      <c r="C2888" s="6">
        <v>45</v>
      </c>
      <c r="D2888" s="6" t="str">
        <f t="shared" si="91"/>
        <v>Electricity and Gas</v>
      </c>
      <c r="E2888" s="6">
        <v>198591</v>
      </c>
      <c r="F2888" s="6">
        <v>6505</v>
      </c>
      <c r="G2888" s="6">
        <v>15107</v>
      </c>
      <c r="H2888" s="6">
        <v>1755</v>
      </c>
      <c r="I2888" s="6">
        <v>0</v>
      </c>
    </row>
    <row r="2889" spans="1:9">
      <c r="A2889" s="6">
        <v>27</v>
      </c>
      <c r="B2889" s="6" t="str">
        <f t="shared" si="90"/>
        <v>Basic Chemical Products</v>
      </c>
      <c r="C2889" s="6">
        <v>45</v>
      </c>
      <c r="D2889" s="6" t="str">
        <f t="shared" si="91"/>
        <v>Electricity and Gas</v>
      </c>
      <c r="E2889" s="6">
        <v>2817351</v>
      </c>
      <c r="F2889" s="6">
        <v>302609</v>
      </c>
      <c r="G2889" s="6">
        <v>128766</v>
      </c>
      <c r="H2889" s="6">
        <v>59500</v>
      </c>
      <c r="I2889" s="6">
        <v>1943029</v>
      </c>
    </row>
    <row r="2890" spans="1:9">
      <c r="A2890" s="6">
        <v>28</v>
      </c>
      <c r="B2890" s="6" t="str">
        <f t="shared" si="90"/>
        <v>Fertilizer and Pesticides</v>
      </c>
      <c r="C2890" s="6">
        <v>45</v>
      </c>
      <c r="D2890" s="6" t="str">
        <f t="shared" si="91"/>
        <v>Electricity and Gas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</row>
    <row r="2891" spans="1:9">
      <c r="A2891" s="6">
        <v>29</v>
      </c>
      <c r="B2891" s="6" t="str">
        <f t="shared" si="90"/>
        <v>Other Chemical Products</v>
      </c>
      <c r="C2891" s="6">
        <v>45</v>
      </c>
      <c r="D2891" s="6" t="str">
        <f t="shared" si="91"/>
        <v>Electricity and Gas</v>
      </c>
      <c r="E2891" s="6">
        <v>110585</v>
      </c>
      <c r="F2891" s="6">
        <v>6566</v>
      </c>
      <c r="G2891" s="6">
        <v>9802</v>
      </c>
      <c r="H2891" s="6">
        <v>1380</v>
      </c>
      <c r="I2891" s="6">
        <v>15910</v>
      </c>
    </row>
    <row r="2892" spans="1:9">
      <c r="A2892" s="6">
        <v>30</v>
      </c>
      <c r="B2892" s="6" t="str">
        <f t="shared" si="90"/>
        <v>Petroleum Refineries</v>
      </c>
      <c r="C2892" s="6">
        <v>45</v>
      </c>
      <c r="D2892" s="6" t="str">
        <f t="shared" si="91"/>
        <v>Electricity and Gas</v>
      </c>
      <c r="E2892" s="6">
        <v>69372916</v>
      </c>
      <c r="F2892" s="6">
        <v>3243652</v>
      </c>
      <c r="G2892" s="6">
        <v>1884200</v>
      </c>
      <c r="H2892" s="6">
        <v>645147</v>
      </c>
      <c r="I2892" s="6">
        <v>13848998</v>
      </c>
    </row>
    <row r="2893" spans="1:9">
      <c r="A2893" s="6">
        <v>31</v>
      </c>
      <c r="B2893" s="6" t="str">
        <f t="shared" si="90"/>
        <v>Rubber Products</v>
      </c>
      <c r="C2893" s="6">
        <v>45</v>
      </c>
      <c r="D2893" s="6" t="str">
        <f t="shared" si="91"/>
        <v>Electricity and Gas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</row>
    <row r="2894" spans="1:9">
      <c r="A2894" s="6">
        <v>32</v>
      </c>
      <c r="B2894" s="6" t="str">
        <f t="shared" si="90"/>
        <v>Plastic Wares</v>
      </c>
      <c r="C2894" s="6">
        <v>45</v>
      </c>
      <c r="D2894" s="6" t="str">
        <f t="shared" si="91"/>
        <v>Electricity and Gas</v>
      </c>
      <c r="E2894" s="6">
        <v>205258</v>
      </c>
      <c r="F2894" s="6">
        <v>5872</v>
      </c>
      <c r="G2894" s="6">
        <v>7353</v>
      </c>
      <c r="H2894" s="6">
        <v>1326</v>
      </c>
      <c r="I2894" s="6">
        <v>50067</v>
      </c>
    </row>
    <row r="2895" spans="1:9">
      <c r="A2895" s="6">
        <v>33</v>
      </c>
      <c r="B2895" s="6" t="str">
        <f t="shared" si="90"/>
        <v>Cement and Concrete Products</v>
      </c>
      <c r="C2895" s="6">
        <v>45</v>
      </c>
      <c r="D2895" s="6" t="str">
        <f t="shared" si="91"/>
        <v>Electricity and Gas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</row>
    <row r="2896" spans="1:9">
      <c r="A2896" s="6">
        <v>34</v>
      </c>
      <c r="B2896" s="6" t="str">
        <f t="shared" si="90"/>
        <v>Other Non-metallic Products</v>
      </c>
      <c r="C2896" s="6">
        <v>45</v>
      </c>
      <c r="D2896" s="6" t="str">
        <f t="shared" si="91"/>
        <v>Electricity and Gas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</row>
    <row r="2897" spans="1:9">
      <c r="A2897" s="6">
        <v>35</v>
      </c>
      <c r="B2897" s="6" t="str">
        <f t="shared" si="90"/>
        <v>Iron and Steel</v>
      </c>
      <c r="C2897" s="6">
        <v>45</v>
      </c>
      <c r="D2897" s="6" t="str">
        <f t="shared" si="91"/>
        <v>Electricity and Gas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</row>
    <row r="2898" spans="1:9">
      <c r="A2898" s="6">
        <v>36</v>
      </c>
      <c r="B2898" s="6" t="str">
        <f t="shared" si="90"/>
        <v>Non-ferrous Metal</v>
      </c>
      <c r="C2898" s="6">
        <v>45</v>
      </c>
      <c r="D2898" s="6" t="str">
        <f t="shared" si="91"/>
        <v>Electricity and Gas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</row>
    <row r="2899" spans="1:9">
      <c r="A2899" s="6">
        <v>37</v>
      </c>
      <c r="B2899" s="6" t="str">
        <f t="shared" si="90"/>
        <v>Fabricated Metal Products</v>
      </c>
      <c r="C2899" s="6">
        <v>45</v>
      </c>
      <c r="D2899" s="6" t="str">
        <f t="shared" si="91"/>
        <v>Electricity and Gas</v>
      </c>
      <c r="E2899" s="6">
        <v>3955667</v>
      </c>
      <c r="F2899" s="6">
        <v>39371</v>
      </c>
      <c r="G2899" s="6">
        <v>91516</v>
      </c>
      <c r="H2899" s="6">
        <v>7223</v>
      </c>
      <c r="I2899" s="6">
        <v>3631787</v>
      </c>
    </row>
    <row r="2900" spans="1:9">
      <c r="A2900" s="6">
        <v>38</v>
      </c>
      <c r="B2900" s="6" t="str">
        <f t="shared" si="90"/>
        <v>Industrial Machinery</v>
      </c>
      <c r="C2900" s="6">
        <v>45</v>
      </c>
      <c r="D2900" s="6" t="str">
        <f t="shared" si="91"/>
        <v>Electricity and Gas</v>
      </c>
      <c r="E2900" s="6">
        <v>6837942</v>
      </c>
      <c r="F2900" s="6">
        <v>529171</v>
      </c>
      <c r="G2900" s="6">
        <v>0</v>
      </c>
      <c r="H2900" s="6">
        <v>67103</v>
      </c>
      <c r="I2900" s="6">
        <v>2619461</v>
      </c>
    </row>
    <row r="2901" spans="1:9">
      <c r="A2901" s="6">
        <v>39</v>
      </c>
      <c r="B2901" s="6" t="str">
        <f t="shared" si="90"/>
        <v>Electrical Machinery and Apparatus</v>
      </c>
      <c r="C2901" s="6">
        <v>45</v>
      </c>
      <c r="D2901" s="6" t="str">
        <f t="shared" si="91"/>
        <v>Electricity and Gas</v>
      </c>
      <c r="E2901" s="6">
        <v>21105287</v>
      </c>
      <c r="F2901" s="6">
        <v>1528746</v>
      </c>
      <c r="G2901" s="6">
        <v>1528024</v>
      </c>
      <c r="H2901" s="6">
        <v>278490</v>
      </c>
      <c r="I2901" s="6">
        <v>11630201</v>
      </c>
    </row>
    <row r="2902" spans="1:9">
      <c r="A2902" s="6">
        <v>40</v>
      </c>
      <c r="B2902" s="6" t="str">
        <f t="shared" si="90"/>
        <v>Motor Vehicles and Repairing</v>
      </c>
      <c r="C2902" s="6">
        <v>45</v>
      </c>
      <c r="D2902" s="6" t="str">
        <f t="shared" si="91"/>
        <v>Electricity and Gas</v>
      </c>
      <c r="E2902" s="6">
        <v>2953713</v>
      </c>
      <c r="F2902" s="6">
        <v>0</v>
      </c>
      <c r="G2902" s="6">
        <v>0</v>
      </c>
      <c r="H2902" s="6">
        <v>0</v>
      </c>
      <c r="I2902" s="6">
        <v>0</v>
      </c>
    </row>
    <row r="2903" spans="1:9">
      <c r="A2903" s="6">
        <v>41</v>
      </c>
      <c r="B2903" s="6" t="str">
        <f t="shared" si="90"/>
        <v>Other Transportation Equipment</v>
      </c>
      <c r="C2903" s="6">
        <v>45</v>
      </c>
      <c r="D2903" s="6" t="str">
        <f t="shared" si="91"/>
        <v>Electricity and Gas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</row>
    <row r="2904" spans="1:9">
      <c r="A2904" s="6">
        <v>42</v>
      </c>
      <c r="B2904" s="6" t="str">
        <f t="shared" si="90"/>
        <v>Leather Products</v>
      </c>
      <c r="C2904" s="6">
        <v>45</v>
      </c>
      <c r="D2904" s="6" t="str">
        <f t="shared" si="91"/>
        <v>Electricity and Gas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</row>
    <row r="2905" spans="1:9">
      <c r="A2905" s="6">
        <v>43</v>
      </c>
      <c r="B2905" s="6" t="str">
        <f t="shared" si="90"/>
        <v>Saw Mills and Wood Products</v>
      </c>
      <c r="C2905" s="6">
        <v>45</v>
      </c>
      <c r="D2905" s="6" t="str">
        <f t="shared" si="91"/>
        <v>Electricity and Gas</v>
      </c>
      <c r="E2905" s="6">
        <v>605614</v>
      </c>
      <c r="F2905" s="6">
        <v>49295</v>
      </c>
      <c r="G2905" s="6">
        <v>110564</v>
      </c>
      <c r="H2905" s="6">
        <v>6388</v>
      </c>
      <c r="I2905" s="6">
        <v>0</v>
      </c>
    </row>
    <row r="2906" spans="1:9">
      <c r="A2906" s="6">
        <v>44</v>
      </c>
      <c r="B2906" s="6" t="str">
        <f t="shared" si="90"/>
        <v>Other Manufacturing Products</v>
      </c>
      <c r="C2906" s="6">
        <v>45</v>
      </c>
      <c r="D2906" s="6" t="str">
        <f t="shared" si="91"/>
        <v>Electricity and Gas</v>
      </c>
      <c r="E2906" s="6">
        <v>922507</v>
      </c>
      <c r="F2906" s="6">
        <v>107010</v>
      </c>
      <c r="G2906" s="6">
        <v>105605</v>
      </c>
      <c r="H2906" s="6">
        <v>12943</v>
      </c>
      <c r="I2906" s="6">
        <v>0</v>
      </c>
    </row>
    <row r="2907" spans="1:9">
      <c r="A2907" s="6">
        <v>45</v>
      </c>
      <c r="B2907" s="6" t="str">
        <f t="shared" si="90"/>
        <v>Electricity and Gas</v>
      </c>
      <c r="C2907" s="6">
        <v>45</v>
      </c>
      <c r="D2907" s="6" t="str">
        <f t="shared" si="91"/>
        <v>Electricity and Gas</v>
      </c>
      <c r="E2907" s="6">
        <v>452468230</v>
      </c>
      <c r="F2907" s="6">
        <v>2190602</v>
      </c>
      <c r="G2907" s="6">
        <v>3287924</v>
      </c>
      <c r="H2907" s="6">
        <v>364420</v>
      </c>
      <c r="I2907" s="6">
        <v>123767282</v>
      </c>
    </row>
    <row r="2908" spans="1:9">
      <c r="A2908" s="6">
        <v>46</v>
      </c>
      <c r="B2908" s="6" t="str">
        <f t="shared" si="90"/>
        <v>Water Works and Supply</v>
      </c>
      <c r="C2908" s="6">
        <v>45</v>
      </c>
      <c r="D2908" s="6" t="str">
        <f t="shared" si="91"/>
        <v>Electricity and Gas</v>
      </c>
      <c r="E2908" s="6">
        <v>200866</v>
      </c>
      <c r="F2908" s="6">
        <v>0</v>
      </c>
      <c r="G2908" s="6">
        <v>0</v>
      </c>
      <c r="H2908" s="6">
        <v>0</v>
      </c>
      <c r="I2908" s="6">
        <v>0</v>
      </c>
    </row>
    <row r="2909" spans="1:9">
      <c r="A2909" s="6">
        <v>47</v>
      </c>
      <c r="B2909" s="6" t="str">
        <f t="shared" si="90"/>
        <v>Building Construction</v>
      </c>
      <c r="C2909" s="6">
        <v>45</v>
      </c>
      <c r="D2909" s="6" t="str">
        <f t="shared" si="91"/>
        <v>Electricity and Gas</v>
      </c>
      <c r="E2909" s="6">
        <v>1770619</v>
      </c>
      <c r="F2909" s="6">
        <v>0</v>
      </c>
      <c r="G2909" s="6">
        <v>0</v>
      </c>
      <c r="H2909" s="6">
        <v>0</v>
      </c>
      <c r="I2909" s="6">
        <v>0</v>
      </c>
    </row>
    <row r="2910" spans="1:9">
      <c r="A2910" s="6">
        <v>48</v>
      </c>
      <c r="B2910" s="6" t="str">
        <f t="shared" si="90"/>
        <v>Public Works and Other Construction</v>
      </c>
      <c r="C2910" s="6">
        <v>45</v>
      </c>
      <c r="D2910" s="6" t="str">
        <f t="shared" si="91"/>
        <v>Electricity and Gas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</row>
    <row r="2911" spans="1:9">
      <c r="A2911" s="6">
        <v>49</v>
      </c>
      <c r="B2911" s="6" t="str">
        <f t="shared" si="90"/>
        <v>Trade</v>
      </c>
      <c r="C2911" s="6">
        <v>45</v>
      </c>
      <c r="D2911" s="6" t="str">
        <f t="shared" si="91"/>
        <v>Electricity and Gas</v>
      </c>
      <c r="E2911" s="6">
        <v>0</v>
      </c>
      <c r="F2911" s="6">
        <v>-8869914</v>
      </c>
      <c r="G2911" s="6">
        <v>-7260919</v>
      </c>
      <c r="H2911" s="6">
        <v>0</v>
      </c>
      <c r="I2911" s="6">
        <v>0</v>
      </c>
    </row>
    <row r="2912" spans="1:9">
      <c r="A2912" s="6">
        <v>50</v>
      </c>
      <c r="B2912" s="6" t="str">
        <f t="shared" si="90"/>
        <v>Restaurants and Hotels</v>
      </c>
      <c r="C2912" s="6">
        <v>45</v>
      </c>
      <c r="D2912" s="6" t="str">
        <f t="shared" si="91"/>
        <v>Electricity and Gas</v>
      </c>
      <c r="E2912" s="6">
        <v>1239150</v>
      </c>
      <c r="F2912" s="6">
        <v>0</v>
      </c>
      <c r="G2912" s="6">
        <v>0</v>
      </c>
      <c r="H2912" s="6">
        <v>0</v>
      </c>
      <c r="I2912" s="6">
        <v>0</v>
      </c>
    </row>
    <row r="2913" spans="1:9">
      <c r="A2913" s="6">
        <v>51</v>
      </c>
      <c r="B2913" s="6" t="str">
        <f t="shared" si="90"/>
        <v>Transportation</v>
      </c>
      <c r="C2913" s="6">
        <v>45</v>
      </c>
      <c r="D2913" s="6" t="str">
        <f t="shared" si="91"/>
        <v>Electricity and Gas</v>
      </c>
      <c r="E2913" s="6">
        <v>1253293</v>
      </c>
      <c r="F2913" s="6">
        <v>0</v>
      </c>
      <c r="G2913" s="6">
        <v>0</v>
      </c>
      <c r="H2913" s="6">
        <v>-2158814</v>
      </c>
      <c r="I2913" s="6">
        <v>0</v>
      </c>
    </row>
    <row r="2914" spans="1:9">
      <c r="A2914" s="6">
        <v>52</v>
      </c>
      <c r="B2914" s="6" t="str">
        <f t="shared" si="90"/>
        <v>Communication</v>
      </c>
      <c r="C2914" s="6">
        <v>45</v>
      </c>
      <c r="D2914" s="6" t="str">
        <f t="shared" si="91"/>
        <v>Electricity and Gas</v>
      </c>
      <c r="E2914" s="6">
        <v>2588782</v>
      </c>
      <c r="F2914" s="6">
        <v>0</v>
      </c>
      <c r="G2914" s="6">
        <v>0</v>
      </c>
      <c r="H2914" s="6">
        <v>0</v>
      </c>
      <c r="I2914" s="6">
        <v>0</v>
      </c>
    </row>
    <row r="2915" spans="1:9">
      <c r="A2915" s="6">
        <v>53</v>
      </c>
      <c r="B2915" s="6" t="str">
        <f t="shared" si="90"/>
        <v>Banking and Insurance</v>
      </c>
      <c r="C2915" s="6">
        <v>45</v>
      </c>
      <c r="D2915" s="6" t="str">
        <f t="shared" si="91"/>
        <v>Electricity and Gas</v>
      </c>
      <c r="E2915" s="6">
        <v>60970189</v>
      </c>
      <c r="F2915" s="6">
        <v>0</v>
      </c>
      <c r="G2915" s="6">
        <v>0</v>
      </c>
      <c r="H2915" s="6">
        <v>0</v>
      </c>
      <c r="I2915" s="6">
        <v>0</v>
      </c>
    </row>
    <row r="2916" spans="1:9">
      <c r="A2916" s="6">
        <v>54</v>
      </c>
      <c r="B2916" s="6" t="str">
        <f t="shared" si="90"/>
        <v>Real Estate</v>
      </c>
      <c r="C2916" s="6">
        <v>45</v>
      </c>
      <c r="D2916" s="6" t="str">
        <f t="shared" si="91"/>
        <v>Electricity and Gas</v>
      </c>
      <c r="E2916" s="6">
        <v>250482</v>
      </c>
      <c r="F2916" s="6">
        <v>0</v>
      </c>
      <c r="G2916" s="6">
        <v>0</v>
      </c>
      <c r="H2916" s="6">
        <v>0</v>
      </c>
      <c r="I2916" s="6">
        <v>0</v>
      </c>
    </row>
    <row r="2917" spans="1:9">
      <c r="A2917" s="6">
        <v>55</v>
      </c>
      <c r="B2917" s="6" t="str">
        <f t="shared" si="90"/>
        <v>Business Services</v>
      </c>
      <c r="C2917" s="6">
        <v>45</v>
      </c>
      <c r="D2917" s="6" t="str">
        <f t="shared" si="91"/>
        <v>Electricity and Gas</v>
      </c>
      <c r="E2917" s="6">
        <v>10580519</v>
      </c>
      <c r="F2917" s="6">
        <v>0</v>
      </c>
      <c r="G2917" s="6">
        <v>0</v>
      </c>
      <c r="H2917" s="6">
        <v>0</v>
      </c>
      <c r="I2917" s="6">
        <v>0</v>
      </c>
    </row>
    <row r="2918" spans="1:9">
      <c r="A2918" s="6">
        <v>56</v>
      </c>
      <c r="B2918" s="6" t="str">
        <f t="shared" si="90"/>
        <v>Public Services</v>
      </c>
      <c r="C2918" s="6">
        <v>45</v>
      </c>
      <c r="D2918" s="6" t="str">
        <f t="shared" si="91"/>
        <v>Electricity and Gas</v>
      </c>
      <c r="E2918" s="6">
        <v>2987591</v>
      </c>
      <c r="F2918" s="6">
        <v>0</v>
      </c>
      <c r="G2918" s="6">
        <v>0</v>
      </c>
      <c r="H2918" s="6">
        <v>0</v>
      </c>
      <c r="I2918" s="6">
        <v>0</v>
      </c>
    </row>
    <row r="2919" spans="1:9">
      <c r="A2919" s="6">
        <v>57</v>
      </c>
      <c r="B2919" s="6" t="str">
        <f t="shared" si="90"/>
        <v>Other Services</v>
      </c>
      <c r="C2919" s="6">
        <v>45</v>
      </c>
      <c r="D2919" s="6" t="str">
        <f t="shared" si="91"/>
        <v>Electricity and Gas</v>
      </c>
      <c r="E2919" s="6">
        <v>4156006</v>
      </c>
      <c r="F2919" s="6">
        <v>0</v>
      </c>
      <c r="G2919" s="6">
        <v>0</v>
      </c>
      <c r="H2919" s="6">
        <v>0</v>
      </c>
      <c r="I2919" s="6">
        <v>0</v>
      </c>
    </row>
    <row r="2920" spans="1:9">
      <c r="A2920" s="6">
        <v>58</v>
      </c>
      <c r="B2920" s="6" t="str">
        <f t="shared" si="90"/>
        <v>Unclassified</v>
      </c>
      <c r="C2920" s="6">
        <v>45</v>
      </c>
      <c r="D2920" s="6" t="str">
        <f t="shared" si="91"/>
        <v>Electricity and Gas</v>
      </c>
      <c r="E2920" s="6">
        <v>1733282</v>
      </c>
      <c r="F2920" s="6">
        <v>0</v>
      </c>
      <c r="G2920" s="6">
        <v>0</v>
      </c>
      <c r="H2920" s="6">
        <v>0</v>
      </c>
      <c r="I2920" s="6">
        <v>203545</v>
      </c>
    </row>
    <row r="2921" spans="1:9">
      <c r="A2921" s="6">
        <v>190</v>
      </c>
      <c r="B2921" s="6" t="str">
        <f t="shared" si="90"/>
        <v>Total Intermedite Transaction</v>
      </c>
      <c r="C2921" s="6">
        <v>45</v>
      </c>
      <c r="D2921" s="6" t="str">
        <f t="shared" si="91"/>
        <v>Electricity and Gas</v>
      </c>
      <c r="E2921" s="6">
        <v>1054356045</v>
      </c>
      <c r="F2921" s="6">
        <v>0</v>
      </c>
      <c r="G2921" s="6">
        <v>0</v>
      </c>
      <c r="H2921" s="6">
        <v>0</v>
      </c>
      <c r="I2921" s="6">
        <v>489851445</v>
      </c>
    </row>
    <row r="2922" spans="1:9">
      <c r="A2922" s="6">
        <v>201</v>
      </c>
      <c r="B2922" s="6" t="str">
        <f t="shared" si="90"/>
        <v>Wages and Salaries</v>
      </c>
      <c r="C2922" s="6">
        <v>45</v>
      </c>
      <c r="D2922" s="6" t="str">
        <f t="shared" si="91"/>
        <v>Electricity and Gas</v>
      </c>
      <c r="E2922" s="6">
        <v>124771661</v>
      </c>
      <c r="F2922" s="6">
        <v>0</v>
      </c>
      <c r="G2922" s="6">
        <v>0</v>
      </c>
      <c r="H2922" s="6">
        <v>0</v>
      </c>
      <c r="I2922" s="6">
        <v>0</v>
      </c>
    </row>
    <row r="2923" spans="1:9">
      <c r="A2923" s="6">
        <v>202</v>
      </c>
      <c r="B2923" s="6" t="str">
        <f t="shared" si="90"/>
        <v>Operating Surplus</v>
      </c>
      <c r="C2923" s="6">
        <v>45</v>
      </c>
      <c r="D2923" s="6" t="str">
        <f t="shared" si="91"/>
        <v>Electricity and Gas</v>
      </c>
      <c r="E2923" s="6">
        <v>160731710</v>
      </c>
      <c r="F2923" s="6">
        <v>0</v>
      </c>
      <c r="G2923" s="6">
        <v>0</v>
      </c>
      <c r="H2923" s="6">
        <v>0</v>
      </c>
      <c r="I2923" s="6">
        <v>0</v>
      </c>
    </row>
    <row r="2924" spans="1:9">
      <c r="A2924" s="6">
        <v>203</v>
      </c>
      <c r="B2924" s="6" t="str">
        <f t="shared" si="90"/>
        <v>Depreciation</v>
      </c>
      <c r="C2924" s="6">
        <v>45</v>
      </c>
      <c r="D2924" s="6" t="str">
        <f t="shared" si="91"/>
        <v>Electricity and Gas</v>
      </c>
      <c r="E2924" s="6">
        <v>167999545</v>
      </c>
      <c r="F2924" s="6">
        <v>0</v>
      </c>
      <c r="G2924" s="6">
        <v>0</v>
      </c>
      <c r="H2924" s="6">
        <v>0</v>
      </c>
      <c r="I2924" s="6">
        <v>0</v>
      </c>
    </row>
    <row r="2925" spans="1:9">
      <c r="A2925" s="6">
        <v>204</v>
      </c>
      <c r="B2925" s="6" t="str">
        <f t="shared" si="90"/>
        <v>Indirect Taxes less Subsidies</v>
      </c>
      <c r="C2925" s="6">
        <v>45</v>
      </c>
      <c r="D2925" s="6" t="str">
        <f t="shared" si="91"/>
        <v>Electricity and Gas</v>
      </c>
      <c r="E2925" s="6">
        <v>32533488</v>
      </c>
      <c r="F2925" s="6">
        <v>0</v>
      </c>
      <c r="G2925" s="6">
        <v>0</v>
      </c>
      <c r="H2925" s="6">
        <v>0</v>
      </c>
      <c r="I2925" s="6">
        <v>0</v>
      </c>
    </row>
    <row r="2926" spans="1:9">
      <c r="A2926" s="6">
        <v>209</v>
      </c>
      <c r="B2926" s="6" t="str">
        <f t="shared" si="90"/>
        <v>Total Value Added</v>
      </c>
      <c r="C2926" s="6">
        <v>45</v>
      </c>
      <c r="D2926" s="6" t="str">
        <f t="shared" si="91"/>
        <v>Electricity and Gas</v>
      </c>
      <c r="E2926" s="6">
        <v>486036404</v>
      </c>
      <c r="F2926" s="6">
        <v>0</v>
      </c>
      <c r="G2926" s="6">
        <v>0</v>
      </c>
      <c r="H2926" s="6">
        <v>0</v>
      </c>
      <c r="I2926" s="6">
        <v>0</v>
      </c>
    </row>
    <row r="2927" spans="1:9">
      <c r="A2927" s="6">
        <v>210</v>
      </c>
      <c r="B2927" s="6" t="str">
        <f t="shared" si="90"/>
        <v>Control Total</v>
      </c>
      <c r="C2927" s="6">
        <v>45</v>
      </c>
      <c r="D2927" s="6" t="str">
        <f t="shared" si="91"/>
        <v>Electricity and Gas</v>
      </c>
      <c r="E2927" s="6">
        <v>1540392449</v>
      </c>
      <c r="F2927" s="6">
        <v>0</v>
      </c>
      <c r="G2927" s="6">
        <v>0</v>
      </c>
      <c r="H2927" s="6">
        <v>0</v>
      </c>
      <c r="I2927" s="6">
        <v>0</v>
      </c>
    </row>
    <row r="2928" spans="1:9">
      <c r="A2928" s="6">
        <v>1</v>
      </c>
      <c r="B2928" s="6" t="str">
        <f t="shared" si="90"/>
        <v>Paddy</v>
      </c>
      <c r="C2928" s="6">
        <v>46</v>
      </c>
      <c r="D2928" s="6" t="str">
        <f t="shared" si="91"/>
        <v>Water Works and Supply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</row>
    <row r="2929" spans="1:9">
      <c r="A2929" s="6">
        <v>2</v>
      </c>
      <c r="B2929" s="6" t="str">
        <f t="shared" si="90"/>
        <v>Maize</v>
      </c>
      <c r="C2929" s="6">
        <v>46</v>
      </c>
      <c r="D2929" s="6" t="str">
        <f t="shared" si="91"/>
        <v>Water Works and Supply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</row>
    <row r="2930" spans="1:9">
      <c r="A2930" s="6">
        <v>3</v>
      </c>
      <c r="B2930" s="6" t="str">
        <f t="shared" si="90"/>
        <v>Cassava</v>
      </c>
      <c r="C2930" s="6">
        <v>46</v>
      </c>
      <c r="D2930" s="6" t="str">
        <f t="shared" si="91"/>
        <v>Water Works and Supply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</row>
    <row r="2931" spans="1:9">
      <c r="A2931" s="6">
        <v>4</v>
      </c>
      <c r="B2931" s="6" t="str">
        <f t="shared" si="90"/>
        <v>Beans and Nuts</v>
      </c>
      <c r="C2931" s="6">
        <v>46</v>
      </c>
      <c r="D2931" s="6" t="str">
        <f t="shared" si="91"/>
        <v>Water Works and Supply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</row>
    <row r="2932" spans="1:9">
      <c r="A2932" s="6">
        <v>5</v>
      </c>
      <c r="B2932" s="6" t="str">
        <f t="shared" si="90"/>
        <v>Vegetables and Fruits</v>
      </c>
      <c r="C2932" s="6">
        <v>46</v>
      </c>
      <c r="D2932" s="6" t="str">
        <f t="shared" si="91"/>
        <v>Water Works and Supply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</row>
    <row r="2933" spans="1:9">
      <c r="A2933" s="6">
        <v>6</v>
      </c>
      <c r="B2933" s="6" t="str">
        <f t="shared" si="90"/>
        <v>Sugarcane</v>
      </c>
      <c r="C2933" s="6">
        <v>46</v>
      </c>
      <c r="D2933" s="6" t="str">
        <f t="shared" si="91"/>
        <v>Water Works and Supply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</row>
    <row r="2934" spans="1:9">
      <c r="A2934" s="6">
        <v>7</v>
      </c>
      <c r="B2934" s="6" t="str">
        <f t="shared" si="90"/>
        <v>Rubber (Latex)</v>
      </c>
      <c r="C2934" s="6">
        <v>46</v>
      </c>
      <c r="D2934" s="6" t="str">
        <f t="shared" si="91"/>
        <v>Water Works and Supply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</row>
    <row r="2935" spans="1:9">
      <c r="A2935" s="6">
        <v>8</v>
      </c>
      <c r="B2935" s="6" t="str">
        <f t="shared" si="90"/>
        <v>Other Crops</v>
      </c>
      <c r="C2935" s="6">
        <v>46</v>
      </c>
      <c r="D2935" s="6" t="str">
        <f t="shared" si="91"/>
        <v>Water Works and Supply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</row>
    <row r="2936" spans="1:9">
      <c r="A2936" s="6">
        <v>9</v>
      </c>
      <c r="B2936" s="6" t="str">
        <f t="shared" si="90"/>
        <v>Livestock</v>
      </c>
      <c r="C2936" s="6">
        <v>46</v>
      </c>
      <c r="D2936" s="6" t="str">
        <f t="shared" si="91"/>
        <v>Water Works and Supply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</row>
    <row r="2937" spans="1:9">
      <c r="A2937" s="6">
        <v>10</v>
      </c>
      <c r="B2937" s="6" t="str">
        <f t="shared" si="90"/>
        <v>Forestry</v>
      </c>
      <c r="C2937" s="6">
        <v>46</v>
      </c>
      <c r="D2937" s="6" t="str">
        <f t="shared" si="91"/>
        <v>Water Works and Supply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</row>
    <row r="2938" spans="1:9">
      <c r="A2938" s="6">
        <v>11</v>
      </c>
      <c r="B2938" s="6" t="str">
        <f t="shared" si="90"/>
        <v>Fishery</v>
      </c>
      <c r="C2938" s="6">
        <v>46</v>
      </c>
      <c r="D2938" s="6" t="str">
        <f t="shared" si="91"/>
        <v>Water Works and Supply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</row>
    <row r="2939" spans="1:9">
      <c r="A2939" s="6">
        <v>12</v>
      </c>
      <c r="B2939" s="6" t="str">
        <f t="shared" si="90"/>
        <v>Crude Oil and Coal</v>
      </c>
      <c r="C2939" s="6">
        <v>46</v>
      </c>
      <c r="D2939" s="6" t="str">
        <f t="shared" si="91"/>
        <v>Water Works and Supply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</row>
    <row r="2940" spans="1:9">
      <c r="A2940" s="6">
        <v>13</v>
      </c>
      <c r="B2940" s="6" t="str">
        <f t="shared" si="90"/>
        <v>Metal Ore</v>
      </c>
      <c r="C2940" s="6">
        <v>46</v>
      </c>
      <c r="D2940" s="6" t="str">
        <f t="shared" si="91"/>
        <v>Water Works and Supply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</row>
    <row r="2941" spans="1:9">
      <c r="A2941" s="6">
        <v>14</v>
      </c>
      <c r="B2941" s="6" t="str">
        <f t="shared" si="90"/>
        <v>Non-Metal Ore</v>
      </c>
      <c r="C2941" s="6">
        <v>46</v>
      </c>
      <c r="D2941" s="6" t="str">
        <f t="shared" si="91"/>
        <v>Water Works and Supply</v>
      </c>
      <c r="E2941" s="6">
        <v>45871</v>
      </c>
      <c r="F2941" s="6">
        <v>3609</v>
      </c>
      <c r="G2941" s="6">
        <v>3988</v>
      </c>
      <c r="H2941" s="6">
        <v>884</v>
      </c>
      <c r="I2941" s="6">
        <v>0</v>
      </c>
    </row>
    <row r="2942" spans="1:9">
      <c r="A2942" s="6">
        <v>15</v>
      </c>
      <c r="B2942" s="6" t="str">
        <f t="shared" si="90"/>
        <v>Slaughtering</v>
      </c>
      <c r="C2942" s="6">
        <v>46</v>
      </c>
      <c r="D2942" s="6" t="str">
        <f t="shared" si="91"/>
        <v>Water Works and Supply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</row>
    <row r="2943" spans="1:9">
      <c r="A2943" s="6">
        <v>16</v>
      </c>
      <c r="B2943" s="6" t="str">
        <f t="shared" si="90"/>
        <v>Processing and Presering of Foods</v>
      </c>
      <c r="C2943" s="6">
        <v>46</v>
      </c>
      <c r="D2943" s="6" t="str">
        <f t="shared" si="91"/>
        <v>Water Works and Supply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</row>
    <row r="2944" spans="1:9">
      <c r="A2944" s="6">
        <v>17</v>
      </c>
      <c r="B2944" s="6" t="str">
        <f t="shared" si="90"/>
        <v>Rice and Other Grain Milling</v>
      </c>
      <c r="C2944" s="6">
        <v>46</v>
      </c>
      <c r="D2944" s="6" t="str">
        <f t="shared" si="91"/>
        <v>Water Works and Supply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</row>
    <row r="2945" spans="1:9">
      <c r="A2945" s="6">
        <v>18</v>
      </c>
      <c r="B2945" s="6" t="str">
        <f t="shared" si="90"/>
        <v>Sugar Refineries</v>
      </c>
      <c r="C2945" s="6">
        <v>46</v>
      </c>
      <c r="D2945" s="6" t="str">
        <f t="shared" si="91"/>
        <v>Water Works and Supply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</row>
    <row r="2946" spans="1:9">
      <c r="A2946" s="6">
        <v>19</v>
      </c>
      <c r="B2946" s="6" t="str">
        <f t="shared" si="90"/>
        <v>Other Foods</v>
      </c>
      <c r="C2946" s="6">
        <v>46</v>
      </c>
      <c r="D2946" s="6" t="str">
        <f t="shared" si="91"/>
        <v>Water Works and Supply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</row>
    <row r="2947" spans="1:9">
      <c r="A2947" s="6">
        <v>20</v>
      </c>
      <c r="B2947" s="6" t="str">
        <f t="shared" si="90"/>
        <v>Animal Food</v>
      </c>
      <c r="C2947" s="6">
        <v>46</v>
      </c>
      <c r="D2947" s="6" t="str">
        <f t="shared" si="91"/>
        <v>Water Works and Supply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</row>
    <row r="2948" spans="1:9">
      <c r="A2948" s="6">
        <v>21</v>
      </c>
      <c r="B2948" s="6" t="str">
        <f t="shared" ref="B2948:B3011" si="92">VLOOKUP(A2948,R:S,2,0)</f>
        <v>Beverages</v>
      </c>
      <c r="C2948" s="6">
        <v>46</v>
      </c>
      <c r="D2948" s="6" t="str">
        <f t="shared" ref="D2948:D3011" si="93">VLOOKUP(C2948,R:S,2,0)</f>
        <v>Water Works and Supply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</row>
    <row r="2949" spans="1:9">
      <c r="A2949" s="6">
        <v>22</v>
      </c>
      <c r="B2949" s="6" t="str">
        <f t="shared" si="92"/>
        <v>Tobacco Processing and Products</v>
      </c>
      <c r="C2949" s="6">
        <v>46</v>
      </c>
      <c r="D2949" s="6" t="str">
        <f t="shared" si="93"/>
        <v>Water Works and Supply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</row>
    <row r="2950" spans="1:9">
      <c r="A2950" s="6">
        <v>23</v>
      </c>
      <c r="B2950" s="6" t="str">
        <f t="shared" si="92"/>
        <v>Spinning, Weaving and Bleaching</v>
      </c>
      <c r="C2950" s="6">
        <v>46</v>
      </c>
      <c r="D2950" s="6" t="str">
        <f t="shared" si="93"/>
        <v>Water Works and Supply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</row>
    <row r="2951" spans="1:9">
      <c r="A2951" s="6">
        <v>24</v>
      </c>
      <c r="B2951" s="6" t="str">
        <f t="shared" si="92"/>
        <v>Textile Products</v>
      </c>
      <c r="C2951" s="6">
        <v>46</v>
      </c>
      <c r="D2951" s="6" t="str">
        <f t="shared" si="93"/>
        <v>Water Works and Supply</v>
      </c>
      <c r="E2951" s="6">
        <v>18049</v>
      </c>
      <c r="F2951" s="6">
        <v>2856</v>
      </c>
      <c r="G2951" s="6">
        <v>2203</v>
      </c>
      <c r="H2951" s="6">
        <v>243</v>
      </c>
      <c r="I2951" s="6">
        <v>1645</v>
      </c>
    </row>
    <row r="2952" spans="1:9">
      <c r="A2952" s="6">
        <v>25</v>
      </c>
      <c r="B2952" s="6" t="str">
        <f t="shared" si="92"/>
        <v>Paper and Paper Products</v>
      </c>
      <c r="C2952" s="6">
        <v>46</v>
      </c>
      <c r="D2952" s="6" t="str">
        <f t="shared" si="93"/>
        <v>Water Works and Supply</v>
      </c>
      <c r="E2952" s="6">
        <v>21712</v>
      </c>
      <c r="F2952" s="6">
        <v>1452</v>
      </c>
      <c r="G2952" s="6">
        <v>1456</v>
      </c>
      <c r="H2952" s="6">
        <v>260</v>
      </c>
      <c r="I2952" s="6">
        <v>0</v>
      </c>
    </row>
    <row r="2953" spans="1:9">
      <c r="A2953" s="6">
        <v>26</v>
      </c>
      <c r="B2953" s="6" t="str">
        <f t="shared" si="92"/>
        <v>Printing and Publishing</v>
      </c>
      <c r="C2953" s="6">
        <v>46</v>
      </c>
      <c r="D2953" s="6" t="str">
        <f t="shared" si="93"/>
        <v>Water Works and Supply</v>
      </c>
      <c r="E2953" s="6">
        <v>2135</v>
      </c>
      <c r="F2953" s="6">
        <v>98</v>
      </c>
      <c r="G2953" s="6">
        <v>205</v>
      </c>
      <c r="H2953" s="6">
        <v>19</v>
      </c>
      <c r="I2953" s="6">
        <v>0</v>
      </c>
    </row>
    <row r="2954" spans="1:9">
      <c r="A2954" s="6">
        <v>27</v>
      </c>
      <c r="B2954" s="6" t="str">
        <f t="shared" si="92"/>
        <v>Basic Chemical Products</v>
      </c>
      <c r="C2954" s="6">
        <v>46</v>
      </c>
      <c r="D2954" s="6" t="str">
        <f t="shared" si="93"/>
        <v>Water Works and Supply</v>
      </c>
      <c r="E2954" s="6">
        <v>3536388</v>
      </c>
      <c r="F2954" s="6">
        <v>251499</v>
      </c>
      <c r="G2954" s="6">
        <v>117721</v>
      </c>
      <c r="H2954" s="6">
        <v>68676</v>
      </c>
      <c r="I2954" s="6">
        <v>2656674</v>
      </c>
    </row>
    <row r="2955" spans="1:9">
      <c r="A2955" s="6">
        <v>28</v>
      </c>
      <c r="B2955" s="6" t="str">
        <f t="shared" si="92"/>
        <v>Fertilizer and Pesticides</v>
      </c>
      <c r="C2955" s="6">
        <v>46</v>
      </c>
      <c r="D2955" s="6" t="str">
        <f t="shared" si="93"/>
        <v>Water Works and Supply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</row>
    <row r="2956" spans="1:9">
      <c r="A2956" s="6">
        <v>29</v>
      </c>
      <c r="B2956" s="6" t="str">
        <f t="shared" si="92"/>
        <v>Other Chemical Products</v>
      </c>
      <c r="C2956" s="6">
        <v>46</v>
      </c>
      <c r="D2956" s="6" t="str">
        <f t="shared" si="93"/>
        <v>Water Works and Supply</v>
      </c>
      <c r="E2956" s="6">
        <v>11416</v>
      </c>
      <c r="F2956" s="6">
        <v>805</v>
      </c>
      <c r="G2956" s="6">
        <v>1367</v>
      </c>
      <c r="H2956" s="6">
        <v>225</v>
      </c>
      <c r="I2956" s="6">
        <v>7615</v>
      </c>
    </row>
    <row r="2957" spans="1:9">
      <c r="A2957" s="6">
        <v>30</v>
      </c>
      <c r="B2957" s="6" t="str">
        <f t="shared" si="92"/>
        <v>Petroleum Refineries</v>
      </c>
      <c r="C2957" s="6">
        <v>46</v>
      </c>
      <c r="D2957" s="6" t="str">
        <f t="shared" si="93"/>
        <v>Water Works and Supply</v>
      </c>
      <c r="E2957" s="6">
        <v>457457</v>
      </c>
      <c r="F2957" s="6">
        <v>18971</v>
      </c>
      <c r="G2957" s="6">
        <v>7755</v>
      </c>
      <c r="H2957" s="6">
        <v>4216</v>
      </c>
      <c r="I2957" s="6">
        <v>90419</v>
      </c>
    </row>
    <row r="2958" spans="1:9">
      <c r="A2958" s="6">
        <v>31</v>
      </c>
      <c r="B2958" s="6" t="str">
        <f t="shared" si="92"/>
        <v>Rubber Products</v>
      </c>
      <c r="C2958" s="6">
        <v>46</v>
      </c>
      <c r="D2958" s="6" t="str">
        <f t="shared" si="93"/>
        <v>Water Works and Supply</v>
      </c>
      <c r="E2958" s="6">
        <v>4145</v>
      </c>
      <c r="F2958" s="6">
        <v>324</v>
      </c>
      <c r="G2958" s="6">
        <v>630</v>
      </c>
      <c r="H2958" s="6">
        <v>112</v>
      </c>
      <c r="I2958" s="6">
        <v>0</v>
      </c>
    </row>
    <row r="2959" spans="1:9">
      <c r="A2959" s="6">
        <v>32</v>
      </c>
      <c r="B2959" s="6" t="str">
        <f t="shared" si="92"/>
        <v>Plastic Wares</v>
      </c>
      <c r="C2959" s="6">
        <v>46</v>
      </c>
      <c r="D2959" s="6" t="str">
        <f t="shared" si="93"/>
        <v>Water Works and Supply</v>
      </c>
      <c r="E2959" s="6">
        <v>635081</v>
      </c>
      <c r="F2959" s="6">
        <v>25088</v>
      </c>
      <c r="G2959" s="6">
        <v>19003</v>
      </c>
      <c r="H2959" s="6">
        <v>4227</v>
      </c>
      <c r="I2959" s="6">
        <v>155981</v>
      </c>
    </row>
    <row r="2960" spans="1:9">
      <c r="A2960" s="6">
        <v>33</v>
      </c>
      <c r="B2960" s="6" t="str">
        <f t="shared" si="92"/>
        <v>Cement and Concrete Products</v>
      </c>
      <c r="C2960" s="6">
        <v>46</v>
      </c>
      <c r="D2960" s="6" t="str">
        <f t="shared" si="93"/>
        <v>Water Works and Supply</v>
      </c>
      <c r="E2960" s="6">
        <v>491784</v>
      </c>
      <c r="F2960" s="6">
        <v>36939</v>
      </c>
      <c r="G2960" s="6">
        <v>36070</v>
      </c>
      <c r="H2960" s="6">
        <v>8770</v>
      </c>
      <c r="I2960" s="6">
        <v>0</v>
      </c>
    </row>
    <row r="2961" spans="1:9">
      <c r="A2961" s="6">
        <v>34</v>
      </c>
      <c r="B2961" s="6" t="str">
        <f t="shared" si="92"/>
        <v>Other Non-metallic Products</v>
      </c>
      <c r="C2961" s="6">
        <v>46</v>
      </c>
      <c r="D2961" s="6" t="str">
        <f t="shared" si="93"/>
        <v>Water Works and Supply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</row>
    <row r="2962" spans="1:9">
      <c r="A2962" s="6">
        <v>35</v>
      </c>
      <c r="B2962" s="6" t="str">
        <f t="shared" si="92"/>
        <v>Iron and Steel</v>
      </c>
      <c r="C2962" s="6">
        <v>46</v>
      </c>
      <c r="D2962" s="6" t="str">
        <f t="shared" si="93"/>
        <v>Water Works and Supply</v>
      </c>
      <c r="E2962" s="6">
        <v>9410</v>
      </c>
      <c r="F2962" s="6">
        <v>712</v>
      </c>
      <c r="G2962" s="6">
        <v>772</v>
      </c>
      <c r="H2962" s="6">
        <v>117</v>
      </c>
      <c r="I2962" s="6">
        <v>0</v>
      </c>
    </row>
    <row r="2963" spans="1:9">
      <c r="A2963" s="6">
        <v>36</v>
      </c>
      <c r="B2963" s="6" t="str">
        <f t="shared" si="92"/>
        <v>Non-ferrous Metal</v>
      </c>
      <c r="C2963" s="6">
        <v>46</v>
      </c>
      <c r="D2963" s="6" t="str">
        <f t="shared" si="93"/>
        <v>Water Works and Supply</v>
      </c>
      <c r="E2963" s="6">
        <v>3743</v>
      </c>
      <c r="F2963" s="6">
        <v>167</v>
      </c>
      <c r="G2963" s="6">
        <v>92</v>
      </c>
      <c r="H2963" s="6">
        <v>6</v>
      </c>
      <c r="I2963" s="6">
        <v>2233</v>
      </c>
    </row>
    <row r="2964" spans="1:9">
      <c r="A2964" s="6">
        <v>37</v>
      </c>
      <c r="B2964" s="6" t="str">
        <f t="shared" si="92"/>
        <v>Fabricated Metal Products</v>
      </c>
      <c r="C2964" s="6">
        <v>46</v>
      </c>
      <c r="D2964" s="6" t="str">
        <f t="shared" si="93"/>
        <v>Water Works and Supply</v>
      </c>
      <c r="E2964" s="6">
        <v>94292</v>
      </c>
      <c r="F2964" s="6">
        <v>1622</v>
      </c>
      <c r="G2964" s="6">
        <v>6051</v>
      </c>
      <c r="H2964" s="6">
        <v>231</v>
      </c>
      <c r="I2964" s="6">
        <v>78878</v>
      </c>
    </row>
    <row r="2965" spans="1:9">
      <c r="A2965" s="6">
        <v>38</v>
      </c>
      <c r="B2965" s="6" t="str">
        <f t="shared" si="92"/>
        <v>Industrial Machinery</v>
      </c>
      <c r="C2965" s="6">
        <v>46</v>
      </c>
      <c r="D2965" s="6" t="str">
        <f t="shared" si="93"/>
        <v>Water Works and Supply</v>
      </c>
      <c r="E2965" s="6">
        <v>40066</v>
      </c>
      <c r="F2965" s="6">
        <v>3224</v>
      </c>
      <c r="G2965" s="6">
        <v>0</v>
      </c>
      <c r="H2965" s="6">
        <v>455</v>
      </c>
      <c r="I2965" s="6">
        <v>0</v>
      </c>
    </row>
    <row r="2966" spans="1:9">
      <c r="A2966" s="6">
        <v>39</v>
      </c>
      <c r="B2966" s="6" t="str">
        <f t="shared" si="92"/>
        <v>Electrical Machinery and Apparatus</v>
      </c>
      <c r="C2966" s="6">
        <v>46</v>
      </c>
      <c r="D2966" s="6" t="str">
        <f t="shared" si="93"/>
        <v>Water Works and Supply</v>
      </c>
      <c r="E2966" s="6">
        <v>59838</v>
      </c>
      <c r="F2966" s="6">
        <v>3700</v>
      </c>
      <c r="G2966" s="6">
        <v>5137</v>
      </c>
      <c r="H2966" s="6">
        <v>675</v>
      </c>
      <c r="I2966" s="6">
        <v>0</v>
      </c>
    </row>
    <row r="2967" spans="1:9">
      <c r="A2967" s="6">
        <v>40</v>
      </c>
      <c r="B2967" s="6" t="str">
        <f t="shared" si="92"/>
        <v>Motor Vehicles and Repairing</v>
      </c>
      <c r="C2967" s="6">
        <v>46</v>
      </c>
      <c r="D2967" s="6" t="str">
        <f t="shared" si="93"/>
        <v>Water Works and Supply</v>
      </c>
      <c r="E2967" s="6">
        <v>78856</v>
      </c>
      <c r="F2967" s="6">
        <v>615</v>
      </c>
      <c r="G2967" s="6">
        <v>0</v>
      </c>
      <c r="H2967" s="6">
        <v>60</v>
      </c>
      <c r="I2967" s="6">
        <v>0</v>
      </c>
    </row>
    <row r="2968" spans="1:9">
      <c r="A2968" s="6">
        <v>41</v>
      </c>
      <c r="B2968" s="6" t="str">
        <f t="shared" si="92"/>
        <v>Other Transportation Equipment</v>
      </c>
      <c r="C2968" s="6">
        <v>46</v>
      </c>
      <c r="D2968" s="6" t="str">
        <f t="shared" si="93"/>
        <v>Water Works and Supply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</row>
    <row r="2969" spans="1:9">
      <c r="A2969" s="6">
        <v>42</v>
      </c>
      <c r="B2969" s="6" t="str">
        <f t="shared" si="92"/>
        <v>Leather Products</v>
      </c>
      <c r="C2969" s="6">
        <v>46</v>
      </c>
      <c r="D2969" s="6" t="str">
        <f t="shared" si="93"/>
        <v>Water Works and Supply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</row>
    <row r="2970" spans="1:9">
      <c r="A2970" s="6">
        <v>43</v>
      </c>
      <c r="B2970" s="6" t="str">
        <f t="shared" si="92"/>
        <v>Saw Mills and Wood Products</v>
      </c>
      <c r="C2970" s="6">
        <v>46</v>
      </c>
      <c r="D2970" s="6" t="str">
        <f t="shared" si="93"/>
        <v>Water Works and Supply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</row>
    <row r="2971" spans="1:9">
      <c r="A2971" s="6">
        <v>44</v>
      </c>
      <c r="B2971" s="6" t="str">
        <f t="shared" si="92"/>
        <v>Other Manufacturing Products</v>
      </c>
      <c r="C2971" s="6">
        <v>46</v>
      </c>
      <c r="D2971" s="6" t="str">
        <f t="shared" si="93"/>
        <v>Water Works and Supply</v>
      </c>
      <c r="E2971" s="6">
        <v>296447</v>
      </c>
      <c r="F2971" s="6">
        <v>10962</v>
      </c>
      <c r="G2971" s="6">
        <v>16652</v>
      </c>
      <c r="H2971" s="6">
        <v>2013</v>
      </c>
      <c r="I2971" s="6">
        <v>128333</v>
      </c>
    </row>
    <row r="2972" spans="1:9">
      <c r="A2972" s="6">
        <v>45</v>
      </c>
      <c r="B2972" s="6" t="str">
        <f t="shared" si="92"/>
        <v>Electricity and Gas</v>
      </c>
      <c r="C2972" s="6">
        <v>46</v>
      </c>
      <c r="D2972" s="6" t="str">
        <f t="shared" si="93"/>
        <v>Water Works and Supply</v>
      </c>
      <c r="E2972" s="6">
        <v>8191830</v>
      </c>
      <c r="F2972" s="6">
        <v>0</v>
      </c>
      <c r="G2972" s="6">
        <v>0</v>
      </c>
      <c r="H2972" s="6">
        <v>0</v>
      </c>
      <c r="I2972" s="6">
        <v>0</v>
      </c>
    </row>
    <row r="2973" spans="1:9">
      <c r="A2973" s="6">
        <v>46</v>
      </c>
      <c r="B2973" s="6" t="str">
        <f t="shared" si="92"/>
        <v>Water Works and Supply</v>
      </c>
      <c r="C2973" s="6">
        <v>46</v>
      </c>
      <c r="D2973" s="6" t="str">
        <f t="shared" si="93"/>
        <v>Water Works and Supply</v>
      </c>
      <c r="E2973" s="6">
        <v>2240731</v>
      </c>
      <c r="F2973" s="6">
        <v>0</v>
      </c>
      <c r="G2973" s="6">
        <v>0</v>
      </c>
      <c r="H2973" s="6">
        <v>0</v>
      </c>
      <c r="I2973" s="6">
        <v>0</v>
      </c>
    </row>
    <row r="2974" spans="1:9">
      <c r="A2974" s="6">
        <v>47</v>
      </c>
      <c r="B2974" s="6" t="str">
        <f t="shared" si="92"/>
        <v>Building Construction</v>
      </c>
      <c r="C2974" s="6">
        <v>46</v>
      </c>
      <c r="D2974" s="6" t="str">
        <f t="shared" si="93"/>
        <v>Water Works and Supply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</row>
    <row r="2975" spans="1:9">
      <c r="A2975" s="6">
        <v>48</v>
      </c>
      <c r="B2975" s="6" t="str">
        <f t="shared" si="92"/>
        <v>Public Works and Other Construction</v>
      </c>
      <c r="C2975" s="6">
        <v>46</v>
      </c>
      <c r="D2975" s="6" t="str">
        <f t="shared" si="93"/>
        <v>Water Works and Supply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</row>
    <row r="2976" spans="1:9">
      <c r="A2976" s="6">
        <v>49</v>
      </c>
      <c r="B2976" s="6" t="str">
        <f t="shared" si="92"/>
        <v>Trade</v>
      </c>
      <c r="C2976" s="6">
        <v>46</v>
      </c>
      <c r="D2976" s="6" t="str">
        <f t="shared" si="93"/>
        <v>Water Works and Supply</v>
      </c>
      <c r="E2976" s="6">
        <v>0</v>
      </c>
      <c r="F2976" s="6">
        <v>-362643</v>
      </c>
      <c r="G2976" s="6">
        <v>-219102</v>
      </c>
      <c r="H2976" s="6">
        <v>0</v>
      </c>
      <c r="I2976" s="6">
        <v>0</v>
      </c>
    </row>
    <row r="2977" spans="1:9">
      <c r="A2977" s="6">
        <v>50</v>
      </c>
      <c r="B2977" s="6" t="str">
        <f t="shared" si="92"/>
        <v>Restaurants and Hotels</v>
      </c>
      <c r="C2977" s="6">
        <v>46</v>
      </c>
      <c r="D2977" s="6" t="str">
        <f t="shared" si="93"/>
        <v>Water Works and Supply</v>
      </c>
      <c r="E2977" s="6">
        <v>41242</v>
      </c>
      <c r="F2977" s="6">
        <v>0</v>
      </c>
      <c r="G2977" s="6">
        <v>0</v>
      </c>
      <c r="H2977" s="6">
        <v>0</v>
      </c>
      <c r="I2977" s="6">
        <v>0</v>
      </c>
    </row>
    <row r="2978" spans="1:9">
      <c r="A2978" s="6">
        <v>51</v>
      </c>
      <c r="B2978" s="6" t="str">
        <f t="shared" si="92"/>
        <v>Transportation</v>
      </c>
      <c r="C2978" s="6">
        <v>46</v>
      </c>
      <c r="D2978" s="6" t="str">
        <f t="shared" si="93"/>
        <v>Water Works and Supply</v>
      </c>
      <c r="E2978" s="6">
        <v>11795</v>
      </c>
      <c r="F2978" s="6">
        <v>0</v>
      </c>
      <c r="G2978" s="6">
        <v>0</v>
      </c>
      <c r="H2978" s="6">
        <v>-91189</v>
      </c>
      <c r="I2978" s="6">
        <v>0</v>
      </c>
    </row>
    <row r="2979" spans="1:9">
      <c r="A2979" s="6">
        <v>52</v>
      </c>
      <c r="B2979" s="6" t="str">
        <f t="shared" si="92"/>
        <v>Communication</v>
      </c>
      <c r="C2979" s="6">
        <v>46</v>
      </c>
      <c r="D2979" s="6" t="str">
        <f t="shared" si="93"/>
        <v>Water Works and Supply</v>
      </c>
      <c r="E2979" s="6">
        <v>4574</v>
      </c>
      <c r="F2979" s="6">
        <v>0</v>
      </c>
      <c r="G2979" s="6">
        <v>0</v>
      </c>
      <c r="H2979" s="6">
        <v>0</v>
      </c>
      <c r="I2979" s="6">
        <v>0</v>
      </c>
    </row>
    <row r="2980" spans="1:9">
      <c r="A2980" s="6">
        <v>53</v>
      </c>
      <c r="B2980" s="6" t="str">
        <f t="shared" si="92"/>
        <v>Banking and Insurance</v>
      </c>
      <c r="C2980" s="6">
        <v>46</v>
      </c>
      <c r="D2980" s="6" t="str">
        <f t="shared" si="93"/>
        <v>Water Works and Supply</v>
      </c>
      <c r="E2980" s="6">
        <v>4895112</v>
      </c>
      <c r="F2980" s="6">
        <v>0</v>
      </c>
      <c r="G2980" s="6">
        <v>0</v>
      </c>
      <c r="H2980" s="6">
        <v>0</v>
      </c>
      <c r="I2980" s="6">
        <v>0</v>
      </c>
    </row>
    <row r="2981" spans="1:9">
      <c r="A2981" s="6">
        <v>54</v>
      </c>
      <c r="B2981" s="6" t="str">
        <f t="shared" si="92"/>
        <v>Real Estate</v>
      </c>
      <c r="C2981" s="6">
        <v>46</v>
      </c>
      <c r="D2981" s="6" t="str">
        <f t="shared" si="93"/>
        <v>Water Works and Supply</v>
      </c>
      <c r="E2981" s="6">
        <v>2524</v>
      </c>
      <c r="F2981" s="6">
        <v>0</v>
      </c>
      <c r="G2981" s="6">
        <v>0</v>
      </c>
      <c r="H2981" s="6">
        <v>0</v>
      </c>
      <c r="I2981" s="6">
        <v>0</v>
      </c>
    </row>
    <row r="2982" spans="1:9">
      <c r="A2982" s="6">
        <v>55</v>
      </c>
      <c r="B2982" s="6" t="str">
        <f t="shared" si="92"/>
        <v>Business Services</v>
      </c>
      <c r="C2982" s="6">
        <v>46</v>
      </c>
      <c r="D2982" s="6" t="str">
        <f t="shared" si="93"/>
        <v>Water Works and Supply</v>
      </c>
      <c r="E2982" s="6">
        <v>1425035</v>
      </c>
      <c r="F2982" s="6">
        <v>0</v>
      </c>
      <c r="G2982" s="6">
        <v>0</v>
      </c>
      <c r="H2982" s="6">
        <v>0</v>
      </c>
      <c r="I2982" s="6">
        <v>0</v>
      </c>
    </row>
    <row r="2983" spans="1:9">
      <c r="A2983" s="6">
        <v>56</v>
      </c>
      <c r="B2983" s="6" t="str">
        <f t="shared" si="92"/>
        <v>Public Services</v>
      </c>
      <c r="C2983" s="6">
        <v>46</v>
      </c>
      <c r="D2983" s="6" t="str">
        <f t="shared" si="93"/>
        <v>Water Works and Supply</v>
      </c>
      <c r="E2983" s="6">
        <v>220223</v>
      </c>
      <c r="F2983" s="6">
        <v>0</v>
      </c>
      <c r="G2983" s="6">
        <v>0</v>
      </c>
      <c r="H2983" s="6">
        <v>0</v>
      </c>
      <c r="I2983" s="6">
        <v>0</v>
      </c>
    </row>
    <row r="2984" spans="1:9">
      <c r="A2984" s="6">
        <v>57</v>
      </c>
      <c r="B2984" s="6" t="str">
        <f t="shared" si="92"/>
        <v>Other Services</v>
      </c>
      <c r="C2984" s="6">
        <v>46</v>
      </c>
      <c r="D2984" s="6" t="str">
        <f t="shared" si="93"/>
        <v>Water Works and Supply</v>
      </c>
      <c r="E2984" s="6">
        <v>793616</v>
      </c>
      <c r="F2984" s="6">
        <v>0</v>
      </c>
      <c r="G2984" s="6">
        <v>0</v>
      </c>
      <c r="H2984" s="6">
        <v>0</v>
      </c>
      <c r="I2984" s="6">
        <v>0</v>
      </c>
    </row>
    <row r="2985" spans="1:9">
      <c r="A2985" s="6">
        <v>58</v>
      </c>
      <c r="B2985" s="6" t="str">
        <f t="shared" si="92"/>
        <v>Unclassified</v>
      </c>
      <c r="C2985" s="6">
        <v>46</v>
      </c>
      <c r="D2985" s="6" t="str">
        <f t="shared" si="93"/>
        <v>Water Works and Supply</v>
      </c>
      <c r="E2985" s="6">
        <v>906464</v>
      </c>
      <c r="F2985" s="6">
        <v>0</v>
      </c>
      <c r="G2985" s="6">
        <v>0</v>
      </c>
      <c r="H2985" s="6">
        <v>0</v>
      </c>
      <c r="I2985" s="6">
        <v>90426</v>
      </c>
    </row>
    <row r="2986" spans="1:9">
      <c r="A2986" s="6">
        <v>190</v>
      </c>
      <c r="B2986" s="6" t="str">
        <f t="shared" si="92"/>
        <v>Total Intermedite Transaction</v>
      </c>
      <c r="C2986" s="6">
        <v>46</v>
      </c>
      <c r="D2986" s="6" t="str">
        <f t="shared" si="93"/>
        <v>Water Works and Supply</v>
      </c>
      <c r="E2986" s="6">
        <v>24539836</v>
      </c>
      <c r="F2986" s="6">
        <v>0</v>
      </c>
      <c r="G2986" s="6">
        <v>0</v>
      </c>
      <c r="H2986" s="6">
        <v>0</v>
      </c>
      <c r="I2986" s="6">
        <v>3212204</v>
      </c>
    </row>
    <row r="2987" spans="1:9">
      <c r="A2987" s="6">
        <v>201</v>
      </c>
      <c r="B2987" s="6" t="str">
        <f t="shared" si="92"/>
        <v>Wages and Salaries</v>
      </c>
      <c r="C2987" s="6">
        <v>46</v>
      </c>
      <c r="D2987" s="6" t="str">
        <f t="shared" si="93"/>
        <v>Water Works and Supply</v>
      </c>
      <c r="E2987" s="6">
        <v>12984883</v>
      </c>
      <c r="F2987" s="6">
        <v>0</v>
      </c>
      <c r="G2987" s="6">
        <v>0</v>
      </c>
      <c r="H2987" s="6">
        <v>0</v>
      </c>
      <c r="I2987" s="6">
        <v>0</v>
      </c>
    </row>
    <row r="2988" spans="1:9">
      <c r="A2988" s="6">
        <v>202</v>
      </c>
      <c r="B2988" s="6" t="str">
        <f t="shared" si="92"/>
        <v>Operating Surplus</v>
      </c>
      <c r="C2988" s="6">
        <v>46</v>
      </c>
      <c r="D2988" s="6" t="str">
        <f t="shared" si="93"/>
        <v>Water Works and Supply</v>
      </c>
      <c r="E2988" s="6">
        <v>15125897</v>
      </c>
      <c r="F2988" s="6">
        <v>0</v>
      </c>
      <c r="G2988" s="6">
        <v>0</v>
      </c>
      <c r="H2988" s="6">
        <v>0</v>
      </c>
      <c r="I2988" s="6">
        <v>0</v>
      </c>
    </row>
    <row r="2989" spans="1:9">
      <c r="A2989" s="6">
        <v>203</v>
      </c>
      <c r="B2989" s="6" t="str">
        <f t="shared" si="92"/>
        <v>Depreciation</v>
      </c>
      <c r="C2989" s="6">
        <v>46</v>
      </c>
      <c r="D2989" s="6" t="str">
        <f t="shared" si="93"/>
        <v>Water Works and Supply</v>
      </c>
      <c r="E2989" s="6">
        <v>16099776</v>
      </c>
      <c r="F2989" s="6">
        <v>0</v>
      </c>
      <c r="G2989" s="6">
        <v>0</v>
      </c>
      <c r="H2989" s="6">
        <v>0</v>
      </c>
      <c r="I2989" s="6">
        <v>0</v>
      </c>
    </row>
    <row r="2990" spans="1:9">
      <c r="A2990" s="6">
        <v>204</v>
      </c>
      <c r="B2990" s="6" t="str">
        <f t="shared" si="92"/>
        <v>Indirect Taxes less Subsidies</v>
      </c>
      <c r="C2990" s="6">
        <v>46</v>
      </c>
      <c r="D2990" s="6" t="str">
        <f t="shared" si="93"/>
        <v>Water Works and Supply</v>
      </c>
      <c r="E2990" s="6">
        <v>2513142</v>
      </c>
      <c r="F2990" s="6">
        <v>0</v>
      </c>
      <c r="G2990" s="6">
        <v>0</v>
      </c>
      <c r="H2990" s="6">
        <v>0</v>
      </c>
      <c r="I2990" s="6">
        <v>0</v>
      </c>
    </row>
    <row r="2991" spans="1:9">
      <c r="A2991" s="6">
        <v>209</v>
      </c>
      <c r="B2991" s="6" t="str">
        <f t="shared" si="92"/>
        <v>Total Value Added</v>
      </c>
      <c r="C2991" s="6">
        <v>46</v>
      </c>
      <c r="D2991" s="6" t="str">
        <f t="shared" si="93"/>
        <v>Water Works and Supply</v>
      </c>
      <c r="E2991" s="6">
        <v>46723698</v>
      </c>
      <c r="F2991" s="6">
        <v>0</v>
      </c>
      <c r="G2991" s="6">
        <v>0</v>
      </c>
      <c r="H2991" s="6">
        <v>0</v>
      </c>
      <c r="I2991" s="6">
        <v>0</v>
      </c>
    </row>
    <row r="2992" spans="1:9">
      <c r="A2992" s="6">
        <v>210</v>
      </c>
      <c r="B2992" s="6" t="str">
        <f t="shared" si="92"/>
        <v>Control Total</v>
      </c>
      <c r="C2992" s="6">
        <v>46</v>
      </c>
      <c r="D2992" s="6" t="str">
        <f t="shared" si="93"/>
        <v>Water Works and Supply</v>
      </c>
      <c r="E2992" s="6">
        <v>71263534</v>
      </c>
      <c r="F2992" s="6">
        <v>0</v>
      </c>
      <c r="G2992" s="6">
        <v>0</v>
      </c>
      <c r="H2992" s="6">
        <v>0</v>
      </c>
      <c r="I2992" s="6">
        <v>0</v>
      </c>
    </row>
    <row r="2993" spans="1:9">
      <c r="A2993" s="6">
        <v>1</v>
      </c>
      <c r="B2993" s="6" t="str">
        <f t="shared" si="92"/>
        <v>Paddy</v>
      </c>
      <c r="C2993" s="6">
        <v>47</v>
      </c>
      <c r="D2993" s="6" t="str">
        <f t="shared" si="93"/>
        <v>Building Construction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</row>
    <row r="2994" spans="1:9">
      <c r="A2994" s="6">
        <v>2</v>
      </c>
      <c r="B2994" s="6" t="str">
        <f t="shared" si="92"/>
        <v>Maize</v>
      </c>
      <c r="C2994" s="6">
        <v>47</v>
      </c>
      <c r="D2994" s="6" t="str">
        <f t="shared" si="93"/>
        <v>Building Construction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</row>
    <row r="2995" spans="1:9">
      <c r="A2995" s="6">
        <v>3</v>
      </c>
      <c r="B2995" s="6" t="str">
        <f t="shared" si="92"/>
        <v>Cassava</v>
      </c>
      <c r="C2995" s="6">
        <v>47</v>
      </c>
      <c r="D2995" s="6" t="str">
        <f t="shared" si="93"/>
        <v>Building Construction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</row>
    <row r="2996" spans="1:9">
      <c r="A2996" s="6">
        <v>4</v>
      </c>
      <c r="B2996" s="6" t="str">
        <f t="shared" si="92"/>
        <v>Beans and Nuts</v>
      </c>
      <c r="C2996" s="6">
        <v>47</v>
      </c>
      <c r="D2996" s="6" t="str">
        <f t="shared" si="93"/>
        <v>Building Construction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</row>
    <row r="2997" spans="1:9">
      <c r="A2997" s="6">
        <v>5</v>
      </c>
      <c r="B2997" s="6" t="str">
        <f t="shared" si="92"/>
        <v>Vegetables and Fruits</v>
      </c>
      <c r="C2997" s="6">
        <v>47</v>
      </c>
      <c r="D2997" s="6" t="str">
        <f t="shared" si="93"/>
        <v>Building Construction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</row>
    <row r="2998" spans="1:9">
      <c r="A2998" s="6">
        <v>6</v>
      </c>
      <c r="B2998" s="6" t="str">
        <f t="shared" si="92"/>
        <v>Sugarcane</v>
      </c>
      <c r="C2998" s="6">
        <v>47</v>
      </c>
      <c r="D2998" s="6" t="str">
        <f t="shared" si="93"/>
        <v>Building Construction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</row>
    <row r="2999" spans="1:9">
      <c r="A2999" s="6">
        <v>7</v>
      </c>
      <c r="B2999" s="6" t="str">
        <f t="shared" si="92"/>
        <v>Rubber (Latex)</v>
      </c>
      <c r="C2999" s="6">
        <v>47</v>
      </c>
      <c r="D2999" s="6" t="str">
        <f t="shared" si="93"/>
        <v>Building Construction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</row>
    <row r="3000" spans="1:9">
      <c r="A3000" s="6">
        <v>8</v>
      </c>
      <c r="B3000" s="6" t="str">
        <f t="shared" si="92"/>
        <v>Other Crops</v>
      </c>
      <c r="C3000" s="6">
        <v>47</v>
      </c>
      <c r="D3000" s="6" t="str">
        <f t="shared" si="93"/>
        <v>Building Construction</v>
      </c>
      <c r="E3000" s="6">
        <v>33565</v>
      </c>
      <c r="F3000" s="6">
        <v>5660</v>
      </c>
      <c r="G3000" s="6">
        <v>0</v>
      </c>
      <c r="H3000" s="6">
        <v>863</v>
      </c>
      <c r="I3000" s="6">
        <v>3562</v>
      </c>
    </row>
    <row r="3001" spans="1:9">
      <c r="A3001" s="6">
        <v>9</v>
      </c>
      <c r="B3001" s="6" t="str">
        <f t="shared" si="92"/>
        <v>Livestock</v>
      </c>
      <c r="C3001" s="6">
        <v>47</v>
      </c>
      <c r="D3001" s="6" t="str">
        <f t="shared" si="93"/>
        <v>Building Construction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</row>
    <row r="3002" spans="1:9">
      <c r="A3002" s="6">
        <v>10</v>
      </c>
      <c r="B3002" s="6" t="str">
        <f t="shared" si="92"/>
        <v>Forestry</v>
      </c>
      <c r="C3002" s="6">
        <v>47</v>
      </c>
      <c r="D3002" s="6" t="str">
        <f t="shared" si="93"/>
        <v>Building Construction</v>
      </c>
      <c r="E3002" s="6">
        <v>1147176</v>
      </c>
      <c r="F3002" s="6">
        <v>101475</v>
      </c>
      <c r="G3002" s="6">
        <v>0</v>
      </c>
      <c r="H3002" s="6">
        <v>14178</v>
      </c>
      <c r="I3002" s="6">
        <v>0</v>
      </c>
    </row>
    <row r="3003" spans="1:9">
      <c r="A3003" s="6">
        <v>11</v>
      </c>
      <c r="B3003" s="6" t="str">
        <f t="shared" si="92"/>
        <v>Fishery</v>
      </c>
      <c r="C3003" s="6">
        <v>47</v>
      </c>
      <c r="D3003" s="6" t="str">
        <f t="shared" si="93"/>
        <v>Building Construction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</row>
    <row r="3004" spans="1:9">
      <c r="A3004" s="6">
        <v>12</v>
      </c>
      <c r="B3004" s="6" t="str">
        <f t="shared" si="92"/>
        <v>Crude Oil and Coal</v>
      </c>
      <c r="C3004" s="6">
        <v>47</v>
      </c>
      <c r="D3004" s="6" t="str">
        <f t="shared" si="93"/>
        <v>Building Construction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</row>
    <row r="3005" spans="1:9">
      <c r="A3005" s="6">
        <v>13</v>
      </c>
      <c r="B3005" s="6" t="str">
        <f t="shared" si="92"/>
        <v>Metal Ore</v>
      </c>
      <c r="C3005" s="6">
        <v>47</v>
      </c>
      <c r="D3005" s="6" t="str">
        <f t="shared" si="93"/>
        <v>Building Construction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</row>
    <row r="3006" spans="1:9">
      <c r="A3006" s="6">
        <v>14</v>
      </c>
      <c r="B3006" s="6" t="str">
        <f t="shared" si="92"/>
        <v>Non-Metal Ore</v>
      </c>
      <c r="C3006" s="6">
        <v>47</v>
      </c>
      <c r="D3006" s="6" t="str">
        <f t="shared" si="93"/>
        <v>Building Construction</v>
      </c>
      <c r="E3006" s="6">
        <v>28088563</v>
      </c>
      <c r="F3006" s="6">
        <v>1477861</v>
      </c>
      <c r="G3006" s="6">
        <v>714055</v>
      </c>
      <c r="H3006" s="6">
        <v>3775695</v>
      </c>
      <c r="I3006" s="6">
        <v>240037</v>
      </c>
    </row>
    <row r="3007" spans="1:9">
      <c r="A3007" s="6">
        <v>15</v>
      </c>
      <c r="B3007" s="6" t="str">
        <f t="shared" si="92"/>
        <v>Slaughtering</v>
      </c>
      <c r="C3007" s="6">
        <v>47</v>
      </c>
      <c r="D3007" s="6" t="str">
        <f t="shared" si="93"/>
        <v>Building Construction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</row>
    <row r="3008" spans="1:9">
      <c r="A3008" s="6">
        <v>16</v>
      </c>
      <c r="B3008" s="6" t="str">
        <f t="shared" si="92"/>
        <v>Processing and Presering of Foods</v>
      </c>
      <c r="C3008" s="6">
        <v>47</v>
      </c>
      <c r="D3008" s="6" t="str">
        <f t="shared" si="93"/>
        <v>Building Construction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</row>
    <row r="3009" spans="1:9">
      <c r="A3009" s="6">
        <v>17</v>
      </c>
      <c r="B3009" s="6" t="str">
        <f t="shared" si="92"/>
        <v>Rice and Other Grain Milling</v>
      </c>
      <c r="C3009" s="6">
        <v>47</v>
      </c>
      <c r="D3009" s="6" t="str">
        <f t="shared" si="93"/>
        <v>Building Construction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</row>
    <row r="3010" spans="1:9">
      <c r="A3010" s="6">
        <v>18</v>
      </c>
      <c r="B3010" s="6" t="str">
        <f t="shared" si="92"/>
        <v>Sugar Refineries</v>
      </c>
      <c r="C3010" s="6">
        <v>47</v>
      </c>
      <c r="D3010" s="6" t="str">
        <f t="shared" si="93"/>
        <v>Building Construction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</row>
    <row r="3011" spans="1:9">
      <c r="A3011" s="6">
        <v>19</v>
      </c>
      <c r="B3011" s="6" t="str">
        <f t="shared" si="92"/>
        <v>Other Foods</v>
      </c>
      <c r="C3011" s="6">
        <v>47</v>
      </c>
      <c r="D3011" s="6" t="str">
        <f t="shared" si="93"/>
        <v>Building Construction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</row>
    <row r="3012" spans="1:9">
      <c r="A3012" s="6">
        <v>20</v>
      </c>
      <c r="B3012" s="6" t="str">
        <f t="shared" ref="B3012:B3075" si="94">VLOOKUP(A3012,R:S,2,0)</f>
        <v>Animal Food</v>
      </c>
      <c r="C3012" s="6">
        <v>47</v>
      </c>
      <c r="D3012" s="6" t="str">
        <f t="shared" ref="D3012:D3075" si="95">VLOOKUP(C3012,R:S,2,0)</f>
        <v>Building Construction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</row>
    <row r="3013" spans="1:9">
      <c r="A3013" s="6">
        <v>21</v>
      </c>
      <c r="B3013" s="6" t="str">
        <f t="shared" si="94"/>
        <v>Beverages</v>
      </c>
      <c r="C3013" s="6">
        <v>47</v>
      </c>
      <c r="D3013" s="6" t="str">
        <f t="shared" si="95"/>
        <v>Building Construction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</row>
    <row r="3014" spans="1:9">
      <c r="A3014" s="6">
        <v>22</v>
      </c>
      <c r="B3014" s="6" t="str">
        <f t="shared" si="94"/>
        <v>Tobacco Processing and Products</v>
      </c>
      <c r="C3014" s="6">
        <v>47</v>
      </c>
      <c r="D3014" s="6" t="str">
        <f t="shared" si="95"/>
        <v>Building Construction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</row>
    <row r="3015" spans="1:9">
      <c r="A3015" s="6">
        <v>23</v>
      </c>
      <c r="B3015" s="6" t="str">
        <f t="shared" si="94"/>
        <v>Spinning, Weaving and Bleaching</v>
      </c>
      <c r="C3015" s="6">
        <v>47</v>
      </c>
      <c r="D3015" s="6" t="str">
        <f t="shared" si="95"/>
        <v>Building Construction</v>
      </c>
      <c r="E3015" s="6">
        <v>27543</v>
      </c>
      <c r="F3015" s="6">
        <v>4126</v>
      </c>
      <c r="G3015" s="6">
        <v>2106</v>
      </c>
      <c r="H3015" s="6">
        <v>460</v>
      </c>
      <c r="I3015" s="6">
        <v>0</v>
      </c>
    </row>
    <row r="3016" spans="1:9">
      <c r="A3016" s="6">
        <v>24</v>
      </c>
      <c r="B3016" s="6" t="str">
        <f t="shared" si="94"/>
        <v>Textile Products</v>
      </c>
      <c r="C3016" s="6">
        <v>47</v>
      </c>
      <c r="D3016" s="6" t="str">
        <f t="shared" si="95"/>
        <v>Building Construction</v>
      </c>
      <c r="E3016" s="6">
        <v>384967</v>
      </c>
      <c r="F3016" s="6">
        <v>17875</v>
      </c>
      <c r="G3016" s="6">
        <v>42377</v>
      </c>
      <c r="H3016" s="6">
        <v>3349</v>
      </c>
      <c r="I3016" s="6">
        <v>182969</v>
      </c>
    </row>
    <row r="3017" spans="1:9">
      <c r="A3017" s="6">
        <v>25</v>
      </c>
      <c r="B3017" s="6" t="str">
        <f t="shared" si="94"/>
        <v>Paper and Paper Products</v>
      </c>
      <c r="C3017" s="6">
        <v>47</v>
      </c>
      <c r="D3017" s="6" t="str">
        <f t="shared" si="95"/>
        <v>Building Construction</v>
      </c>
      <c r="E3017" s="6">
        <v>564438</v>
      </c>
      <c r="F3017" s="6">
        <v>16806</v>
      </c>
      <c r="G3017" s="6">
        <v>16226</v>
      </c>
      <c r="H3017" s="6">
        <v>7485</v>
      </c>
      <c r="I3017" s="6">
        <v>286297</v>
      </c>
    </row>
    <row r="3018" spans="1:9">
      <c r="A3018" s="6">
        <v>26</v>
      </c>
      <c r="B3018" s="6" t="str">
        <f t="shared" si="94"/>
        <v>Printing and Publishing</v>
      </c>
      <c r="C3018" s="6">
        <v>47</v>
      </c>
      <c r="D3018" s="6" t="str">
        <f t="shared" si="95"/>
        <v>Building Construction</v>
      </c>
      <c r="E3018" s="6">
        <v>22317</v>
      </c>
      <c r="F3018" s="6">
        <v>791</v>
      </c>
      <c r="G3018" s="6">
        <v>1731</v>
      </c>
      <c r="H3018" s="6">
        <v>200</v>
      </c>
      <c r="I3018" s="6">
        <v>0</v>
      </c>
    </row>
    <row r="3019" spans="1:9">
      <c r="A3019" s="6">
        <v>27</v>
      </c>
      <c r="B3019" s="6" t="str">
        <f t="shared" si="94"/>
        <v>Basic Chemical Products</v>
      </c>
      <c r="C3019" s="6">
        <v>47</v>
      </c>
      <c r="D3019" s="6" t="str">
        <f t="shared" si="95"/>
        <v>Building Construction</v>
      </c>
      <c r="E3019" s="6">
        <v>216022</v>
      </c>
      <c r="F3019" s="6">
        <v>15136</v>
      </c>
      <c r="G3019" s="6">
        <v>7193</v>
      </c>
      <c r="H3019" s="6">
        <v>4195</v>
      </c>
      <c r="I3019" s="6">
        <v>138992</v>
      </c>
    </row>
    <row r="3020" spans="1:9">
      <c r="A3020" s="6">
        <v>28</v>
      </c>
      <c r="B3020" s="6" t="str">
        <f t="shared" si="94"/>
        <v>Fertilizer and Pesticides</v>
      </c>
      <c r="C3020" s="6">
        <v>47</v>
      </c>
      <c r="D3020" s="6" t="str">
        <f t="shared" si="95"/>
        <v>Building Construction</v>
      </c>
      <c r="E3020" s="6">
        <v>3821</v>
      </c>
      <c r="F3020" s="6">
        <v>261</v>
      </c>
      <c r="G3020" s="6">
        <v>276</v>
      </c>
      <c r="H3020" s="6">
        <v>137</v>
      </c>
      <c r="I3020" s="6">
        <v>0</v>
      </c>
    </row>
    <row r="3021" spans="1:9">
      <c r="A3021" s="6">
        <v>29</v>
      </c>
      <c r="B3021" s="6" t="str">
        <f t="shared" si="94"/>
        <v>Other Chemical Products</v>
      </c>
      <c r="C3021" s="6">
        <v>47</v>
      </c>
      <c r="D3021" s="6" t="str">
        <f t="shared" si="95"/>
        <v>Building Construction</v>
      </c>
      <c r="E3021" s="6">
        <v>17028630</v>
      </c>
      <c r="F3021" s="6">
        <v>1725878</v>
      </c>
      <c r="G3021" s="6">
        <v>2197132</v>
      </c>
      <c r="H3021" s="6">
        <v>133058</v>
      </c>
      <c r="I3021" s="6">
        <v>6579682</v>
      </c>
    </row>
    <row r="3022" spans="1:9">
      <c r="A3022" s="6">
        <v>30</v>
      </c>
      <c r="B3022" s="6" t="str">
        <f t="shared" si="94"/>
        <v>Petroleum Refineries</v>
      </c>
      <c r="C3022" s="6">
        <v>47</v>
      </c>
      <c r="D3022" s="6" t="str">
        <f t="shared" si="95"/>
        <v>Building Construction</v>
      </c>
      <c r="E3022" s="6">
        <v>5331439</v>
      </c>
      <c r="F3022" s="6">
        <v>361916</v>
      </c>
      <c r="G3022" s="6">
        <v>347093</v>
      </c>
      <c r="H3022" s="6">
        <v>51717</v>
      </c>
      <c r="I3022" s="6">
        <v>941557</v>
      </c>
    </row>
    <row r="3023" spans="1:9">
      <c r="A3023" s="6">
        <v>31</v>
      </c>
      <c r="B3023" s="6" t="str">
        <f t="shared" si="94"/>
        <v>Rubber Products</v>
      </c>
      <c r="C3023" s="6">
        <v>47</v>
      </c>
      <c r="D3023" s="6" t="str">
        <f t="shared" si="95"/>
        <v>Building Construction</v>
      </c>
      <c r="E3023" s="6">
        <v>6273564</v>
      </c>
      <c r="F3023" s="6">
        <v>476912</v>
      </c>
      <c r="G3023" s="6">
        <v>686327</v>
      </c>
      <c r="H3023" s="6">
        <v>158791</v>
      </c>
      <c r="I3023" s="6">
        <v>4375653</v>
      </c>
    </row>
    <row r="3024" spans="1:9">
      <c r="A3024" s="6">
        <v>32</v>
      </c>
      <c r="B3024" s="6" t="str">
        <f t="shared" si="94"/>
        <v>Plastic Wares</v>
      </c>
      <c r="C3024" s="6">
        <v>47</v>
      </c>
      <c r="D3024" s="6" t="str">
        <f t="shared" si="95"/>
        <v>Building Construction</v>
      </c>
      <c r="E3024" s="6">
        <v>6935494</v>
      </c>
      <c r="F3024" s="6">
        <v>159987</v>
      </c>
      <c r="G3024" s="6">
        <v>274102</v>
      </c>
      <c r="H3024" s="6">
        <v>48785</v>
      </c>
      <c r="I3024" s="6">
        <v>3338938</v>
      </c>
    </row>
    <row r="3025" spans="1:9">
      <c r="A3025" s="6">
        <v>33</v>
      </c>
      <c r="B3025" s="6" t="str">
        <f t="shared" si="94"/>
        <v>Cement and Concrete Products</v>
      </c>
      <c r="C3025" s="6">
        <v>47</v>
      </c>
      <c r="D3025" s="6" t="str">
        <f t="shared" si="95"/>
        <v>Building Construction</v>
      </c>
      <c r="E3025" s="6">
        <v>94814538</v>
      </c>
      <c r="F3025" s="6">
        <v>5222925</v>
      </c>
      <c r="G3025" s="6">
        <v>4274696</v>
      </c>
      <c r="H3025" s="6">
        <v>1550145</v>
      </c>
      <c r="I3025" s="6">
        <v>0</v>
      </c>
    </row>
    <row r="3026" spans="1:9">
      <c r="A3026" s="6">
        <v>34</v>
      </c>
      <c r="B3026" s="6" t="str">
        <f t="shared" si="94"/>
        <v>Other Non-metallic Products</v>
      </c>
      <c r="C3026" s="6">
        <v>47</v>
      </c>
      <c r="D3026" s="6" t="str">
        <f t="shared" si="95"/>
        <v>Building Construction</v>
      </c>
      <c r="E3026" s="6">
        <v>83819882</v>
      </c>
      <c r="F3026" s="6">
        <v>5393558</v>
      </c>
      <c r="G3026" s="6">
        <v>4524232</v>
      </c>
      <c r="H3026" s="6">
        <v>1111234</v>
      </c>
      <c r="I3026" s="6">
        <v>26593430</v>
      </c>
    </row>
    <row r="3027" spans="1:9">
      <c r="A3027" s="6">
        <v>35</v>
      </c>
      <c r="B3027" s="6" t="str">
        <f t="shared" si="94"/>
        <v>Iron and Steel</v>
      </c>
      <c r="C3027" s="6">
        <v>47</v>
      </c>
      <c r="D3027" s="6" t="str">
        <f t="shared" si="95"/>
        <v>Building Construction</v>
      </c>
      <c r="E3027" s="6">
        <v>44575286</v>
      </c>
      <c r="F3027" s="6">
        <v>1845006</v>
      </c>
      <c r="G3027" s="6">
        <v>2105437</v>
      </c>
      <c r="H3027" s="6">
        <v>456892</v>
      </c>
      <c r="I3027" s="6">
        <v>37433329</v>
      </c>
    </row>
    <row r="3028" spans="1:9">
      <c r="A3028" s="6">
        <v>36</v>
      </c>
      <c r="B3028" s="6" t="str">
        <f t="shared" si="94"/>
        <v>Non-ferrous Metal</v>
      </c>
      <c r="C3028" s="6">
        <v>47</v>
      </c>
      <c r="D3028" s="6" t="str">
        <f t="shared" si="95"/>
        <v>Building Construction</v>
      </c>
      <c r="E3028" s="6">
        <v>4751527</v>
      </c>
      <c r="F3028" s="6">
        <v>113315</v>
      </c>
      <c r="G3028" s="6">
        <v>48559</v>
      </c>
      <c r="H3028" s="6">
        <v>6144</v>
      </c>
      <c r="I3028" s="6">
        <v>3552392</v>
      </c>
    </row>
    <row r="3029" spans="1:9">
      <c r="A3029" s="6">
        <v>37</v>
      </c>
      <c r="B3029" s="6" t="str">
        <f t="shared" si="94"/>
        <v>Fabricated Metal Products</v>
      </c>
      <c r="C3029" s="6">
        <v>47</v>
      </c>
      <c r="D3029" s="6" t="str">
        <f t="shared" si="95"/>
        <v>Building Construction</v>
      </c>
      <c r="E3029" s="6">
        <v>54231039</v>
      </c>
      <c r="F3029" s="6">
        <v>1657301</v>
      </c>
      <c r="G3029" s="6">
        <v>2770308</v>
      </c>
      <c r="H3029" s="6">
        <v>146054</v>
      </c>
      <c r="I3029" s="6">
        <v>34318122</v>
      </c>
    </row>
    <row r="3030" spans="1:9">
      <c r="A3030" s="6">
        <v>38</v>
      </c>
      <c r="B3030" s="6" t="str">
        <f t="shared" si="94"/>
        <v>Industrial Machinery</v>
      </c>
      <c r="C3030" s="6">
        <v>47</v>
      </c>
      <c r="D3030" s="6" t="str">
        <f t="shared" si="95"/>
        <v>Building Construction</v>
      </c>
      <c r="E3030" s="6">
        <v>2366132</v>
      </c>
      <c r="F3030" s="6">
        <v>161410</v>
      </c>
      <c r="G3030" s="6">
        <v>0</v>
      </c>
      <c r="H3030" s="6">
        <v>37849</v>
      </c>
      <c r="I3030" s="6">
        <v>766942</v>
      </c>
    </row>
    <row r="3031" spans="1:9">
      <c r="A3031" s="6">
        <v>39</v>
      </c>
      <c r="B3031" s="6" t="str">
        <f t="shared" si="94"/>
        <v>Electrical Machinery and Apparatus</v>
      </c>
      <c r="C3031" s="6">
        <v>47</v>
      </c>
      <c r="D3031" s="6" t="str">
        <f t="shared" si="95"/>
        <v>Building Construction</v>
      </c>
      <c r="E3031" s="6">
        <v>44503623</v>
      </c>
      <c r="F3031" s="6">
        <v>2057506</v>
      </c>
      <c r="G3031" s="6">
        <v>2674089</v>
      </c>
      <c r="H3031" s="6">
        <v>191075</v>
      </c>
      <c r="I3031" s="6">
        <v>26746531</v>
      </c>
    </row>
    <row r="3032" spans="1:9">
      <c r="A3032" s="6">
        <v>40</v>
      </c>
      <c r="B3032" s="6" t="str">
        <f t="shared" si="94"/>
        <v>Motor Vehicles and Repairing</v>
      </c>
      <c r="C3032" s="6">
        <v>47</v>
      </c>
      <c r="D3032" s="6" t="str">
        <f t="shared" si="95"/>
        <v>Building Construction</v>
      </c>
      <c r="E3032" s="6">
        <v>1605610</v>
      </c>
      <c r="F3032" s="6">
        <v>0</v>
      </c>
      <c r="G3032" s="6">
        <v>0</v>
      </c>
      <c r="H3032" s="6">
        <v>0</v>
      </c>
      <c r="I3032" s="6">
        <v>0</v>
      </c>
    </row>
    <row r="3033" spans="1:9">
      <c r="A3033" s="6">
        <v>41</v>
      </c>
      <c r="B3033" s="6" t="str">
        <f t="shared" si="94"/>
        <v>Other Transportation Equipment</v>
      </c>
      <c r="C3033" s="6">
        <v>47</v>
      </c>
      <c r="D3033" s="6" t="str">
        <f t="shared" si="95"/>
        <v>Building Construction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</row>
    <row r="3034" spans="1:9">
      <c r="A3034" s="6">
        <v>42</v>
      </c>
      <c r="B3034" s="6" t="str">
        <f t="shared" si="94"/>
        <v>Leather Products</v>
      </c>
      <c r="C3034" s="6">
        <v>47</v>
      </c>
      <c r="D3034" s="6" t="str">
        <f t="shared" si="95"/>
        <v>Building Construction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</row>
    <row r="3035" spans="1:9">
      <c r="A3035" s="6">
        <v>43</v>
      </c>
      <c r="B3035" s="6" t="str">
        <f t="shared" si="94"/>
        <v>Saw Mills and Wood Products</v>
      </c>
      <c r="C3035" s="6">
        <v>47</v>
      </c>
      <c r="D3035" s="6" t="str">
        <f t="shared" si="95"/>
        <v>Building Construction</v>
      </c>
      <c r="E3035" s="6">
        <v>11483325</v>
      </c>
      <c r="F3035" s="6">
        <v>1411444</v>
      </c>
      <c r="G3035" s="6">
        <v>1865099</v>
      </c>
      <c r="H3035" s="6">
        <v>108819</v>
      </c>
      <c r="I3035" s="6">
        <v>1186318</v>
      </c>
    </row>
    <row r="3036" spans="1:9">
      <c r="A3036" s="6">
        <v>44</v>
      </c>
      <c r="B3036" s="6" t="str">
        <f t="shared" si="94"/>
        <v>Other Manufacturing Products</v>
      </c>
      <c r="C3036" s="6">
        <v>47</v>
      </c>
      <c r="D3036" s="6" t="str">
        <f t="shared" si="95"/>
        <v>Building Construction</v>
      </c>
      <c r="E3036" s="6">
        <v>361820</v>
      </c>
      <c r="F3036" s="6">
        <v>40133</v>
      </c>
      <c r="G3036" s="6">
        <v>62897</v>
      </c>
      <c r="H3036" s="6">
        <v>3042</v>
      </c>
      <c r="I3036" s="6">
        <v>91312</v>
      </c>
    </row>
    <row r="3037" spans="1:9">
      <c r="A3037" s="6">
        <v>45</v>
      </c>
      <c r="B3037" s="6" t="str">
        <f t="shared" si="94"/>
        <v>Electricity and Gas</v>
      </c>
      <c r="C3037" s="6">
        <v>47</v>
      </c>
      <c r="D3037" s="6" t="str">
        <f t="shared" si="95"/>
        <v>Building Construction</v>
      </c>
      <c r="E3037" s="6">
        <v>5841657</v>
      </c>
      <c r="F3037" s="6">
        <v>1051</v>
      </c>
      <c r="G3037" s="6">
        <v>1591</v>
      </c>
      <c r="H3037" s="6">
        <v>193</v>
      </c>
      <c r="I3037" s="6">
        <v>0</v>
      </c>
    </row>
    <row r="3038" spans="1:9">
      <c r="A3038" s="6">
        <v>46</v>
      </c>
      <c r="B3038" s="6" t="str">
        <f t="shared" si="94"/>
        <v>Water Works and Supply</v>
      </c>
      <c r="C3038" s="6">
        <v>47</v>
      </c>
      <c r="D3038" s="6" t="str">
        <f t="shared" si="95"/>
        <v>Building Construction</v>
      </c>
      <c r="E3038" s="6">
        <v>281073</v>
      </c>
      <c r="F3038" s="6">
        <v>0</v>
      </c>
      <c r="G3038" s="6">
        <v>0</v>
      </c>
      <c r="H3038" s="6">
        <v>0</v>
      </c>
      <c r="I3038" s="6">
        <v>0</v>
      </c>
    </row>
    <row r="3039" spans="1:9">
      <c r="A3039" s="6">
        <v>47</v>
      </c>
      <c r="B3039" s="6" t="str">
        <f t="shared" si="94"/>
        <v>Building Construction</v>
      </c>
      <c r="C3039" s="6">
        <v>47</v>
      </c>
      <c r="D3039" s="6" t="str">
        <f t="shared" si="95"/>
        <v>Building Construction</v>
      </c>
      <c r="E3039" s="6">
        <v>173721</v>
      </c>
      <c r="F3039" s="6">
        <v>0</v>
      </c>
      <c r="G3039" s="6">
        <v>0</v>
      </c>
      <c r="H3039" s="6">
        <v>0</v>
      </c>
      <c r="I3039" s="6">
        <v>0</v>
      </c>
    </row>
    <row r="3040" spans="1:9">
      <c r="A3040" s="6">
        <v>48</v>
      </c>
      <c r="B3040" s="6" t="str">
        <f t="shared" si="94"/>
        <v>Public Works and Other Construction</v>
      </c>
      <c r="C3040" s="6">
        <v>47</v>
      </c>
      <c r="D3040" s="6" t="str">
        <f t="shared" si="95"/>
        <v>Building Construction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</row>
    <row r="3041" spans="1:9">
      <c r="A3041" s="6">
        <v>49</v>
      </c>
      <c r="B3041" s="6" t="str">
        <f t="shared" si="94"/>
        <v>Trade</v>
      </c>
      <c r="C3041" s="6">
        <v>47</v>
      </c>
      <c r="D3041" s="6" t="str">
        <f t="shared" si="95"/>
        <v>Building Construction</v>
      </c>
      <c r="E3041" s="6">
        <v>0</v>
      </c>
      <c r="F3041" s="6">
        <v>-22268333</v>
      </c>
      <c r="G3041" s="6">
        <v>-22615526</v>
      </c>
      <c r="H3041" s="6">
        <v>0</v>
      </c>
      <c r="I3041" s="6">
        <v>0</v>
      </c>
    </row>
    <row r="3042" spans="1:9">
      <c r="A3042" s="6">
        <v>50</v>
      </c>
      <c r="B3042" s="6" t="str">
        <f t="shared" si="94"/>
        <v>Restaurants and Hotels</v>
      </c>
      <c r="C3042" s="6">
        <v>47</v>
      </c>
      <c r="D3042" s="6" t="str">
        <f t="shared" si="95"/>
        <v>Building Construction</v>
      </c>
      <c r="E3042" s="6">
        <v>1983099</v>
      </c>
      <c r="F3042" s="6">
        <v>0</v>
      </c>
      <c r="G3042" s="6">
        <v>0</v>
      </c>
      <c r="H3042" s="6">
        <v>0</v>
      </c>
      <c r="I3042" s="6">
        <v>0</v>
      </c>
    </row>
    <row r="3043" spans="1:9">
      <c r="A3043" s="6">
        <v>51</v>
      </c>
      <c r="B3043" s="6" t="str">
        <f t="shared" si="94"/>
        <v>Transportation</v>
      </c>
      <c r="C3043" s="6">
        <v>47</v>
      </c>
      <c r="D3043" s="6" t="str">
        <f t="shared" si="95"/>
        <v>Building Construction</v>
      </c>
      <c r="E3043" s="6">
        <v>16263255</v>
      </c>
      <c r="F3043" s="6">
        <v>0</v>
      </c>
      <c r="G3043" s="6">
        <v>0</v>
      </c>
      <c r="H3043" s="6">
        <v>-7810360</v>
      </c>
      <c r="I3043" s="6">
        <v>0</v>
      </c>
    </row>
    <row r="3044" spans="1:9">
      <c r="A3044" s="6">
        <v>52</v>
      </c>
      <c r="B3044" s="6" t="str">
        <f t="shared" si="94"/>
        <v>Communication</v>
      </c>
      <c r="C3044" s="6">
        <v>47</v>
      </c>
      <c r="D3044" s="6" t="str">
        <f t="shared" si="95"/>
        <v>Building Construction</v>
      </c>
      <c r="E3044" s="6">
        <v>313231</v>
      </c>
      <c r="F3044" s="6">
        <v>0</v>
      </c>
      <c r="G3044" s="6">
        <v>0</v>
      </c>
      <c r="H3044" s="6">
        <v>0</v>
      </c>
      <c r="I3044" s="6">
        <v>0</v>
      </c>
    </row>
    <row r="3045" spans="1:9">
      <c r="A3045" s="6">
        <v>53</v>
      </c>
      <c r="B3045" s="6" t="str">
        <f t="shared" si="94"/>
        <v>Banking and Insurance</v>
      </c>
      <c r="C3045" s="6">
        <v>47</v>
      </c>
      <c r="D3045" s="6" t="str">
        <f t="shared" si="95"/>
        <v>Building Construction</v>
      </c>
      <c r="E3045" s="6">
        <v>9952551</v>
      </c>
      <c r="F3045" s="6">
        <v>0</v>
      </c>
      <c r="G3045" s="6">
        <v>0</v>
      </c>
      <c r="H3045" s="6">
        <v>0</v>
      </c>
      <c r="I3045" s="6">
        <v>0</v>
      </c>
    </row>
    <row r="3046" spans="1:9">
      <c r="A3046" s="6">
        <v>54</v>
      </c>
      <c r="B3046" s="6" t="str">
        <f t="shared" si="94"/>
        <v>Real Estate</v>
      </c>
      <c r="C3046" s="6">
        <v>47</v>
      </c>
      <c r="D3046" s="6" t="str">
        <f t="shared" si="95"/>
        <v>Building Construction</v>
      </c>
      <c r="E3046" s="6">
        <v>518289</v>
      </c>
      <c r="F3046" s="6">
        <v>0</v>
      </c>
      <c r="G3046" s="6">
        <v>0</v>
      </c>
      <c r="H3046" s="6">
        <v>0</v>
      </c>
      <c r="I3046" s="6">
        <v>0</v>
      </c>
    </row>
    <row r="3047" spans="1:9">
      <c r="A3047" s="6">
        <v>55</v>
      </c>
      <c r="B3047" s="6" t="str">
        <f t="shared" si="94"/>
        <v>Business Services</v>
      </c>
      <c r="C3047" s="6">
        <v>47</v>
      </c>
      <c r="D3047" s="6" t="str">
        <f t="shared" si="95"/>
        <v>Building Construction</v>
      </c>
      <c r="E3047" s="6">
        <v>28780189</v>
      </c>
      <c r="F3047" s="6">
        <v>0</v>
      </c>
      <c r="G3047" s="6">
        <v>0</v>
      </c>
      <c r="H3047" s="6">
        <v>0</v>
      </c>
      <c r="I3047" s="6">
        <v>0</v>
      </c>
    </row>
    <row r="3048" spans="1:9">
      <c r="A3048" s="6">
        <v>56</v>
      </c>
      <c r="B3048" s="6" t="str">
        <f t="shared" si="94"/>
        <v>Public Services</v>
      </c>
      <c r="C3048" s="6">
        <v>47</v>
      </c>
      <c r="D3048" s="6" t="str">
        <f t="shared" si="95"/>
        <v>Building Construction</v>
      </c>
      <c r="E3048" s="6">
        <v>248032</v>
      </c>
      <c r="F3048" s="6">
        <v>0</v>
      </c>
      <c r="G3048" s="6">
        <v>0</v>
      </c>
      <c r="H3048" s="6">
        <v>0</v>
      </c>
      <c r="I3048" s="6">
        <v>0</v>
      </c>
    </row>
    <row r="3049" spans="1:9">
      <c r="A3049" s="6">
        <v>57</v>
      </c>
      <c r="B3049" s="6" t="str">
        <f t="shared" si="94"/>
        <v>Other Services</v>
      </c>
      <c r="C3049" s="6">
        <v>47</v>
      </c>
      <c r="D3049" s="6" t="str">
        <f t="shared" si="95"/>
        <v>Building Construction</v>
      </c>
      <c r="E3049" s="6">
        <v>509028</v>
      </c>
      <c r="F3049" s="6">
        <v>0</v>
      </c>
      <c r="G3049" s="6">
        <v>0</v>
      </c>
      <c r="H3049" s="6">
        <v>0</v>
      </c>
      <c r="I3049" s="6">
        <v>0</v>
      </c>
    </row>
    <row r="3050" spans="1:9">
      <c r="A3050" s="6">
        <v>58</v>
      </c>
      <c r="B3050" s="6" t="str">
        <f t="shared" si="94"/>
        <v>Unclassified</v>
      </c>
      <c r="C3050" s="6">
        <v>47</v>
      </c>
      <c r="D3050" s="6" t="str">
        <f t="shared" si="95"/>
        <v>Building Construction</v>
      </c>
      <c r="E3050" s="6">
        <v>550130</v>
      </c>
      <c r="F3050" s="6">
        <v>0</v>
      </c>
      <c r="G3050" s="6">
        <v>0</v>
      </c>
      <c r="H3050" s="6">
        <v>0</v>
      </c>
      <c r="I3050" s="6">
        <v>61099</v>
      </c>
    </row>
    <row r="3051" spans="1:9">
      <c r="A3051" s="6">
        <v>190</v>
      </c>
      <c r="B3051" s="6" t="str">
        <f t="shared" si="94"/>
        <v>Total Intermedite Transaction</v>
      </c>
      <c r="C3051" s="6">
        <v>47</v>
      </c>
      <c r="D3051" s="6" t="str">
        <f t="shared" si="95"/>
        <v>Building Construction</v>
      </c>
      <c r="E3051" s="6">
        <v>473984576</v>
      </c>
      <c r="F3051" s="6">
        <v>0</v>
      </c>
      <c r="G3051" s="6">
        <v>0</v>
      </c>
      <c r="H3051" s="6">
        <v>0</v>
      </c>
      <c r="I3051" s="6">
        <v>146837162</v>
      </c>
    </row>
    <row r="3052" spans="1:9">
      <c r="A3052" s="6">
        <v>201</v>
      </c>
      <c r="B3052" s="6" t="str">
        <f t="shared" si="94"/>
        <v>Wages and Salaries</v>
      </c>
      <c r="C3052" s="6">
        <v>47</v>
      </c>
      <c r="D3052" s="6" t="str">
        <f t="shared" si="95"/>
        <v>Building Construction</v>
      </c>
      <c r="E3052" s="6">
        <v>41787909</v>
      </c>
      <c r="F3052" s="6">
        <v>0</v>
      </c>
      <c r="G3052" s="6">
        <v>0</v>
      </c>
      <c r="H3052" s="6">
        <v>0</v>
      </c>
      <c r="I3052" s="6">
        <v>0</v>
      </c>
    </row>
    <row r="3053" spans="1:9">
      <c r="A3053" s="6">
        <v>202</v>
      </c>
      <c r="B3053" s="6" t="str">
        <f t="shared" si="94"/>
        <v>Operating Surplus</v>
      </c>
      <c r="C3053" s="6">
        <v>47</v>
      </c>
      <c r="D3053" s="6" t="str">
        <f t="shared" si="95"/>
        <v>Building Construction</v>
      </c>
      <c r="E3053" s="6">
        <v>53817134</v>
      </c>
      <c r="F3053" s="6">
        <v>0</v>
      </c>
      <c r="G3053" s="6">
        <v>0</v>
      </c>
      <c r="H3053" s="6">
        <v>0</v>
      </c>
      <c r="I3053" s="6">
        <v>0</v>
      </c>
    </row>
    <row r="3054" spans="1:9">
      <c r="A3054" s="6">
        <v>203</v>
      </c>
      <c r="B3054" s="6" t="str">
        <f t="shared" si="94"/>
        <v>Depreciation</v>
      </c>
      <c r="C3054" s="6">
        <v>47</v>
      </c>
      <c r="D3054" s="6" t="str">
        <f t="shared" si="95"/>
        <v>Building Construction</v>
      </c>
      <c r="E3054" s="6">
        <v>34180226</v>
      </c>
      <c r="F3054" s="6">
        <v>0</v>
      </c>
      <c r="G3054" s="6">
        <v>0</v>
      </c>
      <c r="H3054" s="6">
        <v>0</v>
      </c>
      <c r="I3054" s="6">
        <v>0</v>
      </c>
    </row>
    <row r="3055" spans="1:9">
      <c r="A3055" s="6">
        <v>204</v>
      </c>
      <c r="B3055" s="6" t="str">
        <f t="shared" si="94"/>
        <v>Indirect Taxes less Subsidies</v>
      </c>
      <c r="C3055" s="6">
        <v>47</v>
      </c>
      <c r="D3055" s="6" t="str">
        <f t="shared" si="95"/>
        <v>Building Construction</v>
      </c>
      <c r="E3055" s="6">
        <v>8943455</v>
      </c>
      <c r="F3055" s="6">
        <v>0</v>
      </c>
      <c r="G3055" s="6">
        <v>0</v>
      </c>
      <c r="H3055" s="6">
        <v>0</v>
      </c>
      <c r="I3055" s="6">
        <v>0</v>
      </c>
    </row>
    <row r="3056" spans="1:9">
      <c r="A3056" s="6">
        <v>209</v>
      </c>
      <c r="B3056" s="6" t="str">
        <f t="shared" si="94"/>
        <v>Total Value Added</v>
      </c>
      <c r="C3056" s="6">
        <v>47</v>
      </c>
      <c r="D3056" s="6" t="str">
        <f t="shared" si="95"/>
        <v>Building Construction</v>
      </c>
      <c r="E3056" s="6">
        <v>138728724</v>
      </c>
      <c r="F3056" s="6">
        <v>0</v>
      </c>
      <c r="G3056" s="6">
        <v>0</v>
      </c>
      <c r="H3056" s="6">
        <v>0</v>
      </c>
      <c r="I3056" s="6">
        <v>0</v>
      </c>
    </row>
    <row r="3057" spans="1:9">
      <c r="A3057" s="6">
        <v>210</v>
      </c>
      <c r="B3057" s="6" t="str">
        <f t="shared" si="94"/>
        <v>Control Total</v>
      </c>
      <c r="C3057" s="6">
        <v>47</v>
      </c>
      <c r="D3057" s="6" t="str">
        <f t="shared" si="95"/>
        <v>Building Construction</v>
      </c>
      <c r="E3057" s="6">
        <v>612713300</v>
      </c>
      <c r="F3057" s="6">
        <v>0</v>
      </c>
      <c r="G3057" s="6">
        <v>0</v>
      </c>
      <c r="H3057" s="6">
        <v>0</v>
      </c>
      <c r="I3057" s="6">
        <v>0</v>
      </c>
    </row>
    <row r="3058" spans="1:9">
      <c r="A3058" s="6">
        <v>1</v>
      </c>
      <c r="B3058" s="6" t="str">
        <f t="shared" si="94"/>
        <v>Paddy</v>
      </c>
      <c r="C3058" s="6">
        <v>48</v>
      </c>
      <c r="D3058" s="6" t="str">
        <f t="shared" si="95"/>
        <v>Public Works and Other Construction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</row>
    <row r="3059" spans="1:9">
      <c r="A3059" s="6">
        <v>2</v>
      </c>
      <c r="B3059" s="6" t="str">
        <f t="shared" si="94"/>
        <v>Maize</v>
      </c>
      <c r="C3059" s="6">
        <v>48</v>
      </c>
      <c r="D3059" s="6" t="str">
        <f t="shared" si="95"/>
        <v>Public Works and Other Construction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</row>
    <row r="3060" spans="1:9">
      <c r="A3060" s="6">
        <v>3</v>
      </c>
      <c r="B3060" s="6" t="str">
        <f t="shared" si="94"/>
        <v>Cassava</v>
      </c>
      <c r="C3060" s="6">
        <v>48</v>
      </c>
      <c r="D3060" s="6" t="str">
        <f t="shared" si="95"/>
        <v>Public Works and Other Construction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</row>
    <row r="3061" spans="1:9">
      <c r="A3061" s="6">
        <v>4</v>
      </c>
      <c r="B3061" s="6" t="str">
        <f t="shared" si="94"/>
        <v>Beans and Nuts</v>
      </c>
      <c r="C3061" s="6">
        <v>48</v>
      </c>
      <c r="D3061" s="6" t="str">
        <f t="shared" si="95"/>
        <v>Public Works and Other Construction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</row>
    <row r="3062" spans="1:9">
      <c r="A3062" s="6">
        <v>5</v>
      </c>
      <c r="B3062" s="6" t="str">
        <f t="shared" si="94"/>
        <v>Vegetables and Fruits</v>
      </c>
      <c r="C3062" s="6">
        <v>48</v>
      </c>
      <c r="D3062" s="6" t="str">
        <f t="shared" si="95"/>
        <v>Public Works and Other Construction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</row>
    <row r="3063" spans="1:9">
      <c r="A3063" s="6">
        <v>6</v>
      </c>
      <c r="B3063" s="6" t="str">
        <f t="shared" si="94"/>
        <v>Sugarcane</v>
      </c>
      <c r="C3063" s="6">
        <v>48</v>
      </c>
      <c r="D3063" s="6" t="str">
        <f t="shared" si="95"/>
        <v>Public Works and Other Construction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</row>
    <row r="3064" spans="1:9">
      <c r="A3064" s="6">
        <v>7</v>
      </c>
      <c r="B3064" s="6" t="str">
        <f t="shared" si="94"/>
        <v>Rubber (Latex)</v>
      </c>
      <c r="C3064" s="6">
        <v>48</v>
      </c>
      <c r="D3064" s="6" t="str">
        <f t="shared" si="95"/>
        <v>Public Works and Other Construction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</row>
    <row r="3065" spans="1:9">
      <c r="A3065" s="6">
        <v>8</v>
      </c>
      <c r="B3065" s="6" t="str">
        <f t="shared" si="94"/>
        <v>Other Crops</v>
      </c>
      <c r="C3065" s="6">
        <v>48</v>
      </c>
      <c r="D3065" s="6" t="str">
        <f t="shared" si="95"/>
        <v>Public Works and Other Construction</v>
      </c>
      <c r="E3065" s="6">
        <v>1353797</v>
      </c>
      <c r="F3065" s="6">
        <v>345011</v>
      </c>
      <c r="G3065" s="6">
        <v>0</v>
      </c>
      <c r="H3065" s="6">
        <v>40896</v>
      </c>
      <c r="I3065" s="6">
        <v>188287</v>
      </c>
    </row>
    <row r="3066" spans="1:9">
      <c r="A3066" s="6">
        <v>9</v>
      </c>
      <c r="B3066" s="6" t="str">
        <f t="shared" si="94"/>
        <v>Livestock</v>
      </c>
      <c r="C3066" s="6">
        <v>48</v>
      </c>
      <c r="D3066" s="6" t="str">
        <f t="shared" si="95"/>
        <v>Public Works and Other Construction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</row>
    <row r="3067" spans="1:9">
      <c r="A3067" s="6">
        <v>10</v>
      </c>
      <c r="B3067" s="6" t="str">
        <f t="shared" si="94"/>
        <v>Forestry</v>
      </c>
      <c r="C3067" s="6">
        <v>48</v>
      </c>
      <c r="D3067" s="6" t="str">
        <f t="shared" si="95"/>
        <v>Public Works and Other Construction</v>
      </c>
      <c r="E3067" s="6">
        <v>359353</v>
      </c>
      <c r="F3067" s="6">
        <v>35588</v>
      </c>
      <c r="G3067" s="6">
        <v>0</v>
      </c>
      <c r="H3067" s="6">
        <v>6917</v>
      </c>
      <c r="I3067" s="6">
        <v>0</v>
      </c>
    </row>
    <row r="3068" spans="1:9">
      <c r="A3068" s="6">
        <v>11</v>
      </c>
      <c r="B3068" s="6" t="str">
        <f t="shared" si="94"/>
        <v>Fishery</v>
      </c>
      <c r="C3068" s="6">
        <v>48</v>
      </c>
      <c r="D3068" s="6" t="str">
        <f t="shared" si="95"/>
        <v>Public Works and Other Construction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</row>
    <row r="3069" spans="1:9">
      <c r="A3069" s="6">
        <v>12</v>
      </c>
      <c r="B3069" s="6" t="str">
        <f t="shared" si="94"/>
        <v>Crude Oil and Coal</v>
      </c>
      <c r="C3069" s="6">
        <v>48</v>
      </c>
      <c r="D3069" s="6" t="str">
        <f t="shared" si="95"/>
        <v>Public Works and Other Construction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</row>
    <row r="3070" spans="1:9">
      <c r="A3070" s="6">
        <v>13</v>
      </c>
      <c r="B3070" s="6" t="str">
        <f t="shared" si="94"/>
        <v>Metal Ore</v>
      </c>
      <c r="C3070" s="6">
        <v>48</v>
      </c>
      <c r="D3070" s="6" t="str">
        <f t="shared" si="95"/>
        <v>Public Works and Other Construction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</row>
    <row r="3071" spans="1:9">
      <c r="A3071" s="6">
        <v>14</v>
      </c>
      <c r="B3071" s="6" t="str">
        <f t="shared" si="94"/>
        <v>Non-Metal Ore</v>
      </c>
      <c r="C3071" s="6">
        <v>48</v>
      </c>
      <c r="D3071" s="6" t="str">
        <f t="shared" si="95"/>
        <v>Public Works and Other Construction</v>
      </c>
      <c r="E3071" s="6">
        <v>68865876</v>
      </c>
      <c r="F3071" s="6">
        <v>3477172</v>
      </c>
      <c r="G3071" s="6">
        <v>762779</v>
      </c>
      <c r="H3071" s="6">
        <v>11495611</v>
      </c>
      <c r="I3071" s="6">
        <v>1004333</v>
      </c>
    </row>
    <row r="3072" spans="1:9">
      <c r="A3072" s="6">
        <v>15</v>
      </c>
      <c r="B3072" s="6" t="str">
        <f t="shared" si="94"/>
        <v>Slaughtering</v>
      </c>
      <c r="C3072" s="6">
        <v>48</v>
      </c>
      <c r="D3072" s="6" t="str">
        <f t="shared" si="95"/>
        <v>Public Works and Other Construction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</row>
    <row r="3073" spans="1:9">
      <c r="A3073" s="6">
        <v>16</v>
      </c>
      <c r="B3073" s="6" t="str">
        <f t="shared" si="94"/>
        <v>Processing and Presering of Foods</v>
      </c>
      <c r="C3073" s="6">
        <v>48</v>
      </c>
      <c r="D3073" s="6" t="str">
        <f t="shared" si="95"/>
        <v>Public Works and Other Construction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</row>
    <row r="3074" spans="1:9">
      <c r="A3074" s="6">
        <v>17</v>
      </c>
      <c r="B3074" s="6" t="str">
        <f t="shared" si="94"/>
        <v>Rice and Other Grain Milling</v>
      </c>
      <c r="C3074" s="6">
        <v>48</v>
      </c>
      <c r="D3074" s="6" t="str">
        <f t="shared" si="95"/>
        <v>Public Works and Other Construction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</row>
    <row r="3075" spans="1:9">
      <c r="A3075" s="6">
        <v>18</v>
      </c>
      <c r="B3075" s="6" t="str">
        <f t="shared" si="94"/>
        <v>Sugar Refineries</v>
      </c>
      <c r="C3075" s="6">
        <v>48</v>
      </c>
      <c r="D3075" s="6" t="str">
        <f t="shared" si="95"/>
        <v>Public Works and Other Construction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</row>
    <row r="3076" spans="1:9">
      <c r="A3076" s="6">
        <v>19</v>
      </c>
      <c r="B3076" s="6" t="str">
        <f t="shared" ref="B3076:B3139" si="96">VLOOKUP(A3076,R:S,2,0)</f>
        <v>Other Foods</v>
      </c>
      <c r="C3076" s="6">
        <v>48</v>
      </c>
      <c r="D3076" s="6" t="str">
        <f t="shared" ref="D3076:D3139" si="97">VLOOKUP(C3076,R:S,2,0)</f>
        <v>Public Works and Other Construction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</row>
    <row r="3077" spans="1:9">
      <c r="A3077" s="6">
        <v>20</v>
      </c>
      <c r="B3077" s="6" t="str">
        <f t="shared" si="96"/>
        <v>Animal Food</v>
      </c>
      <c r="C3077" s="6">
        <v>48</v>
      </c>
      <c r="D3077" s="6" t="str">
        <f t="shared" si="97"/>
        <v>Public Works and Other Construction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</row>
    <row r="3078" spans="1:9">
      <c r="A3078" s="6">
        <v>21</v>
      </c>
      <c r="B3078" s="6" t="str">
        <f t="shared" si="96"/>
        <v>Beverages</v>
      </c>
      <c r="C3078" s="6">
        <v>48</v>
      </c>
      <c r="D3078" s="6" t="str">
        <f t="shared" si="97"/>
        <v>Public Works and Other Construction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</row>
    <row r="3079" spans="1:9">
      <c r="A3079" s="6">
        <v>22</v>
      </c>
      <c r="B3079" s="6" t="str">
        <f t="shared" si="96"/>
        <v>Tobacco Processing and Products</v>
      </c>
      <c r="C3079" s="6">
        <v>48</v>
      </c>
      <c r="D3079" s="6" t="str">
        <f t="shared" si="97"/>
        <v>Public Works and Other Construction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</row>
    <row r="3080" spans="1:9">
      <c r="A3080" s="6">
        <v>23</v>
      </c>
      <c r="B3080" s="6" t="str">
        <f t="shared" si="96"/>
        <v>Spinning, Weaving and Bleaching</v>
      </c>
      <c r="C3080" s="6">
        <v>48</v>
      </c>
      <c r="D3080" s="6" t="str">
        <f t="shared" si="97"/>
        <v>Public Works and Other Construction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</row>
    <row r="3081" spans="1:9">
      <c r="A3081" s="6">
        <v>24</v>
      </c>
      <c r="B3081" s="6" t="str">
        <f t="shared" si="96"/>
        <v>Textile Products</v>
      </c>
      <c r="C3081" s="6">
        <v>48</v>
      </c>
      <c r="D3081" s="6" t="str">
        <f t="shared" si="97"/>
        <v>Public Works and Other Construction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</row>
    <row r="3082" spans="1:9">
      <c r="A3082" s="6">
        <v>25</v>
      </c>
      <c r="B3082" s="6" t="str">
        <f t="shared" si="96"/>
        <v>Paper and Paper Products</v>
      </c>
      <c r="C3082" s="6">
        <v>48</v>
      </c>
      <c r="D3082" s="6" t="str">
        <f t="shared" si="97"/>
        <v>Public Works and Other Construction</v>
      </c>
      <c r="E3082" s="6">
        <v>211685</v>
      </c>
      <c r="F3082" s="6">
        <v>9570</v>
      </c>
      <c r="G3082" s="6">
        <v>5830</v>
      </c>
      <c r="H3082" s="6">
        <v>1791</v>
      </c>
      <c r="I3082" s="6">
        <v>0</v>
      </c>
    </row>
    <row r="3083" spans="1:9">
      <c r="A3083" s="6">
        <v>26</v>
      </c>
      <c r="B3083" s="6" t="str">
        <f t="shared" si="96"/>
        <v>Printing and Publishing</v>
      </c>
      <c r="C3083" s="6">
        <v>48</v>
      </c>
      <c r="D3083" s="6" t="str">
        <f t="shared" si="97"/>
        <v>Public Works and Other Construction</v>
      </c>
      <c r="E3083" s="6">
        <v>78877</v>
      </c>
      <c r="F3083" s="6">
        <v>4622</v>
      </c>
      <c r="G3083" s="6">
        <v>9991</v>
      </c>
      <c r="H3083" s="6">
        <v>806</v>
      </c>
      <c r="I3083" s="6">
        <v>0</v>
      </c>
    </row>
    <row r="3084" spans="1:9">
      <c r="A3084" s="6">
        <v>27</v>
      </c>
      <c r="B3084" s="6" t="str">
        <f t="shared" si="96"/>
        <v>Basic Chemical Products</v>
      </c>
      <c r="C3084" s="6">
        <v>48</v>
      </c>
      <c r="D3084" s="6" t="str">
        <f t="shared" si="97"/>
        <v>Public Works and Other Construction</v>
      </c>
      <c r="E3084" s="6">
        <v>1008551</v>
      </c>
      <c r="F3084" s="6">
        <v>83421</v>
      </c>
      <c r="G3084" s="6">
        <v>35115</v>
      </c>
      <c r="H3084" s="6">
        <v>19406</v>
      </c>
      <c r="I3084" s="6">
        <v>547786</v>
      </c>
    </row>
    <row r="3085" spans="1:9">
      <c r="A3085" s="6">
        <v>28</v>
      </c>
      <c r="B3085" s="6" t="str">
        <f t="shared" si="96"/>
        <v>Fertilizer and Pesticides</v>
      </c>
      <c r="C3085" s="6">
        <v>48</v>
      </c>
      <c r="D3085" s="6" t="str">
        <f t="shared" si="97"/>
        <v>Public Works and Other Construction</v>
      </c>
      <c r="E3085" s="6">
        <v>412199</v>
      </c>
      <c r="F3085" s="6">
        <v>51383</v>
      </c>
      <c r="G3085" s="6">
        <v>65203</v>
      </c>
      <c r="H3085" s="6">
        <v>16647</v>
      </c>
      <c r="I3085" s="6">
        <v>0</v>
      </c>
    </row>
    <row r="3086" spans="1:9">
      <c r="A3086" s="6">
        <v>29</v>
      </c>
      <c r="B3086" s="6" t="str">
        <f t="shared" si="96"/>
        <v>Other Chemical Products</v>
      </c>
      <c r="C3086" s="6">
        <v>48</v>
      </c>
      <c r="D3086" s="6" t="str">
        <f t="shared" si="97"/>
        <v>Public Works and Other Construction</v>
      </c>
      <c r="E3086" s="6">
        <v>4049439</v>
      </c>
      <c r="F3086" s="6">
        <v>674897</v>
      </c>
      <c r="G3086" s="6">
        <v>497497</v>
      </c>
      <c r="H3086" s="6">
        <v>45477</v>
      </c>
      <c r="I3086" s="6">
        <v>64437</v>
      </c>
    </row>
    <row r="3087" spans="1:9">
      <c r="A3087" s="6">
        <v>30</v>
      </c>
      <c r="B3087" s="6" t="str">
        <f t="shared" si="96"/>
        <v>Petroleum Refineries</v>
      </c>
      <c r="C3087" s="6">
        <v>48</v>
      </c>
      <c r="D3087" s="6" t="str">
        <f t="shared" si="97"/>
        <v>Public Works and Other Construction</v>
      </c>
      <c r="E3087" s="6">
        <v>28920433</v>
      </c>
      <c r="F3087" s="6">
        <v>3338079</v>
      </c>
      <c r="G3087" s="6">
        <v>3410188</v>
      </c>
      <c r="H3087" s="6">
        <v>398522</v>
      </c>
      <c r="I3087" s="6">
        <v>3946634</v>
      </c>
    </row>
    <row r="3088" spans="1:9">
      <c r="A3088" s="6">
        <v>31</v>
      </c>
      <c r="B3088" s="6" t="str">
        <f t="shared" si="96"/>
        <v>Rubber Products</v>
      </c>
      <c r="C3088" s="6">
        <v>48</v>
      </c>
      <c r="D3088" s="6" t="str">
        <f t="shared" si="97"/>
        <v>Public Works and Other Construction</v>
      </c>
      <c r="E3088" s="6">
        <v>30603</v>
      </c>
      <c r="F3088" s="6">
        <v>2777</v>
      </c>
      <c r="G3088" s="6">
        <v>2923</v>
      </c>
      <c r="H3088" s="6">
        <v>887</v>
      </c>
      <c r="I3088" s="6">
        <v>0</v>
      </c>
    </row>
    <row r="3089" spans="1:9">
      <c r="A3089" s="6">
        <v>32</v>
      </c>
      <c r="B3089" s="6" t="str">
        <f t="shared" si="96"/>
        <v>Plastic Wares</v>
      </c>
      <c r="C3089" s="6">
        <v>48</v>
      </c>
      <c r="D3089" s="6" t="str">
        <f t="shared" si="97"/>
        <v>Public Works and Other Construction</v>
      </c>
      <c r="E3089" s="6">
        <v>1505056</v>
      </c>
      <c r="F3089" s="6">
        <v>92104</v>
      </c>
      <c r="G3089" s="6">
        <v>103879</v>
      </c>
      <c r="H3089" s="6">
        <v>11894</v>
      </c>
      <c r="I3089" s="6">
        <v>384657</v>
      </c>
    </row>
    <row r="3090" spans="1:9">
      <c r="A3090" s="6">
        <v>33</v>
      </c>
      <c r="B3090" s="6" t="str">
        <f t="shared" si="96"/>
        <v>Cement and Concrete Products</v>
      </c>
      <c r="C3090" s="6">
        <v>48</v>
      </c>
      <c r="D3090" s="6" t="str">
        <f t="shared" si="97"/>
        <v>Public Works and Other Construction</v>
      </c>
      <c r="E3090" s="6">
        <v>114196130</v>
      </c>
      <c r="F3090" s="6">
        <v>6709513</v>
      </c>
      <c r="G3090" s="6">
        <v>5806566</v>
      </c>
      <c r="H3090" s="6">
        <v>1713353</v>
      </c>
      <c r="I3090" s="6">
        <v>2043760</v>
      </c>
    </row>
    <row r="3091" spans="1:9">
      <c r="A3091" s="6">
        <v>34</v>
      </c>
      <c r="B3091" s="6" t="str">
        <f t="shared" si="96"/>
        <v>Other Non-metallic Products</v>
      </c>
      <c r="C3091" s="6">
        <v>48</v>
      </c>
      <c r="D3091" s="6" t="str">
        <f t="shared" si="97"/>
        <v>Public Works and Other Construction</v>
      </c>
      <c r="E3091" s="6">
        <v>11059261</v>
      </c>
      <c r="F3091" s="6">
        <v>474135</v>
      </c>
      <c r="G3091" s="6">
        <v>536409</v>
      </c>
      <c r="H3091" s="6">
        <v>125993</v>
      </c>
      <c r="I3091" s="6">
        <v>3307367</v>
      </c>
    </row>
    <row r="3092" spans="1:9">
      <c r="A3092" s="6">
        <v>35</v>
      </c>
      <c r="B3092" s="6" t="str">
        <f t="shared" si="96"/>
        <v>Iron and Steel</v>
      </c>
      <c r="C3092" s="6">
        <v>48</v>
      </c>
      <c r="D3092" s="6" t="str">
        <f t="shared" si="97"/>
        <v>Public Works and Other Construction</v>
      </c>
      <c r="E3092" s="6">
        <v>66756222</v>
      </c>
      <c r="F3092" s="6">
        <v>5133953</v>
      </c>
      <c r="G3092" s="6">
        <v>2848795</v>
      </c>
      <c r="H3092" s="6">
        <v>717550</v>
      </c>
      <c r="I3092" s="6">
        <v>52759473</v>
      </c>
    </row>
    <row r="3093" spans="1:9">
      <c r="A3093" s="6">
        <v>36</v>
      </c>
      <c r="B3093" s="6" t="str">
        <f t="shared" si="96"/>
        <v>Non-ferrous Metal</v>
      </c>
      <c r="C3093" s="6">
        <v>48</v>
      </c>
      <c r="D3093" s="6" t="str">
        <f t="shared" si="97"/>
        <v>Public Works and Other Construction</v>
      </c>
      <c r="E3093" s="6">
        <v>10930074</v>
      </c>
      <c r="F3093" s="6">
        <v>554378</v>
      </c>
      <c r="G3093" s="6">
        <v>238088</v>
      </c>
      <c r="H3093" s="6">
        <v>16319</v>
      </c>
      <c r="I3093" s="6">
        <v>7342050</v>
      </c>
    </row>
    <row r="3094" spans="1:9">
      <c r="A3094" s="6">
        <v>37</v>
      </c>
      <c r="B3094" s="6" t="str">
        <f t="shared" si="96"/>
        <v>Fabricated Metal Products</v>
      </c>
      <c r="C3094" s="6">
        <v>48</v>
      </c>
      <c r="D3094" s="6" t="str">
        <f t="shared" si="97"/>
        <v>Public Works and Other Construction</v>
      </c>
      <c r="E3094" s="6">
        <v>22975086</v>
      </c>
      <c r="F3094" s="6">
        <v>376375</v>
      </c>
      <c r="G3094" s="6">
        <v>710715</v>
      </c>
      <c r="H3094" s="6">
        <v>60501</v>
      </c>
      <c r="I3094" s="6">
        <v>17547174</v>
      </c>
    </row>
    <row r="3095" spans="1:9">
      <c r="A3095" s="6">
        <v>38</v>
      </c>
      <c r="B3095" s="6" t="str">
        <f t="shared" si="96"/>
        <v>Industrial Machinery</v>
      </c>
      <c r="C3095" s="6">
        <v>48</v>
      </c>
      <c r="D3095" s="6" t="str">
        <f t="shared" si="97"/>
        <v>Public Works and Other Construction</v>
      </c>
      <c r="E3095" s="6">
        <v>6585453</v>
      </c>
      <c r="F3095" s="6">
        <v>279305</v>
      </c>
      <c r="G3095" s="6">
        <v>0</v>
      </c>
      <c r="H3095" s="6">
        <v>70950</v>
      </c>
      <c r="I3095" s="6">
        <v>3183482</v>
      </c>
    </row>
    <row r="3096" spans="1:9">
      <c r="A3096" s="6">
        <v>39</v>
      </c>
      <c r="B3096" s="6" t="str">
        <f t="shared" si="96"/>
        <v>Electrical Machinery and Apparatus</v>
      </c>
      <c r="C3096" s="6">
        <v>48</v>
      </c>
      <c r="D3096" s="6" t="str">
        <f t="shared" si="97"/>
        <v>Public Works and Other Construction</v>
      </c>
      <c r="E3096" s="6">
        <v>43917782</v>
      </c>
      <c r="F3096" s="6">
        <v>2620071</v>
      </c>
      <c r="G3096" s="6">
        <v>2526457</v>
      </c>
      <c r="H3096" s="6">
        <v>213310</v>
      </c>
      <c r="I3096" s="6">
        <v>22900874</v>
      </c>
    </row>
    <row r="3097" spans="1:9">
      <c r="A3097" s="6">
        <v>40</v>
      </c>
      <c r="B3097" s="6" t="str">
        <f t="shared" si="96"/>
        <v>Motor Vehicles and Repairing</v>
      </c>
      <c r="C3097" s="6">
        <v>48</v>
      </c>
      <c r="D3097" s="6" t="str">
        <f t="shared" si="97"/>
        <v>Public Works and Other Construction</v>
      </c>
      <c r="E3097" s="6">
        <v>3061678</v>
      </c>
      <c r="F3097" s="6">
        <v>0</v>
      </c>
      <c r="G3097" s="6">
        <v>0</v>
      </c>
      <c r="H3097" s="6">
        <v>0</v>
      </c>
      <c r="I3097" s="6">
        <v>0</v>
      </c>
    </row>
    <row r="3098" spans="1:9">
      <c r="A3098" s="6">
        <v>41</v>
      </c>
      <c r="B3098" s="6" t="str">
        <f t="shared" si="96"/>
        <v>Other Transportation Equipment</v>
      </c>
      <c r="C3098" s="6">
        <v>48</v>
      </c>
      <c r="D3098" s="6" t="str">
        <f t="shared" si="97"/>
        <v>Public Works and Other Construction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</row>
    <row r="3099" spans="1:9">
      <c r="A3099" s="6">
        <v>42</v>
      </c>
      <c r="B3099" s="6" t="str">
        <f t="shared" si="96"/>
        <v>Leather Products</v>
      </c>
      <c r="C3099" s="6">
        <v>48</v>
      </c>
      <c r="D3099" s="6" t="str">
        <f t="shared" si="97"/>
        <v>Public Works and Other Construction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</row>
    <row r="3100" spans="1:9">
      <c r="A3100" s="6">
        <v>43</v>
      </c>
      <c r="B3100" s="6" t="str">
        <f t="shared" si="96"/>
        <v>Saw Mills and Wood Products</v>
      </c>
      <c r="C3100" s="6">
        <v>48</v>
      </c>
      <c r="D3100" s="6" t="str">
        <f t="shared" si="97"/>
        <v>Public Works and Other Construction</v>
      </c>
      <c r="E3100" s="6">
        <v>5979014</v>
      </c>
      <c r="F3100" s="6">
        <v>1061553</v>
      </c>
      <c r="G3100" s="6">
        <v>1065335</v>
      </c>
      <c r="H3100" s="6">
        <v>60461</v>
      </c>
      <c r="I3100" s="6">
        <v>0</v>
      </c>
    </row>
    <row r="3101" spans="1:9">
      <c r="A3101" s="6">
        <v>44</v>
      </c>
      <c r="B3101" s="6" t="str">
        <f t="shared" si="96"/>
        <v>Other Manufacturing Products</v>
      </c>
      <c r="C3101" s="6">
        <v>48</v>
      </c>
      <c r="D3101" s="6" t="str">
        <f t="shared" si="97"/>
        <v>Public Works and Other Construction</v>
      </c>
      <c r="E3101" s="6">
        <v>1608341</v>
      </c>
      <c r="F3101" s="6">
        <v>160411</v>
      </c>
      <c r="G3101" s="6">
        <v>194824</v>
      </c>
      <c r="H3101" s="6">
        <v>19464</v>
      </c>
      <c r="I3101" s="6">
        <v>21508</v>
      </c>
    </row>
    <row r="3102" spans="1:9">
      <c r="A3102" s="6">
        <v>45</v>
      </c>
      <c r="B3102" s="6" t="str">
        <f t="shared" si="96"/>
        <v>Electricity and Gas</v>
      </c>
      <c r="C3102" s="6">
        <v>48</v>
      </c>
      <c r="D3102" s="6" t="str">
        <f t="shared" si="97"/>
        <v>Public Works and Other Construction</v>
      </c>
      <c r="E3102" s="6">
        <v>953730</v>
      </c>
      <c r="F3102" s="6">
        <v>902</v>
      </c>
      <c r="G3102" s="6">
        <v>1414</v>
      </c>
      <c r="H3102" s="6">
        <v>168</v>
      </c>
      <c r="I3102" s="6">
        <v>0</v>
      </c>
    </row>
    <row r="3103" spans="1:9">
      <c r="A3103" s="6">
        <v>46</v>
      </c>
      <c r="B3103" s="6" t="str">
        <f t="shared" si="96"/>
        <v>Water Works and Supply</v>
      </c>
      <c r="C3103" s="6">
        <v>48</v>
      </c>
      <c r="D3103" s="6" t="str">
        <f t="shared" si="97"/>
        <v>Public Works and Other Construction</v>
      </c>
      <c r="E3103" s="6">
        <v>59024</v>
      </c>
      <c r="F3103" s="6">
        <v>0</v>
      </c>
      <c r="G3103" s="6">
        <v>0</v>
      </c>
      <c r="H3103" s="6">
        <v>0</v>
      </c>
      <c r="I3103" s="6">
        <v>0</v>
      </c>
    </row>
    <row r="3104" spans="1:9">
      <c r="A3104" s="6">
        <v>47</v>
      </c>
      <c r="B3104" s="6" t="str">
        <f t="shared" si="96"/>
        <v>Building Construction</v>
      </c>
      <c r="C3104" s="6">
        <v>48</v>
      </c>
      <c r="D3104" s="6" t="str">
        <f t="shared" si="97"/>
        <v>Public Works and Other Construction</v>
      </c>
      <c r="E3104" s="6">
        <v>234655</v>
      </c>
      <c r="F3104" s="6">
        <v>0</v>
      </c>
      <c r="G3104" s="6">
        <v>0</v>
      </c>
      <c r="H3104" s="6">
        <v>0</v>
      </c>
      <c r="I3104" s="6">
        <v>0</v>
      </c>
    </row>
    <row r="3105" spans="1:9">
      <c r="A3105" s="6">
        <v>48</v>
      </c>
      <c r="B3105" s="6" t="str">
        <f t="shared" si="96"/>
        <v>Public Works and Other Construction</v>
      </c>
      <c r="C3105" s="6">
        <v>48</v>
      </c>
      <c r="D3105" s="6" t="str">
        <f t="shared" si="97"/>
        <v>Public Works and Other Construction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</row>
    <row r="3106" spans="1:9">
      <c r="A3106" s="6">
        <v>49</v>
      </c>
      <c r="B3106" s="6" t="str">
        <f t="shared" si="96"/>
        <v>Trade</v>
      </c>
      <c r="C3106" s="6">
        <v>48</v>
      </c>
      <c r="D3106" s="6" t="str">
        <f t="shared" si="97"/>
        <v>Public Works and Other Construction</v>
      </c>
      <c r="E3106" s="6">
        <v>0</v>
      </c>
      <c r="F3106" s="6">
        <v>-25485220</v>
      </c>
      <c r="G3106" s="6">
        <v>-18822008</v>
      </c>
      <c r="H3106" s="6">
        <v>0</v>
      </c>
      <c r="I3106" s="6">
        <v>0</v>
      </c>
    </row>
    <row r="3107" spans="1:9">
      <c r="A3107" s="6">
        <v>50</v>
      </c>
      <c r="B3107" s="6" t="str">
        <f t="shared" si="96"/>
        <v>Restaurants and Hotels</v>
      </c>
      <c r="C3107" s="6">
        <v>48</v>
      </c>
      <c r="D3107" s="6" t="str">
        <f t="shared" si="97"/>
        <v>Public Works and Other Construction</v>
      </c>
      <c r="E3107" s="6">
        <v>2020220</v>
      </c>
      <c r="F3107" s="6">
        <v>0</v>
      </c>
      <c r="G3107" s="6">
        <v>0</v>
      </c>
      <c r="H3107" s="6">
        <v>0</v>
      </c>
      <c r="I3107" s="6">
        <v>0</v>
      </c>
    </row>
    <row r="3108" spans="1:9">
      <c r="A3108" s="6">
        <v>51</v>
      </c>
      <c r="B3108" s="6" t="str">
        <f t="shared" si="96"/>
        <v>Transportation</v>
      </c>
      <c r="C3108" s="6">
        <v>48</v>
      </c>
      <c r="D3108" s="6" t="str">
        <f t="shared" si="97"/>
        <v>Public Works and Other Construction</v>
      </c>
      <c r="E3108" s="6">
        <v>31982932</v>
      </c>
      <c r="F3108" s="6">
        <v>0</v>
      </c>
      <c r="G3108" s="6">
        <v>0</v>
      </c>
      <c r="H3108" s="6">
        <v>-15036923</v>
      </c>
      <c r="I3108" s="6">
        <v>0</v>
      </c>
    </row>
    <row r="3109" spans="1:9">
      <c r="A3109" s="6">
        <v>52</v>
      </c>
      <c r="B3109" s="6" t="str">
        <f t="shared" si="96"/>
        <v>Communication</v>
      </c>
      <c r="C3109" s="6">
        <v>48</v>
      </c>
      <c r="D3109" s="6" t="str">
        <f t="shared" si="97"/>
        <v>Public Works and Other Construction</v>
      </c>
      <c r="E3109" s="6">
        <v>341899</v>
      </c>
      <c r="F3109" s="6">
        <v>0</v>
      </c>
      <c r="G3109" s="6">
        <v>0</v>
      </c>
      <c r="H3109" s="6">
        <v>0</v>
      </c>
      <c r="I3109" s="6">
        <v>0</v>
      </c>
    </row>
    <row r="3110" spans="1:9">
      <c r="A3110" s="6">
        <v>53</v>
      </c>
      <c r="B3110" s="6" t="str">
        <f t="shared" si="96"/>
        <v>Banking and Insurance</v>
      </c>
      <c r="C3110" s="6">
        <v>48</v>
      </c>
      <c r="D3110" s="6" t="str">
        <f t="shared" si="97"/>
        <v>Public Works and Other Construction</v>
      </c>
      <c r="E3110" s="6">
        <v>12583890</v>
      </c>
      <c r="F3110" s="6">
        <v>0</v>
      </c>
      <c r="G3110" s="6">
        <v>0</v>
      </c>
      <c r="H3110" s="6">
        <v>0</v>
      </c>
      <c r="I3110" s="6">
        <v>0</v>
      </c>
    </row>
    <row r="3111" spans="1:9">
      <c r="A3111" s="6">
        <v>54</v>
      </c>
      <c r="B3111" s="6" t="str">
        <f t="shared" si="96"/>
        <v>Real Estate</v>
      </c>
      <c r="C3111" s="6">
        <v>48</v>
      </c>
      <c r="D3111" s="6" t="str">
        <f t="shared" si="97"/>
        <v>Public Works and Other Construction</v>
      </c>
      <c r="E3111" s="6">
        <v>262562</v>
      </c>
      <c r="F3111" s="6">
        <v>0</v>
      </c>
      <c r="G3111" s="6">
        <v>0</v>
      </c>
      <c r="H3111" s="6">
        <v>0</v>
      </c>
      <c r="I3111" s="6">
        <v>0</v>
      </c>
    </row>
    <row r="3112" spans="1:9">
      <c r="A3112" s="6">
        <v>55</v>
      </c>
      <c r="B3112" s="6" t="str">
        <f t="shared" si="96"/>
        <v>Business Services</v>
      </c>
      <c r="C3112" s="6">
        <v>48</v>
      </c>
      <c r="D3112" s="6" t="str">
        <f t="shared" si="97"/>
        <v>Public Works and Other Construction</v>
      </c>
      <c r="E3112" s="6">
        <v>26881004</v>
      </c>
      <c r="F3112" s="6">
        <v>0</v>
      </c>
      <c r="G3112" s="6">
        <v>0</v>
      </c>
      <c r="H3112" s="6">
        <v>0</v>
      </c>
      <c r="I3112" s="6">
        <v>0</v>
      </c>
    </row>
    <row r="3113" spans="1:9">
      <c r="A3113" s="6">
        <v>56</v>
      </c>
      <c r="B3113" s="6" t="str">
        <f t="shared" si="96"/>
        <v>Public Services</v>
      </c>
      <c r="C3113" s="6">
        <v>48</v>
      </c>
      <c r="D3113" s="6" t="str">
        <f t="shared" si="97"/>
        <v>Public Works and Other Construction</v>
      </c>
      <c r="E3113" s="6">
        <v>99671</v>
      </c>
      <c r="F3113" s="6">
        <v>0</v>
      </c>
      <c r="G3113" s="6">
        <v>0</v>
      </c>
      <c r="H3113" s="6">
        <v>0</v>
      </c>
      <c r="I3113" s="6">
        <v>0</v>
      </c>
    </row>
    <row r="3114" spans="1:9">
      <c r="A3114" s="6">
        <v>57</v>
      </c>
      <c r="B3114" s="6" t="str">
        <f t="shared" si="96"/>
        <v>Other Services</v>
      </c>
      <c r="C3114" s="6">
        <v>48</v>
      </c>
      <c r="D3114" s="6" t="str">
        <f t="shared" si="97"/>
        <v>Public Works and Other Construction</v>
      </c>
      <c r="E3114" s="6">
        <v>246268</v>
      </c>
      <c r="F3114" s="6">
        <v>0</v>
      </c>
      <c r="G3114" s="6">
        <v>0</v>
      </c>
      <c r="H3114" s="6">
        <v>0</v>
      </c>
      <c r="I3114" s="6">
        <v>0</v>
      </c>
    </row>
    <row r="3115" spans="1:9">
      <c r="A3115" s="6">
        <v>58</v>
      </c>
      <c r="B3115" s="6" t="str">
        <f t="shared" si="96"/>
        <v>Unclassified</v>
      </c>
      <c r="C3115" s="6">
        <v>48</v>
      </c>
      <c r="D3115" s="6" t="str">
        <f t="shared" si="97"/>
        <v>Public Works and Other Construction</v>
      </c>
      <c r="E3115" s="6">
        <v>1740717</v>
      </c>
      <c r="F3115" s="6">
        <v>0</v>
      </c>
      <c r="G3115" s="6">
        <v>0</v>
      </c>
      <c r="H3115" s="6">
        <v>0</v>
      </c>
      <c r="I3115" s="6">
        <v>176672</v>
      </c>
    </row>
    <row r="3116" spans="1:9">
      <c r="A3116" s="6">
        <v>190</v>
      </c>
      <c r="B3116" s="6" t="str">
        <f t="shared" si="96"/>
        <v>Total Intermedite Transaction</v>
      </c>
      <c r="C3116" s="6">
        <v>48</v>
      </c>
      <c r="D3116" s="6" t="str">
        <f t="shared" si="97"/>
        <v>Public Works and Other Construction</v>
      </c>
      <c r="E3116" s="6">
        <v>471271482</v>
      </c>
      <c r="F3116" s="6">
        <v>0</v>
      </c>
      <c r="G3116" s="6">
        <v>0</v>
      </c>
      <c r="H3116" s="6">
        <v>0</v>
      </c>
      <c r="I3116" s="6">
        <v>115418494</v>
      </c>
    </row>
    <row r="3117" spans="1:9">
      <c r="A3117" s="6">
        <v>201</v>
      </c>
      <c r="B3117" s="6" t="str">
        <f t="shared" si="96"/>
        <v>Wages and Salaries</v>
      </c>
      <c r="C3117" s="6">
        <v>48</v>
      </c>
      <c r="D3117" s="6" t="str">
        <f t="shared" si="97"/>
        <v>Public Works and Other Construction</v>
      </c>
      <c r="E3117" s="6">
        <v>92574143</v>
      </c>
      <c r="F3117" s="6">
        <v>0</v>
      </c>
      <c r="G3117" s="6">
        <v>0</v>
      </c>
      <c r="H3117" s="6">
        <v>0</v>
      </c>
      <c r="I3117" s="6">
        <v>0</v>
      </c>
    </row>
    <row r="3118" spans="1:9">
      <c r="A3118" s="6">
        <v>202</v>
      </c>
      <c r="B3118" s="6" t="str">
        <f t="shared" si="96"/>
        <v>Operating Surplus</v>
      </c>
      <c r="C3118" s="6">
        <v>48</v>
      </c>
      <c r="D3118" s="6" t="str">
        <f t="shared" si="97"/>
        <v>Public Works and Other Construction</v>
      </c>
      <c r="E3118" s="6">
        <v>117461623</v>
      </c>
      <c r="F3118" s="6">
        <v>0</v>
      </c>
      <c r="G3118" s="6">
        <v>0</v>
      </c>
      <c r="H3118" s="6">
        <v>0</v>
      </c>
      <c r="I3118" s="6">
        <v>0</v>
      </c>
    </row>
    <row r="3119" spans="1:9">
      <c r="A3119" s="6">
        <v>203</v>
      </c>
      <c r="B3119" s="6" t="str">
        <f t="shared" si="96"/>
        <v>Depreciation</v>
      </c>
      <c r="C3119" s="6">
        <v>48</v>
      </c>
      <c r="D3119" s="6" t="str">
        <f t="shared" si="97"/>
        <v>Public Works and Other Construction</v>
      </c>
      <c r="E3119" s="6">
        <v>65629867</v>
      </c>
      <c r="F3119" s="6">
        <v>0</v>
      </c>
      <c r="G3119" s="6">
        <v>0</v>
      </c>
      <c r="H3119" s="6">
        <v>0</v>
      </c>
      <c r="I3119" s="6">
        <v>0</v>
      </c>
    </row>
    <row r="3120" spans="1:9">
      <c r="A3120" s="6">
        <v>204</v>
      </c>
      <c r="B3120" s="6" t="str">
        <f t="shared" si="96"/>
        <v>Indirect Taxes less Subsidies</v>
      </c>
      <c r="C3120" s="6">
        <v>48</v>
      </c>
      <c r="D3120" s="6" t="str">
        <f t="shared" si="97"/>
        <v>Public Works and Other Construction</v>
      </c>
      <c r="E3120" s="6">
        <v>11176160</v>
      </c>
      <c r="F3120" s="6">
        <v>0</v>
      </c>
      <c r="G3120" s="6">
        <v>0</v>
      </c>
      <c r="H3120" s="6">
        <v>0</v>
      </c>
      <c r="I3120" s="6">
        <v>0</v>
      </c>
    </row>
    <row r="3121" spans="1:9">
      <c r="A3121" s="6">
        <v>209</v>
      </c>
      <c r="B3121" s="6" t="str">
        <f t="shared" si="96"/>
        <v>Total Value Added</v>
      </c>
      <c r="C3121" s="6">
        <v>48</v>
      </c>
      <c r="D3121" s="6" t="str">
        <f t="shared" si="97"/>
        <v>Public Works and Other Construction</v>
      </c>
      <c r="E3121" s="6">
        <v>286841793</v>
      </c>
      <c r="F3121" s="6">
        <v>0</v>
      </c>
      <c r="G3121" s="6">
        <v>0</v>
      </c>
      <c r="H3121" s="6">
        <v>0</v>
      </c>
      <c r="I3121" s="6">
        <v>0</v>
      </c>
    </row>
    <row r="3122" spans="1:9">
      <c r="A3122" s="6">
        <v>210</v>
      </c>
      <c r="B3122" s="6" t="str">
        <f t="shared" si="96"/>
        <v>Control Total</v>
      </c>
      <c r="C3122" s="6">
        <v>48</v>
      </c>
      <c r="D3122" s="6" t="str">
        <f t="shared" si="97"/>
        <v>Public Works and Other Construction</v>
      </c>
      <c r="E3122" s="6">
        <v>758113275</v>
      </c>
      <c r="F3122" s="6">
        <v>0</v>
      </c>
      <c r="G3122" s="6">
        <v>0</v>
      </c>
      <c r="H3122" s="6">
        <v>0</v>
      </c>
      <c r="I3122" s="6">
        <v>0</v>
      </c>
    </row>
    <row r="3123" spans="1:9">
      <c r="A3123" s="6">
        <v>1</v>
      </c>
      <c r="B3123" s="6" t="str">
        <f t="shared" si="96"/>
        <v>Paddy</v>
      </c>
      <c r="C3123" s="6">
        <v>49</v>
      </c>
      <c r="D3123" s="6" t="str">
        <f t="shared" si="97"/>
        <v>Trade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</row>
    <row r="3124" spans="1:9">
      <c r="A3124" s="6">
        <v>2</v>
      </c>
      <c r="B3124" s="6" t="str">
        <f t="shared" si="96"/>
        <v>Maize</v>
      </c>
      <c r="C3124" s="6">
        <v>49</v>
      </c>
      <c r="D3124" s="6" t="str">
        <f t="shared" si="97"/>
        <v>Trade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</row>
    <row r="3125" spans="1:9">
      <c r="A3125" s="6">
        <v>3</v>
      </c>
      <c r="B3125" s="6" t="str">
        <f t="shared" si="96"/>
        <v>Cassava</v>
      </c>
      <c r="C3125" s="6">
        <v>49</v>
      </c>
      <c r="D3125" s="6" t="str">
        <f t="shared" si="97"/>
        <v>Trade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</row>
    <row r="3126" spans="1:9">
      <c r="A3126" s="6">
        <v>4</v>
      </c>
      <c r="B3126" s="6" t="str">
        <f t="shared" si="96"/>
        <v>Beans and Nuts</v>
      </c>
      <c r="C3126" s="6">
        <v>49</v>
      </c>
      <c r="D3126" s="6" t="str">
        <f t="shared" si="97"/>
        <v>Trade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</row>
    <row r="3127" spans="1:9">
      <c r="A3127" s="6">
        <v>5</v>
      </c>
      <c r="B3127" s="6" t="str">
        <f t="shared" si="96"/>
        <v>Vegetables and Fruits</v>
      </c>
      <c r="C3127" s="6">
        <v>49</v>
      </c>
      <c r="D3127" s="6" t="str">
        <f t="shared" si="97"/>
        <v>Trade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</row>
    <row r="3128" spans="1:9">
      <c r="A3128" s="6">
        <v>6</v>
      </c>
      <c r="B3128" s="6" t="str">
        <f t="shared" si="96"/>
        <v>Sugarcane</v>
      </c>
      <c r="C3128" s="6">
        <v>49</v>
      </c>
      <c r="D3128" s="6" t="str">
        <f t="shared" si="97"/>
        <v>Trade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</row>
    <row r="3129" spans="1:9">
      <c r="A3129" s="6">
        <v>7</v>
      </c>
      <c r="B3129" s="6" t="str">
        <f t="shared" si="96"/>
        <v>Rubber (Latex)</v>
      </c>
      <c r="C3129" s="6">
        <v>49</v>
      </c>
      <c r="D3129" s="6" t="str">
        <f t="shared" si="97"/>
        <v>Trade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</row>
    <row r="3130" spans="1:9">
      <c r="A3130" s="6">
        <v>8</v>
      </c>
      <c r="B3130" s="6" t="str">
        <f t="shared" si="96"/>
        <v>Other Crops</v>
      </c>
      <c r="C3130" s="6">
        <v>49</v>
      </c>
      <c r="D3130" s="6" t="str">
        <f t="shared" si="97"/>
        <v>Trade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</row>
    <row r="3131" spans="1:9">
      <c r="A3131" s="6">
        <v>9</v>
      </c>
      <c r="B3131" s="6" t="str">
        <f t="shared" si="96"/>
        <v>Livestock</v>
      </c>
      <c r="C3131" s="6">
        <v>49</v>
      </c>
      <c r="D3131" s="6" t="str">
        <f t="shared" si="97"/>
        <v>Trade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</row>
    <row r="3132" spans="1:9">
      <c r="A3132" s="6">
        <v>10</v>
      </c>
      <c r="B3132" s="6" t="str">
        <f t="shared" si="96"/>
        <v>Forestry</v>
      </c>
      <c r="C3132" s="6">
        <v>49</v>
      </c>
      <c r="D3132" s="6" t="str">
        <f t="shared" si="97"/>
        <v>Trade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</row>
    <row r="3133" spans="1:9">
      <c r="A3133" s="6">
        <v>11</v>
      </c>
      <c r="B3133" s="6" t="str">
        <f t="shared" si="96"/>
        <v>Fishery</v>
      </c>
      <c r="C3133" s="6">
        <v>49</v>
      </c>
      <c r="D3133" s="6" t="str">
        <f t="shared" si="97"/>
        <v>Trade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</row>
    <row r="3134" spans="1:9">
      <c r="A3134" s="6">
        <v>12</v>
      </c>
      <c r="B3134" s="6" t="str">
        <f t="shared" si="96"/>
        <v>Crude Oil and Coal</v>
      </c>
      <c r="C3134" s="6">
        <v>49</v>
      </c>
      <c r="D3134" s="6" t="str">
        <f t="shared" si="97"/>
        <v>Trade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</row>
    <row r="3135" spans="1:9">
      <c r="A3135" s="6">
        <v>13</v>
      </c>
      <c r="B3135" s="6" t="str">
        <f t="shared" si="96"/>
        <v>Metal Ore</v>
      </c>
      <c r="C3135" s="6">
        <v>49</v>
      </c>
      <c r="D3135" s="6" t="str">
        <f t="shared" si="97"/>
        <v>Trade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</row>
    <row r="3136" spans="1:9">
      <c r="A3136" s="6">
        <v>14</v>
      </c>
      <c r="B3136" s="6" t="str">
        <f t="shared" si="96"/>
        <v>Non-Metal Ore</v>
      </c>
      <c r="C3136" s="6">
        <v>49</v>
      </c>
      <c r="D3136" s="6" t="str">
        <f t="shared" si="97"/>
        <v>Trade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</row>
    <row r="3137" spans="1:9">
      <c r="A3137" s="6">
        <v>15</v>
      </c>
      <c r="B3137" s="6" t="str">
        <f t="shared" si="96"/>
        <v>Slaughtering</v>
      </c>
      <c r="C3137" s="6">
        <v>49</v>
      </c>
      <c r="D3137" s="6" t="str">
        <f t="shared" si="97"/>
        <v>Trade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</row>
    <row r="3138" spans="1:9">
      <c r="A3138" s="6">
        <v>16</v>
      </c>
      <c r="B3138" s="6" t="str">
        <f t="shared" si="96"/>
        <v>Processing and Presering of Foods</v>
      </c>
      <c r="C3138" s="6">
        <v>49</v>
      </c>
      <c r="D3138" s="6" t="str">
        <f t="shared" si="97"/>
        <v>Trade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</row>
    <row r="3139" spans="1:9">
      <c r="A3139" s="6">
        <v>17</v>
      </c>
      <c r="B3139" s="6" t="str">
        <f t="shared" si="96"/>
        <v>Rice and Other Grain Milling</v>
      </c>
      <c r="C3139" s="6">
        <v>49</v>
      </c>
      <c r="D3139" s="6" t="str">
        <f t="shared" si="97"/>
        <v>Trade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</row>
    <row r="3140" spans="1:9">
      <c r="A3140" s="6">
        <v>18</v>
      </c>
      <c r="B3140" s="6" t="str">
        <f t="shared" ref="B3140:B3203" si="98">VLOOKUP(A3140,R:S,2,0)</f>
        <v>Sugar Refineries</v>
      </c>
      <c r="C3140" s="6">
        <v>49</v>
      </c>
      <c r="D3140" s="6" t="str">
        <f t="shared" ref="D3140:D3203" si="99">VLOOKUP(C3140,R:S,2,0)</f>
        <v>Trade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</row>
    <row r="3141" spans="1:9">
      <c r="A3141" s="6">
        <v>19</v>
      </c>
      <c r="B3141" s="6" t="str">
        <f t="shared" si="98"/>
        <v>Other Foods</v>
      </c>
      <c r="C3141" s="6">
        <v>49</v>
      </c>
      <c r="D3141" s="6" t="str">
        <f t="shared" si="99"/>
        <v>Trade</v>
      </c>
      <c r="E3141" s="6">
        <v>1393036</v>
      </c>
      <c r="F3141" s="6">
        <v>124686</v>
      </c>
      <c r="G3141" s="6">
        <v>97142</v>
      </c>
      <c r="H3141" s="6">
        <v>31688</v>
      </c>
      <c r="I3141" s="6">
        <v>0</v>
      </c>
    </row>
    <row r="3142" spans="1:9">
      <c r="A3142" s="6">
        <v>20</v>
      </c>
      <c r="B3142" s="6" t="str">
        <f t="shared" si="98"/>
        <v>Animal Food</v>
      </c>
      <c r="C3142" s="6">
        <v>49</v>
      </c>
      <c r="D3142" s="6" t="str">
        <f t="shared" si="99"/>
        <v>Trade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</row>
    <row r="3143" spans="1:9">
      <c r="A3143" s="6">
        <v>21</v>
      </c>
      <c r="B3143" s="6" t="str">
        <f t="shared" si="98"/>
        <v>Beverages</v>
      </c>
      <c r="C3143" s="6">
        <v>49</v>
      </c>
      <c r="D3143" s="6" t="str">
        <f t="shared" si="99"/>
        <v>Trade</v>
      </c>
      <c r="E3143" s="6">
        <v>1130237</v>
      </c>
      <c r="F3143" s="6">
        <v>94481</v>
      </c>
      <c r="G3143" s="6">
        <v>228433</v>
      </c>
      <c r="H3143" s="6">
        <v>29631</v>
      </c>
      <c r="I3143" s="6">
        <v>0</v>
      </c>
    </row>
    <row r="3144" spans="1:9">
      <c r="A3144" s="6">
        <v>22</v>
      </c>
      <c r="B3144" s="6" t="str">
        <f t="shared" si="98"/>
        <v>Tobacco Processing and Products</v>
      </c>
      <c r="C3144" s="6">
        <v>49</v>
      </c>
      <c r="D3144" s="6" t="str">
        <f t="shared" si="99"/>
        <v>Trade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</row>
    <row r="3145" spans="1:9">
      <c r="A3145" s="6">
        <v>23</v>
      </c>
      <c r="B3145" s="6" t="str">
        <f t="shared" si="98"/>
        <v>Spinning, Weaving and Bleaching</v>
      </c>
      <c r="C3145" s="6">
        <v>49</v>
      </c>
      <c r="D3145" s="6" t="str">
        <f t="shared" si="99"/>
        <v>Trade</v>
      </c>
      <c r="E3145" s="6">
        <v>655087</v>
      </c>
      <c r="F3145" s="6">
        <v>5267</v>
      </c>
      <c r="G3145" s="6">
        <v>20258</v>
      </c>
      <c r="H3145" s="6">
        <v>1656</v>
      </c>
      <c r="I3145" s="6">
        <v>0</v>
      </c>
    </row>
    <row r="3146" spans="1:9">
      <c r="A3146" s="6">
        <v>24</v>
      </c>
      <c r="B3146" s="6" t="str">
        <f t="shared" si="98"/>
        <v>Textile Products</v>
      </c>
      <c r="C3146" s="6">
        <v>49</v>
      </c>
      <c r="D3146" s="6" t="str">
        <f t="shared" si="99"/>
        <v>Trade</v>
      </c>
      <c r="E3146" s="6">
        <v>6684650</v>
      </c>
      <c r="F3146" s="6">
        <v>350028</v>
      </c>
      <c r="G3146" s="6">
        <v>542755</v>
      </c>
      <c r="H3146" s="6">
        <v>34410</v>
      </c>
      <c r="I3146" s="6">
        <v>0</v>
      </c>
    </row>
    <row r="3147" spans="1:9">
      <c r="A3147" s="6">
        <v>25</v>
      </c>
      <c r="B3147" s="6" t="str">
        <f t="shared" si="98"/>
        <v>Paper and Paper Products</v>
      </c>
      <c r="C3147" s="6">
        <v>49</v>
      </c>
      <c r="D3147" s="6" t="str">
        <f t="shared" si="99"/>
        <v>Trade</v>
      </c>
      <c r="E3147" s="6">
        <v>13316692</v>
      </c>
      <c r="F3147" s="6">
        <v>903795</v>
      </c>
      <c r="G3147" s="6">
        <v>735992</v>
      </c>
      <c r="H3147" s="6">
        <v>143393</v>
      </c>
      <c r="I3147" s="6">
        <v>898951</v>
      </c>
    </row>
    <row r="3148" spans="1:9">
      <c r="A3148" s="6">
        <v>26</v>
      </c>
      <c r="B3148" s="6" t="str">
        <f t="shared" si="98"/>
        <v>Printing and Publishing</v>
      </c>
      <c r="C3148" s="6">
        <v>49</v>
      </c>
      <c r="D3148" s="6" t="str">
        <f t="shared" si="99"/>
        <v>Trade</v>
      </c>
      <c r="E3148" s="6">
        <v>8912283</v>
      </c>
      <c r="F3148" s="6">
        <v>259923</v>
      </c>
      <c r="G3148" s="6">
        <v>468552</v>
      </c>
      <c r="H3148" s="6">
        <v>68407</v>
      </c>
      <c r="I3148" s="6">
        <v>5133258</v>
      </c>
    </row>
    <row r="3149" spans="1:9">
      <c r="A3149" s="6">
        <v>27</v>
      </c>
      <c r="B3149" s="6" t="str">
        <f t="shared" si="98"/>
        <v>Basic Chemical Products</v>
      </c>
      <c r="C3149" s="6">
        <v>49</v>
      </c>
      <c r="D3149" s="6" t="str">
        <f t="shared" si="99"/>
        <v>Trade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</row>
    <row r="3150" spans="1:9">
      <c r="A3150" s="6">
        <v>28</v>
      </c>
      <c r="B3150" s="6" t="str">
        <f t="shared" si="98"/>
        <v>Fertilizer and Pesticides</v>
      </c>
      <c r="C3150" s="6">
        <v>49</v>
      </c>
      <c r="D3150" s="6" t="str">
        <f t="shared" si="99"/>
        <v>Trade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</row>
    <row r="3151" spans="1:9">
      <c r="A3151" s="6">
        <v>29</v>
      </c>
      <c r="B3151" s="6" t="str">
        <f t="shared" si="98"/>
        <v>Other Chemical Products</v>
      </c>
      <c r="C3151" s="6">
        <v>49</v>
      </c>
      <c r="D3151" s="6" t="str">
        <f t="shared" si="99"/>
        <v>Trade</v>
      </c>
      <c r="E3151" s="6">
        <v>3486367</v>
      </c>
      <c r="F3151" s="6">
        <v>298194</v>
      </c>
      <c r="G3151" s="6">
        <v>304700</v>
      </c>
      <c r="H3151" s="6">
        <v>52863</v>
      </c>
      <c r="I3151" s="6">
        <v>1130876</v>
      </c>
    </row>
    <row r="3152" spans="1:9">
      <c r="A3152" s="6">
        <v>30</v>
      </c>
      <c r="B3152" s="6" t="str">
        <f t="shared" si="98"/>
        <v>Petroleum Refineries</v>
      </c>
      <c r="C3152" s="6">
        <v>49</v>
      </c>
      <c r="D3152" s="6" t="str">
        <f t="shared" si="99"/>
        <v>Trade</v>
      </c>
      <c r="E3152" s="6">
        <v>31081527</v>
      </c>
      <c r="F3152" s="6">
        <v>1622266</v>
      </c>
      <c r="G3152" s="6">
        <v>1626453</v>
      </c>
      <c r="H3152" s="6">
        <v>286606</v>
      </c>
      <c r="I3152" s="6">
        <v>5974930</v>
      </c>
    </row>
    <row r="3153" spans="1:9">
      <c r="A3153" s="6">
        <v>31</v>
      </c>
      <c r="B3153" s="6" t="str">
        <f t="shared" si="98"/>
        <v>Rubber Products</v>
      </c>
      <c r="C3153" s="6">
        <v>49</v>
      </c>
      <c r="D3153" s="6" t="str">
        <f t="shared" si="99"/>
        <v>Trade</v>
      </c>
      <c r="E3153" s="6">
        <v>409057</v>
      </c>
      <c r="F3153" s="6">
        <v>28238</v>
      </c>
      <c r="G3153" s="6">
        <v>50067</v>
      </c>
      <c r="H3153" s="6">
        <v>9792</v>
      </c>
      <c r="I3153" s="6">
        <v>0</v>
      </c>
    </row>
    <row r="3154" spans="1:9">
      <c r="A3154" s="6">
        <v>32</v>
      </c>
      <c r="B3154" s="6" t="str">
        <f t="shared" si="98"/>
        <v>Plastic Wares</v>
      </c>
      <c r="C3154" s="6">
        <v>49</v>
      </c>
      <c r="D3154" s="6" t="str">
        <f t="shared" si="99"/>
        <v>Trade</v>
      </c>
      <c r="E3154" s="6">
        <v>55468079</v>
      </c>
      <c r="F3154" s="6">
        <v>1714285</v>
      </c>
      <c r="G3154" s="6">
        <v>2415603</v>
      </c>
      <c r="H3154" s="6">
        <v>390126</v>
      </c>
      <c r="I3154" s="6">
        <v>18798883</v>
      </c>
    </row>
    <row r="3155" spans="1:9">
      <c r="A3155" s="6">
        <v>33</v>
      </c>
      <c r="B3155" s="6" t="str">
        <f t="shared" si="98"/>
        <v>Cement and Concrete Products</v>
      </c>
      <c r="C3155" s="6">
        <v>49</v>
      </c>
      <c r="D3155" s="6" t="str">
        <f t="shared" si="99"/>
        <v>Trade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</row>
    <row r="3156" spans="1:9">
      <c r="A3156" s="6">
        <v>34</v>
      </c>
      <c r="B3156" s="6" t="str">
        <f t="shared" si="98"/>
        <v>Other Non-metallic Products</v>
      </c>
      <c r="C3156" s="6">
        <v>49</v>
      </c>
      <c r="D3156" s="6" t="str">
        <f t="shared" si="99"/>
        <v>Trade</v>
      </c>
      <c r="E3156" s="6">
        <v>931176</v>
      </c>
      <c r="F3156" s="6">
        <v>72998</v>
      </c>
      <c r="G3156" s="6">
        <v>71030</v>
      </c>
      <c r="H3156" s="6">
        <v>9736</v>
      </c>
      <c r="I3156" s="6">
        <v>0</v>
      </c>
    </row>
    <row r="3157" spans="1:9">
      <c r="A3157" s="6">
        <v>35</v>
      </c>
      <c r="B3157" s="6" t="str">
        <f t="shared" si="98"/>
        <v>Iron and Steel</v>
      </c>
      <c r="C3157" s="6">
        <v>49</v>
      </c>
      <c r="D3157" s="6" t="str">
        <f t="shared" si="99"/>
        <v>Trade</v>
      </c>
      <c r="E3157" s="6">
        <v>95538</v>
      </c>
      <c r="F3157" s="6">
        <v>4186</v>
      </c>
      <c r="G3157" s="6">
        <v>11073</v>
      </c>
      <c r="H3157" s="6">
        <v>1332</v>
      </c>
      <c r="I3157" s="6">
        <v>26075</v>
      </c>
    </row>
    <row r="3158" spans="1:9">
      <c r="A3158" s="6">
        <v>36</v>
      </c>
      <c r="B3158" s="6" t="str">
        <f t="shared" si="98"/>
        <v>Non-ferrous Metal</v>
      </c>
      <c r="C3158" s="6">
        <v>49</v>
      </c>
      <c r="D3158" s="6" t="str">
        <f t="shared" si="99"/>
        <v>Trade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</row>
    <row r="3159" spans="1:9">
      <c r="A3159" s="6">
        <v>37</v>
      </c>
      <c r="B3159" s="6" t="str">
        <f t="shared" si="98"/>
        <v>Fabricated Metal Products</v>
      </c>
      <c r="C3159" s="6">
        <v>49</v>
      </c>
      <c r="D3159" s="6" t="str">
        <f t="shared" si="99"/>
        <v>Trade</v>
      </c>
      <c r="E3159" s="6">
        <v>1146899</v>
      </c>
      <c r="F3159" s="6">
        <v>26280</v>
      </c>
      <c r="G3159" s="6">
        <v>55624</v>
      </c>
      <c r="H3159" s="6">
        <v>4685</v>
      </c>
      <c r="I3159" s="6">
        <v>622180</v>
      </c>
    </row>
    <row r="3160" spans="1:9">
      <c r="A3160" s="6">
        <v>38</v>
      </c>
      <c r="B3160" s="6" t="str">
        <f t="shared" si="98"/>
        <v>Industrial Machinery</v>
      </c>
      <c r="C3160" s="6">
        <v>49</v>
      </c>
      <c r="D3160" s="6" t="str">
        <f t="shared" si="99"/>
        <v>Trade</v>
      </c>
      <c r="E3160" s="6">
        <v>17715</v>
      </c>
      <c r="F3160" s="6">
        <v>1418</v>
      </c>
      <c r="G3160" s="6">
        <v>0</v>
      </c>
      <c r="H3160" s="6">
        <v>201</v>
      </c>
      <c r="I3160" s="6">
        <v>0</v>
      </c>
    </row>
    <row r="3161" spans="1:9">
      <c r="A3161" s="6">
        <v>39</v>
      </c>
      <c r="B3161" s="6" t="str">
        <f t="shared" si="98"/>
        <v>Electrical Machinery and Apparatus</v>
      </c>
      <c r="C3161" s="6">
        <v>49</v>
      </c>
      <c r="D3161" s="6" t="str">
        <f t="shared" si="99"/>
        <v>Trade</v>
      </c>
      <c r="E3161" s="6">
        <v>11783869</v>
      </c>
      <c r="F3161" s="6">
        <v>383753</v>
      </c>
      <c r="G3161" s="6">
        <v>754761</v>
      </c>
      <c r="H3161" s="6">
        <v>88847</v>
      </c>
      <c r="I3161" s="6">
        <v>2107967</v>
      </c>
    </row>
    <row r="3162" spans="1:9">
      <c r="A3162" s="6">
        <v>40</v>
      </c>
      <c r="B3162" s="6" t="str">
        <f t="shared" si="98"/>
        <v>Motor Vehicles and Repairing</v>
      </c>
      <c r="C3162" s="6">
        <v>49</v>
      </c>
      <c r="D3162" s="6" t="str">
        <f t="shared" si="99"/>
        <v>Trade</v>
      </c>
      <c r="E3162" s="6">
        <v>20799109</v>
      </c>
      <c r="F3162" s="6">
        <v>99838</v>
      </c>
      <c r="G3162" s="6">
        <v>216156</v>
      </c>
      <c r="H3162" s="6">
        <v>12981</v>
      </c>
      <c r="I3162" s="6">
        <v>0</v>
      </c>
    </row>
    <row r="3163" spans="1:9">
      <c r="A3163" s="6">
        <v>41</v>
      </c>
      <c r="B3163" s="6" t="str">
        <f t="shared" si="98"/>
        <v>Other Transportation Equipment</v>
      </c>
      <c r="C3163" s="6">
        <v>49</v>
      </c>
      <c r="D3163" s="6" t="str">
        <f t="shared" si="99"/>
        <v>Trade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</row>
    <row r="3164" spans="1:9">
      <c r="A3164" s="6">
        <v>42</v>
      </c>
      <c r="B3164" s="6" t="str">
        <f t="shared" si="98"/>
        <v>Leather Products</v>
      </c>
      <c r="C3164" s="6">
        <v>49</v>
      </c>
      <c r="D3164" s="6" t="str">
        <f t="shared" si="99"/>
        <v>Trade</v>
      </c>
      <c r="E3164" s="6">
        <v>1367232</v>
      </c>
      <c r="F3164" s="6">
        <v>40088</v>
      </c>
      <c r="G3164" s="6">
        <v>102605</v>
      </c>
      <c r="H3164" s="6">
        <v>8266</v>
      </c>
      <c r="I3164" s="6">
        <v>0</v>
      </c>
    </row>
    <row r="3165" spans="1:9">
      <c r="A3165" s="6">
        <v>43</v>
      </c>
      <c r="B3165" s="6" t="str">
        <f t="shared" si="98"/>
        <v>Saw Mills and Wood Products</v>
      </c>
      <c r="C3165" s="6">
        <v>49</v>
      </c>
      <c r="D3165" s="6" t="str">
        <f t="shared" si="99"/>
        <v>Trade</v>
      </c>
      <c r="E3165" s="6">
        <v>4225478</v>
      </c>
      <c r="F3165" s="6">
        <v>540054</v>
      </c>
      <c r="G3165" s="6">
        <v>535930</v>
      </c>
      <c r="H3165" s="6">
        <v>37039</v>
      </c>
      <c r="I3165" s="6">
        <v>0</v>
      </c>
    </row>
    <row r="3166" spans="1:9">
      <c r="A3166" s="6">
        <v>44</v>
      </c>
      <c r="B3166" s="6" t="str">
        <f t="shared" si="98"/>
        <v>Other Manufacturing Products</v>
      </c>
      <c r="C3166" s="6">
        <v>49</v>
      </c>
      <c r="D3166" s="6" t="str">
        <f t="shared" si="99"/>
        <v>Trade</v>
      </c>
      <c r="E3166" s="6">
        <v>3307461</v>
      </c>
      <c r="F3166" s="6">
        <v>269291</v>
      </c>
      <c r="G3166" s="6">
        <v>398677</v>
      </c>
      <c r="H3166" s="6">
        <v>35508</v>
      </c>
      <c r="I3166" s="6">
        <v>10614</v>
      </c>
    </row>
    <row r="3167" spans="1:9">
      <c r="A3167" s="6">
        <v>45</v>
      </c>
      <c r="B3167" s="6" t="str">
        <f t="shared" si="98"/>
        <v>Electricity and Gas</v>
      </c>
      <c r="C3167" s="6">
        <v>49</v>
      </c>
      <c r="D3167" s="6" t="str">
        <f t="shared" si="99"/>
        <v>Trade</v>
      </c>
      <c r="E3167" s="6">
        <v>65534715</v>
      </c>
      <c r="F3167" s="6">
        <v>3849</v>
      </c>
      <c r="G3167" s="6">
        <v>6610</v>
      </c>
      <c r="H3167" s="6">
        <v>710</v>
      </c>
      <c r="I3167" s="6">
        <v>0</v>
      </c>
    </row>
    <row r="3168" spans="1:9">
      <c r="A3168" s="6">
        <v>46</v>
      </c>
      <c r="B3168" s="6" t="str">
        <f t="shared" si="98"/>
        <v>Water Works and Supply</v>
      </c>
      <c r="C3168" s="6">
        <v>49</v>
      </c>
      <c r="D3168" s="6" t="str">
        <f t="shared" si="99"/>
        <v>Trade</v>
      </c>
      <c r="E3168" s="6">
        <v>2663435</v>
      </c>
      <c r="F3168" s="6">
        <v>0</v>
      </c>
      <c r="G3168" s="6">
        <v>0</v>
      </c>
      <c r="H3168" s="6">
        <v>0</v>
      </c>
      <c r="I3168" s="6">
        <v>0</v>
      </c>
    </row>
    <row r="3169" spans="1:9">
      <c r="A3169" s="6">
        <v>47</v>
      </c>
      <c r="B3169" s="6" t="str">
        <f t="shared" si="98"/>
        <v>Building Construction</v>
      </c>
      <c r="C3169" s="6">
        <v>49</v>
      </c>
      <c r="D3169" s="6" t="str">
        <f t="shared" si="99"/>
        <v>Trade</v>
      </c>
      <c r="E3169" s="6">
        <v>3434818</v>
      </c>
      <c r="F3169" s="6">
        <v>0</v>
      </c>
      <c r="G3169" s="6">
        <v>0</v>
      </c>
      <c r="H3169" s="6">
        <v>0</v>
      </c>
      <c r="I3169" s="6">
        <v>0</v>
      </c>
    </row>
    <row r="3170" spans="1:9">
      <c r="A3170" s="6">
        <v>48</v>
      </c>
      <c r="B3170" s="6" t="str">
        <f t="shared" si="98"/>
        <v>Public Works and Other Construction</v>
      </c>
      <c r="C3170" s="6">
        <v>49</v>
      </c>
      <c r="D3170" s="6" t="str">
        <f t="shared" si="99"/>
        <v>Trade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</row>
    <row r="3171" spans="1:9">
      <c r="A3171" s="6">
        <v>49</v>
      </c>
      <c r="B3171" s="6" t="str">
        <f t="shared" si="98"/>
        <v>Trade</v>
      </c>
      <c r="C3171" s="6">
        <v>49</v>
      </c>
      <c r="D3171" s="6" t="str">
        <f t="shared" si="99"/>
        <v>Trade</v>
      </c>
      <c r="E3171" s="6">
        <v>0</v>
      </c>
      <c r="F3171" s="6">
        <v>-6842918</v>
      </c>
      <c r="G3171" s="6">
        <v>-8642421</v>
      </c>
      <c r="H3171" s="6">
        <v>0</v>
      </c>
      <c r="I3171" s="6">
        <v>0</v>
      </c>
    </row>
    <row r="3172" spans="1:9">
      <c r="A3172" s="6">
        <v>50</v>
      </c>
      <c r="B3172" s="6" t="str">
        <f t="shared" si="98"/>
        <v>Restaurants and Hotels</v>
      </c>
      <c r="C3172" s="6">
        <v>49</v>
      </c>
      <c r="D3172" s="6" t="str">
        <f t="shared" si="99"/>
        <v>Trade</v>
      </c>
      <c r="E3172" s="6">
        <v>22961164</v>
      </c>
      <c r="F3172" s="6">
        <v>0</v>
      </c>
      <c r="G3172" s="6">
        <v>0</v>
      </c>
      <c r="H3172" s="6">
        <v>0</v>
      </c>
      <c r="I3172" s="6">
        <v>0</v>
      </c>
    </row>
    <row r="3173" spans="1:9">
      <c r="A3173" s="6">
        <v>51</v>
      </c>
      <c r="B3173" s="6" t="str">
        <f t="shared" si="98"/>
        <v>Transportation</v>
      </c>
      <c r="C3173" s="6">
        <v>49</v>
      </c>
      <c r="D3173" s="6" t="str">
        <f t="shared" si="99"/>
        <v>Trade</v>
      </c>
      <c r="E3173" s="6">
        <v>148059984</v>
      </c>
      <c r="F3173" s="6">
        <v>0</v>
      </c>
      <c r="G3173" s="6">
        <v>0</v>
      </c>
      <c r="H3173" s="6">
        <v>-1247877</v>
      </c>
      <c r="I3173" s="6">
        <v>0</v>
      </c>
    </row>
    <row r="3174" spans="1:9">
      <c r="A3174" s="6">
        <v>52</v>
      </c>
      <c r="B3174" s="6" t="str">
        <f t="shared" si="98"/>
        <v>Communication</v>
      </c>
      <c r="C3174" s="6">
        <v>49</v>
      </c>
      <c r="D3174" s="6" t="str">
        <f t="shared" si="99"/>
        <v>Trade</v>
      </c>
      <c r="E3174" s="6">
        <v>76910974</v>
      </c>
      <c r="F3174" s="6">
        <v>0</v>
      </c>
      <c r="G3174" s="6">
        <v>0</v>
      </c>
      <c r="H3174" s="6">
        <v>0</v>
      </c>
      <c r="I3174" s="6">
        <v>0</v>
      </c>
    </row>
    <row r="3175" spans="1:9">
      <c r="A3175" s="6">
        <v>53</v>
      </c>
      <c r="B3175" s="6" t="str">
        <f t="shared" si="98"/>
        <v>Banking and Insurance</v>
      </c>
      <c r="C3175" s="6">
        <v>49</v>
      </c>
      <c r="D3175" s="6" t="str">
        <f t="shared" si="99"/>
        <v>Trade</v>
      </c>
      <c r="E3175" s="6">
        <v>211980182</v>
      </c>
      <c r="F3175" s="6">
        <v>0</v>
      </c>
      <c r="G3175" s="6">
        <v>0</v>
      </c>
      <c r="H3175" s="6">
        <v>0</v>
      </c>
      <c r="I3175" s="6">
        <v>9871750</v>
      </c>
    </row>
    <row r="3176" spans="1:9">
      <c r="A3176" s="6">
        <v>54</v>
      </c>
      <c r="B3176" s="6" t="str">
        <f t="shared" si="98"/>
        <v>Real Estate</v>
      </c>
      <c r="C3176" s="6">
        <v>49</v>
      </c>
      <c r="D3176" s="6" t="str">
        <f t="shared" si="99"/>
        <v>Trade</v>
      </c>
      <c r="E3176" s="6">
        <v>25534483</v>
      </c>
      <c r="F3176" s="6">
        <v>0</v>
      </c>
      <c r="G3176" s="6">
        <v>0</v>
      </c>
      <c r="H3176" s="6">
        <v>0</v>
      </c>
      <c r="I3176" s="6">
        <v>0</v>
      </c>
    </row>
    <row r="3177" spans="1:9">
      <c r="A3177" s="6">
        <v>55</v>
      </c>
      <c r="B3177" s="6" t="str">
        <f t="shared" si="98"/>
        <v>Business Services</v>
      </c>
      <c r="C3177" s="6">
        <v>49</v>
      </c>
      <c r="D3177" s="6" t="str">
        <f t="shared" si="99"/>
        <v>Trade</v>
      </c>
      <c r="E3177" s="6">
        <v>121751930</v>
      </c>
      <c r="F3177" s="6">
        <v>0</v>
      </c>
      <c r="G3177" s="6">
        <v>0</v>
      </c>
      <c r="H3177" s="6">
        <v>0</v>
      </c>
      <c r="I3177" s="6">
        <v>30041740</v>
      </c>
    </row>
    <row r="3178" spans="1:9">
      <c r="A3178" s="6">
        <v>56</v>
      </c>
      <c r="B3178" s="6" t="str">
        <f t="shared" si="98"/>
        <v>Public Services</v>
      </c>
      <c r="C3178" s="6">
        <v>49</v>
      </c>
      <c r="D3178" s="6" t="str">
        <f t="shared" si="99"/>
        <v>Trade</v>
      </c>
      <c r="E3178" s="6">
        <v>1628316</v>
      </c>
      <c r="F3178" s="6">
        <v>0</v>
      </c>
      <c r="G3178" s="6">
        <v>0</v>
      </c>
      <c r="H3178" s="6">
        <v>0</v>
      </c>
      <c r="I3178" s="6">
        <v>0</v>
      </c>
    </row>
    <row r="3179" spans="1:9">
      <c r="A3179" s="6">
        <v>57</v>
      </c>
      <c r="B3179" s="6" t="str">
        <f t="shared" si="98"/>
        <v>Other Services</v>
      </c>
      <c r="C3179" s="6">
        <v>49</v>
      </c>
      <c r="D3179" s="6" t="str">
        <f t="shared" si="99"/>
        <v>Trade</v>
      </c>
      <c r="E3179" s="6">
        <v>10431087</v>
      </c>
      <c r="F3179" s="6">
        <v>0</v>
      </c>
      <c r="G3179" s="6">
        <v>0</v>
      </c>
      <c r="H3179" s="6">
        <v>0</v>
      </c>
      <c r="I3179" s="6">
        <v>0</v>
      </c>
    </row>
    <row r="3180" spans="1:9">
      <c r="A3180" s="6">
        <v>58</v>
      </c>
      <c r="B3180" s="6" t="str">
        <f t="shared" si="98"/>
        <v>Unclassified</v>
      </c>
      <c r="C3180" s="6">
        <v>49</v>
      </c>
      <c r="D3180" s="6" t="str">
        <f t="shared" si="99"/>
        <v>Trade</v>
      </c>
      <c r="E3180" s="6">
        <v>28160918</v>
      </c>
      <c r="F3180" s="6">
        <v>0</v>
      </c>
      <c r="G3180" s="6">
        <v>0</v>
      </c>
      <c r="H3180" s="6">
        <v>0</v>
      </c>
      <c r="I3180" s="6">
        <v>2325542</v>
      </c>
    </row>
    <row r="3181" spans="1:9">
      <c r="A3181" s="6">
        <v>190</v>
      </c>
      <c r="B3181" s="6" t="str">
        <f t="shared" si="98"/>
        <v>Total Intermedite Transaction</v>
      </c>
      <c r="C3181" s="6">
        <v>49</v>
      </c>
      <c r="D3181" s="6" t="str">
        <f t="shared" si="99"/>
        <v>Trade</v>
      </c>
      <c r="E3181" s="6">
        <v>885263498</v>
      </c>
      <c r="F3181" s="6">
        <v>0</v>
      </c>
      <c r="G3181" s="6">
        <v>0</v>
      </c>
      <c r="H3181" s="6">
        <v>0</v>
      </c>
      <c r="I3181" s="6">
        <v>76942766</v>
      </c>
    </row>
    <row r="3182" spans="1:9">
      <c r="A3182" s="6">
        <v>201</v>
      </c>
      <c r="B3182" s="6" t="str">
        <f t="shared" si="98"/>
        <v>Wages and Salaries</v>
      </c>
      <c r="C3182" s="6">
        <v>49</v>
      </c>
      <c r="D3182" s="6" t="str">
        <f t="shared" si="99"/>
        <v>Trade</v>
      </c>
      <c r="E3182" s="6">
        <v>647824586</v>
      </c>
      <c r="F3182" s="6">
        <v>0</v>
      </c>
      <c r="G3182" s="6">
        <v>0</v>
      </c>
      <c r="H3182" s="6">
        <v>0</v>
      </c>
      <c r="I3182" s="6">
        <v>0</v>
      </c>
    </row>
    <row r="3183" spans="1:9">
      <c r="A3183" s="6">
        <v>202</v>
      </c>
      <c r="B3183" s="6" t="str">
        <f t="shared" si="98"/>
        <v>Operating Surplus</v>
      </c>
      <c r="C3183" s="6">
        <v>49</v>
      </c>
      <c r="D3183" s="6" t="str">
        <f t="shared" si="99"/>
        <v>Trade</v>
      </c>
      <c r="E3183" s="6">
        <v>1316903123</v>
      </c>
      <c r="F3183" s="6">
        <v>0</v>
      </c>
      <c r="G3183" s="6">
        <v>0</v>
      </c>
      <c r="H3183" s="6">
        <v>0</v>
      </c>
      <c r="I3183" s="6">
        <v>0</v>
      </c>
    </row>
    <row r="3184" spans="1:9">
      <c r="A3184" s="6">
        <v>203</v>
      </c>
      <c r="B3184" s="6" t="str">
        <f t="shared" si="98"/>
        <v>Depreciation</v>
      </c>
      <c r="C3184" s="6">
        <v>49</v>
      </c>
      <c r="D3184" s="6" t="str">
        <f t="shared" si="99"/>
        <v>Trade</v>
      </c>
      <c r="E3184" s="6">
        <v>351052090</v>
      </c>
      <c r="F3184" s="6">
        <v>0</v>
      </c>
      <c r="G3184" s="6">
        <v>0</v>
      </c>
      <c r="H3184" s="6">
        <v>0</v>
      </c>
      <c r="I3184" s="6">
        <v>0</v>
      </c>
    </row>
    <row r="3185" spans="1:9">
      <c r="A3185" s="6">
        <v>204</v>
      </c>
      <c r="B3185" s="6" t="str">
        <f t="shared" si="98"/>
        <v>Indirect Taxes less Subsidies</v>
      </c>
      <c r="C3185" s="6">
        <v>49</v>
      </c>
      <c r="D3185" s="6" t="str">
        <f t="shared" si="99"/>
        <v>Trade</v>
      </c>
      <c r="E3185" s="6">
        <v>85282953</v>
      </c>
      <c r="F3185" s="6">
        <v>0</v>
      </c>
      <c r="G3185" s="6">
        <v>0</v>
      </c>
      <c r="H3185" s="6">
        <v>0</v>
      </c>
      <c r="I3185" s="6">
        <v>0</v>
      </c>
    </row>
    <row r="3186" spans="1:9">
      <c r="A3186" s="6">
        <v>209</v>
      </c>
      <c r="B3186" s="6" t="str">
        <f t="shared" si="98"/>
        <v>Total Value Added</v>
      </c>
      <c r="C3186" s="6">
        <v>49</v>
      </c>
      <c r="D3186" s="6" t="str">
        <f t="shared" si="99"/>
        <v>Trade</v>
      </c>
      <c r="E3186" s="6">
        <v>2401062752</v>
      </c>
      <c r="F3186" s="6">
        <v>0</v>
      </c>
      <c r="G3186" s="6">
        <v>0</v>
      </c>
      <c r="H3186" s="6">
        <v>0</v>
      </c>
      <c r="I3186" s="6">
        <v>0</v>
      </c>
    </row>
    <row r="3187" spans="1:9">
      <c r="A3187" s="6">
        <v>210</v>
      </c>
      <c r="B3187" s="6" t="str">
        <f t="shared" si="98"/>
        <v>Control Total</v>
      </c>
      <c r="C3187" s="6">
        <v>49</v>
      </c>
      <c r="D3187" s="6" t="str">
        <f t="shared" si="99"/>
        <v>Trade</v>
      </c>
      <c r="E3187" s="6">
        <v>3286326250</v>
      </c>
      <c r="F3187" s="6">
        <v>0</v>
      </c>
      <c r="G3187" s="6">
        <v>0</v>
      </c>
      <c r="H3187" s="6">
        <v>0</v>
      </c>
      <c r="I3187" s="6">
        <v>0</v>
      </c>
    </row>
    <row r="3188" spans="1:9">
      <c r="A3188" s="6">
        <v>1</v>
      </c>
      <c r="B3188" s="6" t="str">
        <f t="shared" si="98"/>
        <v>Paddy</v>
      </c>
      <c r="C3188" s="6">
        <v>50</v>
      </c>
      <c r="D3188" s="6" t="str">
        <f t="shared" si="99"/>
        <v>Restaurants and Hotels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</row>
    <row r="3189" spans="1:9">
      <c r="A3189" s="6">
        <v>2</v>
      </c>
      <c r="B3189" s="6" t="str">
        <f t="shared" si="98"/>
        <v>Maize</v>
      </c>
      <c r="C3189" s="6">
        <v>50</v>
      </c>
      <c r="D3189" s="6" t="str">
        <f t="shared" si="99"/>
        <v>Restaurants and Hotels</v>
      </c>
      <c r="E3189" s="6">
        <v>619506</v>
      </c>
      <c r="F3189" s="6">
        <v>40235</v>
      </c>
      <c r="G3189" s="6">
        <v>42656</v>
      </c>
      <c r="H3189" s="6">
        <v>4966</v>
      </c>
      <c r="I3189" s="6">
        <v>0</v>
      </c>
    </row>
    <row r="3190" spans="1:9">
      <c r="A3190" s="6">
        <v>3</v>
      </c>
      <c r="B3190" s="6" t="str">
        <f t="shared" si="98"/>
        <v>Cassava</v>
      </c>
      <c r="C3190" s="6">
        <v>50</v>
      </c>
      <c r="D3190" s="6" t="str">
        <f t="shared" si="99"/>
        <v>Restaurants and Hotels</v>
      </c>
      <c r="E3190" s="6">
        <v>596998</v>
      </c>
      <c r="F3190" s="6">
        <v>4735</v>
      </c>
      <c r="G3190" s="6">
        <v>7287</v>
      </c>
      <c r="H3190" s="6">
        <v>3833</v>
      </c>
      <c r="I3190" s="6">
        <v>0</v>
      </c>
    </row>
    <row r="3191" spans="1:9">
      <c r="A3191" s="6">
        <v>4</v>
      </c>
      <c r="B3191" s="6" t="str">
        <f t="shared" si="98"/>
        <v>Beans and Nuts</v>
      </c>
      <c r="C3191" s="6">
        <v>50</v>
      </c>
      <c r="D3191" s="6" t="str">
        <f t="shared" si="99"/>
        <v>Restaurants and Hotels</v>
      </c>
      <c r="E3191" s="6">
        <v>7520510</v>
      </c>
      <c r="F3191" s="6">
        <v>162568</v>
      </c>
      <c r="G3191" s="6">
        <v>192969</v>
      </c>
      <c r="H3191" s="6">
        <v>13893</v>
      </c>
      <c r="I3191" s="6">
        <v>7044839</v>
      </c>
    </row>
    <row r="3192" spans="1:9">
      <c r="A3192" s="6">
        <v>5</v>
      </c>
      <c r="B3192" s="6" t="str">
        <f t="shared" si="98"/>
        <v>Vegetables and Fruits</v>
      </c>
      <c r="C3192" s="6">
        <v>50</v>
      </c>
      <c r="D3192" s="6" t="str">
        <f t="shared" si="99"/>
        <v>Restaurants and Hotels</v>
      </c>
      <c r="E3192" s="6">
        <v>105084676</v>
      </c>
      <c r="F3192" s="6">
        <v>7563482</v>
      </c>
      <c r="G3192" s="6">
        <v>12822281</v>
      </c>
      <c r="H3192" s="6">
        <v>1619582</v>
      </c>
      <c r="I3192" s="6">
        <v>6728266</v>
      </c>
    </row>
    <row r="3193" spans="1:9">
      <c r="A3193" s="6">
        <v>6</v>
      </c>
      <c r="B3193" s="6" t="str">
        <f t="shared" si="98"/>
        <v>Sugarcane</v>
      </c>
      <c r="C3193" s="6">
        <v>50</v>
      </c>
      <c r="D3193" s="6" t="str">
        <f t="shared" si="99"/>
        <v>Restaurants and Hotels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</row>
    <row r="3194" spans="1:9">
      <c r="A3194" s="6">
        <v>7</v>
      </c>
      <c r="B3194" s="6" t="str">
        <f t="shared" si="98"/>
        <v>Rubber (Latex)</v>
      </c>
      <c r="C3194" s="6">
        <v>50</v>
      </c>
      <c r="D3194" s="6" t="str">
        <f t="shared" si="99"/>
        <v>Restaurants and Hotels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</row>
    <row r="3195" spans="1:9">
      <c r="A3195" s="6">
        <v>8</v>
      </c>
      <c r="B3195" s="6" t="str">
        <f t="shared" si="98"/>
        <v>Other Crops</v>
      </c>
      <c r="C3195" s="6">
        <v>50</v>
      </c>
      <c r="D3195" s="6" t="str">
        <f t="shared" si="99"/>
        <v>Restaurants and Hotels</v>
      </c>
      <c r="E3195" s="6">
        <v>2046837</v>
      </c>
      <c r="F3195" s="6">
        <v>207297</v>
      </c>
      <c r="G3195" s="6">
        <v>147832</v>
      </c>
      <c r="H3195" s="6">
        <v>23875</v>
      </c>
      <c r="I3195" s="6">
        <v>757003</v>
      </c>
    </row>
    <row r="3196" spans="1:9">
      <c r="A3196" s="6">
        <v>9</v>
      </c>
      <c r="B3196" s="6" t="str">
        <f t="shared" si="98"/>
        <v>Livestock</v>
      </c>
      <c r="C3196" s="6">
        <v>50</v>
      </c>
      <c r="D3196" s="6" t="str">
        <f t="shared" si="99"/>
        <v>Restaurants and Hotels</v>
      </c>
      <c r="E3196" s="6">
        <v>7016546</v>
      </c>
      <c r="F3196" s="6">
        <v>147143</v>
      </c>
      <c r="G3196" s="6">
        <v>375184</v>
      </c>
      <c r="H3196" s="6">
        <v>51379</v>
      </c>
      <c r="I3196" s="6">
        <v>0</v>
      </c>
    </row>
    <row r="3197" spans="1:9">
      <c r="A3197" s="6">
        <v>10</v>
      </c>
      <c r="B3197" s="6" t="str">
        <f t="shared" si="98"/>
        <v>Forestry</v>
      </c>
      <c r="C3197" s="6">
        <v>50</v>
      </c>
      <c r="D3197" s="6" t="str">
        <f t="shared" si="99"/>
        <v>Restaurants and Hotels</v>
      </c>
      <c r="E3197" s="6">
        <v>1066145</v>
      </c>
      <c r="F3197" s="6">
        <v>97825</v>
      </c>
      <c r="G3197" s="6">
        <v>104954</v>
      </c>
      <c r="H3197" s="6">
        <v>20242</v>
      </c>
      <c r="I3197" s="6">
        <v>398125</v>
      </c>
    </row>
    <row r="3198" spans="1:9">
      <c r="A3198" s="6">
        <v>11</v>
      </c>
      <c r="B3198" s="6" t="str">
        <f t="shared" si="98"/>
        <v>Fishery</v>
      </c>
      <c r="C3198" s="6">
        <v>50</v>
      </c>
      <c r="D3198" s="6" t="str">
        <f t="shared" si="99"/>
        <v>Restaurants and Hotels</v>
      </c>
      <c r="E3198" s="6">
        <v>53290815</v>
      </c>
      <c r="F3198" s="6">
        <v>6585920</v>
      </c>
      <c r="G3198" s="6">
        <v>5751289</v>
      </c>
      <c r="H3198" s="6">
        <v>964744</v>
      </c>
      <c r="I3198" s="6">
        <v>1526175</v>
      </c>
    </row>
    <row r="3199" spans="1:9">
      <c r="A3199" s="6">
        <v>12</v>
      </c>
      <c r="B3199" s="6" t="str">
        <f t="shared" si="98"/>
        <v>Crude Oil and Coal</v>
      </c>
      <c r="C3199" s="6">
        <v>50</v>
      </c>
      <c r="D3199" s="6" t="str">
        <f t="shared" si="99"/>
        <v>Restaurants and Hotels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</row>
    <row r="3200" spans="1:9">
      <c r="A3200" s="6">
        <v>13</v>
      </c>
      <c r="B3200" s="6" t="str">
        <f t="shared" si="98"/>
        <v>Metal Ore</v>
      </c>
      <c r="C3200" s="6">
        <v>50</v>
      </c>
      <c r="D3200" s="6" t="str">
        <f t="shared" si="99"/>
        <v>Restaurants and Hotels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</row>
    <row r="3201" spans="1:9">
      <c r="A3201" s="6">
        <v>14</v>
      </c>
      <c r="B3201" s="6" t="str">
        <f t="shared" si="98"/>
        <v>Non-Metal Ore</v>
      </c>
      <c r="C3201" s="6">
        <v>50</v>
      </c>
      <c r="D3201" s="6" t="str">
        <f t="shared" si="99"/>
        <v>Restaurants and Hotels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</row>
    <row r="3202" spans="1:9">
      <c r="A3202" s="6">
        <v>15</v>
      </c>
      <c r="B3202" s="6" t="str">
        <f t="shared" si="98"/>
        <v>Slaughtering</v>
      </c>
      <c r="C3202" s="6">
        <v>50</v>
      </c>
      <c r="D3202" s="6" t="str">
        <f t="shared" si="99"/>
        <v>Restaurants and Hotels</v>
      </c>
      <c r="E3202" s="6">
        <v>133562274</v>
      </c>
      <c r="F3202" s="6">
        <v>3605387</v>
      </c>
      <c r="G3202" s="6">
        <v>5526355</v>
      </c>
      <c r="H3202" s="6">
        <v>378760</v>
      </c>
      <c r="I3202" s="6">
        <v>139893</v>
      </c>
    </row>
    <row r="3203" spans="1:9">
      <c r="A3203" s="6">
        <v>16</v>
      </c>
      <c r="B3203" s="6" t="str">
        <f t="shared" si="98"/>
        <v>Processing and Presering of Foods</v>
      </c>
      <c r="C3203" s="6">
        <v>50</v>
      </c>
      <c r="D3203" s="6" t="str">
        <f t="shared" si="99"/>
        <v>Restaurants and Hotels</v>
      </c>
      <c r="E3203" s="6">
        <v>86056422</v>
      </c>
      <c r="F3203" s="6">
        <v>2197213</v>
      </c>
      <c r="G3203" s="6">
        <v>3955620</v>
      </c>
      <c r="H3203" s="6">
        <v>676727</v>
      </c>
      <c r="I3203" s="6">
        <v>47936693</v>
      </c>
    </row>
    <row r="3204" spans="1:9">
      <c r="A3204" s="6">
        <v>17</v>
      </c>
      <c r="B3204" s="6" t="str">
        <f t="shared" ref="B3204:B3267" si="100">VLOOKUP(A3204,R:S,2,0)</f>
        <v>Rice and Other Grain Milling</v>
      </c>
      <c r="C3204" s="6">
        <v>50</v>
      </c>
      <c r="D3204" s="6" t="str">
        <f t="shared" ref="D3204:D3267" si="101">VLOOKUP(C3204,R:S,2,0)</f>
        <v>Restaurants and Hotels</v>
      </c>
      <c r="E3204" s="6">
        <v>42963246</v>
      </c>
      <c r="F3204" s="6">
        <v>800198</v>
      </c>
      <c r="G3204" s="6">
        <v>2025934</v>
      </c>
      <c r="H3204" s="6">
        <v>701958</v>
      </c>
      <c r="I3204" s="6">
        <v>3402518</v>
      </c>
    </row>
    <row r="3205" spans="1:9">
      <c r="A3205" s="6">
        <v>18</v>
      </c>
      <c r="B3205" s="6" t="str">
        <f t="shared" si="100"/>
        <v>Sugar Refineries</v>
      </c>
      <c r="C3205" s="6">
        <v>50</v>
      </c>
      <c r="D3205" s="6" t="str">
        <f t="shared" si="101"/>
        <v>Restaurants and Hotels</v>
      </c>
      <c r="E3205" s="6">
        <v>7812133</v>
      </c>
      <c r="F3205" s="6">
        <v>202971</v>
      </c>
      <c r="G3205" s="6">
        <v>290429</v>
      </c>
      <c r="H3205" s="6">
        <v>114008</v>
      </c>
      <c r="I3205" s="6">
        <v>366211</v>
      </c>
    </row>
    <row r="3206" spans="1:9">
      <c r="A3206" s="6">
        <v>19</v>
      </c>
      <c r="B3206" s="6" t="str">
        <f t="shared" si="100"/>
        <v>Other Foods</v>
      </c>
      <c r="C3206" s="6">
        <v>50</v>
      </c>
      <c r="D3206" s="6" t="str">
        <f t="shared" si="101"/>
        <v>Restaurants and Hotels</v>
      </c>
      <c r="E3206" s="6">
        <v>72410884</v>
      </c>
      <c r="F3206" s="6">
        <v>3160087</v>
      </c>
      <c r="G3206" s="6">
        <v>5428290</v>
      </c>
      <c r="H3206" s="6">
        <v>1112426</v>
      </c>
      <c r="I3206" s="6">
        <v>24303569</v>
      </c>
    </row>
    <row r="3207" spans="1:9">
      <c r="A3207" s="6">
        <v>20</v>
      </c>
      <c r="B3207" s="6" t="str">
        <f t="shared" si="100"/>
        <v>Animal Food</v>
      </c>
      <c r="C3207" s="6">
        <v>50</v>
      </c>
      <c r="D3207" s="6" t="str">
        <f t="shared" si="101"/>
        <v>Restaurants and Hotels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</row>
    <row r="3208" spans="1:9">
      <c r="A3208" s="6">
        <v>21</v>
      </c>
      <c r="B3208" s="6" t="str">
        <f t="shared" si="100"/>
        <v>Beverages</v>
      </c>
      <c r="C3208" s="6">
        <v>50</v>
      </c>
      <c r="D3208" s="6" t="str">
        <f t="shared" si="101"/>
        <v>Restaurants and Hotels</v>
      </c>
      <c r="E3208" s="6">
        <v>156133462</v>
      </c>
      <c r="F3208" s="6">
        <v>11565094</v>
      </c>
      <c r="G3208" s="6">
        <v>6672859</v>
      </c>
      <c r="H3208" s="6">
        <v>2188505</v>
      </c>
      <c r="I3208" s="6">
        <v>8075648</v>
      </c>
    </row>
    <row r="3209" spans="1:9">
      <c r="A3209" s="6">
        <v>22</v>
      </c>
      <c r="B3209" s="6" t="str">
        <f t="shared" si="100"/>
        <v>Tobacco Processing and Products</v>
      </c>
      <c r="C3209" s="6">
        <v>50</v>
      </c>
      <c r="D3209" s="6" t="str">
        <f t="shared" si="101"/>
        <v>Restaurants and Hotels</v>
      </c>
      <c r="E3209" s="6">
        <v>2036182</v>
      </c>
      <c r="F3209" s="6">
        <v>212475</v>
      </c>
      <c r="G3209" s="6">
        <v>242393</v>
      </c>
      <c r="H3209" s="6">
        <v>17992</v>
      </c>
      <c r="I3209" s="6">
        <v>0</v>
      </c>
    </row>
    <row r="3210" spans="1:9">
      <c r="A3210" s="6">
        <v>23</v>
      </c>
      <c r="B3210" s="6" t="str">
        <f t="shared" si="100"/>
        <v>Spinning, Weaving and Bleaching</v>
      </c>
      <c r="C3210" s="6">
        <v>50</v>
      </c>
      <c r="D3210" s="6" t="str">
        <f t="shared" si="101"/>
        <v>Restaurants and Hotels</v>
      </c>
      <c r="E3210" s="6">
        <v>91077</v>
      </c>
      <c r="F3210" s="6">
        <v>19063</v>
      </c>
      <c r="G3210" s="6">
        <v>15216</v>
      </c>
      <c r="H3210" s="6">
        <v>2068</v>
      </c>
      <c r="I3210" s="6">
        <v>0</v>
      </c>
    </row>
    <row r="3211" spans="1:9">
      <c r="A3211" s="6">
        <v>24</v>
      </c>
      <c r="B3211" s="6" t="str">
        <f t="shared" si="100"/>
        <v>Textile Products</v>
      </c>
      <c r="C3211" s="6">
        <v>50</v>
      </c>
      <c r="D3211" s="6" t="str">
        <f t="shared" si="101"/>
        <v>Restaurants and Hotels</v>
      </c>
      <c r="E3211" s="6">
        <v>3092631</v>
      </c>
      <c r="F3211" s="6">
        <v>242980</v>
      </c>
      <c r="G3211" s="6">
        <v>404912</v>
      </c>
      <c r="H3211" s="6">
        <v>16900</v>
      </c>
      <c r="I3211" s="6">
        <v>542985</v>
      </c>
    </row>
    <row r="3212" spans="1:9">
      <c r="A3212" s="6">
        <v>25</v>
      </c>
      <c r="B3212" s="6" t="str">
        <f t="shared" si="100"/>
        <v>Paper and Paper Products</v>
      </c>
      <c r="C3212" s="6">
        <v>50</v>
      </c>
      <c r="D3212" s="6" t="str">
        <f t="shared" si="101"/>
        <v>Restaurants and Hotels</v>
      </c>
      <c r="E3212" s="6">
        <v>2963225</v>
      </c>
      <c r="F3212" s="6">
        <v>44180</v>
      </c>
      <c r="G3212" s="6">
        <v>40520</v>
      </c>
      <c r="H3212" s="6">
        <v>22554</v>
      </c>
      <c r="I3212" s="6">
        <v>359706</v>
      </c>
    </row>
    <row r="3213" spans="1:9">
      <c r="A3213" s="6">
        <v>26</v>
      </c>
      <c r="B3213" s="6" t="str">
        <f t="shared" si="100"/>
        <v>Printing and Publishing</v>
      </c>
      <c r="C3213" s="6">
        <v>50</v>
      </c>
      <c r="D3213" s="6" t="str">
        <f t="shared" si="101"/>
        <v>Restaurants and Hotels</v>
      </c>
      <c r="E3213" s="6">
        <v>243474</v>
      </c>
      <c r="F3213" s="6">
        <v>9110</v>
      </c>
      <c r="G3213" s="6">
        <v>21047</v>
      </c>
      <c r="H3213" s="6">
        <v>2226</v>
      </c>
      <c r="I3213" s="6">
        <v>0</v>
      </c>
    </row>
    <row r="3214" spans="1:9">
      <c r="A3214" s="6">
        <v>27</v>
      </c>
      <c r="B3214" s="6" t="str">
        <f t="shared" si="100"/>
        <v>Basic Chemical Products</v>
      </c>
      <c r="C3214" s="6">
        <v>50</v>
      </c>
      <c r="D3214" s="6" t="str">
        <f t="shared" si="101"/>
        <v>Restaurants and Hotels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</row>
    <row r="3215" spans="1:9">
      <c r="A3215" s="6">
        <v>28</v>
      </c>
      <c r="B3215" s="6" t="str">
        <f t="shared" si="100"/>
        <v>Fertilizer and Pesticides</v>
      </c>
      <c r="C3215" s="6">
        <v>50</v>
      </c>
      <c r="D3215" s="6" t="str">
        <f t="shared" si="101"/>
        <v>Restaurants and Hotels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</row>
    <row r="3216" spans="1:9">
      <c r="A3216" s="6">
        <v>29</v>
      </c>
      <c r="B3216" s="6" t="str">
        <f t="shared" si="100"/>
        <v>Other Chemical Products</v>
      </c>
      <c r="C3216" s="6">
        <v>50</v>
      </c>
      <c r="D3216" s="6" t="str">
        <f t="shared" si="101"/>
        <v>Restaurants and Hotels</v>
      </c>
      <c r="E3216" s="6">
        <v>9117684</v>
      </c>
      <c r="F3216" s="6">
        <v>273505</v>
      </c>
      <c r="G3216" s="6">
        <v>463715</v>
      </c>
      <c r="H3216" s="6">
        <v>121138</v>
      </c>
      <c r="I3216" s="6">
        <v>953243</v>
      </c>
    </row>
    <row r="3217" spans="1:9">
      <c r="A3217" s="6">
        <v>30</v>
      </c>
      <c r="B3217" s="6" t="str">
        <f t="shared" si="100"/>
        <v>Petroleum Refineries</v>
      </c>
      <c r="C3217" s="6">
        <v>50</v>
      </c>
      <c r="D3217" s="6" t="str">
        <f t="shared" si="101"/>
        <v>Restaurants and Hotels</v>
      </c>
      <c r="E3217" s="6">
        <v>17697254</v>
      </c>
      <c r="F3217" s="6">
        <v>1768728</v>
      </c>
      <c r="G3217" s="6">
        <v>1924728</v>
      </c>
      <c r="H3217" s="6">
        <v>158961</v>
      </c>
      <c r="I3217" s="6">
        <v>2936976</v>
      </c>
    </row>
    <row r="3218" spans="1:9">
      <c r="A3218" s="6">
        <v>31</v>
      </c>
      <c r="B3218" s="6" t="str">
        <f t="shared" si="100"/>
        <v>Rubber Products</v>
      </c>
      <c r="C3218" s="6">
        <v>50</v>
      </c>
      <c r="D3218" s="6" t="str">
        <f t="shared" si="101"/>
        <v>Restaurants and Hotels</v>
      </c>
      <c r="E3218" s="6">
        <v>42366</v>
      </c>
      <c r="F3218" s="6">
        <v>1715</v>
      </c>
      <c r="G3218" s="6">
        <v>6670</v>
      </c>
      <c r="H3218" s="6">
        <v>960</v>
      </c>
      <c r="I3218" s="6">
        <v>0</v>
      </c>
    </row>
    <row r="3219" spans="1:9">
      <c r="A3219" s="6">
        <v>32</v>
      </c>
      <c r="B3219" s="6" t="str">
        <f t="shared" si="100"/>
        <v>Plastic Wares</v>
      </c>
      <c r="C3219" s="6">
        <v>50</v>
      </c>
      <c r="D3219" s="6" t="str">
        <f t="shared" si="101"/>
        <v>Restaurants and Hotels</v>
      </c>
      <c r="E3219" s="6">
        <v>9134654</v>
      </c>
      <c r="F3219" s="6">
        <v>410385</v>
      </c>
      <c r="G3219" s="6">
        <v>917623</v>
      </c>
      <c r="H3219" s="6">
        <v>82206</v>
      </c>
      <c r="I3219" s="6">
        <v>2382692</v>
      </c>
    </row>
    <row r="3220" spans="1:9">
      <c r="A3220" s="6">
        <v>33</v>
      </c>
      <c r="B3220" s="6" t="str">
        <f t="shared" si="100"/>
        <v>Cement and Concrete Products</v>
      </c>
      <c r="C3220" s="6">
        <v>50</v>
      </c>
      <c r="D3220" s="6" t="str">
        <f t="shared" si="101"/>
        <v>Restaurants and Hotels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</row>
    <row r="3221" spans="1:9">
      <c r="A3221" s="6">
        <v>34</v>
      </c>
      <c r="B3221" s="6" t="str">
        <f t="shared" si="100"/>
        <v>Other Non-metallic Products</v>
      </c>
      <c r="C3221" s="6">
        <v>50</v>
      </c>
      <c r="D3221" s="6" t="str">
        <f t="shared" si="101"/>
        <v>Restaurants and Hotels</v>
      </c>
      <c r="E3221" s="6">
        <v>1634971</v>
      </c>
      <c r="F3221" s="6">
        <v>82943</v>
      </c>
      <c r="G3221" s="6">
        <v>92105</v>
      </c>
      <c r="H3221" s="6">
        <v>19283</v>
      </c>
      <c r="I3221" s="6">
        <v>330334</v>
      </c>
    </row>
    <row r="3222" spans="1:9">
      <c r="A3222" s="6">
        <v>35</v>
      </c>
      <c r="B3222" s="6" t="str">
        <f t="shared" si="100"/>
        <v>Iron and Steel</v>
      </c>
      <c r="C3222" s="6">
        <v>50</v>
      </c>
      <c r="D3222" s="6" t="str">
        <f t="shared" si="101"/>
        <v>Restaurants and Hotels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</row>
    <row r="3223" spans="1:9">
      <c r="A3223" s="6">
        <v>36</v>
      </c>
      <c r="B3223" s="6" t="str">
        <f t="shared" si="100"/>
        <v>Non-ferrous Metal</v>
      </c>
      <c r="C3223" s="6">
        <v>50</v>
      </c>
      <c r="D3223" s="6" t="str">
        <f t="shared" si="101"/>
        <v>Restaurants and Hotels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</row>
    <row r="3224" spans="1:9">
      <c r="A3224" s="6">
        <v>37</v>
      </c>
      <c r="B3224" s="6" t="str">
        <f t="shared" si="100"/>
        <v>Fabricated Metal Products</v>
      </c>
      <c r="C3224" s="6">
        <v>50</v>
      </c>
      <c r="D3224" s="6" t="str">
        <f t="shared" si="101"/>
        <v>Restaurants and Hotels</v>
      </c>
      <c r="E3224" s="6">
        <v>1948812</v>
      </c>
      <c r="F3224" s="6">
        <v>48837</v>
      </c>
      <c r="G3224" s="6">
        <v>118285</v>
      </c>
      <c r="H3224" s="6">
        <v>6873</v>
      </c>
      <c r="I3224" s="6">
        <v>1434442</v>
      </c>
    </row>
    <row r="3225" spans="1:9">
      <c r="A3225" s="6">
        <v>38</v>
      </c>
      <c r="B3225" s="6" t="str">
        <f t="shared" si="100"/>
        <v>Industrial Machinery</v>
      </c>
      <c r="C3225" s="6">
        <v>50</v>
      </c>
      <c r="D3225" s="6" t="str">
        <f t="shared" si="101"/>
        <v>Restaurants and Hotels</v>
      </c>
      <c r="E3225" s="6">
        <v>381699</v>
      </c>
      <c r="F3225" s="6">
        <v>19508</v>
      </c>
      <c r="G3225" s="6">
        <v>0</v>
      </c>
      <c r="H3225" s="6">
        <v>3990</v>
      </c>
      <c r="I3225" s="6">
        <v>0</v>
      </c>
    </row>
    <row r="3226" spans="1:9">
      <c r="A3226" s="6">
        <v>39</v>
      </c>
      <c r="B3226" s="6" t="str">
        <f t="shared" si="100"/>
        <v>Electrical Machinery and Apparatus</v>
      </c>
      <c r="C3226" s="6">
        <v>50</v>
      </c>
      <c r="D3226" s="6" t="str">
        <f t="shared" si="101"/>
        <v>Restaurants and Hotels</v>
      </c>
      <c r="E3226" s="6">
        <v>8621476</v>
      </c>
      <c r="F3226" s="6">
        <v>230995</v>
      </c>
      <c r="G3226" s="6">
        <v>268099</v>
      </c>
      <c r="H3226" s="6">
        <v>50955</v>
      </c>
      <c r="I3226" s="6">
        <v>5350651</v>
      </c>
    </row>
    <row r="3227" spans="1:9">
      <c r="A3227" s="6">
        <v>40</v>
      </c>
      <c r="B3227" s="6" t="str">
        <f t="shared" si="100"/>
        <v>Motor Vehicles and Repairing</v>
      </c>
      <c r="C3227" s="6">
        <v>50</v>
      </c>
      <c r="D3227" s="6" t="str">
        <f t="shared" si="101"/>
        <v>Restaurants and Hotels</v>
      </c>
      <c r="E3227" s="6">
        <v>1521243</v>
      </c>
      <c r="F3227" s="6">
        <v>0</v>
      </c>
      <c r="G3227" s="6">
        <v>0</v>
      </c>
      <c r="H3227" s="6">
        <v>0</v>
      </c>
      <c r="I3227" s="6">
        <v>0</v>
      </c>
    </row>
    <row r="3228" spans="1:9">
      <c r="A3228" s="6">
        <v>41</v>
      </c>
      <c r="B3228" s="6" t="str">
        <f t="shared" si="100"/>
        <v>Other Transportation Equipment</v>
      </c>
      <c r="C3228" s="6">
        <v>50</v>
      </c>
      <c r="D3228" s="6" t="str">
        <f t="shared" si="101"/>
        <v>Restaurants and Hotels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</row>
    <row r="3229" spans="1:9">
      <c r="A3229" s="6">
        <v>42</v>
      </c>
      <c r="B3229" s="6" t="str">
        <f t="shared" si="100"/>
        <v>Leather Products</v>
      </c>
      <c r="C3229" s="6">
        <v>50</v>
      </c>
      <c r="D3229" s="6" t="str">
        <f t="shared" si="101"/>
        <v>Restaurants and Hotels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</row>
    <row r="3230" spans="1:9">
      <c r="A3230" s="6">
        <v>43</v>
      </c>
      <c r="B3230" s="6" t="str">
        <f t="shared" si="100"/>
        <v>Saw Mills and Wood Products</v>
      </c>
      <c r="C3230" s="6">
        <v>50</v>
      </c>
      <c r="D3230" s="6" t="str">
        <f t="shared" si="101"/>
        <v>Restaurants and Hotels</v>
      </c>
      <c r="E3230" s="6">
        <v>242955</v>
      </c>
      <c r="F3230" s="6">
        <v>16621</v>
      </c>
      <c r="G3230" s="6">
        <v>22749</v>
      </c>
      <c r="H3230" s="6">
        <v>2516</v>
      </c>
      <c r="I3230" s="6">
        <v>0</v>
      </c>
    </row>
    <row r="3231" spans="1:9">
      <c r="A3231" s="6">
        <v>44</v>
      </c>
      <c r="B3231" s="6" t="str">
        <f t="shared" si="100"/>
        <v>Other Manufacturing Products</v>
      </c>
      <c r="C3231" s="6">
        <v>50</v>
      </c>
      <c r="D3231" s="6" t="str">
        <f t="shared" si="101"/>
        <v>Restaurants and Hotels</v>
      </c>
      <c r="E3231" s="6">
        <v>1664735</v>
      </c>
      <c r="F3231" s="6">
        <v>89924</v>
      </c>
      <c r="G3231" s="6">
        <v>79498</v>
      </c>
      <c r="H3231" s="6">
        <v>14671</v>
      </c>
      <c r="I3231" s="6">
        <v>453765</v>
      </c>
    </row>
    <row r="3232" spans="1:9">
      <c r="A3232" s="6">
        <v>45</v>
      </c>
      <c r="B3232" s="6" t="str">
        <f t="shared" si="100"/>
        <v>Electricity and Gas</v>
      </c>
      <c r="C3232" s="6">
        <v>50</v>
      </c>
      <c r="D3232" s="6" t="str">
        <f t="shared" si="101"/>
        <v>Restaurants and Hotels</v>
      </c>
      <c r="E3232" s="6">
        <v>72031617</v>
      </c>
      <c r="F3232" s="6">
        <v>220036</v>
      </c>
      <c r="G3232" s="6">
        <v>309234</v>
      </c>
      <c r="H3232" s="6">
        <v>93283</v>
      </c>
      <c r="I3232" s="6">
        <v>0</v>
      </c>
    </row>
    <row r="3233" spans="1:9">
      <c r="A3233" s="6">
        <v>46</v>
      </c>
      <c r="B3233" s="6" t="str">
        <f t="shared" si="100"/>
        <v>Water Works and Supply</v>
      </c>
      <c r="C3233" s="6">
        <v>50</v>
      </c>
      <c r="D3233" s="6" t="str">
        <f t="shared" si="101"/>
        <v>Restaurants and Hotels</v>
      </c>
      <c r="E3233" s="6">
        <v>2605395</v>
      </c>
      <c r="F3233" s="6">
        <v>0</v>
      </c>
      <c r="G3233" s="6">
        <v>0</v>
      </c>
      <c r="H3233" s="6">
        <v>0</v>
      </c>
      <c r="I3233" s="6">
        <v>0</v>
      </c>
    </row>
    <row r="3234" spans="1:9">
      <c r="A3234" s="6">
        <v>47</v>
      </c>
      <c r="B3234" s="6" t="str">
        <f t="shared" si="100"/>
        <v>Building Construction</v>
      </c>
      <c r="C3234" s="6">
        <v>50</v>
      </c>
      <c r="D3234" s="6" t="str">
        <f t="shared" si="101"/>
        <v>Restaurants and Hotels</v>
      </c>
      <c r="E3234" s="6">
        <v>2375560</v>
      </c>
      <c r="F3234" s="6">
        <v>0</v>
      </c>
      <c r="G3234" s="6">
        <v>0</v>
      </c>
      <c r="H3234" s="6">
        <v>0</v>
      </c>
      <c r="I3234" s="6">
        <v>0</v>
      </c>
    </row>
    <row r="3235" spans="1:9">
      <c r="A3235" s="6">
        <v>48</v>
      </c>
      <c r="B3235" s="6" t="str">
        <f t="shared" si="100"/>
        <v>Public Works and Other Construction</v>
      </c>
      <c r="C3235" s="6">
        <v>50</v>
      </c>
      <c r="D3235" s="6" t="str">
        <f t="shared" si="101"/>
        <v>Restaurants and Hotels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</row>
    <row r="3236" spans="1:9">
      <c r="A3236" s="6">
        <v>49</v>
      </c>
      <c r="B3236" s="6" t="str">
        <f t="shared" si="100"/>
        <v>Trade</v>
      </c>
      <c r="C3236" s="6">
        <v>50</v>
      </c>
      <c r="D3236" s="6" t="str">
        <f t="shared" si="101"/>
        <v>Restaurants and Hotels</v>
      </c>
      <c r="E3236" s="6">
        <v>0</v>
      </c>
      <c r="F3236" s="6">
        <v>-40031160</v>
      </c>
      <c r="G3236" s="6">
        <v>-48270733</v>
      </c>
      <c r="H3236" s="6">
        <v>0</v>
      </c>
      <c r="I3236" s="6">
        <v>0</v>
      </c>
    </row>
    <row r="3237" spans="1:9">
      <c r="A3237" s="6">
        <v>50</v>
      </c>
      <c r="B3237" s="6" t="str">
        <f t="shared" si="100"/>
        <v>Restaurants and Hotels</v>
      </c>
      <c r="C3237" s="6">
        <v>50</v>
      </c>
      <c r="D3237" s="6" t="str">
        <f t="shared" si="101"/>
        <v>Restaurants and Hotels</v>
      </c>
      <c r="E3237" s="6">
        <v>5121675</v>
      </c>
      <c r="F3237" s="6">
        <v>0</v>
      </c>
      <c r="G3237" s="6">
        <v>0</v>
      </c>
      <c r="H3237" s="6">
        <v>0</v>
      </c>
      <c r="I3237" s="6">
        <v>0</v>
      </c>
    </row>
    <row r="3238" spans="1:9">
      <c r="A3238" s="6">
        <v>51</v>
      </c>
      <c r="B3238" s="6" t="str">
        <f t="shared" si="100"/>
        <v>Transportation</v>
      </c>
      <c r="C3238" s="6">
        <v>50</v>
      </c>
      <c r="D3238" s="6" t="str">
        <f t="shared" si="101"/>
        <v>Restaurants and Hotels</v>
      </c>
      <c r="E3238" s="6">
        <v>1599032</v>
      </c>
      <c r="F3238" s="6">
        <v>0</v>
      </c>
      <c r="G3238" s="6">
        <v>0</v>
      </c>
      <c r="H3238" s="6">
        <v>-8491474</v>
      </c>
      <c r="I3238" s="6">
        <v>0</v>
      </c>
    </row>
    <row r="3239" spans="1:9">
      <c r="A3239" s="6">
        <v>52</v>
      </c>
      <c r="B3239" s="6" t="str">
        <f t="shared" si="100"/>
        <v>Communication</v>
      </c>
      <c r="C3239" s="6">
        <v>50</v>
      </c>
      <c r="D3239" s="6" t="str">
        <f t="shared" si="101"/>
        <v>Restaurants and Hotels</v>
      </c>
      <c r="E3239" s="6">
        <v>4502438</v>
      </c>
      <c r="F3239" s="6">
        <v>0</v>
      </c>
      <c r="G3239" s="6">
        <v>0</v>
      </c>
      <c r="H3239" s="6">
        <v>0</v>
      </c>
      <c r="I3239" s="6">
        <v>0</v>
      </c>
    </row>
    <row r="3240" spans="1:9">
      <c r="A3240" s="6">
        <v>53</v>
      </c>
      <c r="B3240" s="6" t="str">
        <f t="shared" si="100"/>
        <v>Banking and Insurance</v>
      </c>
      <c r="C3240" s="6">
        <v>50</v>
      </c>
      <c r="D3240" s="6" t="str">
        <f t="shared" si="101"/>
        <v>Restaurants and Hotels</v>
      </c>
      <c r="E3240" s="6">
        <v>14812191</v>
      </c>
      <c r="F3240" s="6">
        <v>0</v>
      </c>
      <c r="G3240" s="6">
        <v>0</v>
      </c>
      <c r="H3240" s="6">
        <v>0</v>
      </c>
      <c r="I3240" s="6">
        <v>0</v>
      </c>
    </row>
    <row r="3241" spans="1:9">
      <c r="A3241" s="6">
        <v>54</v>
      </c>
      <c r="B3241" s="6" t="str">
        <f t="shared" si="100"/>
        <v>Real Estate</v>
      </c>
      <c r="C3241" s="6">
        <v>50</v>
      </c>
      <c r="D3241" s="6" t="str">
        <f t="shared" si="101"/>
        <v>Restaurants and Hotels</v>
      </c>
      <c r="E3241" s="6">
        <v>7302124</v>
      </c>
      <c r="F3241" s="6">
        <v>0</v>
      </c>
      <c r="G3241" s="6">
        <v>0</v>
      </c>
      <c r="H3241" s="6">
        <v>0</v>
      </c>
      <c r="I3241" s="6">
        <v>0</v>
      </c>
    </row>
    <row r="3242" spans="1:9">
      <c r="A3242" s="6">
        <v>55</v>
      </c>
      <c r="B3242" s="6" t="str">
        <f t="shared" si="100"/>
        <v>Business Services</v>
      </c>
      <c r="C3242" s="6">
        <v>50</v>
      </c>
      <c r="D3242" s="6" t="str">
        <f t="shared" si="101"/>
        <v>Restaurants and Hotels</v>
      </c>
      <c r="E3242" s="6">
        <v>20537023</v>
      </c>
      <c r="F3242" s="6">
        <v>0</v>
      </c>
      <c r="G3242" s="6">
        <v>0</v>
      </c>
      <c r="H3242" s="6">
        <v>0</v>
      </c>
      <c r="I3242" s="6">
        <v>0</v>
      </c>
    </row>
    <row r="3243" spans="1:9">
      <c r="A3243" s="6">
        <v>56</v>
      </c>
      <c r="B3243" s="6" t="str">
        <f t="shared" si="100"/>
        <v>Public Services</v>
      </c>
      <c r="C3243" s="6">
        <v>50</v>
      </c>
      <c r="D3243" s="6" t="str">
        <f t="shared" si="101"/>
        <v>Restaurants and Hotels</v>
      </c>
      <c r="E3243" s="6">
        <v>2075687</v>
      </c>
      <c r="F3243" s="6">
        <v>0</v>
      </c>
      <c r="G3243" s="6">
        <v>0</v>
      </c>
      <c r="H3243" s="6">
        <v>0</v>
      </c>
      <c r="I3243" s="6">
        <v>0</v>
      </c>
    </row>
    <row r="3244" spans="1:9">
      <c r="A3244" s="6">
        <v>57</v>
      </c>
      <c r="B3244" s="6" t="str">
        <f t="shared" si="100"/>
        <v>Other Services</v>
      </c>
      <c r="C3244" s="6">
        <v>50</v>
      </c>
      <c r="D3244" s="6" t="str">
        <f t="shared" si="101"/>
        <v>Restaurants and Hotels</v>
      </c>
      <c r="E3244" s="6">
        <v>3970159</v>
      </c>
      <c r="F3244" s="6">
        <v>0</v>
      </c>
      <c r="G3244" s="6">
        <v>0</v>
      </c>
      <c r="H3244" s="6">
        <v>0</v>
      </c>
      <c r="I3244" s="6">
        <v>0</v>
      </c>
    </row>
    <row r="3245" spans="1:9">
      <c r="A3245" s="6">
        <v>58</v>
      </c>
      <c r="B3245" s="6" t="str">
        <f t="shared" si="100"/>
        <v>Unclassified</v>
      </c>
      <c r="C3245" s="6">
        <v>50</v>
      </c>
      <c r="D3245" s="6" t="str">
        <f t="shared" si="101"/>
        <v>Restaurants and Hotels</v>
      </c>
      <c r="E3245" s="6">
        <v>2217831</v>
      </c>
      <c r="F3245" s="6">
        <v>0</v>
      </c>
      <c r="G3245" s="6">
        <v>0</v>
      </c>
      <c r="H3245" s="6">
        <v>0</v>
      </c>
      <c r="I3245" s="6">
        <v>257780</v>
      </c>
    </row>
    <row r="3246" spans="1:9">
      <c r="A3246" s="6">
        <v>190</v>
      </c>
      <c r="B3246" s="6" t="str">
        <f t="shared" si="100"/>
        <v>Total Intermedite Transaction</v>
      </c>
      <c r="C3246" s="6">
        <v>50</v>
      </c>
      <c r="D3246" s="6" t="str">
        <f t="shared" si="101"/>
        <v>Restaurants and Hotels</v>
      </c>
      <c r="E3246" s="6">
        <v>875765624</v>
      </c>
      <c r="F3246" s="6">
        <v>0</v>
      </c>
      <c r="G3246" s="6">
        <v>0</v>
      </c>
      <c r="H3246" s="6">
        <v>0</v>
      </c>
      <c r="I3246" s="6">
        <v>115681514</v>
      </c>
    </row>
    <row r="3247" spans="1:9">
      <c r="A3247" s="6">
        <v>201</v>
      </c>
      <c r="B3247" s="6" t="str">
        <f t="shared" si="100"/>
        <v>Wages and Salaries</v>
      </c>
      <c r="C3247" s="6">
        <v>50</v>
      </c>
      <c r="D3247" s="6" t="str">
        <f t="shared" si="101"/>
        <v>Restaurants and Hotels</v>
      </c>
      <c r="E3247" s="6">
        <v>127021412</v>
      </c>
      <c r="F3247" s="6">
        <v>0</v>
      </c>
      <c r="G3247" s="6">
        <v>0</v>
      </c>
      <c r="H3247" s="6">
        <v>0</v>
      </c>
      <c r="I3247" s="6">
        <v>0</v>
      </c>
    </row>
    <row r="3248" spans="1:9">
      <c r="A3248" s="6">
        <v>202</v>
      </c>
      <c r="B3248" s="6" t="str">
        <f t="shared" si="100"/>
        <v>Operating Surplus</v>
      </c>
      <c r="C3248" s="6">
        <v>50</v>
      </c>
      <c r="D3248" s="6" t="str">
        <f t="shared" si="101"/>
        <v>Restaurants and Hotels</v>
      </c>
      <c r="E3248" s="6">
        <v>151103069</v>
      </c>
      <c r="F3248" s="6">
        <v>0</v>
      </c>
      <c r="G3248" s="6">
        <v>0</v>
      </c>
      <c r="H3248" s="6">
        <v>0</v>
      </c>
      <c r="I3248" s="6">
        <v>0</v>
      </c>
    </row>
    <row r="3249" spans="1:9">
      <c r="A3249" s="6">
        <v>203</v>
      </c>
      <c r="B3249" s="6" t="str">
        <f t="shared" si="100"/>
        <v>Depreciation</v>
      </c>
      <c r="C3249" s="6">
        <v>50</v>
      </c>
      <c r="D3249" s="6" t="str">
        <f t="shared" si="101"/>
        <v>Restaurants and Hotels</v>
      </c>
      <c r="E3249" s="6">
        <v>99217482</v>
      </c>
      <c r="F3249" s="6">
        <v>0</v>
      </c>
      <c r="G3249" s="6">
        <v>0</v>
      </c>
      <c r="H3249" s="6">
        <v>0</v>
      </c>
      <c r="I3249" s="6">
        <v>0</v>
      </c>
    </row>
    <row r="3250" spans="1:9">
      <c r="A3250" s="6">
        <v>204</v>
      </c>
      <c r="B3250" s="6" t="str">
        <f t="shared" si="100"/>
        <v>Indirect Taxes less Subsidies</v>
      </c>
      <c r="C3250" s="6">
        <v>50</v>
      </c>
      <c r="D3250" s="6" t="str">
        <f t="shared" si="101"/>
        <v>Restaurants and Hotels</v>
      </c>
      <c r="E3250" s="6">
        <v>39525716</v>
      </c>
      <c r="F3250" s="6">
        <v>0</v>
      </c>
      <c r="G3250" s="6">
        <v>0</v>
      </c>
      <c r="H3250" s="6">
        <v>0</v>
      </c>
      <c r="I3250" s="6">
        <v>0</v>
      </c>
    </row>
    <row r="3251" spans="1:9">
      <c r="A3251" s="6">
        <v>209</v>
      </c>
      <c r="B3251" s="6" t="str">
        <f t="shared" si="100"/>
        <v>Total Value Added</v>
      </c>
      <c r="C3251" s="6">
        <v>50</v>
      </c>
      <c r="D3251" s="6" t="str">
        <f t="shared" si="101"/>
        <v>Restaurants and Hotels</v>
      </c>
      <c r="E3251" s="6">
        <v>416867679</v>
      </c>
      <c r="F3251" s="6">
        <v>0</v>
      </c>
      <c r="G3251" s="6">
        <v>0</v>
      </c>
      <c r="H3251" s="6">
        <v>0</v>
      </c>
      <c r="I3251" s="6">
        <v>0</v>
      </c>
    </row>
    <row r="3252" spans="1:9">
      <c r="A3252" s="6">
        <v>210</v>
      </c>
      <c r="B3252" s="6" t="str">
        <f t="shared" si="100"/>
        <v>Control Total</v>
      </c>
      <c r="C3252" s="6">
        <v>50</v>
      </c>
      <c r="D3252" s="6" t="str">
        <f t="shared" si="101"/>
        <v>Restaurants and Hotels</v>
      </c>
      <c r="E3252" s="6">
        <v>1292633303</v>
      </c>
      <c r="F3252" s="6">
        <v>0</v>
      </c>
      <c r="G3252" s="6">
        <v>0</v>
      </c>
      <c r="H3252" s="6">
        <v>0</v>
      </c>
      <c r="I3252" s="6">
        <v>0</v>
      </c>
    </row>
    <row r="3253" spans="1:9">
      <c r="A3253" s="6">
        <v>1</v>
      </c>
      <c r="B3253" s="6" t="str">
        <f t="shared" si="100"/>
        <v>Paddy</v>
      </c>
      <c r="C3253" s="6">
        <v>51</v>
      </c>
      <c r="D3253" s="6" t="str">
        <f t="shared" si="101"/>
        <v>Transportation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</row>
    <row r="3254" spans="1:9">
      <c r="A3254" s="6">
        <v>2</v>
      </c>
      <c r="B3254" s="6" t="str">
        <f t="shared" si="100"/>
        <v>Maize</v>
      </c>
      <c r="C3254" s="6">
        <v>51</v>
      </c>
      <c r="D3254" s="6" t="str">
        <f t="shared" si="101"/>
        <v>Transportation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</row>
    <row r="3255" spans="1:9">
      <c r="A3255" s="6">
        <v>3</v>
      </c>
      <c r="B3255" s="6" t="str">
        <f t="shared" si="100"/>
        <v>Cassava</v>
      </c>
      <c r="C3255" s="6">
        <v>51</v>
      </c>
      <c r="D3255" s="6" t="str">
        <f t="shared" si="101"/>
        <v>Transportation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</row>
    <row r="3256" spans="1:9">
      <c r="A3256" s="6">
        <v>4</v>
      </c>
      <c r="B3256" s="6" t="str">
        <f t="shared" si="100"/>
        <v>Beans and Nuts</v>
      </c>
      <c r="C3256" s="6">
        <v>51</v>
      </c>
      <c r="D3256" s="6" t="str">
        <f t="shared" si="101"/>
        <v>Transportation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</row>
    <row r="3257" spans="1:9">
      <c r="A3257" s="6">
        <v>5</v>
      </c>
      <c r="B3257" s="6" t="str">
        <f t="shared" si="100"/>
        <v>Vegetables and Fruits</v>
      </c>
      <c r="C3257" s="6">
        <v>51</v>
      </c>
      <c r="D3257" s="6" t="str">
        <f t="shared" si="101"/>
        <v>Transportation</v>
      </c>
      <c r="E3257" s="6">
        <v>36428</v>
      </c>
      <c r="F3257" s="6">
        <v>504</v>
      </c>
      <c r="G3257" s="6">
        <v>1108</v>
      </c>
      <c r="H3257" s="6">
        <v>177</v>
      </c>
      <c r="I3257" s="6">
        <v>0</v>
      </c>
    </row>
    <row r="3258" spans="1:9">
      <c r="A3258" s="6">
        <v>6</v>
      </c>
      <c r="B3258" s="6" t="str">
        <f t="shared" si="100"/>
        <v>Sugarcane</v>
      </c>
      <c r="C3258" s="6">
        <v>51</v>
      </c>
      <c r="D3258" s="6" t="str">
        <f t="shared" si="101"/>
        <v>Transportation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</row>
    <row r="3259" spans="1:9">
      <c r="A3259" s="6">
        <v>7</v>
      </c>
      <c r="B3259" s="6" t="str">
        <f t="shared" si="100"/>
        <v>Rubber (Latex)</v>
      </c>
      <c r="C3259" s="6">
        <v>51</v>
      </c>
      <c r="D3259" s="6" t="str">
        <f t="shared" si="101"/>
        <v>Transportation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</row>
    <row r="3260" spans="1:9">
      <c r="A3260" s="6">
        <v>8</v>
      </c>
      <c r="B3260" s="6" t="str">
        <f t="shared" si="100"/>
        <v>Other Crops</v>
      </c>
      <c r="C3260" s="6">
        <v>51</v>
      </c>
      <c r="D3260" s="6" t="str">
        <f t="shared" si="101"/>
        <v>Transportation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</row>
    <row r="3261" spans="1:9">
      <c r="A3261" s="6">
        <v>9</v>
      </c>
      <c r="B3261" s="6" t="str">
        <f t="shared" si="100"/>
        <v>Livestock</v>
      </c>
      <c r="C3261" s="6">
        <v>51</v>
      </c>
      <c r="D3261" s="6" t="str">
        <f t="shared" si="101"/>
        <v>Transportation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</row>
    <row r="3262" spans="1:9">
      <c r="A3262" s="6">
        <v>10</v>
      </c>
      <c r="B3262" s="6" t="str">
        <f t="shared" si="100"/>
        <v>Forestry</v>
      </c>
      <c r="C3262" s="6">
        <v>51</v>
      </c>
      <c r="D3262" s="6" t="str">
        <f t="shared" si="101"/>
        <v>Transportation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</row>
    <row r="3263" spans="1:9">
      <c r="A3263" s="6">
        <v>11</v>
      </c>
      <c r="B3263" s="6" t="str">
        <f t="shared" si="100"/>
        <v>Fishery</v>
      </c>
      <c r="C3263" s="6">
        <v>51</v>
      </c>
      <c r="D3263" s="6" t="str">
        <f t="shared" si="101"/>
        <v>Transportation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</row>
    <row r="3264" spans="1:9">
      <c r="A3264" s="6">
        <v>12</v>
      </c>
      <c r="B3264" s="6" t="str">
        <f t="shared" si="100"/>
        <v>Crude Oil and Coal</v>
      </c>
      <c r="C3264" s="6">
        <v>51</v>
      </c>
      <c r="D3264" s="6" t="str">
        <f t="shared" si="101"/>
        <v>Transportation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</row>
    <row r="3265" spans="1:9">
      <c r="A3265" s="6">
        <v>13</v>
      </c>
      <c r="B3265" s="6" t="str">
        <f t="shared" si="100"/>
        <v>Metal Ore</v>
      </c>
      <c r="C3265" s="6">
        <v>51</v>
      </c>
      <c r="D3265" s="6" t="str">
        <f t="shared" si="101"/>
        <v>Transportation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</row>
    <row r="3266" spans="1:9">
      <c r="A3266" s="6">
        <v>14</v>
      </c>
      <c r="B3266" s="6" t="str">
        <f t="shared" si="100"/>
        <v>Non-Metal Ore</v>
      </c>
      <c r="C3266" s="6">
        <v>51</v>
      </c>
      <c r="D3266" s="6" t="str">
        <f t="shared" si="101"/>
        <v>Transportation</v>
      </c>
      <c r="E3266" s="6">
        <v>17372</v>
      </c>
      <c r="F3266" s="6">
        <v>786</v>
      </c>
      <c r="G3266" s="6">
        <v>0</v>
      </c>
      <c r="H3266" s="6">
        <v>2497</v>
      </c>
      <c r="I3266" s="6">
        <v>0</v>
      </c>
    </row>
    <row r="3267" spans="1:9">
      <c r="A3267" s="6">
        <v>15</v>
      </c>
      <c r="B3267" s="6" t="str">
        <f t="shared" si="100"/>
        <v>Slaughtering</v>
      </c>
      <c r="C3267" s="6">
        <v>51</v>
      </c>
      <c r="D3267" s="6" t="str">
        <f t="shared" si="101"/>
        <v>Transportation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</row>
    <row r="3268" spans="1:9">
      <c r="A3268" s="6">
        <v>16</v>
      </c>
      <c r="B3268" s="6" t="str">
        <f t="shared" ref="B3268:B3331" si="102">VLOOKUP(A3268,R:S,2,0)</f>
        <v>Processing and Presering of Foods</v>
      </c>
      <c r="C3268" s="6">
        <v>51</v>
      </c>
      <c r="D3268" s="6" t="str">
        <f t="shared" ref="D3268:D3331" si="103">VLOOKUP(C3268,R:S,2,0)</f>
        <v>Transportation</v>
      </c>
      <c r="E3268" s="6">
        <v>24106</v>
      </c>
      <c r="F3268" s="6">
        <v>868</v>
      </c>
      <c r="G3268" s="6">
        <v>853</v>
      </c>
      <c r="H3268" s="6">
        <v>310</v>
      </c>
      <c r="I3268" s="6">
        <v>0</v>
      </c>
    </row>
    <row r="3269" spans="1:9">
      <c r="A3269" s="6">
        <v>17</v>
      </c>
      <c r="B3269" s="6" t="str">
        <f t="shared" si="102"/>
        <v>Rice and Other Grain Milling</v>
      </c>
      <c r="C3269" s="6">
        <v>51</v>
      </c>
      <c r="D3269" s="6" t="str">
        <f t="shared" si="103"/>
        <v>Transportation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</row>
    <row r="3270" spans="1:9">
      <c r="A3270" s="6">
        <v>18</v>
      </c>
      <c r="B3270" s="6" t="str">
        <f t="shared" si="102"/>
        <v>Sugar Refineries</v>
      </c>
      <c r="C3270" s="6">
        <v>51</v>
      </c>
      <c r="D3270" s="6" t="str">
        <f t="shared" si="103"/>
        <v>Transportation</v>
      </c>
      <c r="E3270" s="6">
        <v>9794</v>
      </c>
      <c r="F3270" s="6">
        <v>352</v>
      </c>
      <c r="G3270" s="6">
        <v>321</v>
      </c>
      <c r="H3270" s="6">
        <v>164</v>
      </c>
      <c r="I3270" s="6">
        <v>0</v>
      </c>
    </row>
    <row r="3271" spans="1:9">
      <c r="A3271" s="6">
        <v>19</v>
      </c>
      <c r="B3271" s="6" t="str">
        <f t="shared" si="102"/>
        <v>Other Foods</v>
      </c>
      <c r="C3271" s="6">
        <v>51</v>
      </c>
      <c r="D3271" s="6" t="str">
        <f t="shared" si="103"/>
        <v>Transportation</v>
      </c>
      <c r="E3271" s="6">
        <v>469978</v>
      </c>
      <c r="F3271" s="6">
        <v>13961</v>
      </c>
      <c r="G3271" s="6">
        <v>33399</v>
      </c>
      <c r="H3271" s="6">
        <v>4664</v>
      </c>
      <c r="I3271" s="6">
        <v>0</v>
      </c>
    </row>
    <row r="3272" spans="1:9">
      <c r="A3272" s="6">
        <v>20</v>
      </c>
      <c r="B3272" s="6" t="str">
        <f t="shared" si="102"/>
        <v>Animal Food</v>
      </c>
      <c r="C3272" s="6">
        <v>51</v>
      </c>
      <c r="D3272" s="6" t="str">
        <f t="shared" si="103"/>
        <v>Transportation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</row>
    <row r="3273" spans="1:9">
      <c r="A3273" s="6">
        <v>21</v>
      </c>
      <c r="B3273" s="6" t="str">
        <f t="shared" si="102"/>
        <v>Beverages</v>
      </c>
      <c r="C3273" s="6">
        <v>51</v>
      </c>
      <c r="D3273" s="6" t="str">
        <f t="shared" si="103"/>
        <v>Transportation</v>
      </c>
      <c r="E3273" s="6">
        <v>560196</v>
      </c>
      <c r="F3273" s="6">
        <v>39675</v>
      </c>
      <c r="G3273" s="6">
        <v>68594</v>
      </c>
      <c r="H3273" s="6">
        <v>12567</v>
      </c>
      <c r="I3273" s="6">
        <v>0</v>
      </c>
    </row>
    <row r="3274" spans="1:9">
      <c r="A3274" s="6">
        <v>22</v>
      </c>
      <c r="B3274" s="6" t="str">
        <f t="shared" si="102"/>
        <v>Tobacco Processing and Products</v>
      </c>
      <c r="C3274" s="6">
        <v>51</v>
      </c>
      <c r="D3274" s="6" t="str">
        <f t="shared" si="103"/>
        <v>Transportation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</row>
    <row r="3275" spans="1:9">
      <c r="A3275" s="6">
        <v>23</v>
      </c>
      <c r="B3275" s="6" t="str">
        <f t="shared" si="102"/>
        <v>Spinning, Weaving and Bleaching</v>
      </c>
      <c r="C3275" s="6">
        <v>51</v>
      </c>
      <c r="D3275" s="6" t="str">
        <f t="shared" si="103"/>
        <v>Transportation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</row>
    <row r="3276" spans="1:9">
      <c r="A3276" s="6">
        <v>24</v>
      </c>
      <c r="B3276" s="6" t="str">
        <f t="shared" si="102"/>
        <v>Textile Products</v>
      </c>
      <c r="C3276" s="6">
        <v>51</v>
      </c>
      <c r="D3276" s="6" t="str">
        <f t="shared" si="103"/>
        <v>Transportation</v>
      </c>
      <c r="E3276" s="6">
        <v>876772</v>
      </c>
      <c r="F3276" s="6">
        <v>74927</v>
      </c>
      <c r="G3276" s="6">
        <v>89561</v>
      </c>
      <c r="H3276" s="6">
        <v>5629</v>
      </c>
      <c r="I3276" s="6">
        <v>92963</v>
      </c>
    </row>
    <row r="3277" spans="1:9">
      <c r="A3277" s="6">
        <v>25</v>
      </c>
      <c r="B3277" s="6" t="str">
        <f t="shared" si="102"/>
        <v>Paper and Paper Products</v>
      </c>
      <c r="C3277" s="6">
        <v>51</v>
      </c>
      <c r="D3277" s="6" t="str">
        <f t="shared" si="103"/>
        <v>Transportation</v>
      </c>
      <c r="E3277" s="6">
        <v>3130690</v>
      </c>
      <c r="F3277" s="6">
        <v>126053</v>
      </c>
      <c r="G3277" s="6">
        <v>102544</v>
      </c>
      <c r="H3277" s="6">
        <v>32910</v>
      </c>
      <c r="I3277" s="6">
        <v>425270</v>
      </c>
    </row>
    <row r="3278" spans="1:9">
      <c r="A3278" s="6">
        <v>26</v>
      </c>
      <c r="B3278" s="6" t="str">
        <f t="shared" si="102"/>
        <v>Printing and Publishing</v>
      </c>
      <c r="C3278" s="6">
        <v>51</v>
      </c>
      <c r="D3278" s="6" t="str">
        <f t="shared" si="103"/>
        <v>Transportation</v>
      </c>
      <c r="E3278" s="6">
        <v>559167</v>
      </c>
      <c r="F3278" s="6">
        <v>41208</v>
      </c>
      <c r="G3278" s="6">
        <v>85891</v>
      </c>
      <c r="H3278" s="6">
        <v>6429</v>
      </c>
      <c r="I3278" s="6">
        <v>0</v>
      </c>
    </row>
    <row r="3279" spans="1:9">
      <c r="A3279" s="6">
        <v>27</v>
      </c>
      <c r="B3279" s="6" t="str">
        <f t="shared" si="102"/>
        <v>Basic Chemical Products</v>
      </c>
      <c r="C3279" s="6">
        <v>51</v>
      </c>
      <c r="D3279" s="6" t="str">
        <f t="shared" si="103"/>
        <v>Transportation</v>
      </c>
      <c r="E3279" s="6">
        <v>79812</v>
      </c>
      <c r="F3279" s="6">
        <v>9907</v>
      </c>
      <c r="G3279" s="6">
        <v>2719</v>
      </c>
      <c r="H3279" s="6">
        <v>1554</v>
      </c>
      <c r="I3279" s="6">
        <v>43014</v>
      </c>
    </row>
    <row r="3280" spans="1:9">
      <c r="A3280" s="6">
        <v>28</v>
      </c>
      <c r="B3280" s="6" t="str">
        <f t="shared" si="102"/>
        <v>Fertilizer and Pesticides</v>
      </c>
      <c r="C3280" s="6">
        <v>51</v>
      </c>
      <c r="D3280" s="6" t="str">
        <f t="shared" si="103"/>
        <v>Transportation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</row>
    <row r="3281" spans="1:9">
      <c r="A3281" s="6">
        <v>29</v>
      </c>
      <c r="B3281" s="6" t="str">
        <f t="shared" si="102"/>
        <v>Other Chemical Products</v>
      </c>
      <c r="C3281" s="6">
        <v>51</v>
      </c>
      <c r="D3281" s="6" t="str">
        <f t="shared" si="103"/>
        <v>Transportation</v>
      </c>
      <c r="E3281" s="6">
        <v>1742914</v>
      </c>
      <c r="F3281" s="6">
        <v>122100</v>
      </c>
      <c r="G3281" s="6">
        <v>156089</v>
      </c>
      <c r="H3281" s="6">
        <v>19482</v>
      </c>
      <c r="I3281" s="6">
        <v>155919</v>
      </c>
    </row>
    <row r="3282" spans="1:9">
      <c r="A3282" s="6">
        <v>30</v>
      </c>
      <c r="B3282" s="6" t="str">
        <f t="shared" si="102"/>
        <v>Petroleum Refineries</v>
      </c>
      <c r="C3282" s="6">
        <v>51</v>
      </c>
      <c r="D3282" s="6" t="str">
        <f t="shared" si="103"/>
        <v>Transportation</v>
      </c>
      <c r="E3282" s="6">
        <v>257749541</v>
      </c>
      <c r="F3282" s="6">
        <v>12395122</v>
      </c>
      <c r="G3282" s="6">
        <v>13427149</v>
      </c>
      <c r="H3282" s="6">
        <v>2170237</v>
      </c>
      <c r="I3282" s="6">
        <v>47221288</v>
      </c>
    </row>
    <row r="3283" spans="1:9">
      <c r="A3283" s="6">
        <v>31</v>
      </c>
      <c r="B3283" s="6" t="str">
        <f t="shared" si="102"/>
        <v>Rubber Products</v>
      </c>
      <c r="C3283" s="6">
        <v>51</v>
      </c>
      <c r="D3283" s="6" t="str">
        <f t="shared" si="103"/>
        <v>Transportation</v>
      </c>
      <c r="E3283" s="6">
        <v>10447151</v>
      </c>
      <c r="F3283" s="6">
        <v>863733</v>
      </c>
      <c r="G3283" s="6">
        <v>945565</v>
      </c>
      <c r="H3283" s="6">
        <v>127307</v>
      </c>
      <c r="I3283" s="6">
        <v>0</v>
      </c>
    </row>
    <row r="3284" spans="1:9">
      <c r="A3284" s="6">
        <v>32</v>
      </c>
      <c r="B3284" s="6" t="str">
        <f t="shared" si="102"/>
        <v>Plastic Wares</v>
      </c>
      <c r="C3284" s="6">
        <v>51</v>
      </c>
      <c r="D3284" s="6" t="str">
        <f t="shared" si="103"/>
        <v>Transportation</v>
      </c>
      <c r="E3284" s="6">
        <v>2382804</v>
      </c>
      <c r="F3284" s="6">
        <v>64175</v>
      </c>
      <c r="G3284" s="6">
        <v>69783</v>
      </c>
      <c r="H3284" s="6">
        <v>16045</v>
      </c>
      <c r="I3284" s="6">
        <v>582369</v>
      </c>
    </row>
    <row r="3285" spans="1:9">
      <c r="A3285" s="6">
        <v>33</v>
      </c>
      <c r="B3285" s="6" t="str">
        <f t="shared" si="102"/>
        <v>Cement and Concrete Products</v>
      </c>
      <c r="C3285" s="6">
        <v>51</v>
      </c>
      <c r="D3285" s="6" t="str">
        <f t="shared" si="103"/>
        <v>Transportation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</row>
    <row r="3286" spans="1:9">
      <c r="A3286" s="6">
        <v>34</v>
      </c>
      <c r="B3286" s="6" t="str">
        <f t="shared" si="102"/>
        <v>Other Non-metallic Products</v>
      </c>
      <c r="C3286" s="6">
        <v>51</v>
      </c>
      <c r="D3286" s="6" t="str">
        <f t="shared" si="103"/>
        <v>Transportation</v>
      </c>
      <c r="E3286" s="6">
        <v>660</v>
      </c>
      <c r="F3286" s="6">
        <v>48</v>
      </c>
      <c r="G3286" s="6">
        <v>51</v>
      </c>
      <c r="H3286" s="6">
        <v>8</v>
      </c>
      <c r="I3286" s="6">
        <v>0</v>
      </c>
    </row>
    <row r="3287" spans="1:9">
      <c r="A3287" s="6">
        <v>35</v>
      </c>
      <c r="B3287" s="6" t="str">
        <f t="shared" si="102"/>
        <v>Iron and Steel</v>
      </c>
      <c r="C3287" s="6">
        <v>51</v>
      </c>
      <c r="D3287" s="6" t="str">
        <f t="shared" si="103"/>
        <v>Transportation</v>
      </c>
      <c r="E3287" s="6">
        <v>643573</v>
      </c>
      <c r="F3287" s="6">
        <v>26614</v>
      </c>
      <c r="G3287" s="6">
        <v>45216</v>
      </c>
      <c r="H3287" s="6">
        <v>8324</v>
      </c>
      <c r="I3287" s="6">
        <v>169166</v>
      </c>
    </row>
    <row r="3288" spans="1:9">
      <c r="A3288" s="6">
        <v>36</v>
      </c>
      <c r="B3288" s="6" t="str">
        <f t="shared" si="102"/>
        <v>Non-ferrous Metal</v>
      </c>
      <c r="C3288" s="6">
        <v>51</v>
      </c>
      <c r="D3288" s="6" t="str">
        <f t="shared" si="103"/>
        <v>Transportation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</row>
    <row r="3289" spans="1:9">
      <c r="A3289" s="6">
        <v>37</v>
      </c>
      <c r="B3289" s="6" t="str">
        <f t="shared" si="102"/>
        <v>Fabricated Metal Products</v>
      </c>
      <c r="C3289" s="6">
        <v>51</v>
      </c>
      <c r="D3289" s="6" t="str">
        <f t="shared" si="103"/>
        <v>Transportation</v>
      </c>
      <c r="E3289" s="6">
        <v>4011713</v>
      </c>
      <c r="F3289" s="6">
        <v>48441</v>
      </c>
      <c r="G3289" s="6">
        <v>134025</v>
      </c>
      <c r="H3289" s="6">
        <v>8495</v>
      </c>
      <c r="I3289" s="6">
        <v>2757218</v>
      </c>
    </row>
    <row r="3290" spans="1:9">
      <c r="A3290" s="6">
        <v>38</v>
      </c>
      <c r="B3290" s="6" t="str">
        <f t="shared" si="102"/>
        <v>Industrial Machinery</v>
      </c>
      <c r="C3290" s="6">
        <v>51</v>
      </c>
      <c r="D3290" s="6" t="str">
        <f t="shared" si="103"/>
        <v>Transportation</v>
      </c>
      <c r="E3290" s="6">
        <v>3190566</v>
      </c>
      <c r="F3290" s="6">
        <v>235939</v>
      </c>
      <c r="G3290" s="6">
        <v>0</v>
      </c>
      <c r="H3290" s="6">
        <v>34036</v>
      </c>
      <c r="I3290" s="6">
        <v>40089</v>
      </c>
    </row>
    <row r="3291" spans="1:9">
      <c r="A3291" s="6">
        <v>39</v>
      </c>
      <c r="B3291" s="6" t="str">
        <f t="shared" si="102"/>
        <v>Electrical Machinery and Apparatus</v>
      </c>
      <c r="C3291" s="6">
        <v>51</v>
      </c>
      <c r="D3291" s="6" t="str">
        <f t="shared" si="103"/>
        <v>Transportation</v>
      </c>
      <c r="E3291" s="6">
        <v>2883208</v>
      </c>
      <c r="F3291" s="6">
        <v>164663</v>
      </c>
      <c r="G3291" s="6">
        <v>138636</v>
      </c>
      <c r="H3291" s="6">
        <v>17343</v>
      </c>
      <c r="I3291" s="6">
        <v>335599</v>
      </c>
    </row>
    <row r="3292" spans="1:9">
      <c r="A3292" s="6">
        <v>40</v>
      </c>
      <c r="B3292" s="6" t="str">
        <f t="shared" si="102"/>
        <v>Motor Vehicles and Repairing</v>
      </c>
      <c r="C3292" s="6">
        <v>51</v>
      </c>
      <c r="D3292" s="6" t="str">
        <f t="shared" si="103"/>
        <v>Transportation</v>
      </c>
      <c r="E3292" s="6">
        <v>150650315</v>
      </c>
      <c r="F3292" s="6">
        <v>1230863</v>
      </c>
      <c r="G3292" s="6">
        <v>857886</v>
      </c>
      <c r="H3292" s="6">
        <v>50497</v>
      </c>
      <c r="I3292" s="6">
        <v>0</v>
      </c>
    </row>
    <row r="3293" spans="1:9">
      <c r="A3293" s="6">
        <v>41</v>
      </c>
      <c r="B3293" s="6" t="str">
        <f t="shared" si="102"/>
        <v>Other Transportation Equipment</v>
      </c>
      <c r="C3293" s="6">
        <v>51</v>
      </c>
      <c r="D3293" s="6" t="str">
        <f t="shared" si="103"/>
        <v>Transportation</v>
      </c>
      <c r="E3293" s="6">
        <v>16207608</v>
      </c>
      <c r="F3293" s="6">
        <v>799038</v>
      </c>
      <c r="G3293" s="6">
        <v>0</v>
      </c>
      <c r="H3293" s="6">
        <v>285231</v>
      </c>
      <c r="I3293" s="6">
        <v>3882409</v>
      </c>
    </row>
    <row r="3294" spans="1:9">
      <c r="A3294" s="6">
        <v>42</v>
      </c>
      <c r="B3294" s="6" t="str">
        <f t="shared" si="102"/>
        <v>Leather Products</v>
      </c>
      <c r="C3294" s="6">
        <v>51</v>
      </c>
      <c r="D3294" s="6" t="str">
        <f t="shared" si="103"/>
        <v>Transportation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</row>
    <row r="3295" spans="1:9">
      <c r="A3295" s="6">
        <v>43</v>
      </c>
      <c r="B3295" s="6" t="str">
        <f t="shared" si="102"/>
        <v>Saw Mills and Wood Products</v>
      </c>
      <c r="C3295" s="6">
        <v>51</v>
      </c>
      <c r="D3295" s="6" t="str">
        <f t="shared" si="103"/>
        <v>Transportation</v>
      </c>
      <c r="E3295" s="6">
        <v>4198818</v>
      </c>
      <c r="F3295" s="6">
        <v>316282</v>
      </c>
      <c r="G3295" s="6">
        <v>216765</v>
      </c>
      <c r="H3295" s="6">
        <v>31804</v>
      </c>
      <c r="I3295" s="6">
        <v>0</v>
      </c>
    </row>
    <row r="3296" spans="1:9">
      <c r="A3296" s="6">
        <v>44</v>
      </c>
      <c r="B3296" s="6" t="str">
        <f t="shared" si="102"/>
        <v>Other Manufacturing Products</v>
      </c>
      <c r="C3296" s="6">
        <v>51</v>
      </c>
      <c r="D3296" s="6" t="str">
        <f t="shared" si="103"/>
        <v>Transportation</v>
      </c>
      <c r="E3296" s="6">
        <v>1370862</v>
      </c>
      <c r="F3296" s="6">
        <v>98482</v>
      </c>
      <c r="G3296" s="6">
        <v>92306</v>
      </c>
      <c r="H3296" s="6">
        <v>15937</v>
      </c>
      <c r="I3296" s="6">
        <v>337</v>
      </c>
    </row>
    <row r="3297" spans="1:9">
      <c r="A3297" s="6">
        <v>45</v>
      </c>
      <c r="B3297" s="6" t="str">
        <f t="shared" si="102"/>
        <v>Electricity and Gas</v>
      </c>
      <c r="C3297" s="6">
        <v>51</v>
      </c>
      <c r="D3297" s="6" t="str">
        <f t="shared" si="103"/>
        <v>Transportation</v>
      </c>
      <c r="E3297" s="6">
        <v>109690959</v>
      </c>
      <c r="F3297" s="6">
        <v>938394</v>
      </c>
      <c r="G3297" s="6">
        <v>1382344</v>
      </c>
      <c r="H3297" s="6">
        <v>255163</v>
      </c>
      <c r="I3297" s="6">
        <v>0</v>
      </c>
    </row>
    <row r="3298" spans="1:9">
      <c r="A3298" s="6">
        <v>46</v>
      </c>
      <c r="B3298" s="6" t="str">
        <f t="shared" si="102"/>
        <v>Water Works and Supply</v>
      </c>
      <c r="C3298" s="6">
        <v>51</v>
      </c>
      <c r="D3298" s="6" t="str">
        <f t="shared" si="103"/>
        <v>Transportation</v>
      </c>
      <c r="E3298" s="6">
        <v>429229</v>
      </c>
      <c r="F3298" s="6">
        <v>0</v>
      </c>
      <c r="G3298" s="6">
        <v>0</v>
      </c>
      <c r="H3298" s="6">
        <v>0</v>
      </c>
      <c r="I3298" s="6">
        <v>0</v>
      </c>
    </row>
    <row r="3299" spans="1:9">
      <c r="A3299" s="6">
        <v>47</v>
      </c>
      <c r="B3299" s="6" t="str">
        <f t="shared" si="102"/>
        <v>Building Construction</v>
      </c>
      <c r="C3299" s="6">
        <v>51</v>
      </c>
      <c r="D3299" s="6" t="str">
        <f t="shared" si="103"/>
        <v>Transportation</v>
      </c>
      <c r="E3299" s="6">
        <v>586004</v>
      </c>
      <c r="F3299" s="6">
        <v>0</v>
      </c>
      <c r="G3299" s="6">
        <v>0</v>
      </c>
      <c r="H3299" s="6">
        <v>0</v>
      </c>
      <c r="I3299" s="6">
        <v>0</v>
      </c>
    </row>
    <row r="3300" spans="1:9">
      <c r="A3300" s="6">
        <v>48</v>
      </c>
      <c r="B3300" s="6" t="str">
        <f t="shared" si="102"/>
        <v>Public Works and Other Construction</v>
      </c>
      <c r="C3300" s="6">
        <v>51</v>
      </c>
      <c r="D3300" s="6" t="str">
        <f t="shared" si="103"/>
        <v>Transportation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</row>
    <row r="3301" spans="1:9">
      <c r="A3301" s="6">
        <v>49</v>
      </c>
      <c r="B3301" s="6" t="str">
        <f t="shared" si="102"/>
        <v>Trade</v>
      </c>
      <c r="C3301" s="6">
        <v>51</v>
      </c>
      <c r="D3301" s="6" t="str">
        <f t="shared" si="103"/>
        <v>Transportation</v>
      </c>
      <c r="E3301" s="6">
        <v>0</v>
      </c>
      <c r="F3301" s="6">
        <v>-17612135</v>
      </c>
      <c r="G3301" s="6">
        <v>-17850805</v>
      </c>
      <c r="H3301" s="6">
        <v>0</v>
      </c>
      <c r="I3301" s="6">
        <v>0</v>
      </c>
    </row>
    <row r="3302" spans="1:9">
      <c r="A3302" s="6">
        <v>50</v>
      </c>
      <c r="B3302" s="6" t="str">
        <f t="shared" si="102"/>
        <v>Restaurants and Hotels</v>
      </c>
      <c r="C3302" s="6">
        <v>51</v>
      </c>
      <c r="D3302" s="6" t="str">
        <f t="shared" si="103"/>
        <v>Transportation</v>
      </c>
      <c r="E3302" s="6">
        <v>6020784</v>
      </c>
      <c r="F3302" s="6">
        <v>0</v>
      </c>
      <c r="G3302" s="6">
        <v>0</v>
      </c>
      <c r="H3302" s="6">
        <v>0</v>
      </c>
      <c r="I3302" s="6">
        <v>0</v>
      </c>
    </row>
    <row r="3303" spans="1:9">
      <c r="A3303" s="6">
        <v>51</v>
      </c>
      <c r="B3303" s="6" t="str">
        <f t="shared" si="102"/>
        <v>Transportation</v>
      </c>
      <c r="C3303" s="6">
        <v>51</v>
      </c>
      <c r="D3303" s="6" t="str">
        <f t="shared" si="103"/>
        <v>Transportation</v>
      </c>
      <c r="E3303" s="6">
        <v>104631682</v>
      </c>
      <c r="F3303" s="6">
        <v>0</v>
      </c>
      <c r="G3303" s="6">
        <v>0</v>
      </c>
      <c r="H3303" s="6">
        <v>-3106810</v>
      </c>
      <c r="I3303" s="6">
        <v>42071811</v>
      </c>
    </row>
    <row r="3304" spans="1:9">
      <c r="A3304" s="6">
        <v>52</v>
      </c>
      <c r="B3304" s="6" t="str">
        <f t="shared" si="102"/>
        <v>Communication</v>
      </c>
      <c r="C3304" s="6">
        <v>51</v>
      </c>
      <c r="D3304" s="6" t="str">
        <f t="shared" si="103"/>
        <v>Transportation</v>
      </c>
      <c r="E3304" s="6">
        <v>3436299</v>
      </c>
      <c r="F3304" s="6">
        <v>0</v>
      </c>
      <c r="G3304" s="6">
        <v>0</v>
      </c>
      <c r="H3304" s="6">
        <v>0</v>
      </c>
      <c r="I3304" s="6">
        <v>0</v>
      </c>
    </row>
    <row r="3305" spans="1:9">
      <c r="A3305" s="6">
        <v>53</v>
      </c>
      <c r="B3305" s="6" t="str">
        <f t="shared" si="102"/>
        <v>Banking and Insurance</v>
      </c>
      <c r="C3305" s="6">
        <v>51</v>
      </c>
      <c r="D3305" s="6" t="str">
        <f t="shared" si="103"/>
        <v>Transportation</v>
      </c>
      <c r="E3305" s="6">
        <v>43200474</v>
      </c>
      <c r="F3305" s="6">
        <v>0</v>
      </c>
      <c r="G3305" s="6">
        <v>0</v>
      </c>
      <c r="H3305" s="6">
        <v>0</v>
      </c>
      <c r="I3305" s="6">
        <v>1622319</v>
      </c>
    </row>
    <row r="3306" spans="1:9">
      <c r="A3306" s="6">
        <v>54</v>
      </c>
      <c r="B3306" s="6" t="str">
        <f t="shared" si="102"/>
        <v>Real Estate</v>
      </c>
      <c r="C3306" s="6">
        <v>51</v>
      </c>
      <c r="D3306" s="6" t="str">
        <f t="shared" si="103"/>
        <v>Transportation</v>
      </c>
      <c r="E3306" s="6">
        <v>3731209</v>
      </c>
      <c r="F3306" s="6">
        <v>0</v>
      </c>
      <c r="G3306" s="6">
        <v>0</v>
      </c>
      <c r="H3306" s="6">
        <v>0</v>
      </c>
      <c r="I3306" s="6">
        <v>0</v>
      </c>
    </row>
    <row r="3307" spans="1:9">
      <c r="A3307" s="6">
        <v>55</v>
      </c>
      <c r="B3307" s="6" t="str">
        <f t="shared" si="102"/>
        <v>Business Services</v>
      </c>
      <c r="C3307" s="6">
        <v>51</v>
      </c>
      <c r="D3307" s="6" t="str">
        <f t="shared" si="103"/>
        <v>Transportation</v>
      </c>
      <c r="E3307" s="6">
        <v>72991027</v>
      </c>
      <c r="F3307" s="6">
        <v>0</v>
      </c>
      <c r="G3307" s="6">
        <v>0</v>
      </c>
      <c r="H3307" s="6">
        <v>0</v>
      </c>
      <c r="I3307" s="6">
        <v>15274667</v>
      </c>
    </row>
    <row r="3308" spans="1:9">
      <c r="A3308" s="6">
        <v>56</v>
      </c>
      <c r="B3308" s="6" t="str">
        <f t="shared" si="102"/>
        <v>Public Services</v>
      </c>
      <c r="C3308" s="6">
        <v>51</v>
      </c>
      <c r="D3308" s="6" t="str">
        <f t="shared" si="103"/>
        <v>Transportation</v>
      </c>
      <c r="E3308" s="6">
        <v>663908</v>
      </c>
      <c r="F3308" s="6">
        <v>0</v>
      </c>
      <c r="G3308" s="6">
        <v>0</v>
      </c>
      <c r="H3308" s="6">
        <v>0</v>
      </c>
      <c r="I3308" s="6">
        <v>0</v>
      </c>
    </row>
    <row r="3309" spans="1:9">
      <c r="A3309" s="6">
        <v>57</v>
      </c>
      <c r="B3309" s="6" t="str">
        <f t="shared" si="102"/>
        <v>Other Services</v>
      </c>
      <c r="C3309" s="6">
        <v>51</v>
      </c>
      <c r="D3309" s="6" t="str">
        <f t="shared" si="103"/>
        <v>Transportation</v>
      </c>
      <c r="E3309" s="6">
        <v>3125205</v>
      </c>
      <c r="F3309" s="6">
        <v>0</v>
      </c>
      <c r="G3309" s="6">
        <v>0</v>
      </c>
      <c r="H3309" s="6">
        <v>0</v>
      </c>
      <c r="I3309" s="6">
        <v>0</v>
      </c>
    </row>
    <row r="3310" spans="1:9">
      <c r="A3310" s="6">
        <v>58</v>
      </c>
      <c r="B3310" s="6" t="str">
        <f t="shared" si="102"/>
        <v>Unclassified</v>
      </c>
      <c r="C3310" s="6">
        <v>51</v>
      </c>
      <c r="D3310" s="6" t="str">
        <f t="shared" si="103"/>
        <v>Transportation</v>
      </c>
      <c r="E3310" s="6">
        <v>4653024</v>
      </c>
      <c r="F3310" s="6">
        <v>0</v>
      </c>
      <c r="G3310" s="6">
        <v>0</v>
      </c>
      <c r="H3310" s="6">
        <v>0</v>
      </c>
      <c r="I3310" s="6">
        <v>461444</v>
      </c>
    </row>
    <row r="3311" spans="1:9">
      <c r="A3311" s="6">
        <v>190</v>
      </c>
      <c r="B3311" s="6" t="str">
        <f t="shared" si="102"/>
        <v>Total Intermedite Transaction</v>
      </c>
      <c r="C3311" s="6">
        <v>51</v>
      </c>
      <c r="D3311" s="6" t="str">
        <f t="shared" si="103"/>
        <v>Transportation</v>
      </c>
      <c r="E3311" s="6">
        <v>814403852</v>
      </c>
      <c r="F3311" s="6">
        <v>0</v>
      </c>
      <c r="G3311" s="6">
        <v>0</v>
      </c>
      <c r="H3311" s="6">
        <v>0</v>
      </c>
      <c r="I3311" s="6">
        <v>115135882</v>
      </c>
    </row>
    <row r="3312" spans="1:9">
      <c r="A3312" s="6">
        <v>201</v>
      </c>
      <c r="B3312" s="6" t="str">
        <f t="shared" si="102"/>
        <v>Wages and Salaries</v>
      </c>
      <c r="C3312" s="6">
        <v>51</v>
      </c>
      <c r="D3312" s="6" t="str">
        <f t="shared" si="103"/>
        <v>Transportation</v>
      </c>
      <c r="E3312" s="6">
        <v>112659098</v>
      </c>
      <c r="F3312" s="6">
        <v>0</v>
      </c>
      <c r="G3312" s="6">
        <v>0</v>
      </c>
      <c r="H3312" s="6">
        <v>0</v>
      </c>
      <c r="I3312" s="6">
        <v>0</v>
      </c>
    </row>
    <row r="3313" spans="1:9">
      <c r="A3313" s="6">
        <v>202</v>
      </c>
      <c r="B3313" s="6" t="str">
        <f t="shared" si="102"/>
        <v>Operating Surplus</v>
      </c>
      <c r="C3313" s="6">
        <v>51</v>
      </c>
      <c r="D3313" s="6" t="str">
        <f t="shared" si="103"/>
        <v>Transportation</v>
      </c>
      <c r="E3313" s="6">
        <v>137626748</v>
      </c>
      <c r="F3313" s="6">
        <v>0</v>
      </c>
      <c r="G3313" s="6">
        <v>0</v>
      </c>
      <c r="H3313" s="6">
        <v>0</v>
      </c>
      <c r="I3313" s="6">
        <v>0</v>
      </c>
    </row>
    <row r="3314" spans="1:9">
      <c r="A3314" s="6">
        <v>203</v>
      </c>
      <c r="B3314" s="6" t="str">
        <f t="shared" si="102"/>
        <v>Depreciation</v>
      </c>
      <c r="C3314" s="6">
        <v>51</v>
      </c>
      <c r="D3314" s="6" t="str">
        <f t="shared" si="103"/>
        <v>Transportation</v>
      </c>
      <c r="E3314" s="6">
        <v>117734997</v>
      </c>
      <c r="F3314" s="6">
        <v>0</v>
      </c>
      <c r="G3314" s="6">
        <v>0</v>
      </c>
      <c r="H3314" s="6">
        <v>0</v>
      </c>
      <c r="I3314" s="6">
        <v>0</v>
      </c>
    </row>
    <row r="3315" spans="1:9">
      <c r="A3315" s="6">
        <v>204</v>
      </c>
      <c r="B3315" s="6" t="str">
        <f t="shared" si="102"/>
        <v>Indirect Taxes less Subsidies</v>
      </c>
      <c r="C3315" s="6">
        <v>51</v>
      </c>
      <c r="D3315" s="6" t="str">
        <f t="shared" si="103"/>
        <v>Transportation</v>
      </c>
      <c r="E3315" s="6">
        <v>25199552</v>
      </c>
      <c r="F3315" s="6">
        <v>0</v>
      </c>
      <c r="G3315" s="6">
        <v>0</v>
      </c>
      <c r="H3315" s="6">
        <v>0</v>
      </c>
      <c r="I3315" s="6">
        <v>0</v>
      </c>
    </row>
    <row r="3316" spans="1:9">
      <c r="A3316" s="6">
        <v>209</v>
      </c>
      <c r="B3316" s="6" t="str">
        <f t="shared" si="102"/>
        <v>Total Value Added</v>
      </c>
      <c r="C3316" s="6">
        <v>51</v>
      </c>
      <c r="D3316" s="6" t="str">
        <f t="shared" si="103"/>
        <v>Transportation</v>
      </c>
      <c r="E3316" s="6">
        <v>393220395</v>
      </c>
      <c r="F3316" s="6">
        <v>0</v>
      </c>
      <c r="G3316" s="6">
        <v>0</v>
      </c>
      <c r="H3316" s="6">
        <v>0</v>
      </c>
      <c r="I3316" s="6">
        <v>0</v>
      </c>
    </row>
    <row r="3317" spans="1:9">
      <c r="A3317" s="6">
        <v>210</v>
      </c>
      <c r="B3317" s="6" t="str">
        <f t="shared" si="102"/>
        <v>Control Total</v>
      </c>
      <c r="C3317" s="6">
        <v>51</v>
      </c>
      <c r="D3317" s="6" t="str">
        <f t="shared" si="103"/>
        <v>Transportation</v>
      </c>
      <c r="E3317" s="6">
        <v>1207624247</v>
      </c>
      <c r="F3317" s="6">
        <v>0</v>
      </c>
      <c r="G3317" s="6">
        <v>0</v>
      </c>
      <c r="H3317" s="6">
        <v>0</v>
      </c>
      <c r="I3317" s="6">
        <v>0</v>
      </c>
    </row>
    <row r="3318" spans="1:9">
      <c r="A3318" s="6">
        <v>1</v>
      </c>
      <c r="B3318" s="6" t="str">
        <f t="shared" si="102"/>
        <v>Paddy</v>
      </c>
      <c r="C3318" s="6">
        <v>52</v>
      </c>
      <c r="D3318" s="6" t="str">
        <f t="shared" si="103"/>
        <v>Communication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</row>
    <row r="3319" spans="1:9">
      <c r="A3319" s="6">
        <v>2</v>
      </c>
      <c r="B3319" s="6" t="str">
        <f t="shared" si="102"/>
        <v>Maize</v>
      </c>
      <c r="C3319" s="6">
        <v>52</v>
      </c>
      <c r="D3319" s="6" t="str">
        <f t="shared" si="103"/>
        <v>Communication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</row>
    <row r="3320" spans="1:9">
      <c r="A3320" s="6">
        <v>3</v>
      </c>
      <c r="B3320" s="6" t="str">
        <f t="shared" si="102"/>
        <v>Cassava</v>
      </c>
      <c r="C3320" s="6">
        <v>52</v>
      </c>
      <c r="D3320" s="6" t="str">
        <f t="shared" si="103"/>
        <v>Communication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</row>
    <row r="3321" spans="1:9">
      <c r="A3321" s="6">
        <v>4</v>
      </c>
      <c r="B3321" s="6" t="str">
        <f t="shared" si="102"/>
        <v>Beans and Nuts</v>
      </c>
      <c r="C3321" s="6">
        <v>52</v>
      </c>
      <c r="D3321" s="6" t="str">
        <f t="shared" si="103"/>
        <v>Communication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</row>
    <row r="3322" spans="1:9">
      <c r="A3322" s="6">
        <v>5</v>
      </c>
      <c r="B3322" s="6" t="str">
        <f t="shared" si="102"/>
        <v>Vegetables and Fruits</v>
      </c>
      <c r="C3322" s="6">
        <v>52</v>
      </c>
      <c r="D3322" s="6" t="str">
        <f t="shared" si="103"/>
        <v>Communication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</row>
    <row r="3323" spans="1:9">
      <c r="A3323" s="6">
        <v>6</v>
      </c>
      <c r="B3323" s="6" t="str">
        <f t="shared" si="102"/>
        <v>Sugarcane</v>
      </c>
      <c r="C3323" s="6">
        <v>52</v>
      </c>
      <c r="D3323" s="6" t="str">
        <f t="shared" si="103"/>
        <v>Communication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</row>
    <row r="3324" spans="1:9">
      <c r="A3324" s="6">
        <v>7</v>
      </c>
      <c r="B3324" s="6" t="str">
        <f t="shared" si="102"/>
        <v>Rubber (Latex)</v>
      </c>
      <c r="C3324" s="6">
        <v>52</v>
      </c>
      <c r="D3324" s="6" t="str">
        <f t="shared" si="103"/>
        <v>Communication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</row>
    <row r="3325" spans="1:9">
      <c r="A3325" s="6">
        <v>8</v>
      </c>
      <c r="B3325" s="6" t="str">
        <f t="shared" si="102"/>
        <v>Other Crops</v>
      </c>
      <c r="C3325" s="6">
        <v>52</v>
      </c>
      <c r="D3325" s="6" t="str">
        <f t="shared" si="103"/>
        <v>Communication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</row>
    <row r="3326" spans="1:9">
      <c r="A3326" s="6">
        <v>9</v>
      </c>
      <c r="B3326" s="6" t="str">
        <f t="shared" si="102"/>
        <v>Livestock</v>
      </c>
      <c r="C3326" s="6">
        <v>52</v>
      </c>
      <c r="D3326" s="6" t="str">
        <f t="shared" si="103"/>
        <v>Communication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</row>
    <row r="3327" spans="1:9">
      <c r="A3327" s="6">
        <v>10</v>
      </c>
      <c r="B3327" s="6" t="str">
        <f t="shared" si="102"/>
        <v>Forestry</v>
      </c>
      <c r="C3327" s="6">
        <v>52</v>
      </c>
      <c r="D3327" s="6" t="str">
        <f t="shared" si="103"/>
        <v>Communication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</row>
    <row r="3328" spans="1:9">
      <c r="A3328" s="6">
        <v>11</v>
      </c>
      <c r="B3328" s="6" t="str">
        <f t="shared" si="102"/>
        <v>Fishery</v>
      </c>
      <c r="C3328" s="6">
        <v>52</v>
      </c>
      <c r="D3328" s="6" t="str">
        <f t="shared" si="103"/>
        <v>Communication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</row>
    <row r="3329" spans="1:9">
      <c r="A3329" s="6">
        <v>12</v>
      </c>
      <c r="B3329" s="6" t="str">
        <f t="shared" si="102"/>
        <v>Crude Oil and Coal</v>
      </c>
      <c r="C3329" s="6">
        <v>52</v>
      </c>
      <c r="D3329" s="6" t="str">
        <f t="shared" si="103"/>
        <v>Communication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</row>
    <row r="3330" spans="1:9">
      <c r="A3330" s="6">
        <v>13</v>
      </c>
      <c r="B3330" s="6" t="str">
        <f t="shared" si="102"/>
        <v>Metal Ore</v>
      </c>
      <c r="C3330" s="6">
        <v>52</v>
      </c>
      <c r="D3330" s="6" t="str">
        <f t="shared" si="103"/>
        <v>Communication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</row>
    <row r="3331" spans="1:9">
      <c r="A3331" s="6">
        <v>14</v>
      </c>
      <c r="B3331" s="6" t="str">
        <f t="shared" si="102"/>
        <v>Non-Metal Ore</v>
      </c>
      <c r="C3331" s="6">
        <v>52</v>
      </c>
      <c r="D3331" s="6" t="str">
        <f t="shared" si="103"/>
        <v>Communication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</row>
    <row r="3332" spans="1:9">
      <c r="A3332" s="6">
        <v>15</v>
      </c>
      <c r="B3332" s="6" t="str">
        <f t="shared" ref="B3332:B3395" si="104">VLOOKUP(A3332,R:S,2,0)</f>
        <v>Slaughtering</v>
      </c>
      <c r="C3332" s="6">
        <v>52</v>
      </c>
      <c r="D3332" s="6" t="str">
        <f t="shared" ref="D3332:D3395" si="105">VLOOKUP(C3332,R:S,2,0)</f>
        <v>Communication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</row>
    <row r="3333" spans="1:9">
      <c r="A3333" s="6">
        <v>16</v>
      </c>
      <c r="B3333" s="6" t="str">
        <f t="shared" si="104"/>
        <v>Processing and Presering of Foods</v>
      </c>
      <c r="C3333" s="6">
        <v>52</v>
      </c>
      <c r="D3333" s="6" t="str">
        <f t="shared" si="105"/>
        <v>Communication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</row>
    <row r="3334" spans="1:9">
      <c r="A3334" s="6">
        <v>17</v>
      </c>
      <c r="B3334" s="6" t="str">
        <f t="shared" si="104"/>
        <v>Rice and Other Grain Milling</v>
      </c>
      <c r="C3334" s="6">
        <v>52</v>
      </c>
      <c r="D3334" s="6" t="str">
        <f t="shared" si="105"/>
        <v>Communication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</row>
    <row r="3335" spans="1:9">
      <c r="A3335" s="6">
        <v>18</v>
      </c>
      <c r="B3335" s="6" t="str">
        <f t="shared" si="104"/>
        <v>Sugar Refineries</v>
      </c>
      <c r="C3335" s="6">
        <v>52</v>
      </c>
      <c r="D3335" s="6" t="str">
        <f t="shared" si="105"/>
        <v>Communication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</row>
    <row r="3336" spans="1:9">
      <c r="A3336" s="6">
        <v>19</v>
      </c>
      <c r="B3336" s="6" t="str">
        <f t="shared" si="104"/>
        <v>Other Foods</v>
      </c>
      <c r="C3336" s="6">
        <v>52</v>
      </c>
      <c r="D3336" s="6" t="str">
        <f t="shared" si="105"/>
        <v>Communication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</row>
    <row r="3337" spans="1:9">
      <c r="A3337" s="6">
        <v>20</v>
      </c>
      <c r="B3337" s="6" t="str">
        <f t="shared" si="104"/>
        <v>Animal Food</v>
      </c>
      <c r="C3337" s="6">
        <v>52</v>
      </c>
      <c r="D3337" s="6" t="str">
        <f t="shared" si="105"/>
        <v>Communication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</row>
    <row r="3338" spans="1:9">
      <c r="A3338" s="6">
        <v>21</v>
      </c>
      <c r="B3338" s="6" t="str">
        <f t="shared" si="104"/>
        <v>Beverages</v>
      </c>
      <c r="C3338" s="6">
        <v>52</v>
      </c>
      <c r="D3338" s="6" t="str">
        <f t="shared" si="105"/>
        <v>Communication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</row>
    <row r="3339" spans="1:9">
      <c r="A3339" s="6">
        <v>22</v>
      </c>
      <c r="B3339" s="6" t="str">
        <f t="shared" si="104"/>
        <v>Tobacco Processing and Products</v>
      </c>
      <c r="C3339" s="6">
        <v>52</v>
      </c>
      <c r="D3339" s="6" t="str">
        <f t="shared" si="105"/>
        <v>Communication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</row>
    <row r="3340" spans="1:9">
      <c r="A3340" s="6">
        <v>23</v>
      </c>
      <c r="B3340" s="6" t="str">
        <f t="shared" si="104"/>
        <v>Spinning, Weaving and Bleaching</v>
      </c>
      <c r="C3340" s="6">
        <v>52</v>
      </c>
      <c r="D3340" s="6" t="str">
        <f t="shared" si="105"/>
        <v>Communication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</row>
    <row r="3341" spans="1:9">
      <c r="A3341" s="6">
        <v>24</v>
      </c>
      <c r="B3341" s="6" t="str">
        <f t="shared" si="104"/>
        <v>Textile Products</v>
      </c>
      <c r="C3341" s="6">
        <v>52</v>
      </c>
      <c r="D3341" s="6" t="str">
        <f t="shared" si="105"/>
        <v>Communication</v>
      </c>
      <c r="E3341" s="6">
        <v>21329</v>
      </c>
      <c r="F3341" s="6">
        <v>2913</v>
      </c>
      <c r="G3341" s="6">
        <v>3581</v>
      </c>
      <c r="H3341" s="6">
        <v>105</v>
      </c>
      <c r="I3341" s="6">
        <v>0</v>
      </c>
    </row>
    <row r="3342" spans="1:9">
      <c r="A3342" s="6">
        <v>25</v>
      </c>
      <c r="B3342" s="6" t="str">
        <f t="shared" si="104"/>
        <v>Paper and Paper Products</v>
      </c>
      <c r="C3342" s="6">
        <v>52</v>
      </c>
      <c r="D3342" s="6" t="str">
        <f t="shared" si="105"/>
        <v>Communication</v>
      </c>
      <c r="E3342" s="6">
        <v>5088301</v>
      </c>
      <c r="F3342" s="6">
        <v>29352</v>
      </c>
      <c r="G3342" s="6">
        <v>25726</v>
      </c>
      <c r="H3342" s="6">
        <v>35257</v>
      </c>
      <c r="I3342" s="6">
        <v>1517881</v>
      </c>
    </row>
    <row r="3343" spans="1:9">
      <c r="A3343" s="6">
        <v>26</v>
      </c>
      <c r="B3343" s="6" t="str">
        <f t="shared" si="104"/>
        <v>Printing and Publishing</v>
      </c>
      <c r="C3343" s="6">
        <v>52</v>
      </c>
      <c r="D3343" s="6" t="str">
        <f t="shared" si="105"/>
        <v>Communication</v>
      </c>
      <c r="E3343" s="6">
        <v>1652900</v>
      </c>
      <c r="F3343" s="6">
        <v>104707</v>
      </c>
      <c r="G3343" s="6">
        <v>169920</v>
      </c>
      <c r="H3343" s="6">
        <v>12913</v>
      </c>
      <c r="I3343" s="6">
        <v>441838</v>
      </c>
    </row>
    <row r="3344" spans="1:9">
      <c r="A3344" s="6">
        <v>27</v>
      </c>
      <c r="B3344" s="6" t="str">
        <f t="shared" si="104"/>
        <v>Basic Chemical Products</v>
      </c>
      <c r="C3344" s="6">
        <v>52</v>
      </c>
      <c r="D3344" s="6" t="str">
        <f t="shared" si="105"/>
        <v>Communication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</row>
    <row r="3345" spans="1:9">
      <c r="A3345" s="6">
        <v>28</v>
      </c>
      <c r="B3345" s="6" t="str">
        <f t="shared" si="104"/>
        <v>Fertilizer and Pesticides</v>
      </c>
      <c r="C3345" s="6">
        <v>52</v>
      </c>
      <c r="D3345" s="6" t="str">
        <f t="shared" si="105"/>
        <v>Communication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</row>
    <row r="3346" spans="1:9">
      <c r="A3346" s="6">
        <v>29</v>
      </c>
      <c r="B3346" s="6" t="str">
        <f t="shared" si="104"/>
        <v>Other Chemical Products</v>
      </c>
      <c r="C3346" s="6">
        <v>52</v>
      </c>
      <c r="D3346" s="6" t="str">
        <f t="shared" si="105"/>
        <v>Communication</v>
      </c>
      <c r="E3346" s="6">
        <v>852545</v>
      </c>
      <c r="F3346" s="6">
        <v>48326</v>
      </c>
      <c r="G3346" s="6">
        <v>34617</v>
      </c>
      <c r="H3346" s="6">
        <v>9998</v>
      </c>
      <c r="I3346" s="6">
        <v>727455</v>
      </c>
    </row>
    <row r="3347" spans="1:9">
      <c r="A3347" s="6">
        <v>30</v>
      </c>
      <c r="B3347" s="6" t="str">
        <f t="shared" si="104"/>
        <v>Petroleum Refineries</v>
      </c>
      <c r="C3347" s="6">
        <v>52</v>
      </c>
      <c r="D3347" s="6" t="str">
        <f t="shared" si="105"/>
        <v>Communication</v>
      </c>
      <c r="E3347" s="6">
        <v>9523739</v>
      </c>
      <c r="F3347" s="6">
        <v>414819</v>
      </c>
      <c r="G3347" s="6">
        <v>456014</v>
      </c>
      <c r="H3347" s="6">
        <v>74590</v>
      </c>
      <c r="I3347" s="6">
        <v>1849372</v>
      </c>
    </row>
    <row r="3348" spans="1:9">
      <c r="A3348" s="6">
        <v>31</v>
      </c>
      <c r="B3348" s="6" t="str">
        <f t="shared" si="104"/>
        <v>Rubber Products</v>
      </c>
      <c r="C3348" s="6">
        <v>52</v>
      </c>
      <c r="D3348" s="6" t="str">
        <f t="shared" si="105"/>
        <v>Communication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</row>
    <row r="3349" spans="1:9">
      <c r="A3349" s="6">
        <v>32</v>
      </c>
      <c r="B3349" s="6" t="str">
        <f t="shared" si="104"/>
        <v>Plastic Wares</v>
      </c>
      <c r="C3349" s="6">
        <v>52</v>
      </c>
      <c r="D3349" s="6" t="str">
        <f t="shared" si="105"/>
        <v>Communication</v>
      </c>
      <c r="E3349" s="6">
        <v>766362</v>
      </c>
      <c r="F3349" s="6">
        <v>20862</v>
      </c>
      <c r="G3349" s="6">
        <v>28621</v>
      </c>
      <c r="H3349" s="6">
        <v>5491</v>
      </c>
      <c r="I3349" s="6">
        <v>188339</v>
      </c>
    </row>
    <row r="3350" spans="1:9">
      <c r="A3350" s="6">
        <v>33</v>
      </c>
      <c r="B3350" s="6" t="str">
        <f t="shared" si="104"/>
        <v>Cement and Concrete Products</v>
      </c>
      <c r="C3350" s="6">
        <v>52</v>
      </c>
      <c r="D3350" s="6" t="str">
        <f t="shared" si="105"/>
        <v>Communication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</row>
    <row r="3351" spans="1:9">
      <c r="A3351" s="6">
        <v>34</v>
      </c>
      <c r="B3351" s="6" t="str">
        <f t="shared" si="104"/>
        <v>Other Non-metallic Products</v>
      </c>
      <c r="C3351" s="6">
        <v>52</v>
      </c>
      <c r="D3351" s="6" t="str">
        <f t="shared" si="105"/>
        <v>Communication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</row>
    <row r="3352" spans="1:9">
      <c r="A3352" s="6">
        <v>35</v>
      </c>
      <c r="B3352" s="6" t="str">
        <f t="shared" si="104"/>
        <v>Iron and Steel</v>
      </c>
      <c r="C3352" s="6">
        <v>52</v>
      </c>
      <c r="D3352" s="6" t="str">
        <f t="shared" si="105"/>
        <v>Communication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</row>
    <row r="3353" spans="1:9">
      <c r="A3353" s="6">
        <v>36</v>
      </c>
      <c r="B3353" s="6" t="str">
        <f t="shared" si="104"/>
        <v>Non-ferrous Metal</v>
      </c>
      <c r="C3353" s="6">
        <v>52</v>
      </c>
      <c r="D3353" s="6" t="str">
        <f t="shared" si="105"/>
        <v>Communication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</row>
    <row r="3354" spans="1:9">
      <c r="A3354" s="6">
        <v>37</v>
      </c>
      <c r="B3354" s="6" t="str">
        <f t="shared" si="104"/>
        <v>Fabricated Metal Products</v>
      </c>
      <c r="C3354" s="6">
        <v>52</v>
      </c>
      <c r="D3354" s="6" t="str">
        <f t="shared" si="105"/>
        <v>Communication</v>
      </c>
      <c r="E3354" s="6">
        <v>11129</v>
      </c>
      <c r="F3354" s="6">
        <v>289</v>
      </c>
      <c r="G3354" s="6">
        <v>496</v>
      </c>
      <c r="H3354" s="6">
        <v>38</v>
      </c>
      <c r="I3354" s="6">
        <v>4970</v>
      </c>
    </row>
    <row r="3355" spans="1:9">
      <c r="A3355" s="6">
        <v>38</v>
      </c>
      <c r="B3355" s="6" t="str">
        <f t="shared" si="104"/>
        <v>Industrial Machinery</v>
      </c>
      <c r="C3355" s="6">
        <v>52</v>
      </c>
      <c r="D3355" s="6" t="str">
        <f t="shared" si="105"/>
        <v>Communication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</row>
    <row r="3356" spans="1:9">
      <c r="A3356" s="6">
        <v>39</v>
      </c>
      <c r="B3356" s="6" t="str">
        <f t="shared" si="104"/>
        <v>Electrical Machinery and Apparatus</v>
      </c>
      <c r="C3356" s="6">
        <v>52</v>
      </c>
      <c r="D3356" s="6" t="str">
        <f t="shared" si="105"/>
        <v>Communication</v>
      </c>
      <c r="E3356" s="6">
        <v>16985763</v>
      </c>
      <c r="F3356" s="6">
        <v>706907</v>
      </c>
      <c r="G3356" s="6">
        <v>1414350</v>
      </c>
      <c r="H3356" s="6">
        <v>175292</v>
      </c>
      <c r="I3356" s="6">
        <v>7099749</v>
      </c>
    </row>
    <row r="3357" spans="1:9">
      <c r="A3357" s="6">
        <v>40</v>
      </c>
      <c r="B3357" s="6" t="str">
        <f t="shared" si="104"/>
        <v>Motor Vehicles and Repairing</v>
      </c>
      <c r="C3357" s="6">
        <v>52</v>
      </c>
      <c r="D3357" s="6" t="str">
        <f t="shared" si="105"/>
        <v>Communication</v>
      </c>
      <c r="E3357" s="6">
        <v>2449300</v>
      </c>
      <c r="F3357" s="6">
        <v>0</v>
      </c>
      <c r="G3357" s="6">
        <v>0</v>
      </c>
      <c r="H3357" s="6">
        <v>0</v>
      </c>
      <c r="I3357" s="6">
        <v>0</v>
      </c>
    </row>
    <row r="3358" spans="1:9">
      <c r="A3358" s="6">
        <v>41</v>
      </c>
      <c r="B3358" s="6" t="str">
        <f t="shared" si="104"/>
        <v>Other Transportation Equipment</v>
      </c>
      <c r="C3358" s="6">
        <v>52</v>
      </c>
      <c r="D3358" s="6" t="str">
        <f t="shared" si="105"/>
        <v>Communication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</row>
    <row r="3359" spans="1:9">
      <c r="A3359" s="6">
        <v>42</v>
      </c>
      <c r="B3359" s="6" t="str">
        <f t="shared" si="104"/>
        <v>Leather Products</v>
      </c>
      <c r="C3359" s="6">
        <v>52</v>
      </c>
      <c r="D3359" s="6" t="str">
        <f t="shared" si="105"/>
        <v>Communication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</row>
    <row r="3360" spans="1:9">
      <c r="A3360" s="6">
        <v>43</v>
      </c>
      <c r="B3360" s="6" t="str">
        <f t="shared" si="104"/>
        <v>Saw Mills and Wood Products</v>
      </c>
      <c r="C3360" s="6">
        <v>52</v>
      </c>
      <c r="D3360" s="6" t="str">
        <f t="shared" si="105"/>
        <v>Communication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</row>
    <row r="3361" spans="1:9">
      <c r="A3361" s="6">
        <v>44</v>
      </c>
      <c r="B3361" s="6" t="str">
        <f t="shared" si="104"/>
        <v>Other Manufacturing Products</v>
      </c>
      <c r="C3361" s="6">
        <v>52</v>
      </c>
      <c r="D3361" s="6" t="str">
        <f t="shared" si="105"/>
        <v>Communication</v>
      </c>
      <c r="E3361" s="6">
        <v>1207059</v>
      </c>
      <c r="F3361" s="6">
        <v>69850</v>
      </c>
      <c r="G3361" s="6">
        <v>66680</v>
      </c>
      <c r="H3361" s="6">
        <v>12112</v>
      </c>
      <c r="I3361" s="6">
        <v>56732</v>
      </c>
    </row>
    <row r="3362" spans="1:9">
      <c r="A3362" s="6">
        <v>45</v>
      </c>
      <c r="B3362" s="6" t="str">
        <f t="shared" si="104"/>
        <v>Electricity and Gas</v>
      </c>
      <c r="C3362" s="6">
        <v>52</v>
      </c>
      <c r="D3362" s="6" t="str">
        <f t="shared" si="105"/>
        <v>Communication</v>
      </c>
      <c r="E3362" s="6">
        <v>15917648</v>
      </c>
      <c r="F3362" s="6">
        <v>5717</v>
      </c>
      <c r="G3362" s="6">
        <v>9826</v>
      </c>
      <c r="H3362" s="6">
        <v>1229</v>
      </c>
      <c r="I3362" s="6">
        <v>0</v>
      </c>
    </row>
    <row r="3363" spans="1:9">
      <c r="A3363" s="6">
        <v>46</v>
      </c>
      <c r="B3363" s="6" t="str">
        <f t="shared" si="104"/>
        <v>Water Works and Supply</v>
      </c>
      <c r="C3363" s="6">
        <v>52</v>
      </c>
      <c r="D3363" s="6" t="str">
        <f t="shared" si="105"/>
        <v>Communication</v>
      </c>
      <c r="E3363" s="6">
        <v>394416</v>
      </c>
      <c r="F3363" s="6">
        <v>0</v>
      </c>
      <c r="G3363" s="6">
        <v>0</v>
      </c>
      <c r="H3363" s="6">
        <v>0</v>
      </c>
      <c r="I3363" s="6">
        <v>0</v>
      </c>
    </row>
    <row r="3364" spans="1:9">
      <c r="A3364" s="6">
        <v>47</v>
      </c>
      <c r="B3364" s="6" t="str">
        <f t="shared" si="104"/>
        <v>Building Construction</v>
      </c>
      <c r="C3364" s="6">
        <v>52</v>
      </c>
      <c r="D3364" s="6" t="str">
        <f t="shared" si="105"/>
        <v>Communication</v>
      </c>
      <c r="E3364" s="6">
        <v>29513</v>
      </c>
      <c r="F3364" s="6">
        <v>0</v>
      </c>
      <c r="G3364" s="6">
        <v>0</v>
      </c>
      <c r="H3364" s="6">
        <v>0</v>
      </c>
      <c r="I3364" s="6">
        <v>0</v>
      </c>
    </row>
    <row r="3365" spans="1:9">
      <c r="A3365" s="6">
        <v>48</v>
      </c>
      <c r="B3365" s="6" t="str">
        <f t="shared" si="104"/>
        <v>Public Works and Other Construction</v>
      </c>
      <c r="C3365" s="6">
        <v>52</v>
      </c>
      <c r="D3365" s="6" t="str">
        <f t="shared" si="105"/>
        <v>Communication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</row>
    <row r="3366" spans="1:9">
      <c r="A3366" s="6">
        <v>49</v>
      </c>
      <c r="B3366" s="6" t="str">
        <f t="shared" si="104"/>
        <v>Trade</v>
      </c>
      <c r="C3366" s="6">
        <v>52</v>
      </c>
      <c r="D3366" s="6" t="str">
        <f t="shared" si="105"/>
        <v>Communication</v>
      </c>
      <c r="E3366" s="6">
        <v>0</v>
      </c>
      <c r="F3366" s="6">
        <v>-1403742</v>
      </c>
      <c r="G3366" s="6">
        <v>-2209831</v>
      </c>
      <c r="H3366" s="6">
        <v>0</v>
      </c>
      <c r="I3366" s="6">
        <v>0</v>
      </c>
    </row>
    <row r="3367" spans="1:9">
      <c r="A3367" s="6">
        <v>50</v>
      </c>
      <c r="B3367" s="6" t="str">
        <f t="shared" si="104"/>
        <v>Restaurants and Hotels</v>
      </c>
      <c r="C3367" s="6">
        <v>52</v>
      </c>
      <c r="D3367" s="6" t="str">
        <f t="shared" si="105"/>
        <v>Communication</v>
      </c>
      <c r="E3367" s="6">
        <v>84419</v>
      </c>
      <c r="F3367" s="6">
        <v>0</v>
      </c>
      <c r="G3367" s="6">
        <v>0</v>
      </c>
      <c r="H3367" s="6">
        <v>0</v>
      </c>
      <c r="I3367" s="6">
        <v>0</v>
      </c>
    </row>
    <row r="3368" spans="1:9">
      <c r="A3368" s="6">
        <v>51</v>
      </c>
      <c r="B3368" s="6" t="str">
        <f t="shared" si="104"/>
        <v>Transportation</v>
      </c>
      <c r="C3368" s="6">
        <v>52</v>
      </c>
      <c r="D3368" s="6" t="str">
        <f t="shared" si="105"/>
        <v>Communication</v>
      </c>
      <c r="E3368" s="6">
        <v>8636065</v>
      </c>
      <c r="F3368" s="6">
        <v>0</v>
      </c>
      <c r="G3368" s="6">
        <v>0</v>
      </c>
      <c r="H3368" s="6">
        <v>-327025</v>
      </c>
      <c r="I3368" s="6">
        <v>0</v>
      </c>
    </row>
    <row r="3369" spans="1:9">
      <c r="A3369" s="6">
        <v>52</v>
      </c>
      <c r="B3369" s="6" t="str">
        <f t="shared" si="104"/>
        <v>Communication</v>
      </c>
      <c r="C3369" s="6">
        <v>52</v>
      </c>
      <c r="D3369" s="6" t="str">
        <f t="shared" si="105"/>
        <v>Communication</v>
      </c>
      <c r="E3369" s="6">
        <v>88266053</v>
      </c>
      <c r="F3369" s="6">
        <v>0</v>
      </c>
      <c r="G3369" s="6">
        <v>0</v>
      </c>
      <c r="H3369" s="6">
        <v>0</v>
      </c>
      <c r="I3369" s="6">
        <v>0</v>
      </c>
    </row>
    <row r="3370" spans="1:9">
      <c r="A3370" s="6">
        <v>53</v>
      </c>
      <c r="B3370" s="6" t="str">
        <f t="shared" si="104"/>
        <v>Banking and Insurance</v>
      </c>
      <c r="C3370" s="6">
        <v>52</v>
      </c>
      <c r="D3370" s="6" t="str">
        <f t="shared" si="105"/>
        <v>Communication</v>
      </c>
      <c r="E3370" s="6">
        <v>33197173</v>
      </c>
      <c r="F3370" s="6">
        <v>0</v>
      </c>
      <c r="G3370" s="6">
        <v>0</v>
      </c>
      <c r="H3370" s="6">
        <v>0</v>
      </c>
      <c r="I3370" s="6">
        <v>392026</v>
      </c>
    </row>
    <row r="3371" spans="1:9">
      <c r="A3371" s="6">
        <v>54</v>
      </c>
      <c r="B3371" s="6" t="str">
        <f t="shared" si="104"/>
        <v>Real Estate</v>
      </c>
      <c r="C3371" s="6">
        <v>52</v>
      </c>
      <c r="D3371" s="6" t="str">
        <f t="shared" si="105"/>
        <v>Communication</v>
      </c>
      <c r="E3371" s="6">
        <v>3326505</v>
      </c>
      <c r="F3371" s="6">
        <v>0</v>
      </c>
      <c r="G3371" s="6">
        <v>0</v>
      </c>
      <c r="H3371" s="6">
        <v>0</v>
      </c>
      <c r="I3371" s="6">
        <v>0</v>
      </c>
    </row>
    <row r="3372" spans="1:9">
      <c r="A3372" s="6">
        <v>55</v>
      </c>
      <c r="B3372" s="6" t="str">
        <f t="shared" si="104"/>
        <v>Business Services</v>
      </c>
      <c r="C3372" s="6">
        <v>52</v>
      </c>
      <c r="D3372" s="6" t="str">
        <f t="shared" si="105"/>
        <v>Communication</v>
      </c>
      <c r="E3372" s="6">
        <v>26355917</v>
      </c>
      <c r="F3372" s="6">
        <v>0</v>
      </c>
      <c r="G3372" s="6">
        <v>0</v>
      </c>
      <c r="H3372" s="6">
        <v>0</v>
      </c>
      <c r="I3372" s="6">
        <v>8505700</v>
      </c>
    </row>
    <row r="3373" spans="1:9">
      <c r="A3373" s="6">
        <v>56</v>
      </c>
      <c r="B3373" s="6" t="str">
        <f t="shared" si="104"/>
        <v>Public Services</v>
      </c>
      <c r="C3373" s="6">
        <v>52</v>
      </c>
      <c r="D3373" s="6" t="str">
        <f t="shared" si="105"/>
        <v>Communication</v>
      </c>
      <c r="E3373" s="6">
        <v>30746</v>
      </c>
      <c r="F3373" s="6">
        <v>0</v>
      </c>
      <c r="G3373" s="6">
        <v>0</v>
      </c>
      <c r="H3373" s="6">
        <v>0</v>
      </c>
      <c r="I3373" s="6">
        <v>0</v>
      </c>
    </row>
    <row r="3374" spans="1:9">
      <c r="A3374" s="6">
        <v>57</v>
      </c>
      <c r="B3374" s="6" t="str">
        <f t="shared" si="104"/>
        <v>Other Services</v>
      </c>
      <c r="C3374" s="6">
        <v>52</v>
      </c>
      <c r="D3374" s="6" t="str">
        <f t="shared" si="105"/>
        <v>Communication</v>
      </c>
      <c r="E3374" s="6">
        <v>3794437</v>
      </c>
      <c r="F3374" s="6">
        <v>0</v>
      </c>
      <c r="G3374" s="6">
        <v>0</v>
      </c>
      <c r="H3374" s="6">
        <v>0</v>
      </c>
      <c r="I3374" s="6">
        <v>0</v>
      </c>
    </row>
    <row r="3375" spans="1:9">
      <c r="A3375" s="6">
        <v>58</v>
      </c>
      <c r="B3375" s="6" t="str">
        <f t="shared" si="104"/>
        <v>Unclassified</v>
      </c>
      <c r="C3375" s="6">
        <v>52</v>
      </c>
      <c r="D3375" s="6" t="str">
        <f t="shared" si="105"/>
        <v>Communication</v>
      </c>
      <c r="E3375" s="6">
        <v>1434453</v>
      </c>
      <c r="F3375" s="6">
        <v>0</v>
      </c>
      <c r="G3375" s="6">
        <v>0</v>
      </c>
      <c r="H3375" s="6">
        <v>0</v>
      </c>
      <c r="I3375" s="6">
        <v>164252</v>
      </c>
    </row>
    <row r="3376" spans="1:9">
      <c r="A3376" s="6">
        <v>190</v>
      </c>
      <c r="B3376" s="6" t="str">
        <f t="shared" si="104"/>
        <v>Total Intermedite Transaction</v>
      </c>
      <c r="C3376" s="6">
        <v>52</v>
      </c>
      <c r="D3376" s="6" t="str">
        <f t="shared" si="105"/>
        <v>Communication</v>
      </c>
      <c r="E3376" s="6">
        <v>220025772</v>
      </c>
      <c r="F3376" s="6">
        <v>0</v>
      </c>
      <c r="G3376" s="6">
        <v>0</v>
      </c>
      <c r="H3376" s="6">
        <v>0</v>
      </c>
      <c r="I3376" s="6">
        <v>20948314</v>
      </c>
    </row>
    <row r="3377" spans="1:9">
      <c r="A3377" s="6">
        <v>201</v>
      </c>
      <c r="B3377" s="6" t="str">
        <f t="shared" si="104"/>
        <v>Wages and Salaries</v>
      </c>
      <c r="C3377" s="6">
        <v>52</v>
      </c>
      <c r="D3377" s="6" t="str">
        <f t="shared" si="105"/>
        <v>Communication</v>
      </c>
      <c r="E3377" s="6">
        <v>111491741</v>
      </c>
      <c r="F3377" s="6">
        <v>0</v>
      </c>
      <c r="G3377" s="6">
        <v>0</v>
      </c>
      <c r="H3377" s="6">
        <v>0</v>
      </c>
      <c r="I3377" s="6">
        <v>0</v>
      </c>
    </row>
    <row r="3378" spans="1:9">
      <c r="A3378" s="6">
        <v>202</v>
      </c>
      <c r="B3378" s="6" t="str">
        <f t="shared" si="104"/>
        <v>Operating Surplus</v>
      </c>
      <c r="C3378" s="6">
        <v>52</v>
      </c>
      <c r="D3378" s="6" t="str">
        <f t="shared" si="105"/>
        <v>Communication</v>
      </c>
      <c r="E3378" s="6">
        <v>134587008</v>
      </c>
      <c r="F3378" s="6">
        <v>0</v>
      </c>
      <c r="G3378" s="6">
        <v>0</v>
      </c>
      <c r="H3378" s="6">
        <v>0</v>
      </c>
      <c r="I3378" s="6">
        <v>0</v>
      </c>
    </row>
    <row r="3379" spans="1:9">
      <c r="A3379" s="6">
        <v>203</v>
      </c>
      <c r="B3379" s="6" t="str">
        <f t="shared" si="104"/>
        <v>Depreciation</v>
      </c>
      <c r="C3379" s="6">
        <v>52</v>
      </c>
      <c r="D3379" s="6" t="str">
        <f t="shared" si="105"/>
        <v>Communication</v>
      </c>
      <c r="E3379" s="6">
        <v>105107866</v>
      </c>
      <c r="F3379" s="6">
        <v>0</v>
      </c>
      <c r="G3379" s="6">
        <v>0</v>
      </c>
      <c r="H3379" s="6">
        <v>0</v>
      </c>
      <c r="I3379" s="6">
        <v>0</v>
      </c>
    </row>
    <row r="3380" spans="1:9">
      <c r="A3380" s="6">
        <v>204</v>
      </c>
      <c r="B3380" s="6" t="str">
        <f t="shared" si="104"/>
        <v>Indirect Taxes less Subsidies</v>
      </c>
      <c r="C3380" s="6">
        <v>52</v>
      </c>
      <c r="D3380" s="6" t="str">
        <f t="shared" si="105"/>
        <v>Communication</v>
      </c>
      <c r="E3380" s="6">
        <v>12593641</v>
      </c>
      <c r="F3380" s="6">
        <v>0</v>
      </c>
      <c r="G3380" s="6">
        <v>0</v>
      </c>
      <c r="H3380" s="6">
        <v>0</v>
      </c>
      <c r="I3380" s="6">
        <v>0</v>
      </c>
    </row>
    <row r="3381" spans="1:9">
      <c r="A3381" s="6">
        <v>209</v>
      </c>
      <c r="B3381" s="6" t="str">
        <f t="shared" si="104"/>
        <v>Total Value Added</v>
      </c>
      <c r="C3381" s="6">
        <v>52</v>
      </c>
      <c r="D3381" s="6" t="str">
        <f t="shared" si="105"/>
        <v>Communication</v>
      </c>
      <c r="E3381" s="6">
        <v>363780256</v>
      </c>
      <c r="F3381" s="6">
        <v>0</v>
      </c>
      <c r="G3381" s="6">
        <v>0</v>
      </c>
      <c r="H3381" s="6">
        <v>0</v>
      </c>
      <c r="I3381" s="6">
        <v>0</v>
      </c>
    </row>
    <row r="3382" spans="1:9">
      <c r="A3382" s="6">
        <v>210</v>
      </c>
      <c r="B3382" s="6" t="str">
        <f t="shared" si="104"/>
        <v>Control Total</v>
      </c>
      <c r="C3382" s="6">
        <v>52</v>
      </c>
      <c r="D3382" s="6" t="str">
        <f t="shared" si="105"/>
        <v>Communication</v>
      </c>
      <c r="E3382" s="6">
        <v>583806028</v>
      </c>
      <c r="F3382" s="6">
        <v>0</v>
      </c>
      <c r="G3382" s="6">
        <v>0</v>
      </c>
      <c r="H3382" s="6">
        <v>0</v>
      </c>
      <c r="I3382" s="6">
        <v>0</v>
      </c>
    </row>
    <row r="3383" spans="1:9">
      <c r="A3383" s="6">
        <v>1</v>
      </c>
      <c r="B3383" s="6" t="str">
        <f t="shared" si="104"/>
        <v>Paddy</v>
      </c>
      <c r="C3383" s="6">
        <v>53</v>
      </c>
      <c r="D3383" s="6" t="str">
        <f t="shared" si="105"/>
        <v>Banking and Insurance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</row>
    <row r="3384" spans="1:9">
      <c r="A3384" s="6">
        <v>2</v>
      </c>
      <c r="B3384" s="6" t="str">
        <f t="shared" si="104"/>
        <v>Maize</v>
      </c>
      <c r="C3384" s="6">
        <v>53</v>
      </c>
      <c r="D3384" s="6" t="str">
        <f t="shared" si="105"/>
        <v>Banking and Insurance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</row>
    <row r="3385" spans="1:9">
      <c r="A3385" s="6">
        <v>3</v>
      </c>
      <c r="B3385" s="6" t="str">
        <f t="shared" si="104"/>
        <v>Cassava</v>
      </c>
      <c r="C3385" s="6">
        <v>53</v>
      </c>
      <c r="D3385" s="6" t="str">
        <f t="shared" si="105"/>
        <v>Banking and Insurance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</row>
    <row r="3386" spans="1:9">
      <c r="A3386" s="6">
        <v>4</v>
      </c>
      <c r="B3386" s="6" t="str">
        <f t="shared" si="104"/>
        <v>Beans and Nuts</v>
      </c>
      <c r="C3386" s="6">
        <v>53</v>
      </c>
      <c r="D3386" s="6" t="str">
        <f t="shared" si="105"/>
        <v>Banking and Insurance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</row>
    <row r="3387" spans="1:9">
      <c r="A3387" s="6">
        <v>5</v>
      </c>
      <c r="B3387" s="6" t="str">
        <f t="shared" si="104"/>
        <v>Vegetables and Fruits</v>
      </c>
      <c r="C3387" s="6">
        <v>53</v>
      </c>
      <c r="D3387" s="6" t="str">
        <f t="shared" si="105"/>
        <v>Banking and Insurance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</row>
    <row r="3388" spans="1:9">
      <c r="A3388" s="6">
        <v>6</v>
      </c>
      <c r="B3388" s="6" t="str">
        <f t="shared" si="104"/>
        <v>Sugarcane</v>
      </c>
      <c r="C3388" s="6">
        <v>53</v>
      </c>
      <c r="D3388" s="6" t="str">
        <f t="shared" si="105"/>
        <v>Banking and Insurance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</row>
    <row r="3389" spans="1:9">
      <c r="A3389" s="6">
        <v>7</v>
      </c>
      <c r="B3389" s="6" t="str">
        <f t="shared" si="104"/>
        <v>Rubber (Latex)</v>
      </c>
      <c r="C3389" s="6">
        <v>53</v>
      </c>
      <c r="D3389" s="6" t="str">
        <f t="shared" si="105"/>
        <v>Banking and Insurance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</row>
    <row r="3390" spans="1:9">
      <c r="A3390" s="6">
        <v>8</v>
      </c>
      <c r="B3390" s="6" t="str">
        <f t="shared" si="104"/>
        <v>Other Crops</v>
      </c>
      <c r="C3390" s="6">
        <v>53</v>
      </c>
      <c r="D3390" s="6" t="str">
        <f t="shared" si="105"/>
        <v>Banking and Insurance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</row>
    <row r="3391" spans="1:9">
      <c r="A3391" s="6">
        <v>9</v>
      </c>
      <c r="B3391" s="6" t="str">
        <f t="shared" si="104"/>
        <v>Livestock</v>
      </c>
      <c r="C3391" s="6">
        <v>53</v>
      </c>
      <c r="D3391" s="6" t="str">
        <f t="shared" si="105"/>
        <v>Banking and Insurance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</row>
    <row r="3392" spans="1:9">
      <c r="A3392" s="6">
        <v>10</v>
      </c>
      <c r="B3392" s="6" t="str">
        <f t="shared" si="104"/>
        <v>Forestry</v>
      </c>
      <c r="C3392" s="6">
        <v>53</v>
      </c>
      <c r="D3392" s="6" t="str">
        <f t="shared" si="105"/>
        <v>Banking and Insurance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</row>
    <row r="3393" spans="1:9">
      <c r="A3393" s="6">
        <v>11</v>
      </c>
      <c r="B3393" s="6" t="str">
        <f t="shared" si="104"/>
        <v>Fishery</v>
      </c>
      <c r="C3393" s="6">
        <v>53</v>
      </c>
      <c r="D3393" s="6" t="str">
        <f t="shared" si="105"/>
        <v>Banking and Insurance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</row>
    <row r="3394" spans="1:9">
      <c r="A3394" s="6">
        <v>12</v>
      </c>
      <c r="B3394" s="6" t="str">
        <f t="shared" si="104"/>
        <v>Crude Oil and Coal</v>
      </c>
      <c r="C3394" s="6">
        <v>53</v>
      </c>
      <c r="D3394" s="6" t="str">
        <f t="shared" si="105"/>
        <v>Banking and Insurance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</row>
    <row r="3395" spans="1:9">
      <c r="A3395" s="6">
        <v>13</v>
      </c>
      <c r="B3395" s="6" t="str">
        <f t="shared" si="104"/>
        <v>Metal Ore</v>
      </c>
      <c r="C3395" s="6">
        <v>53</v>
      </c>
      <c r="D3395" s="6" t="str">
        <f t="shared" si="105"/>
        <v>Banking and Insurance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</row>
    <row r="3396" spans="1:9">
      <c r="A3396" s="6">
        <v>14</v>
      </c>
      <c r="B3396" s="6" t="str">
        <f t="shared" ref="B3396:B3459" si="106">VLOOKUP(A3396,R:S,2,0)</f>
        <v>Non-Metal Ore</v>
      </c>
      <c r="C3396" s="6">
        <v>53</v>
      </c>
      <c r="D3396" s="6" t="str">
        <f t="shared" ref="D3396:D3459" si="107">VLOOKUP(C3396,R:S,2,0)</f>
        <v>Banking and Insurance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</row>
    <row r="3397" spans="1:9">
      <c r="A3397" s="6">
        <v>15</v>
      </c>
      <c r="B3397" s="6" t="str">
        <f t="shared" si="106"/>
        <v>Slaughtering</v>
      </c>
      <c r="C3397" s="6">
        <v>53</v>
      </c>
      <c r="D3397" s="6" t="str">
        <f t="shared" si="107"/>
        <v>Banking and Insurance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</row>
    <row r="3398" spans="1:9">
      <c r="A3398" s="6">
        <v>16</v>
      </c>
      <c r="B3398" s="6" t="str">
        <f t="shared" si="106"/>
        <v>Processing and Presering of Foods</v>
      </c>
      <c r="C3398" s="6">
        <v>53</v>
      </c>
      <c r="D3398" s="6" t="str">
        <f t="shared" si="107"/>
        <v>Banking and Insurance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</row>
    <row r="3399" spans="1:9">
      <c r="A3399" s="6">
        <v>17</v>
      </c>
      <c r="B3399" s="6" t="str">
        <f t="shared" si="106"/>
        <v>Rice and Other Grain Milling</v>
      </c>
      <c r="C3399" s="6">
        <v>53</v>
      </c>
      <c r="D3399" s="6" t="str">
        <f t="shared" si="107"/>
        <v>Banking and Insurance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</row>
    <row r="3400" spans="1:9">
      <c r="A3400" s="6">
        <v>18</v>
      </c>
      <c r="B3400" s="6" t="str">
        <f t="shared" si="106"/>
        <v>Sugar Refineries</v>
      </c>
      <c r="C3400" s="6">
        <v>53</v>
      </c>
      <c r="D3400" s="6" t="str">
        <f t="shared" si="107"/>
        <v>Banking and Insurance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</row>
    <row r="3401" spans="1:9">
      <c r="A3401" s="6">
        <v>19</v>
      </c>
      <c r="B3401" s="6" t="str">
        <f t="shared" si="106"/>
        <v>Other Foods</v>
      </c>
      <c r="C3401" s="6">
        <v>53</v>
      </c>
      <c r="D3401" s="6" t="str">
        <f t="shared" si="107"/>
        <v>Banking and Insurance</v>
      </c>
      <c r="E3401" s="6">
        <v>45883</v>
      </c>
      <c r="F3401" s="6">
        <v>1117</v>
      </c>
      <c r="G3401" s="6">
        <v>121</v>
      </c>
      <c r="H3401" s="6">
        <v>283</v>
      </c>
      <c r="I3401" s="6">
        <v>0</v>
      </c>
    </row>
    <row r="3402" spans="1:9">
      <c r="A3402" s="6">
        <v>20</v>
      </c>
      <c r="B3402" s="6" t="str">
        <f t="shared" si="106"/>
        <v>Animal Food</v>
      </c>
      <c r="C3402" s="6">
        <v>53</v>
      </c>
      <c r="D3402" s="6" t="str">
        <f t="shared" si="107"/>
        <v>Banking and Insurance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</row>
    <row r="3403" spans="1:9">
      <c r="A3403" s="6">
        <v>21</v>
      </c>
      <c r="B3403" s="6" t="str">
        <f t="shared" si="106"/>
        <v>Beverages</v>
      </c>
      <c r="C3403" s="6">
        <v>53</v>
      </c>
      <c r="D3403" s="6" t="str">
        <f t="shared" si="107"/>
        <v>Banking and Insurance</v>
      </c>
      <c r="E3403" s="6">
        <v>641370</v>
      </c>
      <c r="F3403" s="6">
        <v>64739</v>
      </c>
      <c r="G3403" s="6">
        <v>128111</v>
      </c>
      <c r="H3403" s="6">
        <v>18026</v>
      </c>
      <c r="I3403" s="6">
        <v>0</v>
      </c>
    </row>
    <row r="3404" spans="1:9">
      <c r="A3404" s="6">
        <v>22</v>
      </c>
      <c r="B3404" s="6" t="str">
        <f t="shared" si="106"/>
        <v>Tobacco Processing and Products</v>
      </c>
      <c r="C3404" s="6">
        <v>53</v>
      </c>
      <c r="D3404" s="6" t="str">
        <f t="shared" si="107"/>
        <v>Banking and Insurance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</row>
    <row r="3405" spans="1:9">
      <c r="A3405" s="6">
        <v>23</v>
      </c>
      <c r="B3405" s="6" t="str">
        <f t="shared" si="106"/>
        <v>Spinning, Weaving and Bleaching</v>
      </c>
      <c r="C3405" s="6">
        <v>53</v>
      </c>
      <c r="D3405" s="6" t="str">
        <f t="shared" si="107"/>
        <v>Banking and Insurance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</row>
    <row r="3406" spans="1:9">
      <c r="A3406" s="6">
        <v>24</v>
      </c>
      <c r="B3406" s="6" t="str">
        <f t="shared" si="106"/>
        <v>Textile Products</v>
      </c>
      <c r="C3406" s="6">
        <v>53</v>
      </c>
      <c r="D3406" s="6" t="str">
        <f t="shared" si="107"/>
        <v>Banking and Insurance</v>
      </c>
      <c r="E3406" s="6">
        <v>3845884</v>
      </c>
      <c r="F3406" s="6">
        <v>184491</v>
      </c>
      <c r="G3406" s="6">
        <v>401933</v>
      </c>
      <c r="H3406" s="6">
        <v>20815</v>
      </c>
      <c r="I3406" s="6">
        <v>221831</v>
      </c>
    </row>
    <row r="3407" spans="1:9">
      <c r="A3407" s="6">
        <v>25</v>
      </c>
      <c r="B3407" s="6" t="str">
        <f t="shared" si="106"/>
        <v>Paper and Paper Products</v>
      </c>
      <c r="C3407" s="6">
        <v>53</v>
      </c>
      <c r="D3407" s="6" t="str">
        <f t="shared" si="107"/>
        <v>Banking and Insurance</v>
      </c>
      <c r="E3407" s="6">
        <v>22524152</v>
      </c>
      <c r="F3407" s="6">
        <v>2812554</v>
      </c>
      <c r="G3407" s="6">
        <v>1341458</v>
      </c>
      <c r="H3407" s="6">
        <v>390135</v>
      </c>
      <c r="I3407" s="6">
        <v>1363093</v>
      </c>
    </row>
    <row r="3408" spans="1:9">
      <c r="A3408" s="6">
        <v>26</v>
      </c>
      <c r="B3408" s="6" t="str">
        <f t="shared" si="106"/>
        <v>Printing and Publishing</v>
      </c>
      <c r="C3408" s="6">
        <v>53</v>
      </c>
      <c r="D3408" s="6" t="str">
        <f t="shared" si="107"/>
        <v>Banking and Insurance</v>
      </c>
      <c r="E3408" s="6">
        <v>2257386</v>
      </c>
      <c r="F3408" s="6">
        <v>235463</v>
      </c>
      <c r="G3408" s="6">
        <v>311843</v>
      </c>
      <c r="H3408" s="6">
        <v>18762</v>
      </c>
      <c r="I3408" s="6">
        <v>622320</v>
      </c>
    </row>
    <row r="3409" spans="1:9">
      <c r="A3409" s="6">
        <v>27</v>
      </c>
      <c r="B3409" s="6" t="str">
        <f t="shared" si="106"/>
        <v>Basic Chemical Products</v>
      </c>
      <c r="C3409" s="6">
        <v>53</v>
      </c>
      <c r="D3409" s="6" t="str">
        <f t="shared" si="107"/>
        <v>Banking and Insurance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</row>
    <row r="3410" spans="1:9">
      <c r="A3410" s="6">
        <v>28</v>
      </c>
      <c r="B3410" s="6" t="str">
        <f t="shared" si="106"/>
        <v>Fertilizer and Pesticides</v>
      </c>
      <c r="C3410" s="6">
        <v>53</v>
      </c>
      <c r="D3410" s="6" t="str">
        <f t="shared" si="107"/>
        <v>Banking and Insurance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</row>
    <row r="3411" spans="1:9">
      <c r="A3411" s="6">
        <v>29</v>
      </c>
      <c r="B3411" s="6" t="str">
        <f t="shared" si="106"/>
        <v>Other Chemical Products</v>
      </c>
      <c r="C3411" s="6">
        <v>53</v>
      </c>
      <c r="D3411" s="6" t="str">
        <f t="shared" si="107"/>
        <v>Banking and Insurance</v>
      </c>
      <c r="E3411" s="6">
        <v>4124120</v>
      </c>
      <c r="F3411" s="6">
        <v>617152</v>
      </c>
      <c r="G3411" s="6">
        <v>597723</v>
      </c>
      <c r="H3411" s="6">
        <v>68593</v>
      </c>
      <c r="I3411" s="6">
        <v>1667315</v>
      </c>
    </row>
    <row r="3412" spans="1:9">
      <c r="A3412" s="6">
        <v>30</v>
      </c>
      <c r="B3412" s="6" t="str">
        <f t="shared" si="106"/>
        <v>Petroleum Refineries</v>
      </c>
      <c r="C3412" s="6">
        <v>53</v>
      </c>
      <c r="D3412" s="6" t="str">
        <f t="shared" si="107"/>
        <v>Banking and Insurance</v>
      </c>
      <c r="E3412" s="6">
        <v>10698530</v>
      </c>
      <c r="F3412" s="6">
        <v>680505</v>
      </c>
      <c r="G3412" s="6">
        <v>693922</v>
      </c>
      <c r="H3412" s="6">
        <v>107635</v>
      </c>
      <c r="I3412" s="6">
        <v>1940596</v>
      </c>
    </row>
    <row r="3413" spans="1:9">
      <c r="A3413" s="6">
        <v>31</v>
      </c>
      <c r="B3413" s="6" t="str">
        <f t="shared" si="106"/>
        <v>Rubber Products</v>
      </c>
      <c r="C3413" s="6">
        <v>53</v>
      </c>
      <c r="D3413" s="6" t="str">
        <f t="shared" si="107"/>
        <v>Banking and Insurance</v>
      </c>
      <c r="E3413" s="6">
        <v>24893</v>
      </c>
      <c r="F3413" s="6">
        <v>1578</v>
      </c>
      <c r="G3413" s="6">
        <v>2314</v>
      </c>
      <c r="H3413" s="6">
        <v>638</v>
      </c>
      <c r="I3413" s="6">
        <v>0</v>
      </c>
    </row>
    <row r="3414" spans="1:9">
      <c r="A3414" s="6">
        <v>32</v>
      </c>
      <c r="B3414" s="6" t="str">
        <f t="shared" si="106"/>
        <v>Plastic Wares</v>
      </c>
      <c r="C3414" s="6">
        <v>53</v>
      </c>
      <c r="D3414" s="6" t="str">
        <f t="shared" si="107"/>
        <v>Banking and Insurance</v>
      </c>
      <c r="E3414" s="6">
        <v>991106</v>
      </c>
      <c r="F3414" s="6">
        <v>21336</v>
      </c>
      <c r="G3414" s="6">
        <v>19646</v>
      </c>
      <c r="H3414" s="6">
        <v>6674</v>
      </c>
      <c r="I3414" s="6">
        <v>241032</v>
      </c>
    </row>
    <row r="3415" spans="1:9">
      <c r="A3415" s="6">
        <v>33</v>
      </c>
      <c r="B3415" s="6" t="str">
        <f t="shared" si="106"/>
        <v>Cement and Concrete Products</v>
      </c>
      <c r="C3415" s="6">
        <v>53</v>
      </c>
      <c r="D3415" s="6" t="str">
        <f t="shared" si="107"/>
        <v>Banking and Insurance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</row>
    <row r="3416" spans="1:9">
      <c r="A3416" s="6">
        <v>34</v>
      </c>
      <c r="B3416" s="6" t="str">
        <f t="shared" si="106"/>
        <v>Other Non-metallic Products</v>
      </c>
      <c r="C3416" s="6">
        <v>53</v>
      </c>
      <c r="D3416" s="6" t="str">
        <f t="shared" si="107"/>
        <v>Banking and Insurance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</row>
    <row r="3417" spans="1:9">
      <c r="A3417" s="6">
        <v>35</v>
      </c>
      <c r="B3417" s="6" t="str">
        <f t="shared" si="106"/>
        <v>Iron and Steel</v>
      </c>
      <c r="C3417" s="6">
        <v>53</v>
      </c>
      <c r="D3417" s="6" t="str">
        <f t="shared" si="107"/>
        <v>Banking and Insurance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</row>
    <row r="3418" spans="1:9">
      <c r="A3418" s="6">
        <v>36</v>
      </c>
      <c r="B3418" s="6" t="str">
        <f t="shared" si="106"/>
        <v>Non-ferrous Metal</v>
      </c>
      <c r="C3418" s="6">
        <v>53</v>
      </c>
      <c r="D3418" s="6" t="str">
        <f t="shared" si="107"/>
        <v>Banking and Insurance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</row>
    <row r="3419" spans="1:9">
      <c r="A3419" s="6">
        <v>37</v>
      </c>
      <c r="B3419" s="6" t="str">
        <f t="shared" si="106"/>
        <v>Fabricated Metal Products</v>
      </c>
      <c r="C3419" s="6">
        <v>53</v>
      </c>
      <c r="D3419" s="6" t="str">
        <f t="shared" si="107"/>
        <v>Banking and Insurance</v>
      </c>
      <c r="E3419" s="6">
        <v>262224</v>
      </c>
      <c r="F3419" s="6">
        <v>3587</v>
      </c>
      <c r="G3419" s="6">
        <v>12187</v>
      </c>
      <c r="H3419" s="6">
        <v>797</v>
      </c>
      <c r="I3419" s="6">
        <v>116427</v>
      </c>
    </row>
    <row r="3420" spans="1:9">
      <c r="A3420" s="6">
        <v>38</v>
      </c>
      <c r="B3420" s="6" t="str">
        <f t="shared" si="106"/>
        <v>Industrial Machinery</v>
      </c>
      <c r="C3420" s="6">
        <v>53</v>
      </c>
      <c r="D3420" s="6" t="str">
        <f t="shared" si="107"/>
        <v>Banking and Insurance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</row>
    <row r="3421" spans="1:9">
      <c r="A3421" s="6">
        <v>39</v>
      </c>
      <c r="B3421" s="6" t="str">
        <f t="shared" si="106"/>
        <v>Electrical Machinery and Apparatus</v>
      </c>
      <c r="C3421" s="6">
        <v>53</v>
      </c>
      <c r="D3421" s="6" t="str">
        <f t="shared" si="107"/>
        <v>Banking and Insurance</v>
      </c>
      <c r="E3421" s="6">
        <v>17012519</v>
      </c>
      <c r="F3421" s="6">
        <v>820249</v>
      </c>
      <c r="G3421" s="6">
        <v>1321495</v>
      </c>
      <c r="H3421" s="6">
        <v>150898</v>
      </c>
      <c r="I3421" s="6">
        <v>5321773</v>
      </c>
    </row>
    <row r="3422" spans="1:9">
      <c r="A3422" s="6">
        <v>40</v>
      </c>
      <c r="B3422" s="6" t="str">
        <f t="shared" si="106"/>
        <v>Motor Vehicles and Repairing</v>
      </c>
      <c r="C3422" s="6">
        <v>53</v>
      </c>
      <c r="D3422" s="6" t="str">
        <f t="shared" si="107"/>
        <v>Banking and Insurance</v>
      </c>
      <c r="E3422" s="6">
        <v>9542714</v>
      </c>
      <c r="F3422" s="6">
        <v>0</v>
      </c>
      <c r="G3422" s="6">
        <v>0</v>
      </c>
      <c r="H3422" s="6">
        <v>0</v>
      </c>
      <c r="I3422" s="6">
        <v>0</v>
      </c>
    </row>
    <row r="3423" spans="1:9">
      <c r="A3423" s="6">
        <v>41</v>
      </c>
      <c r="B3423" s="6" t="str">
        <f t="shared" si="106"/>
        <v>Other Transportation Equipment</v>
      </c>
      <c r="C3423" s="6">
        <v>53</v>
      </c>
      <c r="D3423" s="6" t="str">
        <f t="shared" si="107"/>
        <v>Banking and Insurance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</row>
    <row r="3424" spans="1:9">
      <c r="A3424" s="6">
        <v>42</v>
      </c>
      <c r="B3424" s="6" t="str">
        <f t="shared" si="106"/>
        <v>Leather Products</v>
      </c>
      <c r="C3424" s="6">
        <v>53</v>
      </c>
      <c r="D3424" s="6" t="str">
        <f t="shared" si="107"/>
        <v>Banking and Insurance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</row>
    <row r="3425" spans="1:9">
      <c r="A3425" s="6">
        <v>43</v>
      </c>
      <c r="B3425" s="6" t="str">
        <f t="shared" si="106"/>
        <v>Saw Mills and Wood Products</v>
      </c>
      <c r="C3425" s="6">
        <v>53</v>
      </c>
      <c r="D3425" s="6" t="str">
        <f t="shared" si="107"/>
        <v>Banking and Insurance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</row>
    <row r="3426" spans="1:9">
      <c r="A3426" s="6">
        <v>44</v>
      </c>
      <c r="B3426" s="6" t="str">
        <f t="shared" si="106"/>
        <v>Other Manufacturing Products</v>
      </c>
      <c r="C3426" s="6">
        <v>53</v>
      </c>
      <c r="D3426" s="6" t="str">
        <f t="shared" si="107"/>
        <v>Banking and Insurance</v>
      </c>
      <c r="E3426" s="6">
        <v>5200859</v>
      </c>
      <c r="F3426" s="6">
        <v>700025</v>
      </c>
      <c r="G3426" s="6">
        <v>1094583</v>
      </c>
      <c r="H3426" s="6">
        <v>64381</v>
      </c>
      <c r="I3426" s="6">
        <v>0</v>
      </c>
    </row>
    <row r="3427" spans="1:9">
      <c r="A3427" s="6">
        <v>45</v>
      </c>
      <c r="B3427" s="6" t="str">
        <f t="shared" si="106"/>
        <v>Electricity and Gas</v>
      </c>
      <c r="C3427" s="6">
        <v>53</v>
      </c>
      <c r="D3427" s="6" t="str">
        <f t="shared" si="107"/>
        <v>Banking and Insurance</v>
      </c>
      <c r="E3427" s="6">
        <v>21286235</v>
      </c>
      <c r="F3427" s="6">
        <v>16398</v>
      </c>
      <c r="G3427" s="6">
        <v>30375</v>
      </c>
      <c r="H3427" s="6">
        <v>3039</v>
      </c>
      <c r="I3427" s="6">
        <v>0</v>
      </c>
    </row>
    <row r="3428" spans="1:9">
      <c r="A3428" s="6">
        <v>46</v>
      </c>
      <c r="B3428" s="6" t="str">
        <f t="shared" si="106"/>
        <v>Water Works and Supply</v>
      </c>
      <c r="C3428" s="6">
        <v>53</v>
      </c>
      <c r="D3428" s="6" t="str">
        <f t="shared" si="107"/>
        <v>Banking and Insurance</v>
      </c>
      <c r="E3428" s="6">
        <v>830719</v>
      </c>
      <c r="F3428" s="6">
        <v>0</v>
      </c>
      <c r="G3428" s="6">
        <v>0</v>
      </c>
      <c r="H3428" s="6">
        <v>0</v>
      </c>
      <c r="I3428" s="6">
        <v>0</v>
      </c>
    </row>
    <row r="3429" spans="1:9">
      <c r="A3429" s="6">
        <v>47</v>
      </c>
      <c r="B3429" s="6" t="str">
        <f t="shared" si="106"/>
        <v>Building Construction</v>
      </c>
      <c r="C3429" s="6">
        <v>53</v>
      </c>
      <c r="D3429" s="6" t="str">
        <f t="shared" si="107"/>
        <v>Banking and Insurance</v>
      </c>
      <c r="E3429" s="6">
        <v>1350426</v>
      </c>
      <c r="F3429" s="6">
        <v>0</v>
      </c>
      <c r="G3429" s="6">
        <v>0</v>
      </c>
      <c r="H3429" s="6">
        <v>0</v>
      </c>
      <c r="I3429" s="6">
        <v>0</v>
      </c>
    </row>
    <row r="3430" spans="1:9">
      <c r="A3430" s="6">
        <v>48</v>
      </c>
      <c r="B3430" s="6" t="str">
        <f t="shared" si="106"/>
        <v>Public Works and Other Construction</v>
      </c>
      <c r="C3430" s="6">
        <v>53</v>
      </c>
      <c r="D3430" s="6" t="str">
        <f t="shared" si="107"/>
        <v>Banking and Insurance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</row>
    <row r="3431" spans="1:9">
      <c r="A3431" s="6">
        <v>49</v>
      </c>
      <c r="B3431" s="6" t="str">
        <f t="shared" si="106"/>
        <v>Trade</v>
      </c>
      <c r="C3431" s="6">
        <v>53</v>
      </c>
      <c r="D3431" s="6" t="str">
        <f t="shared" si="107"/>
        <v>Banking and Insurance</v>
      </c>
      <c r="E3431" s="6">
        <v>0</v>
      </c>
      <c r="F3431" s="6">
        <v>-6159194</v>
      </c>
      <c r="G3431" s="6">
        <v>-5955711</v>
      </c>
      <c r="H3431" s="6">
        <v>0</v>
      </c>
      <c r="I3431" s="6">
        <v>0</v>
      </c>
    </row>
    <row r="3432" spans="1:9">
      <c r="A3432" s="6">
        <v>50</v>
      </c>
      <c r="B3432" s="6" t="str">
        <f t="shared" si="106"/>
        <v>Restaurants and Hotels</v>
      </c>
      <c r="C3432" s="6">
        <v>53</v>
      </c>
      <c r="D3432" s="6" t="str">
        <f t="shared" si="107"/>
        <v>Banking and Insurance</v>
      </c>
      <c r="E3432" s="6">
        <v>5773836</v>
      </c>
      <c r="F3432" s="6">
        <v>0</v>
      </c>
      <c r="G3432" s="6">
        <v>0</v>
      </c>
      <c r="H3432" s="6">
        <v>0</v>
      </c>
      <c r="I3432" s="6">
        <v>0</v>
      </c>
    </row>
    <row r="3433" spans="1:9">
      <c r="A3433" s="6">
        <v>51</v>
      </c>
      <c r="B3433" s="6" t="str">
        <f t="shared" si="106"/>
        <v>Transportation</v>
      </c>
      <c r="C3433" s="6">
        <v>53</v>
      </c>
      <c r="D3433" s="6" t="str">
        <f t="shared" si="107"/>
        <v>Banking and Insurance</v>
      </c>
      <c r="E3433" s="6">
        <v>6143918</v>
      </c>
      <c r="F3433" s="6">
        <v>0</v>
      </c>
      <c r="G3433" s="6">
        <v>0</v>
      </c>
      <c r="H3433" s="6">
        <v>-850676</v>
      </c>
      <c r="I3433" s="6">
        <v>0</v>
      </c>
    </row>
    <row r="3434" spans="1:9">
      <c r="A3434" s="6">
        <v>52</v>
      </c>
      <c r="B3434" s="6" t="str">
        <f t="shared" si="106"/>
        <v>Communication</v>
      </c>
      <c r="C3434" s="6">
        <v>53</v>
      </c>
      <c r="D3434" s="6" t="str">
        <f t="shared" si="107"/>
        <v>Banking and Insurance</v>
      </c>
      <c r="E3434" s="6">
        <v>23845456</v>
      </c>
      <c r="F3434" s="6">
        <v>0</v>
      </c>
      <c r="G3434" s="6">
        <v>0</v>
      </c>
      <c r="H3434" s="6">
        <v>0</v>
      </c>
      <c r="I3434" s="6">
        <v>0</v>
      </c>
    </row>
    <row r="3435" spans="1:9">
      <c r="A3435" s="6">
        <v>53</v>
      </c>
      <c r="B3435" s="6" t="str">
        <f t="shared" si="106"/>
        <v>Banking and Insurance</v>
      </c>
      <c r="C3435" s="6">
        <v>53</v>
      </c>
      <c r="D3435" s="6" t="str">
        <f t="shared" si="107"/>
        <v>Banking and Insurance</v>
      </c>
      <c r="E3435" s="6">
        <v>213563295</v>
      </c>
      <c r="F3435" s="6">
        <v>0</v>
      </c>
      <c r="G3435" s="6">
        <v>0</v>
      </c>
      <c r="H3435" s="6">
        <v>0</v>
      </c>
      <c r="I3435" s="6">
        <v>0</v>
      </c>
    </row>
    <row r="3436" spans="1:9">
      <c r="A3436" s="6">
        <v>54</v>
      </c>
      <c r="B3436" s="6" t="str">
        <f t="shared" si="106"/>
        <v>Real Estate</v>
      </c>
      <c r="C3436" s="6">
        <v>53</v>
      </c>
      <c r="D3436" s="6" t="str">
        <f t="shared" si="107"/>
        <v>Banking and Insurance</v>
      </c>
      <c r="E3436" s="6">
        <v>22004330</v>
      </c>
      <c r="F3436" s="6">
        <v>0</v>
      </c>
      <c r="G3436" s="6">
        <v>0</v>
      </c>
      <c r="H3436" s="6">
        <v>0</v>
      </c>
      <c r="I3436" s="6">
        <v>0</v>
      </c>
    </row>
    <row r="3437" spans="1:9">
      <c r="A3437" s="6">
        <v>55</v>
      </c>
      <c r="B3437" s="6" t="str">
        <f t="shared" si="106"/>
        <v>Business Services</v>
      </c>
      <c r="C3437" s="6">
        <v>53</v>
      </c>
      <c r="D3437" s="6" t="str">
        <f t="shared" si="107"/>
        <v>Banking and Insurance</v>
      </c>
      <c r="E3437" s="6">
        <v>110809260</v>
      </c>
      <c r="F3437" s="6">
        <v>0</v>
      </c>
      <c r="G3437" s="6">
        <v>0</v>
      </c>
      <c r="H3437" s="6">
        <v>0</v>
      </c>
      <c r="I3437" s="6">
        <v>23567511</v>
      </c>
    </row>
    <row r="3438" spans="1:9">
      <c r="A3438" s="6">
        <v>56</v>
      </c>
      <c r="B3438" s="6" t="str">
        <f t="shared" si="106"/>
        <v>Public Services</v>
      </c>
      <c r="C3438" s="6">
        <v>53</v>
      </c>
      <c r="D3438" s="6" t="str">
        <f t="shared" si="107"/>
        <v>Banking and Insurance</v>
      </c>
      <c r="E3438" s="6">
        <v>20876103</v>
      </c>
      <c r="F3438" s="6">
        <v>0</v>
      </c>
      <c r="G3438" s="6">
        <v>0</v>
      </c>
      <c r="H3438" s="6">
        <v>0</v>
      </c>
      <c r="I3438" s="6">
        <v>0</v>
      </c>
    </row>
    <row r="3439" spans="1:9">
      <c r="A3439" s="6">
        <v>57</v>
      </c>
      <c r="B3439" s="6" t="str">
        <f t="shared" si="106"/>
        <v>Other Services</v>
      </c>
      <c r="C3439" s="6">
        <v>53</v>
      </c>
      <c r="D3439" s="6" t="str">
        <f t="shared" si="107"/>
        <v>Banking and Insurance</v>
      </c>
      <c r="E3439" s="6">
        <v>25117424</v>
      </c>
      <c r="F3439" s="6">
        <v>0</v>
      </c>
      <c r="G3439" s="6">
        <v>0</v>
      </c>
      <c r="H3439" s="6">
        <v>0</v>
      </c>
      <c r="I3439" s="6">
        <v>0</v>
      </c>
    </row>
    <row r="3440" spans="1:9">
      <c r="A3440" s="6">
        <v>58</v>
      </c>
      <c r="B3440" s="6" t="str">
        <f t="shared" si="106"/>
        <v>Unclassified</v>
      </c>
      <c r="C3440" s="6">
        <v>53</v>
      </c>
      <c r="D3440" s="6" t="str">
        <f t="shared" si="107"/>
        <v>Banking and Insurance</v>
      </c>
      <c r="E3440" s="6">
        <v>13356205</v>
      </c>
      <c r="F3440" s="6">
        <v>0</v>
      </c>
      <c r="G3440" s="6">
        <v>0</v>
      </c>
      <c r="H3440" s="6">
        <v>0</v>
      </c>
      <c r="I3440" s="6">
        <v>1522195</v>
      </c>
    </row>
    <row r="3441" spans="1:9">
      <c r="A3441" s="6">
        <v>190</v>
      </c>
      <c r="B3441" s="6" t="str">
        <f t="shared" si="106"/>
        <v>Total Intermedite Transaction</v>
      </c>
      <c r="C3441" s="6">
        <v>53</v>
      </c>
      <c r="D3441" s="6" t="str">
        <f t="shared" si="107"/>
        <v>Banking and Insurance</v>
      </c>
      <c r="E3441" s="6">
        <v>542128847</v>
      </c>
      <c r="F3441" s="6">
        <v>0</v>
      </c>
      <c r="G3441" s="6">
        <v>0</v>
      </c>
      <c r="H3441" s="6">
        <v>0</v>
      </c>
      <c r="I3441" s="6">
        <v>36584093</v>
      </c>
    </row>
    <row r="3442" spans="1:9">
      <c r="A3442" s="6">
        <v>201</v>
      </c>
      <c r="B3442" s="6" t="str">
        <f t="shared" si="106"/>
        <v>Wages and Salaries</v>
      </c>
      <c r="C3442" s="6">
        <v>53</v>
      </c>
      <c r="D3442" s="6" t="str">
        <f t="shared" si="107"/>
        <v>Banking and Insurance</v>
      </c>
      <c r="E3442" s="6">
        <v>376967948</v>
      </c>
      <c r="F3442" s="6">
        <v>0</v>
      </c>
      <c r="G3442" s="6">
        <v>0</v>
      </c>
      <c r="H3442" s="6">
        <v>0</v>
      </c>
      <c r="I3442" s="6">
        <v>0</v>
      </c>
    </row>
    <row r="3443" spans="1:9">
      <c r="A3443" s="6">
        <v>202</v>
      </c>
      <c r="B3443" s="6" t="str">
        <f t="shared" si="106"/>
        <v>Operating Surplus</v>
      </c>
      <c r="C3443" s="6">
        <v>53</v>
      </c>
      <c r="D3443" s="6" t="str">
        <f t="shared" si="107"/>
        <v>Banking and Insurance</v>
      </c>
      <c r="E3443" s="6">
        <v>568994615</v>
      </c>
      <c r="F3443" s="6">
        <v>0</v>
      </c>
      <c r="G3443" s="6">
        <v>0</v>
      </c>
      <c r="H3443" s="6">
        <v>0</v>
      </c>
      <c r="I3443" s="6">
        <v>0</v>
      </c>
    </row>
    <row r="3444" spans="1:9">
      <c r="A3444" s="6">
        <v>203</v>
      </c>
      <c r="B3444" s="6" t="str">
        <f t="shared" si="106"/>
        <v>Depreciation</v>
      </c>
      <c r="C3444" s="6">
        <v>53</v>
      </c>
      <c r="D3444" s="6" t="str">
        <f t="shared" si="107"/>
        <v>Banking and Insurance</v>
      </c>
      <c r="E3444" s="6">
        <v>135087385</v>
      </c>
      <c r="F3444" s="6">
        <v>0</v>
      </c>
      <c r="G3444" s="6">
        <v>0</v>
      </c>
      <c r="H3444" s="6">
        <v>0</v>
      </c>
      <c r="I3444" s="6">
        <v>0</v>
      </c>
    </row>
    <row r="3445" spans="1:9">
      <c r="A3445" s="6">
        <v>204</v>
      </c>
      <c r="B3445" s="6" t="str">
        <f t="shared" si="106"/>
        <v>Indirect Taxes less Subsidies</v>
      </c>
      <c r="C3445" s="6">
        <v>53</v>
      </c>
      <c r="D3445" s="6" t="str">
        <f t="shared" si="107"/>
        <v>Banking and Insurance</v>
      </c>
      <c r="E3445" s="6">
        <v>103782658</v>
      </c>
      <c r="F3445" s="6">
        <v>0</v>
      </c>
      <c r="G3445" s="6">
        <v>0</v>
      </c>
      <c r="H3445" s="6">
        <v>0</v>
      </c>
      <c r="I3445" s="6">
        <v>0</v>
      </c>
    </row>
    <row r="3446" spans="1:9">
      <c r="A3446" s="6">
        <v>209</v>
      </c>
      <c r="B3446" s="6" t="str">
        <f t="shared" si="106"/>
        <v>Total Value Added</v>
      </c>
      <c r="C3446" s="6">
        <v>53</v>
      </c>
      <c r="D3446" s="6" t="str">
        <f t="shared" si="107"/>
        <v>Banking and Insurance</v>
      </c>
      <c r="E3446" s="6">
        <v>1184832606</v>
      </c>
      <c r="F3446" s="6">
        <v>0</v>
      </c>
      <c r="G3446" s="6">
        <v>0</v>
      </c>
      <c r="H3446" s="6">
        <v>0</v>
      </c>
      <c r="I3446" s="6">
        <v>0</v>
      </c>
    </row>
    <row r="3447" spans="1:9">
      <c r="A3447" s="6">
        <v>210</v>
      </c>
      <c r="B3447" s="6" t="str">
        <f t="shared" si="106"/>
        <v>Control Total</v>
      </c>
      <c r="C3447" s="6">
        <v>53</v>
      </c>
      <c r="D3447" s="6" t="str">
        <f t="shared" si="107"/>
        <v>Banking and Insurance</v>
      </c>
      <c r="E3447" s="6">
        <v>1726961453</v>
      </c>
      <c r="F3447" s="6">
        <v>0</v>
      </c>
      <c r="G3447" s="6">
        <v>0</v>
      </c>
      <c r="H3447" s="6">
        <v>0</v>
      </c>
      <c r="I3447" s="6">
        <v>0</v>
      </c>
    </row>
    <row r="3448" spans="1:9">
      <c r="A3448" s="6">
        <v>1</v>
      </c>
      <c r="B3448" s="6" t="str">
        <f t="shared" si="106"/>
        <v>Paddy</v>
      </c>
      <c r="C3448" s="6">
        <v>54</v>
      </c>
      <c r="D3448" s="6" t="str">
        <f t="shared" si="107"/>
        <v>Real Estate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</row>
    <row r="3449" spans="1:9">
      <c r="A3449" s="6">
        <v>2</v>
      </c>
      <c r="B3449" s="6" t="str">
        <f t="shared" si="106"/>
        <v>Maize</v>
      </c>
      <c r="C3449" s="6">
        <v>54</v>
      </c>
      <c r="D3449" s="6" t="str">
        <f t="shared" si="107"/>
        <v>Real Estate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</row>
    <row r="3450" spans="1:9">
      <c r="A3450" s="6">
        <v>3</v>
      </c>
      <c r="B3450" s="6" t="str">
        <f t="shared" si="106"/>
        <v>Cassava</v>
      </c>
      <c r="C3450" s="6">
        <v>54</v>
      </c>
      <c r="D3450" s="6" t="str">
        <f t="shared" si="107"/>
        <v>Real Estate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</row>
    <row r="3451" spans="1:9">
      <c r="A3451" s="6">
        <v>4</v>
      </c>
      <c r="B3451" s="6" t="str">
        <f t="shared" si="106"/>
        <v>Beans and Nuts</v>
      </c>
      <c r="C3451" s="6">
        <v>54</v>
      </c>
      <c r="D3451" s="6" t="str">
        <f t="shared" si="107"/>
        <v>Real Estate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</row>
    <row r="3452" spans="1:9">
      <c r="A3452" s="6">
        <v>5</v>
      </c>
      <c r="B3452" s="6" t="str">
        <f t="shared" si="106"/>
        <v>Vegetables and Fruits</v>
      </c>
      <c r="C3452" s="6">
        <v>54</v>
      </c>
      <c r="D3452" s="6" t="str">
        <f t="shared" si="107"/>
        <v>Real Estate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</row>
    <row r="3453" spans="1:9">
      <c r="A3453" s="6">
        <v>6</v>
      </c>
      <c r="B3453" s="6" t="str">
        <f t="shared" si="106"/>
        <v>Sugarcane</v>
      </c>
      <c r="C3453" s="6">
        <v>54</v>
      </c>
      <c r="D3453" s="6" t="str">
        <f t="shared" si="107"/>
        <v>Real Estate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</row>
    <row r="3454" spans="1:9">
      <c r="A3454" s="6">
        <v>7</v>
      </c>
      <c r="B3454" s="6" t="str">
        <f t="shared" si="106"/>
        <v>Rubber (Latex)</v>
      </c>
      <c r="C3454" s="6">
        <v>54</v>
      </c>
      <c r="D3454" s="6" t="str">
        <f t="shared" si="107"/>
        <v>Real Estate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</row>
    <row r="3455" spans="1:9">
      <c r="A3455" s="6">
        <v>8</v>
      </c>
      <c r="B3455" s="6" t="str">
        <f t="shared" si="106"/>
        <v>Other Crops</v>
      </c>
      <c r="C3455" s="6">
        <v>54</v>
      </c>
      <c r="D3455" s="6" t="str">
        <f t="shared" si="107"/>
        <v>Real Estate</v>
      </c>
      <c r="E3455" s="6">
        <v>1997</v>
      </c>
      <c r="F3455" s="6">
        <v>446</v>
      </c>
      <c r="G3455" s="6">
        <v>337</v>
      </c>
      <c r="H3455" s="6">
        <v>59</v>
      </c>
      <c r="I3455" s="6">
        <v>0</v>
      </c>
    </row>
    <row r="3456" spans="1:9">
      <c r="A3456" s="6">
        <v>9</v>
      </c>
      <c r="B3456" s="6" t="str">
        <f t="shared" si="106"/>
        <v>Livestock</v>
      </c>
      <c r="C3456" s="6">
        <v>54</v>
      </c>
      <c r="D3456" s="6" t="str">
        <f t="shared" si="107"/>
        <v>Real Estate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</row>
    <row r="3457" spans="1:9">
      <c r="A3457" s="6">
        <v>10</v>
      </c>
      <c r="B3457" s="6" t="str">
        <f t="shared" si="106"/>
        <v>Forestry</v>
      </c>
      <c r="C3457" s="6">
        <v>54</v>
      </c>
      <c r="D3457" s="6" t="str">
        <f t="shared" si="107"/>
        <v>Real Estate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</row>
    <row r="3458" spans="1:9">
      <c r="A3458" s="6">
        <v>11</v>
      </c>
      <c r="B3458" s="6" t="str">
        <f t="shared" si="106"/>
        <v>Fishery</v>
      </c>
      <c r="C3458" s="6">
        <v>54</v>
      </c>
      <c r="D3458" s="6" t="str">
        <f t="shared" si="107"/>
        <v>Real Estate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</row>
    <row r="3459" spans="1:9">
      <c r="A3459" s="6">
        <v>12</v>
      </c>
      <c r="B3459" s="6" t="str">
        <f t="shared" si="106"/>
        <v>Crude Oil and Coal</v>
      </c>
      <c r="C3459" s="6">
        <v>54</v>
      </c>
      <c r="D3459" s="6" t="str">
        <f t="shared" si="107"/>
        <v>Real Estate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</row>
    <row r="3460" spans="1:9">
      <c r="A3460" s="6">
        <v>13</v>
      </c>
      <c r="B3460" s="6" t="str">
        <f t="shared" ref="B3460:B3523" si="108">VLOOKUP(A3460,R:S,2,0)</f>
        <v>Metal Ore</v>
      </c>
      <c r="C3460" s="6">
        <v>54</v>
      </c>
      <c r="D3460" s="6" t="str">
        <f t="shared" ref="D3460:D3523" si="109">VLOOKUP(C3460,R:S,2,0)</f>
        <v>Real Estate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</row>
    <row r="3461" spans="1:9">
      <c r="A3461" s="6">
        <v>14</v>
      </c>
      <c r="B3461" s="6" t="str">
        <f t="shared" si="108"/>
        <v>Non-Metal Ore</v>
      </c>
      <c r="C3461" s="6">
        <v>54</v>
      </c>
      <c r="D3461" s="6" t="str">
        <f t="shared" si="109"/>
        <v>Real Estate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</row>
    <row r="3462" spans="1:9">
      <c r="A3462" s="6">
        <v>15</v>
      </c>
      <c r="B3462" s="6" t="str">
        <f t="shared" si="108"/>
        <v>Slaughtering</v>
      </c>
      <c r="C3462" s="6">
        <v>54</v>
      </c>
      <c r="D3462" s="6" t="str">
        <f t="shared" si="109"/>
        <v>Real Estate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</row>
    <row r="3463" spans="1:9">
      <c r="A3463" s="6">
        <v>16</v>
      </c>
      <c r="B3463" s="6" t="str">
        <f t="shared" si="108"/>
        <v>Processing and Presering of Foods</v>
      </c>
      <c r="C3463" s="6">
        <v>54</v>
      </c>
      <c r="D3463" s="6" t="str">
        <f t="shared" si="109"/>
        <v>Real Estate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</row>
    <row r="3464" spans="1:9">
      <c r="A3464" s="6">
        <v>17</v>
      </c>
      <c r="B3464" s="6" t="str">
        <f t="shared" si="108"/>
        <v>Rice and Other Grain Milling</v>
      </c>
      <c r="C3464" s="6">
        <v>54</v>
      </c>
      <c r="D3464" s="6" t="str">
        <f t="shared" si="109"/>
        <v>Real Estate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</row>
    <row r="3465" spans="1:9">
      <c r="A3465" s="6">
        <v>18</v>
      </c>
      <c r="B3465" s="6" t="str">
        <f t="shared" si="108"/>
        <v>Sugar Refineries</v>
      </c>
      <c r="C3465" s="6">
        <v>54</v>
      </c>
      <c r="D3465" s="6" t="str">
        <f t="shared" si="109"/>
        <v>Real Estate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</row>
    <row r="3466" spans="1:9">
      <c r="A3466" s="6">
        <v>19</v>
      </c>
      <c r="B3466" s="6" t="str">
        <f t="shared" si="108"/>
        <v>Other Foods</v>
      </c>
      <c r="C3466" s="6">
        <v>54</v>
      </c>
      <c r="D3466" s="6" t="str">
        <f t="shared" si="109"/>
        <v>Real Estate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</row>
    <row r="3467" spans="1:9">
      <c r="A3467" s="6">
        <v>20</v>
      </c>
      <c r="B3467" s="6" t="str">
        <f t="shared" si="108"/>
        <v>Animal Food</v>
      </c>
      <c r="C3467" s="6">
        <v>54</v>
      </c>
      <c r="D3467" s="6" t="str">
        <f t="shared" si="109"/>
        <v>Real Estate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</row>
    <row r="3468" spans="1:9">
      <c r="A3468" s="6">
        <v>21</v>
      </c>
      <c r="B3468" s="6" t="str">
        <f t="shared" si="108"/>
        <v>Beverages</v>
      </c>
      <c r="C3468" s="6">
        <v>54</v>
      </c>
      <c r="D3468" s="6" t="str">
        <f t="shared" si="109"/>
        <v>Real Estate</v>
      </c>
      <c r="E3468" s="6">
        <v>46724</v>
      </c>
      <c r="F3468" s="6">
        <v>5834</v>
      </c>
      <c r="G3468" s="6">
        <v>9235</v>
      </c>
      <c r="H3468" s="6">
        <v>1314</v>
      </c>
      <c r="I3468" s="6">
        <v>0</v>
      </c>
    </row>
    <row r="3469" spans="1:9">
      <c r="A3469" s="6">
        <v>22</v>
      </c>
      <c r="B3469" s="6" t="str">
        <f t="shared" si="108"/>
        <v>Tobacco Processing and Products</v>
      </c>
      <c r="C3469" s="6">
        <v>54</v>
      </c>
      <c r="D3469" s="6" t="str">
        <f t="shared" si="109"/>
        <v>Real Estate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</row>
    <row r="3470" spans="1:9">
      <c r="A3470" s="6">
        <v>23</v>
      </c>
      <c r="B3470" s="6" t="str">
        <f t="shared" si="108"/>
        <v>Spinning, Weaving and Bleaching</v>
      </c>
      <c r="C3470" s="6">
        <v>54</v>
      </c>
      <c r="D3470" s="6" t="str">
        <f t="shared" si="109"/>
        <v>Real Estate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</row>
    <row r="3471" spans="1:9">
      <c r="A3471" s="6">
        <v>24</v>
      </c>
      <c r="B3471" s="6" t="str">
        <f t="shared" si="108"/>
        <v>Textile Products</v>
      </c>
      <c r="C3471" s="6">
        <v>54</v>
      </c>
      <c r="D3471" s="6" t="str">
        <f t="shared" si="109"/>
        <v>Real Estate</v>
      </c>
      <c r="E3471" s="6">
        <v>17239</v>
      </c>
      <c r="F3471" s="6">
        <v>1520</v>
      </c>
      <c r="G3471" s="6">
        <v>3009</v>
      </c>
      <c r="H3471" s="6">
        <v>107</v>
      </c>
      <c r="I3471" s="6">
        <v>7286</v>
      </c>
    </row>
    <row r="3472" spans="1:9">
      <c r="A3472" s="6">
        <v>25</v>
      </c>
      <c r="B3472" s="6" t="str">
        <f t="shared" si="108"/>
        <v>Paper and Paper Products</v>
      </c>
      <c r="C3472" s="6">
        <v>54</v>
      </c>
      <c r="D3472" s="6" t="str">
        <f t="shared" si="109"/>
        <v>Real Estate</v>
      </c>
      <c r="E3472" s="6">
        <v>530065</v>
      </c>
      <c r="F3472" s="6">
        <v>26039</v>
      </c>
      <c r="G3472" s="6">
        <v>25363</v>
      </c>
      <c r="H3472" s="6">
        <v>5915</v>
      </c>
      <c r="I3472" s="6">
        <v>0</v>
      </c>
    </row>
    <row r="3473" spans="1:9">
      <c r="A3473" s="6">
        <v>26</v>
      </c>
      <c r="B3473" s="6" t="str">
        <f t="shared" si="108"/>
        <v>Printing and Publishing</v>
      </c>
      <c r="C3473" s="6">
        <v>54</v>
      </c>
      <c r="D3473" s="6" t="str">
        <f t="shared" si="109"/>
        <v>Real Estate</v>
      </c>
      <c r="E3473" s="6">
        <v>64720</v>
      </c>
      <c r="F3473" s="6">
        <v>2565</v>
      </c>
      <c r="G3473" s="6">
        <v>5961</v>
      </c>
      <c r="H3473" s="6">
        <v>599</v>
      </c>
      <c r="I3473" s="6">
        <v>0</v>
      </c>
    </row>
    <row r="3474" spans="1:9">
      <c r="A3474" s="6">
        <v>27</v>
      </c>
      <c r="B3474" s="6" t="str">
        <f t="shared" si="108"/>
        <v>Basic Chemical Products</v>
      </c>
      <c r="C3474" s="6">
        <v>54</v>
      </c>
      <c r="D3474" s="6" t="str">
        <f t="shared" si="109"/>
        <v>Real Estate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</row>
    <row r="3475" spans="1:9">
      <c r="A3475" s="6">
        <v>28</v>
      </c>
      <c r="B3475" s="6" t="str">
        <f t="shared" si="108"/>
        <v>Fertilizer and Pesticides</v>
      </c>
      <c r="C3475" s="6">
        <v>54</v>
      </c>
      <c r="D3475" s="6" t="str">
        <f t="shared" si="109"/>
        <v>Real Estate</v>
      </c>
      <c r="E3475" s="6">
        <v>15267</v>
      </c>
      <c r="F3475" s="6">
        <v>1620</v>
      </c>
      <c r="G3475" s="6">
        <v>1999</v>
      </c>
      <c r="H3475" s="6">
        <v>609</v>
      </c>
      <c r="I3475" s="6">
        <v>0</v>
      </c>
    </row>
    <row r="3476" spans="1:9">
      <c r="A3476" s="6">
        <v>29</v>
      </c>
      <c r="B3476" s="6" t="str">
        <f t="shared" si="108"/>
        <v>Other Chemical Products</v>
      </c>
      <c r="C3476" s="6">
        <v>54</v>
      </c>
      <c r="D3476" s="6" t="str">
        <f t="shared" si="109"/>
        <v>Real Estate</v>
      </c>
      <c r="E3476" s="6">
        <v>165878</v>
      </c>
      <c r="F3476" s="6">
        <v>18615</v>
      </c>
      <c r="G3476" s="6">
        <v>18501</v>
      </c>
      <c r="H3476" s="6">
        <v>2429</v>
      </c>
      <c r="I3476" s="6">
        <v>34092</v>
      </c>
    </row>
    <row r="3477" spans="1:9">
      <c r="A3477" s="6">
        <v>30</v>
      </c>
      <c r="B3477" s="6" t="str">
        <f t="shared" si="108"/>
        <v>Petroleum Refineries</v>
      </c>
      <c r="C3477" s="6">
        <v>54</v>
      </c>
      <c r="D3477" s="6" t="str">
        <f t="shared" si="109"/>
        <v>Real Estate</v>
      </c>
      <c r="E3477" s="6">
        <v>1659698</v>
      </c>
      <c r="F3477" s="6">
        <v>91217</v>
      </c>
      <c r="G3477" s="6">
        <v>97552</v>
      </c>
      <c r="H3477" s="6">
        <v>15603</v>
      </c>
      <c r="I3477" s="6">
        <v>314864</v>
      </c>
    </row>
    <row r="3478" spans="1:9">
      <c r="A3478" s="6">
        <v>31</v>
      </c>
      <c r="B3478" s="6" t="str">
        <f t="shared" si="108"/>
        <v>Rubber Products</v>
      </c>
      <c r="C3478" s="6">
        <v>54</v>
      </c>
      <c r="D3478" s="6" t="str">
        <f t="shared" si="109"/>
        <v>Real Estate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</row>
    <row r="3479" spans="1:9">
      <c r="A3479" s="6">
        <v>32</v>
      </c>
      <c r="B3479" s="6" t="str">
        <f t="shared" si="108"/>
        <v>Plastic Wares</v>
      </c>
      <c r="C3479" s="6">
        <v>54</v>
      </c>
      <c r="D3479" s="6" t="str">
        <f t="shared" si="109"/>
        <v>Real Estate</v>
      </c>
      <c r="E3479" s="6">
        <v>209689</v>
      </c>
      <c r="F3479" s="6">
        <v>11426</v>
      </c>
      <c r="G3479" s="6">
        <v>14245</v>
      </c>
      <c r="H3479" s="6">
        <v>1526</v>
      </c>
      <c r="I3479" s="6">
        <v>52695</v>
      </c>
    </row>
    <row r="3480" spans="1:9">
      <c r="A3480" s="6">
        <v>33</v>
      </c>
      <c r="B3480" s="6" t="str">
        <f t="shared" si="108"/>
        <v>Cement and Concrete Products</v>
      </c>
      <c r="C3480" s="6">
        <v>54</v>
      </c>
      <c r="D3480" s="6" t="str">
        <f t="shared" si="109"/>
        <v>Real Estate</v>
      </c>
      <c r="E3480" s="6">
        <v>74113</v>
      </c>
      <c r="F3480" s="6">
        <v>3336</v>
      </c>
      <c r="G3480" s="6">
        <v>5219</v>
      </c>
      <c r="H3480" s="6">
        <v>1349</v>
      </c>
      <c r="I3480" s="6">
        <v>0</v>
      </c>
    </row>
    <row r="3481" spans="1:9">
      <c r="A3481" s="6">
        <v>34</v>
      </c>
      <c r="B3481" s="6" t="str">
        <f t="shared" si="108"/>
        <v>Other Non-metallic Products</v>
      </c>
      <c r="C3481" s="6">
        <v>54</v>
      </c>
      <c r="D3481" s="6" t="str">
        <f t="shared" si="109"/>
        <v>Real Estate</v>
      </c>
      <c r="E3481" s="6">
        <v>17105</v>
      </c>
      <c r="F3481" s="6">
        <v>368</v>
      </c>
      <c r="G3481" s="6">
        <v>421</v>
      </c>
      <c r="H3481" s="6">
        <v>180</v>
      </c>
      <c r="I3481" s="6">
        <v>0</v>
      </c>
    </row>
    <row r="3482" spans="1:9">
      <c r="A3482" s="6">
        <v>35</v>
      </c>
      <c r="B3482" s="6" t="str">
        <f t="shared" si="108"/>
        <v>Iron and Steel</v>
      </c>
      <c r="C3482" s="6">
        <v>54</v>
      </c>
      <c r="D3482" s="6" t="str">
        <f t="shared" si="109"/>
        <v>Real Estate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</row>
    <row r="3483" spans="1:9">
      <c r="A3483" s="6">
        <v>36</v>
      </c>
      <c r="B3483" s="6" t="str">
        <f t="shared" si="108"/>
        <v>Non-ferrous Metal</v>
      </c>
      <c r="C3483" s="6">
        <v>54</v>
      </c>
      <c r="D3483" s="6" t="str">
        <f t="shared" si="109"/>
        <v>Real Estate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</row>
    <row r="3484" spans="1:9">
      <c r="A3484" s="6">
        <v>37</v>
      </c>
      <c r="B3484" s="6" t="str">
        <f t="shared" si="108"/>
        <v>Fabricated Metal Products</v>
      </c>
      <c r="C3484" s="6">
        <v>54</v>
      </c>
      <c r="D3484" s="6" t="str">
        <f t="shared" si="109"/>
        <v>Real Estate</v>
      </c>
      <c r="E3484" s="6">
        <v>412552</v>
      </c>
      <c r="F3484" s="6">
        <v>16498</v>
      </c>
      <c r="G3484" s="6">
        <v>29572</v>
      </c>
      <c r="H3484" s="6">
        <v>1944</v>
      </c>
      <c r="I3484" s="6">
        <v>147817</v>
      </c>
    </row>
    <row r="3485" spans="1:9">
      <c r="A3485" s="6">
        <v>38</v>
      </c>
      <c r="B3485" s="6" t="str">
        <f t="shared" si="108"/>
        <v>Industrial Machinery</v>
      </c>
      <c r="C3485" s="6">
        <v>54</v>
      </c>
      <c r="D3485" s="6" t="str">
        <f t="shared" si="109"/>
        <v>Real Estate</v>
      </c>
      <c r="E3485" s="6">
        <v>122009</v>
      </c>
      <c r="F3485" s="6">
        <v>5041</v>
      </c>
      <c r="G3485" s="6">
        <v>0</v>
      </c>
      <c r="H3485" s="6">
        <v>1152</v>
      </c>
      <c r="I3485" s="6">
        <v>0</v>
      </c>
    </row>
    <row r="3486" spans="1:9">
      <c r="A3486" s="6">
        <v>39</v>
      </c>
      <c r="B3486" s="6" t="str">
        <f t="shared" si="108"/>
        <v>Electrical Machinery and Apparatus</v>
      </c>
      <c r="C3486" s="6">
        <v>54</v>
      </c>
      <c r="D3486" s="6" t="str">
        <f t="shared" si="109"/>
        <v>Real Estate</v>
      </c>
      <c r="E3486" s="6">
        <v>1917524</v>
      </c>
      <c r="F3486" s="6">
        <v>96399</v>
      </c>
      <c r="G3486" s="6">
        <v>134099</v>
      </c>
      <c r="H3486" s="6">
        <v>17588</v>
      </c>
      <c r="I3486" s="6">
        <v>0</v>
      </c>
    </row>
    <row r="3487" spans="1:9">
      <c r="A3487" s="6">
        <v>40</v>
      </c>
      <c r="B3487" s="6" t="str">
        <f t="shared" si="108"/>
        <v>Motor Vehicles and Repairing</v>
      </c>
      <c r="C3487" s="6">
        <v>54</v>
      </c>
      <c r="D3487" s="6" t="str">
        <f t="shared" si="109"/>
        <v>Real Estate</v>
      </c>
      <c r="E3487" s="6">
        <v>604956</v>
      </c>
      <c r="F3487" s="6">
        <v>0</v>
      </c>
      <c r="G3487" s="6">
        <v>0</v>
      </c>
      <c r="H3487" s="6">
        <v>0</v>
      </c>
      <c r="I3487" s="6">
        <v>0</v>
      </c>
    </row>
    <row r="3488" spans="1:9">
      <c r="A3488" s="6">
        <v>41</v>
      </c>
      <c r="B3488" s="6" t="str">
        <f t="shared" si="108"/>
        <v>Other Transportation Equipment</v>
      </c>
      <c r="C3488" s="6">
        <v>54</v>
      </c>
      <c r="D3488" s="6" t="str">
        <f t="shared" si="109"/>
        <v>Real Estate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</row>
    <row r="3489" spans="1:9">
      <c r="A3489" s="6">
        <v>42</v>
      </c>
      <c r="B3489" s="6" t="str">
        <f t="shared" si="108"/>
        <v>Leather Products</v>
      </c>
      <c r="C3489" s="6">
        <v>54</v>
      </c>
      <c r="D3489" s="6" t="str">
        <f t="shared" si="109"/>
        <v>Real Estate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</row>
    <row r="3490" spans="1:9">
      <c r="A3490" s="6">
        <v>43</v>
      </c>
      <c r="B3490" s="6" t="str">
        <f t="shared" si="108"/>
        <v>Saw Mills and Wood Products</v>
      </c>
      <c r="C3490" s="6">
        <v>54</v>
      </c>
      <c r="D3490" s="6" t="str">
        <f t="shared" si="109"/>
        <v>Real Estate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</row>
    <row r="3491" spans="1:9">
      <c r="A3491" s="6">
        <v>44</v>
      </c>
      <c r="B3491" s="6" t="str">
        <f t="shared" si="108"/>
        <v>Other Manufacturing Products</v>
      </c>
      <c r="C3491" s="6">
        <v>54</v>
      </c>
      <c r="D3491" s="6" t="str">
        <f t="shared" si="109"/>
        <v>Real Estate</v>
      </c>
      <c r="E3491" s="6">
        <v>573739</v>
      </c>
      <c r="F3491" s="6">
        <v>48357</v>
      </c>
      <c r="G3491" s="6">
        <v>64269</v>
      </c>
      <c r="H3491" s="6">
        <v>7082</v>
      </c>
      <c r="I3491" s="6">
        <v>0</v>
      </c>
    </row>
    <row r="3492" spans="1:9">
      <c r="A3492" s="6">
        <v>45</v>
      </c>
      <c r="B3492" s="6" t="str">
        <f t="shared" si="108"/>
        <v>Electricity and Gas</v>
      </c>
      <c r="C3492" s="6">
        <v>54</v>
      </c>
      <c r="D3492" s="6" t="str">
        <f t="shared" si="109"/>
        <v>Real Estate</v>
      </c>
      <c r="E3492" s="6">
        <v>24293893</v>
      </c>
      <c r="F3492" s="6">
        <v>1014</v>
      </c>
      <c r="G3492" s="6">
        <v>1763</v>
      </c>
      <c r="H3492" s="6">
        <v>185</v>
      </c>
      <c r="I3492" s="6">
        <v>0</v>
      </c>
    </row>
    <row r="3493" spans="1:9">
      <c r="A3493" s="6">
        <v>46</v>
      </c>
      <c r="B3493" s="6" t="str">
        <f t="shared" si="108"/>
        <v>Water Works and Supply</v>
      </c>
      <c r="C3493" s="6">
        <v>54</v>
      </c>
      <c r="D3493" s="6" t="str">
        <f t="shared" si="109"/>
        <v>Real Estate</v>
      </c>
      <c r="E3493" s="6">
        <v>1060553</v>
      </c>
      <c r="F3493" s="6">
        <v>0</v>
      </c>
      <c r="G3493" s="6">
        <v>0</v>
      </c>
      <c r="H3493" s="6">
        <v>0</v>
      </c>
      <c r="I3493" s="6">
        <v>0</v>
      </c>
    </row>
    <row r="3494" spans="1:9">
      <c r="A3494" s="6">
        <v>47</v>
      </c>
      <c r="B3494" s="6" t="str">
        <f t="shared" si="108"/>
        <v>Building Construction</v>
      </c>
      <c r="C3494" s="6">
        <v>54</v>
      </c>
      <c r="D3494" s="6" t="str">
        <f t="shared" si="109"/>
        <v>Real Estate</v>
      </c>
      <c r="E3494" s="6">
        <v>2103181</v>
      </c>
      <c r="F3494" s="6">
        <v>0</v>
      </c>
      <c r="G3494" s="6">
        <v>0</v>
      </c>
      <c r="H3494" s="6">
        <v>0</v>
      </c>
      <c r="I3494" s="6">
        <v>0</v>
      </c>
    </row>
    <row r="3495" spans="1:9">
      <c r="A3495" s="6">
        <v>48</v>
      </c>
      <c r="B3495" s="6" t="str">
        <f t="shared" si="108"/>
        <v>Public Works and Other Construction</v>
      </c>
      <c r="C3495" s="6">
        <v>54</v>
      </c>
      <c r="D3495" s="6" t="str">
        <f t="shared" si="109"/>
        <v>Real Estate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</row>
    <row r="3496" spans="1:9">
      <c r="A3496" s="6">
        <v>49</v>
      </c>
      <c r="B3496" s="6" t="str">
        <f t="shared" si="108"/>
        <v>Trade</v>
      </c>
      <c r="C3496" s="6">
        <v>54</v>
      </c>
      <c r="D3496" s="6" t="str">
        <f t="shared" si="109"/>
        <v>Real Estate</v>
      </c>
      <c r="E3496" s="6">
        <v>0</v>
      </c>
      <c r="F3496" s="6">
        <v>-330295</v>
      </c>
      <c r="G3496" s="6">
        <v>-411545</v>
      </c>
      <c r="H3496" s="6">
        <v>0</v>
      </c>
      <c r="I3496" s="6">
        <v>0</v>
      </c>
    </row>
    <row r="3497" spans="1:9">
      <c r="A3497" s="6">
        <v>50</v>
      </c>
      <c r="B3497" s="6" t="str">
        <f t="shared" si="108"/>
        <v>Restaurants and Hotels</v>
      </c>
      <c r="C3497" s="6">
        <v>54</v>
      </c>
      <c r="D3497" s="6" t="str">
        <f t="shared" si="109"/>
        <v>Real Estate</v>
      </c>
      <c r="E3497" s="6">
        <v>897658</v>
      </c>
      <c r="F3497" s="6">
        <v>0</v>
      </c>
      <c r="G3497" s="6">
        <v>0</v>
      </c>
      <c r="H3497" s="6">
        <v>0</v>
      </c>
      <c r="I3497" s="6">
        <v>0</v>
      </c>
    </row>
    <row r="3498" spans="1:9">
      <c r="A3498" s="6">
        <v>51</v>
      </c>
      <c r="B3498" s="6" t="str">
        <f t="shared" si="108"/>
        <v>Transportation</v>
      </c>
      <c r="C3498" s="6">
        <v>54</v>
      </c>
      <c r="D3498" s="6" t="str">
        <f t="shared" si="109"/>
        <v>Real Estate</v>
      </c>
      <c r="E3498" s="6">
        <v>1995592</v>
      </c>
      <c r="F3498" s="6">
        <v>0</v>
      </c>
      <c r="G3498" s="6">
        <v>0</v>
      </c>
      <c r="H3498" s="6">
        <v>-57641</v>
      </c>
      <c r="I3498" s="6">
        <v>0</v>
      </c>
    </row>
    <row r="3499" spans="1:9">
      <c r="A3499" s="6">
        <v>52</v>
      </c>
      <c r="B3499" s="6" t="str">
        <f t="shared" si="108"/>
        <v>Communication</v>
      </c>
      <c r="C3499" s="6">
        <v>54</v>
      </c>
      <c r="D3499" s="6" t="str">
        <f t="shared" si="109"/>
        <v>Real Estate</v>
      </c>
      <c r="E3499" s="6">
        <v>914818</v>
      </c>
      <c r="F3499" s="6">
        <v>0</v>
      </c>
      <c r="G3499" s="6">
        <v>0</v>
      </c>
      <c r="H3499" s="6">
        <v>0</v>
      </c>
      <c r="I3499" s="6">
        <v>0</v>
      </c>
    </row>
    <row r="3500" spans="1:9">
      <c r="A3500" s="6">
        <v>53</v>
      </c>
      <c r="B3500" s="6" t="str">
        <f t="shared" si="108"/>
        <v>Banking and Insurance</v>
      </c>
      <c r="C3500" s="6">
        <v>54</v>
      </c>
      <c r="D3500" s="6" t="str">
        <f t="shared" si="109"/>
        <v>Real Estate</v>
      </c>
      <c r="E3500" s="6">
        <v>60408560</v>
      </c>
      <c r="F3500" s="6">
        <v>0</v>
      </c>
      <c r="G3500" s="6">
        <v>0</v>
      </c>
      <c r="H3500" s="6">
        <v>0</v>
      </c>
      <c r="I3500" s="6">
        <v>0</v>
      </c>
    </row>
    <row r="3501" spans="1:9">
      <c r="A3501" s="6">
        <v>54</v>
      </c>
      <c r="B3501" s="6" t="str">
        <f t="shared" si="108"/>
        <v>Real Estate</v>
      </c>
      <c r="C3501" s="6">
        <v>54</v>
      </c>
      <c r="D3501" s="6" t="str">
        <f t="shared" si="109"/>
        <v>Real Estate</v>
      </c>
      <c r="E3501" s="6">
        <v>311667</v>
      </c>
      <c r="F3501" s="6">
        <v>0</v>
      </c>
      <c r="G3501" s="6">
        <v>0</v>
      </c>
      <c r="H3501" s="6">
        <v>0</v>
      </c>
      <c r="I3501" s="6">
        <v>0</v>
      </c>
    </row>
    <row r="3502" spans="1:9">
      <c r="A3502" s="6">
        <v>55</v>
      </c>
      <c r="B3502" s="6" t="str">
        <f t="shared" si="108"/>
        <v>Business Services</v>
      </c>
      <c r="C3502" s="6">
        <v>54</v>
      </c>
      <c r="D3502" s="6" t="str">
        <f t="shared" si="109"/>
        <v>Real Estate</v>
      </c>
      <c r="E3502" s="6">
        <v>54880222</v>
      </c>
      <c r="F3502" s="6">
        <v>0</v>
      </c>
      <c r="G3502" s="6">
        <v>0</v>
      </c>
      <c r="H3502" s="6">
        <v>0</v>
      </c>
      <c r="I3502" s="6">
        <v>0</v>
      </c>
    </row>
    <row r="3503" spans="1:9">
      <c r="A3503" s="6">
        <v>56</v>
      </c>
      <c r="B3503" s="6" t="str">
        <f t="shared" si="108"/>
        <v>Public Services</v>
      </c>
      <c r="C3503" s="6">
        <v>54</v>
      </c>
      <c r="D3503" s="6" t="str">
        <f t="shared" si="109"/>
        <v>Real Estate</v>
      </c>
      <c r="E3503" s="6">
        <v>3253045</v>
      </c>
      <c r="F3503" s="6">
        <v>0</v>
      </c>
      <c r="G3503" s="6">
        <v>0</v>
      </c>
      <c r="H3503" s="6">
        <v>0</v>
      </c>
      <c r="I3503" s="6">
        <v>0</v>
      </c>
    </row>
    <row r="3504" spans="1:9">
      <c r="A3504" s="6">
        <v>57</v>
      </c>
      <c r="B3504" s="6" t="str">
        <f t="shared" si="108"/>
        <v>Other Services</v>
      </c>
      <c r="C3504" s="6">
        <v>54</v>
      </c>
      <c r="D3504" s="6" t="str">
        <f t="shared" si="109"/>
        <v>Real Estate</v>
      </c>
      <c r="E3504" s="6">
        <v>1354877</v>
      </c>
      <c r="F3504" s="6">
        <v>0</v>
      </c>
      <c r="G3504" s="6">
        <v>0</v>
      </c>
      <c r="H3504" s="6">
        <v>0</v>
      </c>
      <c r="I3504" s="6">
        <v>0</v>
      </c>
    </row>
    <row r="3505" spans="1:9">
      <c r="A3505" s="6">
        <v>58</v>
      </c>
      <c r="B3505" s="6" t="str">
        <f t="shared" si="108"/>
        <v>Unclassified</v>
      </c>
      <c r="C3505" s="6">
        <v>54</v>
      </c>
      <c r="D3505" s="6" t="str">
        <f t="shared" si="109"/>
        <v>Real Estate</v>
      </c>
      <c r="E3505" s="6">
        <v>1820734</v>
      </c>
      <c r="F3505" s="6">
        <v>0</v>
      </c>
      <c r="G3505" s="6">
        <v>0</v>
      </c>
      <c r="H3505" s="6">
        <v>0</v>
      </c>
      <c r="I3505" s="6">
        <v>204940</v>
      </c>
    </row>
    <row r="3506" spans="1:9">
      <c r="A3506" s="6">
        <v>190</v>
      </c>
      <c r="B3506" s="6" t="str">
        <f t="shared" si="108"/>
        <v>Total Intermedite Transaction</v>
      </c>
      <c r="C3506" s="6">
        <v>54</v>
      </c>
      <c r="D3506" s="6" t="str">
        <f t="shared" si="109"/>
        <v>Real Estate</v>
      </c>
      <c r="E3506" s="6">
        <v>159728075</v>
      </c>
      <c r="F3506" s="6">
        <v>0</v>
      </c>
      <c r="G3506" s="6">
        <v>0</v>
      </c>
      <c r="H3506" s="6">
        <v>0</v>
      </c>
      <c r="I3506" s="6">
        <v>761694</v>
      </c>
    </row>
    <row r="3507" spans="1:9">
      <c r="A3507" s="6">
        <v>201</v>
      </c>
      <c r="B3507" s="6" t="str">
        <f t="shared" si="108"/>
        <v>Wages and Salaries</v>
      </c>
      <c r="C3507" s="6">
        <v>54</v>
      </c>
      <c r="D3507" s="6" t="str">
        <f t="shared" si="109"/>
        <v>Real Estate</v>
      </c>
      <c r="E3507" s="6">
        <v>56449574</v>
      </c>
      <c r="F3507" s="6">
        <v>0</v>
      </c>
      <c r="G3507" s="6">
        <v>0</v>
      </c>
      <c r="H3507" s="6">
        <v>0</v>
      </c>
      <c r="I3507" s="6">
        <v>0</v>
      </c>
    </row>
    <row r="3508" spans="1:9">
      <c r="A3508" s="6">
        <v>202</v>
      </c>
      <c r="B3508" s="6" t="str">
        <f t="shared" si="108"/>
        <v>Operating Surplus</v>
      </c>
      <c r="C3508" s="6">
        <v>54</v>
      </c>
      <c r="D3508" s="6" t="str">
        <f t="shared" si="109"/>
        <v>Real Estate</v>
      </c>
      <c r="E3508" s="6">
        <v>100405038</v>
      </c>
      <c r="F3508" s="6">
        <v>0</v>
      </c>
      <c r="G3508" s="6">
        <v>0</v>
      </c>
      <c r="H3508" s="6">
        <v>0</v>
      </c>
      <c r="I3508" s="6">
        <v>0</v>
      </c>
    </row>
    <row r="3509" spans="1:9">
      <c r="A3509" s="6">
        <v>203</v>
      </c>
      <c r="B3509" s="6" t="str">
        <f t="shared" si="108"/>
        <v>Depreciation</v>
      </c>
      <c r="C3509" s="6">
        <v>54</v>
      </c>
      <c r="D3509" s="6" t="str">
        <f t="shared" si="109"/>
        <v>Real Estate</v>
      </c>
      <c r="E3509" s="6">
        <v>316387538</v>
      </c>
      <c r="F3509" s="6">
        <v>0</v>
      </c>
      <c r="G3509" s="6">
        <v>0</v>
      </c>
      <c r="H3509" s="6">
        <v>0</v>
      </c>
      <c r="I3509" s="6">
        <v>0</v>
      </c>
    </row>
    <row r="3510" spans="1:9">
      <c r="A3510" s="6">
        <v>204</v>
      </c>
      <c r="B3510" s="6" t="str">
        <f t="shared" si="108"/>
        <v>Indirect Taxes less Subsidies</v>
      </c>
      <c r="C3510" s="6">
        <v>54</v>
      </c>
      <c r="D3510" s="6" t="str">
        <f t="shared" si="109"/>
        <v>Real Estate</v>
      </c>
      <c r="E3510" s="6">
        <v>18624255</v>
      </c>
      <c r="F3510" s="6">
        <v>0</v>
      </c>
      <c r="G3510" s="6">
        <v>0</v>
      </c>
      <c r="H3510" s="6">
        <v>0</v>
      </c>
      <c r="I3510" s="6">
        <v>0</v>
      </c>
    </row>
    <row r="3511" spans="1:9">
      <c r="A3511" s="6">
        <v>209</v>
      </c>
      <c r="B3511" s="6" t="str">
        <f t="shared" si="108"/>
        <v>Total Value Added</v>
      </c>
      <c r="C3511" s="6">
        <v>54</v>
      </c>
      <c r="D3511" s="6" t="str">
        <f t="shared" si="109"/>
        <v>Real Estate</v>
      </c>
      <c r="E3511" s="6">
        <v>491866405</v>
      </c>
      <c r="F3511" s="6">
        <v>0</v>
      </c>
      <c r="G3511" s="6">
        <v>0</v>
      </c>
      <c r="H3511" s="6">
        <v>0</v>
      </c>
      <c r="I3511" s="6">
        <v>0</v>
      </c>
    </row>
    <row r="3512" spans="1:9">
      <c r="A3512" s="6">
        <v>210</v>
      </c>
      <c r="B3512" s="6" t="str">
        <f t="shared" si="108"/>
        <v>Control Total</v>
      </c>
      <c r="C3512" s="6">
        <v>54</v>
      </c>
      <c r="D3512" s="6" t="str">
        <f t="shared" si="109"/>
        <v>Real Estate</v>
      </c>
      <c r="E3512" s="6">
        <v>651594480</v>
      </c>
      <c r="F3512" s="6">
        <v>0</v>
      </c>
      <c r="G3512" s="6">
        <v>0</v>
      </c>
      <c r="H3512" s="6">
        <v>0</v>
      </c>
      <c r="I3512" s="6">
        <v>0</v>
      </c>
    </row>
    <row r="3513" spans="1:9">
      <c r="A3513" s="6">
        <v>1</v>
      </c>
      <c r="B3513" s="6" t="str">
        <f t="shared" si="108"/>
        <v>Paddy</v>
      </c>
      <c r="C3513" s="6">
        <v>55</v>
      </c>
      <c r="D3513" s="6" t="str">
        <f t="shared" si="109"/>
        <v>Business Services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</row>
    <row r="3514" spans="1:9">
      <c r="A3514" s="6">
        <v>2</v>
      </c>
      <c r="B3514" s="6" t="str">
        <f t="shared" si="108"/>
        <v>Maize</v>
      </c>
      <c r="C3514" s="6">
        <v>55</v>
      </c>
      <c r="D3514" s="6" t="str">
        <f t="shared" si="109"/>
        <v>Business Services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</row>
    <row r="3515" spans="1:9">
      <c r="A3515" s="6">
        <v>3</v>
      </c>
      <c r="B3515" s="6" t="str">
        <f t="shared" si="108"/>
        <v>Cassava</v>
      </c>
      <c r="C3515" s="6">
        <v>55</v>
      </c>
      <c r="D3515" s="6" t="str">
        <f t="shared" si="109"/>
        <v>Business Services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</row>
    <row r="3516" spans="1:9">
      <c r="A3516" s="6">
        <v>4</v>
      </c>
      <c r="B3516" s="6" t="str">
        <f t="shared" si="108"/>
        <v>Beans and Nuts</v>
      </c>
      <c r="C3516" s="6">
        <v>55</v>
      </c>
      <c r="D3516" s="6" t="str">
        <f t="shared" si="109"/>
        <v>Business Services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</row>
    <row r="3517" spans="1:9">
      <c r="A3517" s="6">
        <v>5</v>
      </c>
      <c r="B3517" s="6" t="str">
        <f t="shared" si="108"/>
        <v>Vegetables and Fruits</v>
      </c>
      <c r="C3517" s="6">
        <v>55</v>
      </c>
      <c r="D3517" s="6" t="str">
        <f t="shared" si="109"/>
        <v>Business Services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</row>
    <row r="3518" spans="1:9">
      <c r="A3518" s="6">
        <v>6</v>
      </c>
      <c r="B3518" s="6" t="str">
        <f t="shared" si="108"/>
        <v>Sugarcane</v>
      </c>
      <c r="C3518" s="6">
        <v>55</v>
      </c>
      <c r="D3518" s="6" t="str">
        <f t="shared" si="109"/>
        <v>Business Services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</row>
    <row r="3519" spans="1:9">
      <c r="A3519" s="6">
        <v>7</v>
      </c>
      <c r="B3519" s="6" t="str">
        <f t="shared" si="108"/>
        <v>Rubber (Latex)</v>
      </c>
      <c r="C3519" s="6">
        <v>55</v>
      </c>
      <c r="D3519" s="6" t="str">
        <f t="shared" si="109"/>
        <v>Business Services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</row>
    <row r="3520" spans="1:9">
      <c r="A3520" s="6">
        <v>8</v>
      </c>
      <c r="B3520" s="6" t="str">
        <f t="shared" si="108"/>
        <v>Other Crops</v>
      </c>
      <c r="C3520" s="6">
        <v>55</v>
      </c>
      <c r="D3520" s="6" t="str">
        <f t="shared" si="109"/>
        <v>Business Services</v>
      </c>
      <c r="E3520" s="6">
        <v>402488</v>
      </c>
      <c r="F3520" s="6">
        <v>22446</v>
      </c>
      <c r="G3520" s="6">
        <v>35464</v>
      </c>
      <c r="H3520" s="6">
        <v>8277</v>
      </c>
      <c r="I3520" s="6">
        <v>0</v>
      </c>
    </row>
    <row r="3521" spans="1:9">
      <c r="A3521" s="6">
        <v>9</v>
      </c>
      <c r="B3521" s="6" t="str">
        <f t="shared" si="108"/>
        <v>Livestock</v>
      </c>
      <c r="C3521" s="6">
        <v>55</v>
      </c>
      <c r="D3521" s="6" t="str">
        <f t="shared" si="109"/>
        <v>Business Services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</row>
    <row r="3522" spans="1:9">
      <c r="A3522" s="6">
        <v>10</v>
      </c>
      <c r="B3522" s="6" t="str">
        <f t="shared" si="108"/>
        <v>Forestry</v>
      </c>
      <c r="C3522" s="6">
        <v>55</v>
      </c>
      <c r="D3522" s="6" t="str">
        <f t="shared" si="109"/>
        <v>Business Services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</row>
    <row r="3523" spans="1:9">
      <c r="A3523" s="6">
        <v>11</v>
      </c>
      <c r="B3523" s="6" t="str">
        <f t="shared" si="108"/>
        <v>Fishery</v>
      </c>
      <c r="C3523" s="6">
        <v>55</v>
      </c>
      <c r="D3523" s="6" t="str">
        <f t="shared" si="109"/>
        <v>Business Services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</row>
    <row r="3524" spans="1:9">
      <c r="A3524" s="6">
        <v>12</v>
      </c>
      <c r="B3524" s="6" t="str">
        <f t="shared" ref="B3524:B3587" si="110">VLOOKUP(A3524,R:S,2,0)</f>
        <v>Crude Oil and Coal</v>
      </c>
      <c r="C3524" s="6">
        <v>55</v>
      </c>
      <c r="D3524" s="6" t="str">
        <f t="shared" ref="D3524:D3587" si="111">VLOOKUP(C3524,R:S,2,0)</f>
        <v>Business Services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</row>
    <row r="3525" spans="1:9">
      <c r="A3525" s="6">
        <v>13</v>
      </c>
      <c r="B3525" s="6" t="str">
        <f t="shared" si="110"/>
        <v>Metal Ore</v>
      </c>
      <c r="C3525" s="6">
        <v>55</v>
      </c>
      <c r="D3525" s="6" t="str">
        <f t="shared" si="111"/>
        <v>Business Services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</row>
    <row r="3526" spans="1:9">
      <c r="A3526" s="6">
        <v>14</v>
      </c>
      <c r="B3526" s="6" t="str">
        <f t="shared" si="110"/>
        <v>Non-Metal Ore</v>
      </c>
      <c r="C3526" s="6">
        <v>55</v>
      </c>
      <c r="D3526" s="6" t="str">
        <f t="shared" si="111"/>
        <v>Business Services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</row>
    <row r="3527" spans="1:9">
      <c r="A3527" s="6">
        <v>15</v>
      </c>
      <c r="B3527" s="6" t="str">
        <f t="shared" si="110"/>
        <v>Slaughtering</v>
      </c>
      <c r="C3527" s="6">
        <v>55</v>
      </c>
      <c r="D3527" s="6" t="str">
        <f t="shared" si="111"/>
        <v>Business Services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</row>
    <row r="3528" spans="1:9">
      <c r="A3528" s="6">
        <v>16</v>
      </c>
      <c r="B3528" s="6" t="str">
        <f t="shared" si="110"/>
        <v>Processing and Presering of Foods</v>
      </c>
      <c r="C3528" s="6">
        <v>55</v>
      </c>
      <c r="D3528" s="6" t="str">
        <f t="shared" si="111"/>
        <v>Business Services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</row>
    <row r="3529" spans="1:9">
      <c r="A3529" s="6">
        <v>17</v>
      </c>
      <c r="B3529" s="6" t="str">
        <f t="shared" si="110"/>
        <v>Rice and Other Grain Milling</v>
      </c>
      <c r="C3529" s="6">
        <v>55</v>
      </c>
      <c r="D3529" s="6" t="str">
        <f t="shared" si="111"/>
        <v>Business Services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</row>
    <row r="3530" spans="1:9">
      <c r="A3530" s="6">
        <v>18</v>
      </c>
      <c r="B3530" s="6" t="str">
        <f t="shared" si="110"/>
        <v>Sugar Refineries</v>
      </c>
      <c r="C3530" s="6">
        <v>55</v>
      </c>
      <c r="D3530" s="6" t="str">
        <f t="shared" si="111"/>
        <v>Business Services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</row>
    <row r="3531" spans="1:9">
      <c r="A3531" s="6">
        <v>19</v>
      </c>
      <c r="B3531" s="6" t="str">
        <f t="shared" si="110"/>
        <v>Other Foods</v>
      </c>
      <c r="C3531" s="6">
        <v>55</v>
      </c>
      <c r="D3531" s="6" t="str">
        <f t="shared" si="111"/>
        <v>Business Services</v>
      </c>
      <c r="E3531" s="6">
        <v>127257</v>
      </c>
      <c r="F3531" s="6">
        <v>2191</v>
      </c>
      <c r="G3531" s="6">
        <v>7554</v>
      </c>
      <c r="H3531" s="6">
        <v>1367</v>
      </c>
      <c r="I3531" s="6">
        <v>0</v>
      </c>
    </row>
    <row r="3532" spans="1:9">
      <c r="A3532" s="6">
        <v>20</v>
      </c>
      <c r="B3532" s="6" t="str">
        <f t="shared" si="110"/>
        <v>Animal Food</v>
      </c>
      <c r="C3532" s="6">
        <v>55</v>
      </c>
      <c r="D3532" s="6" t="str">
        <f t="shared" si="111"/>
        <v>Business Services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</row>
    <row r="3533" spans="1:9">
      <c r="A3533" s="6">
        <v>21</v>
      </c>
      <c r="B3533" s="6" t="str">
        <f t="shared" si="110"/>
        <v>Beverages</v>
      </c>
      <c r="C3533" s="6">
        <v>55</v>
      </c>
      <c r="D3533" s="6" t="str">
        <f t="shared" si="111"/>
        <v>Business Services</v>
      </c>
      <c r="E3533" s="6">
        <v>1624947</v>
      </c>
      <c r="F3533" s="6">
        <v>135321</v>
      </c>
      <c r="G3533" s="6">
        <v>329900</v>
      </c>
      <c r="H3533" s="6">
        <v>42574</v>
      </c>
      <c r="I3533" s="6">
        <v>0</v>
      </c>
    </row>
    <row r="3534" spans="1:9">
      <c r="A3534" s="6">
        <v>22</v>
      </c>
      <c r="B3534" s="6" t="str">
        <f t="shared" si="110"/>
        <v>Tobacco Processing and Products</v>
      </c>
      <c r="C3534" s="6">
        <v>55</v>
      </c>
      <c r="D3534" s="6" t="str">
        <f t="shared" si="111"/>
        <v>Business Services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</row>
    <row r="3535" spans="1:9">
      <c r="A3535" s="6">
        <v>23</v>
      </c>
      <c r="B3535" s="6" t="str">
        <f t="shared" si="110"/>
        <v>Spinning, Weaving and Bleaching</v>
      </c>
      <c r="C3535" s="6">
        <v>55</v>
      </c>
      <c r="D3535" s="6" t="str">
        <f t="shared" si="111"/>
        <v>Business Services</v>
      </c>
      <c r="E3535" s="6">
        <v>506087</v>
      </c>
      <c r="F3535" s="6">
        <v>45943</v>
      </c>
      <c r="G3535" s="6">
        <v>51944</v>
      </c>
      <c r="H3535" s="6">
        <v>7308</v>
      </c>
      <c r="I3535" s="6">
        <v>82409</v>
      </c>
    </row>
    <row r="3536" spans="1:9">
      <c r="A3536" s="6">
        <v>24</v>
      </c>
      <c r="B3536" s="6" t="str">
        <f t="shared" si="110"/>
        <v>Textile Products</v>
      </c>
      <c r="C3536" s="6">
        <v>55</v>
      </c>
      <c r="D3536" s="6" t="str">
        <f t="shared" si="111"/>
        <v>Business Services</v>
      </c>
      <c r="E3536" s="6">
        <v>2134412</v>
      </c>
      <c r="F3536" s="6">
        <v>111377</v>
      </c>
      <c r="G3536" s="6">
        <v>208789</v>
      </c>
      <c r="H3536" s="6">
        <v>11273</v>
      </c>
      <c r="I3536" s="6">
        <v>535531</v>
      </c>
    </row>
    <row r="3537" spans="1:9">
      <c r="A3537" s="6">
        <v>25</v>
      </c>
      <c r="B3537" s="6" t="str">
        <f t="shared" si="110"/>
        <v>Paper and Paper Products</v>
      </c>
      <c r="C3537" s="6">
        <v>55</v>
      </c>
      <c r="D3537" s="6" t="str">
        <f t="shared" si="111"/>
        <v>Business Services</v>
      </c>
      <c r="E3537" s="6">
        <v>12935606</v>
      </c>
      <c r="F3537" s="6">
        <v>528070</v>
      </c>
      <c r="G3537" s="6">
        <v>504365</v>
      </c>
      <c r="H3537" s="6">
        <v>182626</v>
      </c>
      <c r="I3537" s="6">
        <v>1947289</v>
      </c>
    </row>
    <row r="3538" spans="1:9">
      <c r="A3538" s="6">
        <v>26</v>
      </c>
      <c r="B3538" s="6" t="str">
        <f t="shared" si="110"/>
        <v>Printing and Publishing</v>
      </c>
      <c r="C3538" s="6">
        <v>55</v>
      </c>
      <c r="D3538" s="6" t="str">
        <f t="shared" si="111"/>
        <v>Business Services</v>
      </c>
      <c r="E3538" s="6">
        <v>46457768</v>
      </c>
      <c r="F3538" s="6">
        <v>3342877</v>
      </c>
      <c r="G3538" s="6">
        <v>4508750</v>
      </c>
      <c r="H3538" s="6">
        <v>359165</v>
      </c>
      <c r="I3538" s="6">
        <v>21702798</v>
      </c>
    </row>
    <row r="3539" spans="1:9">
      <c r="A3539" s="6">
        <v>27</v>
      </c>
      <c r="B3539" s="6" t="str">
        <f t="shared" si="110"/>
        <v>Basic Chemical Products</v>
      </c>
      <c r="C3539" s="6">
        <v>55</v>
      </c>
      <c r="D3539" s="6" t="str">
        <f t="shared" si="111"/>
        <v>Business Services</v>
      </c>
      <c r="E3539" s="6">
        <v>1054978</v>
      </c>
      <c r="F3539" s="6">
        <v>75950</v>
      </c>
      <c r="G3539" s="6">
        <v>35137</v>
      </c>
      <c r="H3539" s="6">
        <v>20501</v>
      </c>
      <c r="I3539" s="6">
        <v>583603</v>
      </c>
    </row>
    <row r="3540" spans="1:9">
      <c r="A3540" s="6">
        <v>28</v>
      </c>
      <c r="B3540" s="6" t="str">
        <f t="shared" si="110"/>
        <v>Fertilizer and Pesticides</v>
      </c>
      <c r="C3540" s="6">
        <v>55</v>
      </c>
      <c r="D3540" s="6" t="str">
        <f t="shared" si="111"/>
        <v>Business Services</v>
      </c>
      <c r="E3540" s="6">
        <v>2012185</v>
      </c>
      <c r="F3540" s="6">
        <v>187063</v>
      </c>
      <c r="G3540" s="6">
        <v>177230</v>
      </c>
      <c r="H3540" s="6">
        <v>68616</v>
      </c>
      <c r="I3540" s="6">
        <v>0</v>
      </c>
    </row>
    <row r="3541" spans="1:9">
      <c r="A3541" s="6">
        <v>29</v>
      </c>
      <c r="B3541" s="6" t="str">
        <f t="shared" si="110"/>
        <v>Other Chemical Products</v>
      </c>
      <c r="C3541" s="6">
        <v>55</v>
      </c>
      <c r="D3541" s="6" t="str">
        <f t="shared" si="111"/>
        <v>Business Services</v>
      </c>
      <c r="E3541" s="6">
        <v>4601275</v>
      </c>
      <c r="F3541" s="6">
        <v>424491</v>
      </c>
      <c r="G3541" s="6">
        <v>418210</v>
      </c>
      <c r="H3541" s="6">
        <v>59265</v>
      </c>
      <c r="I3541" s="6">
        <v>1619786</v>
      </c>
    </row>
    <row r="3542" spans="1:9">
      <c r="A3542" s="6">
        <v>30</v>
      </c>
      <c r="B3542" s="6" t="str">
        <f t="shared" si="110"/>
        <v>Petroleum Refineries</v>
      </c>
      <c r="C3542" s="6">
        <v>55</v>
      </c>
      <c r="D3542" s="6" t="str">
        <f t="shared" si="111"/>
        <v>Business Services</v>
      </c>
      <c r="E3542" s="6">
        <v>44409071</v>
      </c>
      <c r="F3542" s="6">
        <v>2163121</v>
      </c>
      <c r="G3542" s="6">
        <v>2088776</v>
      </c>
      <c r="H3542" s="6">
        <v>392851</v>
      </c>
      <c r="I3542" s="6">
        <v>8527644</v>
      </c>
    </row>
    <row r="3543" spans="1:9">
      <c r="A3543" s="6">
        <v>31</v>
      </c>
      <c r="B3543" s="6" t="str">
        <f t="shared" si="110"/>
        <v>Rubber Products</v>
      </c>
      <c r="C3543" s="6">
        <v>55</v>
      </c>
      <c r="D3543" s="6" t="str">
        <f t="shared" si="111"/>
        <v>Business Services</v>
      </c>
      <c r="E3543" s="6">
        <v>1207955</v>
      </c>
      <c r="F3543" s="6">
        <v>75439</v>
      </c>
      <c r="G3543" s="6">
        <v>83177</v>
      </c>
      <c r="H3543" s="6">
        <v>14888</v>
      </c>
      <c r="I3543" s="6">
        <v>0</v>
      </c>
    </row>
    <row r="3544" spans="1:9">
      <c r="A3544" s="6">
        <v>32</v>
      </c>
      <c r="B3544" s="6" t="str">
        <f t="shared" si="110"/>
        <v>Plastic Wares</v>
      </c>
      <c r="C3544" s="6">
        <v>55</v>
      </c>
      <c r="D3544" s="6" t="str">
        <f t="shared" si="111"/>
        <v>Business Services</v>
      </c>
      <c r="E3544" s="6">
        <v>881696</v>
      </c>
      <c r="F3544" s="6">
        <v>47757</v>
      </c>
      <c r="G3544" s="6">
        <v>65923</v>
      </c>
      <c r="H3544" s="6">
        <v>6588</v>
      </c>
      <c r="I3544" s="6">
        <v>229365</v>
      </c>
    </row>
    <row r="3545" spans="1:9">
      <c r="A3545" s="6">
        <v>33</v>
      </c>
      <c r="B3545" s="6" t="str">
        <f t="shared" si="110"/>
        <v>Cement and Concrete Products</v>
      </c>
      <c r="C3545" s="6">
        <v>55</v>
      </c>
      <c r="D3545" s="6" t="str">
        <f t="shared" si="111"/>
        <v>Business Services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</row>
    <row r="3546" spans="1:9">
      <c r="A3546" s="6">
        <v>34</v>
      </c>
      <c r="B3546" s="6" t="str">
        <f t="shared" si="110"/>
        <v>Other Non-metallic Products</v>
      </c>
      <c r="C3546" s="6">
        <v>55</v>
      </c>
      <c r="D3546" s="6" t="str">
        <f t="shared" si="111"/>
        <v>Business Services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</row>
    <row r="3547" spans="1:9">
      <c r="A3547" s="6">
        <v>35</v>
      </c>
      <c r="B3547" s="6" t="str">
        <f t="shared" si="110"/>
        <v>Iron and Steel</v>
      </c>
      <c r="C3547" s="6">
        <v>55</v>
      </c>
      <c r="D3547" s="6" t="str">
        <f t="shared" si="111"/>
        <v>Business Services</v>
      </c>
      <c r="E3547" s="6">
        <v>1953550</v>
      </c>
      <c r="F3547" s="6">
        <v>79713</v>
      </c>
      <c r="G3547" s="6">
        <v>90036</v>
      </c>
      <c r="H3547" s="6">
        <v>23264</v>
      </c>
      <c r="I3547" s="6">
        <v>505196</v>
      </c>
    </row>
    <row r="3548" spans="1:9">
      <c r="A3548" s="6">
        <v>36</v>
      </c>
      <c r="B3548" s="6" t="str">
        <f t="shared" si="110"/>
        <v>Non-ferrous Metal</v>
      </c>
      <c r="C3548" s="6">
        <v>55</v>
      </c>
      <c r="D3548" s="6" t="str">
        <f t="shared" si="111"/>
        <v>Business Services</v>
      </c>
      <c r="E3548" s="6">
        <v>35653</v>
      </c>
      <c r="F3548" s="6">
        <v>2022</v>
      </c>
      <c r="G3548" s="6">
        <v>985</v>
      </c>
      <c r="H3548" s="6">
        <v>57</v>
      </c>
      <c r="I3548" s="6">
        <v>21136</v>
      </c>
    </row>
    <row r="3549" spans="1:9">
      <c r="A3549" s="6">
        <v>37</v>
      </c>
      <c r="B3549" s="6" t="str">
        <f t="shared" si="110"/>
        <v>Fabricated Metal Products</v>
      </c>
      <c r="C3549" s="6">
        <v>55</v>
      </c>
      <c r="D3549" s="6" t="str">
        <f t="shared" si="111"/>
        <v>Business Services</v>
      </c>
      <c r="E3549" s="6">
        <v>4123073</v>
      </c>
      <c r="F3549" s="6">
        <v>81565</v>
      </c>
      <c r="G3549" s="6">
        <v>198991</v>
      </c>
      <c r="H3549" s="6">
        <v>20387</v>
      </c>
      <c r="I3549" s="6">
        <v>1445180</v>
      </c>
    </row>
    <row r="3550" spans="1:9">
      <c r="A3550" s="6">
        <v>38</v>
      </c>
      <c r="B3550" s="6" t="str">
        <f t="shared" si="110"/>
        <v>Industrial Machinery</v>
      </c>
      <c r="C3550" s="6">
        <v>55</v>
      </c>
      <c r="D3550" s="6" t="str">
        <f t="shared" si="111"/>
        <v>Business Services</v>
      </c>
      <c r="E3550" s="6">
        <v>11574443</v>
      </c>
      <c r="F3550" s="6">
        <v>938681</v>
      </c>
      <c r="G3550" s="6">
        <v>0</v>
      </c>
      <c r="H3550" s="6">
        <v>183865</v>
      </c>
      <c r="I3550" s="6">
        <v>2256810</v>
      </c>
    </row>
    <row r="3551" spans="1:9">
      <c r="A3551" s="6">
        <v>39</v>
      </c>
      <c r="B3551" s="6" t="str">
        <f t="shared" si="110"/>
        <v>Electrical Machinery and Apparatus</v>
      </c>
      <c r="C3551" s="6">
        <v>55</v>
      </c>
      <c r="D3551" s="6" t="str">
        <f t="shared" si="111"/>
        <v>Business Services</v>
      </c>
      <c r="E3551" s="6">
        <v>72548698</v>
      </c>
      <c r="F3551" s="6">
        <v>2423434</v>
      </c>
      <c r="G3551" s="6">
        <v>4448958</v>
      </c>
      <c r="H3551" s="6">
        <v>613132</v>
      </c>
      <c r="I3551" s="6">
        <v>33992039</v>
      </c>
    </row>
    <row r="3552" spans="1:9">
      <c r="A3552" s="6">
        <v>40</v>
      </c>
      <c r="B3552" s="6" t="str">
        <f t="shared" si="110"/>
        <v>Motor Vehicles and Repairing</v>
      </c>
      <c r="C3552" s="6">
        <v>55</v>
      </c>
      <c r="D3552" s="6" t="str">
        <f t="shared" si="111"/>
        <v>Business Services</v>
      </c>
      <c r="E3552" s="6">
        <v>14589888</v>
      </c>
      <c r="F3552" s="6">
        <v>3311</v>
      </c>
      <c r="G3552" s="6">
        <v>6432</v>
      </c>
      <c r="H3552" s="6">
        <v>410</v>
      </c>
      <c r="I3552" s="6">
        <v>0</v>
      </c>
    </row>
    <row r="3553" spans="1:9">
      <c r="A3553" s="6">
        <v>41</v>
      </c>
      <c r="B3553" s="6" t="str">
        <f t="shared" si="110"/>
        <v>Other Transportation Equipment</v>
      </c>
      <c r="C3553" s="6">
        <v>55</v>
      </c>
      <c r="D3553" s="6" t="str">
        <f t="shared" si="111"/>
        <v>Business Services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</row>
    <row r="3554" spans="1:9">
      <c r="A3554" s="6">
        <v>42</v>
      </c>
      <c r="B3554" s="6" t="str">
        <f t="shared" si="110"/>
        <v>Leather Products</v>
      </c>
      <c r="C3554" s="6">
        <v>55</v>
      </c>
      <c r="D3554" s="6" t="str">
        <f t="shared" si="111"/>
        <v>Business Services</v>
      </c>
      <c r="E3554" s="6">
        <v>605010</v>
      </c>
      <c r="F3554" s="6">
        <v>18322</v>
      </c>
      <c r="G3554" s="6">
        <v>39909</v>
      </c>
      <c r="H3554" s="6">
        <v>3324</v>
      </c>
      <c r="I3554" s="6">
        <v>0</v>
      </c>
    </row>
    <row r="3555" spans="1:9">
      <c r="A3555" s="6">
        <v>43</v>
      </c>
      <c r="B3555" s="6" t="str">
        <f t="shared" si="110"/>
        <v>Saw Mills and Wood Products</v>
      </c>
      <c r="C3555" s="6">
        <v>55</v>
      </c>
      <c r="D3555" s="6" t="str">
        <f t="shared" si="111"/>
        <v>Business Services</v>
      </c>
      <c r="E3555" s="6">
        <v>1119138</v>
      </c>
      <c r="F3555" s="6">
        <v>85819</v>
      </c>
      <c r="G3555" s="6">
        <v>212822</v>
      </c>
      <c r="H3555" s="6">
        <v>11127</v>
      </c>
      <c r="I3555" s="6">
        <v>0</v>
      </c>
    </row>
    <row r="3556" spans="1:9">
      <c r="A3556" s="6">
        <v>44</v>
      </c>
      <c r="B3556" s="6" t="str">
        <f t="shared" si="110"/>
        <v>Other Manufacturing Products</v>
      </c>
      <c r="C3556" s="6">
        <v>55</v>
      </c>
      <c r="D3556" s="6" t="str">
        <f t="shared" si="111"/>
        <v>Business Services</v>
      </c>
      <c r="E3556" s="6">
        <v>21172129</v>
      </c>
      <c r="F3556" s="6">
        <v>1296613</v>
      </c>
      <c r="G3556" s="6">
        <v>1121457</v>
      </c>
      <c r="H3556" s="6">
        <v>198719</v>
      </c>
      <c r="I3556" s="6">
        <v>4099102</v>
      </c>
    </row>
    <row r="3557" spans="1:9">
      <c r="A3557" s="6">
        <v>45</v>
      </c>
      <c r="B3557" s="6" t="str">
        <f t="shared" si="110"/>
        <v>Electricity and Gas</v>
      </c>
      <c r="C3557" s="6">
        <v>55</v>
      </c>
      <c r="D3557" s="6" t="str">
        <f t="shared" si="111"/>
        <v>Business Services</v>
      </c>
      <c r="E3557" s="6">
        <v>13351247</v>
      </c>
      <c r="F3557" s="6">
        <v>4859</v>
      </c>
      <c r="G3557" s="6">
        <v>8356</v>
      </c>
      <c r="H3557" s="6">
        <v>899</v>
      </c>
      <c r="I3557" s="6">
        <v>0</v>
      </c>
    </row>
    <row r="3558" spans="1:9">
      <c r="A3558" s="6">
        <v>46</v>
      </c>
      <c r="B3558" s="6" t="str">
        <f t="shared" si="110"/>
        <v>Water Works and Supply</v>
      </c>
      <c r="C3558" s="6">
        <v>55</v>
      </c>
      <c r="D3558" s="6" t="str">
        <f t="shared" si="111"/>
        <v>Business Services</v>
      </c>
      <c r="E3558" s="6">
        <v>1217750</v>
      </c>
      <c r="F3558" s="6">
        <v>0</v>
      </c>
      <c r="G3558" s="6">
        <v>0</v>
      </c>
      <c r="H3558" s="6">
        <v>0</v>
      </c>
      <c r="I3558" s="6">
        <v>0</v>
      </c>
    </row>
    <row r="3559" spans="1:9">
      <c r="A3559" s="6">
        <v>47</v>
      </c>
      <c r="B3559" s="6" t="str">
        <f t="shared" si="110"/>
        <v>Building Construction</v>
      </c>
      <c r="C3559" s="6">
        <v>55</v>
      </c>
      <c r="D3559" s="6" t="str">
        <f t="shared" si="111"/>
        <v>Business Services</v>
      </c>
      <c r="E3559" s="6">
        <v>1475534</v>
      </c>
      <c r="F3559" s="6">
        <v>0</v>
      </c>
      <c r="G3559" s="6">
        <v>0</v>
      </c>
      <c r="H3559" s="6">
        <v>0</v>
      </c>
      <c r="I3559" s="6">
        <v>0</v>
      </c>
    </row>
    <row r="3560" spans="1:9">
      <c r="A3560" s="6">
        <v>48</v>
      </c>
      <c r="B3560" s="6" t="str">
        <f t="shared" si="110"/>
        <v>Public Works and Other Construction</v>
      </c>
      <c r="C3560" s="6">
        <v>55</v>
      </c>
      <c r="D3560" s="6" t="str">
        <f t="shared" si="111"/>
        <v>Business Services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</row>
    <row r="3561" spans="1:9">
      <c r="A3561" s="6">
        <v>49</v>
      </c>
      <c r="B3561" s="6" t="str">
        <f t="shared" si="110"/>
        <v>Trade</v>
      </c>
      <c r="C3561" s="6">
        <v>55</v>
      </c>
      <c r="D3561" s="6" t="str">
        <f t="shared" si="111"/>
        <v>Business Services</v>
      </c>
      <c r="E3561" s="6">
        <v>0</v>
      </c>
      <c r="F3561" s="6">
        <v>-12096385</v>
      </c>
      <c r="G3561" s="6">
        <v>-14643165</v>
      </c>
      <c r="H3561" s="6">
        <v>0</v>
      </c>
      <c r="I3561" s="6">
        <v>0</v>
      </c>
    </row>
    <row r="3562" spans="1:9">
      <c r="A3562" s="6">
        <v>50</v>
      </c>
      <c r="B3562" s="6" t="str">
        <f t="shared" si="110"/>
        <v>Restaurants and Hotels</v>
      </c>
      <c r="C3562" s="6">
        <v>55</v>
      </c>
      <c r="D3562" s="6" t="str">
        <f t="shared" si="111"/>
        <v>Business Services</v>
      </c>
      <c r="E3562" s="6">
        <v>48945992</v>
      </c>
      <c r="F3562" s="6">
        <v>0</v>
      </c>
      <c r="G3562" s="6">
        <v>0</v>
      </c>
      <c r="H3562" s="6">
        <v>0</v>
      </c>
      <c r="I3562" s="6">
        <v>0</v>
      </c>
    </row>
    <row r="3563" spans="1:9">
      <c r="A3563" s="6">
        <v>51</v>
      </c>
      <c r="B3563" s="6" t="str">
        <f t="shared" si="110"/>
        <v>Transportation</v>
      </c>
      <c r="C3563" s="6">
        <v>55</v>
      </c>
      <c r="D3563" s="6" t="str">
        <f t="shared" si="111"/>
        <v>Business Services</v>
      </c>
      <c r="E3563" s="6">
        <v>20185204</v>
      </c>
      <c r="F3563" s="6">
        <v>0</v>
      </c>
      <c r="G3563" s="6">
        <v>0</v>
      </c>
      <c r="H3563" s="6">
        <v>-2230483</v>
      </c>
      <c r="I3563" s="6">
        <v>0</v>
      </c>
    </row>
    <row r="3564" spans="1:9">
      <c r="A3564" s="6">
        <v>52</v>
      </c>
      <c r="B3564" s="6" t="str">
        <f t="shared" si="110"/>
        <v>Communication</v>
      </c>
      <c r="C3564" s="6">
        <v>55</v>
      </c>
      <c r="D3564" s="6" t="str">
        <f t="shared" si="111"/>
        <v>Business Services</v>
      </c>
      <c r="E3564" s="6">
        <v>59111127</v>
      </c>
      <c r="F3564" s="6">
        <v>0</v>
      </c>
      <c r="G3564" s="6">
        <v>0</v>
      </c>
      <c r="H3564" s="6">
        <v>0</v>
      </c>
      <c r="I3564" s="6">
        <v>0</v>
      </c>
    </row>
    <row r="3565" spans="1:9">
      <c r="A3565" s="6">
        <v>53</v>
      </c>
      <c r="B3565" s="6" t="str">
        <f t="shared" si="110"/>
        <v>Banking and Insurance</v>
      </c>
      <c r="C3565" s="6">
        <v>55</v>
      </c>
      <c r="D3565" s="6" t="str">
        <f t="shared" si="111"/>
        <v>Business Services</v>
      </c>
      <c r="E3565" s="6">
        <v>56303539</v>
      </c>
      <c r="F3565" s="6">
        <v>0</v>
      </c>
      <c r="G3565" s="6">
        <v>0</v>
      </c>
      <c r="H3565" s="6">
        <v>0</v>
      </c>
      <c r="I3565" s="6">
        <v>2608551</v>
      </c>
    </row>
    <row r="3566" spans="1:9">
      <c r="A3566" s="6">
        <v>54</v>
      </c>
      <c r="B3566" s="6" t="str">
        <f t="shared" si="110"/>
        <v>Real Estate</v>
      </c>
      <c r="C3566" s="6">
        <v>55</v>
      </c>
      <c r="D3566" s="6" t="str">
        <f t="shared" si="111"/>
        <v>Business Services</v>
      </c>
      <c r="E3566" s="6">
        <v>15056857</v>
      </c>
      <c r="F3566" s="6">
        <v>0</v>
      </c>
      <c r="G3566" s="6">
        <v>0</v>
      </c>
      <c r="H3566" s="6">
        <v>0</v>
      </c>
      <c r="I3566" s="6">
        <v>0</v>
      </c>
    </row>
    <row r="3567" spans="1:9">
      <c r="A3567" s="6">
        <v>55</v>
      </c>
      <c r="B3567" s="6" t="str">
        <f t="shared" si="110"/>
        <v>Business Services</v>
      </c>
      <c r="C3567" s="6">
        <v>55</v>
      </c>
      <c r="D3567" s="6" t="str">
        <f t="shared" si="111"/>
        <v>Business Services</v>
      </c>
      <c r="E3567" s="6">
        <v>186257543</v>
      </c>
      <c r="F3567" s="6">
        <v>0</v>
      </c>
      <c r="G3567" s="6">
        <v>0</v>
      </c>
      <c r="H3567" s="6">
        <v>0</v>
      </c>
      <c r="I3567" s="6">
        <v>100702989</v>
      </c>
    </row>
    <row r="3568" spans="1:9">
      <c r="A3568" s="6">
        <v>56</v>
      </c>
      <c r="B3568" s="6" t="str">
        <f t="shared" si="110"/>
        <v>Public Services</v>
      </c>
      <c r="C3568" s="6">
        <v>55</v>
      </c>
      <c r="D3568" s="6" t="str">
        <f t="shared" si="111"/>
        <v>Business Services</v>
      </c>
      <c r="E3568" s="6">
        <v>6517866</v>
      </c>
      <c r="F3568" s="6">
        <v>0</v>
      </c>
      <c r="G3568" s="6">
        <v>0</v>
      </c>
      <c r="H3568" s="6">
        <v>0</v>
      </c>
      <c r="I3568" s="6">
        <v>0</v>
      </c>
    </row>
    <row r="3569" spans="1:9">
      <c r="A3569" s="6">
        <v>57</v>
      </c>
      <c r="B3569" s="6" t="str">
        <f t="shared" si="110"/>
        <v>Other Services</v>
      </c>
      <c r="C3569" s="6">
        <v>55</v>
      </c>
      <c r="D3569" s="6" t="str">
        <f t="shared" si="111"/>
        <v>Business Services</v>
      </c>
      <c r="E3569" s="6">
        <v>113010662</v>
      </c>
      <c r="F3569" s="6">
        <v>0</v>
      </c>
      <c r="G3569" s="6">
        <v>0</v>
      </c>
      <c r="H3569" s="6">
        <v>0</v>
      </c>
      <c r="I3569" s="6">
        <v>0</v>
      </c>
    </row>
    <row r="3570" spans="1:9">
      <c r="A3570" s="6">
        <v>58</v>
      </c>
      <c r="B3570" s="6" t="str">
        <f t="shared" si="110"/>
        <v>Unclassified</v>
      </c>
      <c r="C3570" s="6">
        <v>55</v>
      </c>
      <c r="D3570" s="6" t="str">
        <f t="shared" si="111"/>
        <v>Business Services</v>
      </c>
      <c r="E3570" s="6">
        <v>6982677</v>
      </c>
      <c r="F3570" s="6">
        <v>0</v>
      </c>
      <c r="G3570" s="6">
        <v>0</v>
      </c>
      <c r="H3570" s="6">
        <v>0</v>
      </c>
      <c r="I3570" s="6">
        <v>596446</v>
      </c>
    </row>
    <row r="3571" spans="1:9">
      <c r="A3571" s="6">
        <v>190</v>
      </c>
      <c r="B3571" s="6" t="str">
        <f t="shared" si="110"/>
        <v>Total Intermedite Transaction</v>
      </c>
      <c r="C3571" s="6">
        <v>55</v>
      </c>
      <c r="D3571" s="6" t="str">
        <f t="shared" si="111"/>
        <v>Business Services</v>
      </c>
      <c r="E3571" s="6">
        <v>774493305</v>
      </c>
      <c r="F3571" s="6">
        <v>0</v>
      </c>
      <c r="G3571" s="6">
        <v>0</v>
      </c>
      <c r="H3571" s="6">
        <v>0</v>
      </c>
      <c r="I3571" s="6">
        <v>181455874</v>
      </c>
    </row>
    <row r="3572" spans="1:9">
      <c r="A3572" s="6">
        <v>201</v>
      </c>
      <c r="B3572" s="6" t="str">
        <f t="shared" si="110"/>
        <v>Wages and Salaries</v>
      </c>
      <c r="C3572" s="6">
        <v>55</v>
      </c>
      <c r="D3572" s="6" t="str">
        <f t="shared" si="111"/>
        <v>Business Services</v>
      </c>
      <c r="E3572" s="6">
        <v>157051770</v>
      </c>
      <c r="F3572" s="6">
        <v>0</v>
      </c>
      <c r="G3572" s="6">
        <v>0</v>
      </c>
      <c r="H3572" s="6">
        <v>0</v>
      </c>
      <c r="I3572" s="6">
        <v>0</v>
      </c>
    </row>
    <row r="3573" spans="1:9">
      <c r="A3573" s="6">
        <v>202</v>
      </c>
      <c r="B3573" s="6" t="str">
        <f t="shared" si="110"/>
        <v>Operating Surplus</v>
      </c>
      <c r="C3573" s="6">
        <v>55</v>
      </c>
      <c r="D3573" s="6" t="str">
        <f t="shared" si="111"/>
        <v>Business Services</v>
      </c>
      <c r="E3573" s="6">
        <v>200100257</v>
      </c>
      <c r="F3573" s="6">
        <v>0</v>
      </c>
      <c r="G3573" s="6">
        <v>0</v>
      </c>
      <c r="H3573" s="6">
        <v>0</v>
      </c>
      <c r="I3573" s="6">
        <v>0</v>
      </c>
    </row>
    <row r="3574" spans="1:9">
      <c r="A3574" s="6">
        <v>203</v>
      </c>
      <c r="B3574" s="6" t="str">
        <f t="shared" si="110"/>
        <v>Depreciation</v>
      </c>
      <c r="C3574" s="6">
        <v>55</v>
      </c>
      <c r="D3574" s="6" t="str">
        <f t="shared" si="111"/>
        <v>Business Services</v>
      </c>
      <c r="E3574" s="6">
        <v>73000455</v>
      </c>
      <c r="F3574" s="6">
        <v>0</v>
      </c>
      <c r="G3574" s="6">
        <v>0</v>
      </c>
      <c r="H3574" s="6">
        <v>0</v>
      </c>
      <c r="I3574" s="6">
        <v>0</v>
      </c>
    </row>
    <row r="3575" spans="1:9">
      <c r="A3575" s="6">
        <v>204</v>
      </c>
      <c r="B3575" s="6" t="str">
        <f t="shared" si="110"/>
        <v>Indirect Taxes less Subsidies</v>
      </c>
      <c r="C3575" s="6">
        <v>55</v>
      </c>
      <c r="D3575" s="6" t="str">
        <f t="shared" si="111"/>
        <v>Business Services</v>
      </c>
      <c r="E3575" s="6">
        <v>29403529</v>
      </c>
      <c r="F3575" s="6">
        <v>0</v>
      </c>
      <c r="G3575" s="6">
        <v>0</v>
      </c>
      <c r="H3575" s="6">
        <v>0</v>
      </c>
      <c r="I3575" s="6">
        <v>0</v>
      </c>
    </row>
    <row r="3576" spans="1:9">
      <c r="A3576" s="6">
        <v>209</v>
      </c>
      <c r="B3576" s="6" t="str">
        <f t="shared" si="110"/>
        <v>Total Value Added</v>
      </c>
      <c r="C3576" s="6">
        <v>55</v>
      </c>
      <c r="D3576" s="6" t="str">
        <f t="shared" si="111"/>
        <v>Business Services</v>
      </c>
      <c r="E3576" s="6">
        <v>459556011</v>
      </c>
      <c r="F3576" s="6">
        <v>0</v>
      </c>
      <c r="G3576" s="6">
        <v>0</v>
      </c>
      <c r="H3576" s="6">
        <v>0</v>
      </c>
      <c r="I3576" s="6">
        <v>0</v>
      </c>
    </row>
    <row r="3577" spans="1:9">
      <c r="A3577" s="6">
        <v>210</v>
      </c>
      <c r="B3577" s="6" t="str">
        <f t="shared" si="110"/>
        <v>Control Total</v>
      </c>
      <c r="C3577" s="6">
        <v>55</v>
      </c>
      <c r="D3577" s="6" t="str">
        <f t="shared" si="111"/>
        <v>Business Services</v>
      </c>
      <c r="E3577" s="6">
        <v>1234049316</v>
      </c>
      <c r="F3577" s="6">
        <v>0</v>
      </c>
      <c r="G3577" s="6">
        <v>0</v>
      </c>
      <c r="H3577" s="6">
        <v>0</v>
      </c>
      <c r="I3577" s="6">
        <v>0</v>
      </c>
    </row>
    <row r="3578" spans="1:9">
      <c r="A3578" s="6">
        <v>1</v>
      </c>
      <c r="B3578" s="6" t="str">
        <f t="shared" si="110"/>
        <v>Paddy</v>
      </c>
      <c r="C3578" s="6">
        <v>56</v>
      </c>
      <c r="D3578" s="6" t="str">
        <f t="shared" si="111"/>
        <v>Public Services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</row>
    <row r="3579" spans="1:9">
      <c r="A3579" s="6">
        <v>2</v>
      </c>
      <c r="B3579" s="6" t="str">
        <f t="shared" si="110"/>
        <v>Maize</v>
      </c>
      <c r="C3579" s="6">
        <v>56</v>
      </c>
      <c r="D3579" s="6" t="str">
        <f t="shared" si="111"/>
        <v>Public Services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</row>
    <row r="3580" spans="1:9">
      <c r="A3580" s="6">
        <v>3</v>
      </c>
      <c r="B3580" s="6" t="str">
        <f t="shared" si="110"/>
        <v>Cassava</v>
      </c>
      <c r="C3580" s="6">
        <v>56</v>
      </c>
      <c r="D3580" s="6" t="str">
        <f t="shared" si="111"/>
        <v>Public Services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</row>
    <row r="3581" spans="1:9">
      <c r="A3581" s="6">
        <v>4</v>
      </c>
      <c r="B3581" s="6" t="str">
        <f t="shared" si="110"/>
        <v>Beans and Nuts</v>
      </c>
      <c r="C3581" s="6">
        <v>56</v>
      </c>
      <c r="D3581" s="6" t="str">
        <f t="shared" si="111"/>
        <v>Public Services</v>
      </c>
      <c r="E3581" s="6">
        <v>204294</v>
      </c>
      <c r="F3581" s="6">
        <v>3786</v>
      </c>
      <c r="G3581" s="6">
        <v>5155</v>
      </c>
      <c r="H3581" s="6">
        <v>280</v>
      </c>
      <c r="I3581" s="6">
        <v>171036</v>
      </c>
    </row>
    <row r="3582" spans="1:9">
      <c r="A3582" s="6">
        <v>5</v>
      </c>
      <c r="B3582" s="6" t="str">
        <f t="shared" si="110"/>
        <v>Vegetables and Fruits</v>
      </c>
      <c r="C3582" s="6">
        <v>56</v>
      </c>
      <c r="D3582" s="6" t="str">
        <f t="shared" si="111"/>
        <v>Public Services</v>
      </c>
      <c r="E3582" s="6">
        <v>22284008</v>
      </c>
      <c r="F3582" s="6">
        <v>697011</v>
      </c>
      <c r="G3582" s="6">
        <v>793104</v>
      </c>
      <c r="H3582" s="6">
        <v>346591</v>
      </c>
      <c r="I3582" s="6">
        <v>0</v>
      </c>
    </row>
    <row r="3583" spans="1:9">
      <c r="A3583" s="6">
        <v>6</v>
      </c>
      <c r="B3583" s="6" t="str">
        <f t="shared" si="110"/>
        <v>Sugarcane</v>
      </c>
      <c r="C3583" s="6">
        <v>56</v>
      </c>
      <c r="D3583" s="6" t="str">
        <f t="shared" si="111"/>
        <v>Public Services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</row>
    <row r="3584" spans="1:9">
      <c r="A3584" s="6">
        <v>7</v>
      </c>
      <c r="B3584" s="6" t="str">
        <f t="shared" si="110"/>
        <v>Rubber (Latex)</v>
      </c>
      <c r="C3584" s="6">
        <v>56</v>
      </c>
      <c r="D3584" s="6" t="str">
        <f t="shared" si="111"/>
        <v>Public Services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</row>
    <row r="3585" spans="1:9">
      <c r="A3585" s="6">
        <v>8</v>
      </c>
      <c r="B3585" s="6" t="str">
        <f t="shared" si="110"/>
        <v>Other Crops</v>
      </c>
      <c r="C3585" s="6">
        <v>56</v>
      </c>
      <c r="D3585" s="6" t="str">
        <f t="shared" si="111"/>
        <v>Public Services</v>
      </c>
      <c r="E3585" s="6">
        <v>170045</v>
      </c>
      <c r="F3585" s="6">
        <v>7980</v>
      </c>
      <c r="G3585" s="6">
        <v>3417</v>
      </c>
      <c r="H3585" s="6">
        <v>1784</v>
      </c>
      <c r="I3585" s="6">
        <v>100436</v>
      </c>
    </row>
    <row r="3586" spans="1:9">
      <c r="A3586" s="6">
        <v>9</v>
      </c>
      <c r="B3586" s="6" t="str">
        <f t="shared" si="110"/>
        <v>Livestock</v>
      </c>
      <c r="C3586" s="6">
        <v>56</v>
      </c>
      <c r="D3586" s="6" t="str">
        <f t="shared" si="111"/>
        <v>Public Services</v>
      </c>
      <c r="E3586" s="6">
        <v>1403526</v>
      </c>
      <c r="F3586" s="6">
        <v>29136</v>
      </c>
      <c r="G3586" s="6">
        <v>92273</v>
      </c>
      <c r="H3586" s="6">
        <v>9379</v>
      </c>
      <c r="I3586" s="6">
        <v>0</v>
      </c>
    </row>
    <row r="3587" spans="1:9">
      <c r="A3587" s="6">
        <v>10</v>
      </c>
      <c r="B3587" s="6" t="str">
        <f t="shared" si="110"/>
        <v>Forestry</v>
      </c>
      <c r="C3587" s="6">
        <v>56</v>
      </c>
      <c r="D3587" s="6" t="str">
        <f t="shared" si="111"/>
        <v>Public Services</v>
      </c>
      <c r="E3587" s="6">
        <v>20510</v>
      </c>
      <c r="F3587" s="6">
        <v>902</v>
      </c>
      <c r="G3587" s="6">
        <v>533</v>
      </c>
      <c r="H3587" s="6">
        <v>85</v>
      </c>
      <c r="I3587" s="6">
        <v>0</v>
      </c>
    </row>
    <row r="3588" spans="1:9">
      <c r="A3588" s="6">
        <v>11</v>
      </c>
      <c r="B3588" s="6" t="str">
        <f t="shared" ref="B3588:B3651" si="112">VLOOKUP(A3588,R:S,2,0)</f>
        <v>Fishery</v>
      </c>
      <c r="C3588" s="6">
        <v>56</v>
      </c>
      <c r="D3588" s="6" t="str">
        <f t="shared" ref="D3588:D3651" si="113">VLOOKUP(C3588,R:S,2,0)</f>
        <v>Public Services</v>
      </c>
      <c r="E3588" s="6">
        <v>3605291</v>
      </c>
      <c r="F3588" s="6">
        <v>379284</v>
      </c>
      <c r="G3588" s="6">
        <v>328312</v>
      </c>
      <c r="H3588" s="6">
        <v>64410</v>
      </c>
      <c r="I3588" s="6">
        <v>91714</v>
      </c>
    </row>
    <row r="3589" spans="1:9">
      <c r="A3589" s="6">
        <v>12</v>
      </c>
      <c r="B3589" s="6" t="str">
        <f t="shared" si="112"/>
        <v>Crude Oil and Coal</v>
      </c>
      <c r="C3589" s="6">
        <v>56</v>
      </c>
      <c r="D3589" s="6" t="str">
        <f t="shared" si="113"/>
        <v>Public Services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</row>
    <row r="3590" spans="1:9">
      <c r="A3590" s="6">
        <v>13</v>
      </c>
      <c r="B3590" s="6" t="str">
        <f t="shared" si="112"/>
        <v>Metal Ore</v>
      </c>
      <c r="C3590" s="6">
        <v>56</v>
      </c>
      <c r="D3590" s="6" t="str">
        <f t="shared" si="113"/>
        <v>Public Services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</row>
    <row r="3591" spans="1:9">
      <c r="A3591" s="6">
        <v>14</v>
      </c>
      <c r="B3591" s="6" t="str">
        <f t="shared" si="112"/>
        <v>Non-Metal Ore</v>
      </c>
      <c r="C3591" s="6">
        <v>56</v>
      </c>
      <c r="D3591" s="6" t="str">
        <f t="shared" si="113"/>
        <v>Public Services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</row>
    <row r="3592" spans="1:9">
      <c r="A3592" s="6">
        <v>15</v>
      </c>
      <c r="B3592" s="6" t="str">
        <f t="shared" si="112"/>
        <v>Slaughtering</v>
      </c>
      <c r="C3592" s="6">
        <v>56</v>
      </c>
      <c r="D3592" s="6" t="str">
        <f t="shared" si="113"/>
        <v>Public Services</v>
      </c>
      <c r="E3592" s="6">
        <v>6358363</v>
      </c>
      <c r="F3592" s="6">
        <v>12649</v>
      </c>
      <c r="G3592" s="6">
        <v>8917</v>
      </c>
      <c r="H3592" s="6">
        <v>13987</v>
      </c>
      <c r="I3592" s="6">
        <v>0</v>
      </c>
    </row>
    <row r="3593" spans="1:9">
      <c r="A3593" s="6">
        <v>16</v>
      </c>
      <c r="B3593" s="6" t="str">
        <f t="shared" si="112"/>
        <v>Processing and Presering of Foods</v>
      </c>
      <c r="C3593" s="6">
        <v>56</v>
      </c>
      <c r="D3593" s="6" t="str">
        <f t="shared" si="113"/>
        <v>Public Services</v>
      </c>
      <c r="E3593" s="6">
        <v>9143487</v>
      </c>
      <c r="F3593" s="6">
        <v>334380</v>
      </c>
      <c r="G3593" s="6">
        <v>386700</v>
      </c>
      <c r="H3593" s="6">
        <v>101348</v>
      </c>
      <c r="I3593" s="6">
        <v>1592900</v>
      </c>
    </row>
    <row r="3594" spans="1:9">
      <c r="A3594" s="6">
        <v>17</v>
      </c>
      <c r="B3594" s="6" t="str">
        <f t="shared" si="112"/>
        <v>Rice and Other Grain Milling</v>
      </c>
      <c r="C3594" s="6">
        <v>56</v>
      </c>
      <c r="D3594" s="6" t="str">
        <f t="shared" si="113"/>
        <v>Public Services</v>
      </c>
      <c r="E3594" s="6">
        <v>11029758</v>
      </c>
      <c r="F3594" s="6">
        <v>116499</v>
      </c>
      <c r="G3594" s="6">
        <v>727595</v>
      </c>
      <c r="H3594" s="6">
        <v>173035</v>
      </c>
      <c r="I3594" s="6">
        <v>0</v>
      </c>
    </row>
    <row r="3595" spans="1:9">
      <c r="A3595" s="6">
        <v>18</v>
      </c>
      <c r="B3595" s="6" t="str">
        <f t="shared" si="112"/>
        <v>Sugar Refineries</v>
      </c>
      <c r="C3595" s="6">
        <v>56</v>
      </c>
      <c r="D3595" s="6" t="str">
        <f t="shared" si="113"/>
        <v>Public Services</v>
      </c>
      <c r="E3595" s="6">
        <v>866886</v>
      </c>
      <c r="F3595" s="6">
        <v>21618</v>
      </c>
      <c r="G3595" s="6">
        <v>59564</v>
      </c>
      <c r="H3595" s="6">
        <v>11756</v>
      </c>
      <c r="I3595" s="6">
        <v>19803</v>
      </c>
    </row>
    <row r="3596" spans="1:9">
      <c r="A3596" s="6">
        <v>19</v>
      </c>
      <c r="B3596" s="6" t="str">
        <f t="shared" si="112"/>
        <v>Other Foods</v>
      </c>
      <c r="C3596" s="6">
        <v>56</v>
      </c>
      <c r="D3596" s="6" t="str">
        <f t="shared" si="113"/>
        <v>Public Services</v>
      </c>
      <c r="E3596" s="6">
        <v>4685518</v>
      </c>
      <c r="F3596" s="6">
        <v>240918</v>
      </c>
      <c r="G3596" s="6">
        <v>363892</v>
      </c>
      <c r="H3596" s="6">
        <v>85238</v>
      </c>
      <c r="I3596" s="6">
        <v>1271423</v>
      </c>
    </row>
    <row r="3597" spans="1:9">
      <c r="A3597" s="6">
        <v>20</v>
      </c>
      <c r="B3597" s="6" t="str">
        <f t="shared" si="112"/>
        <v>Animal Food</v>
      </c>
      <c r="C3597" s="6">
        <v>56</v>
      </c>
      <c r="D3597" s="6" t="str">
        <f t="shared" si="113"/>
        <v>Public Services</v>
      </c>
      <c r="E3597" s="6">
        <v>197827</v>
      </c>
      <c r="F3597" s="6">
        <v>6484</v>
      </c>
      <c r="G3597" s="6">
        <v>19231</v>
      </c>
      <c r="H3597" s="6">
        <v>1927</v>
      </c>
      <c r="I3597" s="6">
        <v>37435</v>
      </c>
    </row>
    <row r="3598" spans="1:9">
      <c r="A3598" s="6">
        <v>21</v>
      </c>
      <c r="B3598" s="6" t="str">
        <f t="shared" si="112"/>
        <v>Beverages</v>
      </c>
      <c r="C3598" s="6">
        <v>56</v>
      </c>
      <c r="D3598" s="6" t="str">
        <f t="shared" si="113"/>
        <v>Public Services</v>
      </c>
      <c r="E3598" s="6">
        <v>127734</v>
      </c>
      <c r="F3598" s="6">
        <v>16143</v>
      </c>
      <c r="G3598" s="6">
        <v>26092</v>
      </c>
      <c r="H3598" s="6">
        <v>3616</v>
      </c>
      <c r="I3598" s="6">
        <v>0</v>
      </c>
    </row>
    <row r="3599" spans="1:9">
      <c r="A3599" s="6">
        <v>22</v>
      </c>
      <c r="B3599" s="6" t="str">
        <f t="shared" si="112"/>
        <v>Tobacco Processing and Products</v>
      </c>
      <c r="C3599" s="6">
        <v>56</v>
      </c>
      <c r="D3599" s="6" t="str">
        <f t="shared" si="113"/>
        <v>Public Services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</row>
    <row r="3600" spans="1:9">
      <c r="A3600" s="6">
        <v>23</v>
      </c>
      <c r="B3600" s="6" t="str">
        <f t="shared" si="112"/>
        <v>Spinning, Weaving and Bleaching</v>
      </c>
      <c r="C3600" s="6">
        <v>56</v>
      </c>
      <c r="D3600" s="6" t="str">
        <f t="shared" si="113"/>
        <v>Public Services</v>
      </c>
      <c r="E3600" s="6">
        <v>66897</v>
      </c>
      <c r="F3600" s="6">
        <v>9159</v>
      </c>
      <c r="G3600" s="6">
        <v>5706</v>
      </c>
      <c r="H3600" s="6">
        <v>1051</v>
      </c>
      <c r="I3600" s="6">
        <v>0</v>
      </c>
    </row>
    <row r="3601" spans="1:9">
      <c r="A3601" s="6">
        <v>24</v>
      </c>
      <c r="B3601" s="6" t="str">
        <f t="shared" si="112"/>
        <v>Textile Products</v>
      </c>
      <c r="C3601" s="6">
        <v>56</v>
      </c>
      <c r="D3601" s="6" t="str">
        <f t="shared" si="113"/>
        <v>Public Services</v>
      </c>
      <c r="E3601" s="6">
        <v>2976446</v>
      </c>
      <c r="F3601" s="6">
        <v>160458</v>
      </c>
      <c r="G3601" s="6">
        <v>380164</v>
      </c>
      <c r="H3601" s="6">
        <v>18840</v>
      </c>
      <c r="I3601" s="6">
        <v>963025</v>
      </c>
    </row>
    <row r="3602" spans="1:9">
      <c r="A3602" s="6">
        <v>25</v>
      </c>
      <c r="B3602" s="6" t="str">
        <f t="shared" si="112"/>
        <v>Paper and Paper Products</v>
      </c>
      <c r="C3602" s="6">
        <v>56</v>
      </c>
      <c r="D3602" s="6" t="str">
        <f t="shared" si="113"/>
        <v>Public Services</v>
      </c>
      <c r="E3602" s="6">
        <v>38528711</v>
      </c>
      <c r="F3602" s="6">
        <v>4782138</v>
      </c>
      <c r="G3602" s="6">
        <v>2355909</v>
      </c>
      <c r="H3602" s="6">
        <v>625165</v>
      </c>
      <c r="I3602" s="6">
        <v>2700629</v>
      </c>
    </row>
    <row r="3603" spans="1:9">
      <c r="A3603" s="6">
        <v>26</v>
      </c>
      <c r="B3603" s="6" t="str">
        <f t="shared" si="112"/>
        <v>Printing and Publishing</v>
      </c>
      <c r="C3603" s="6">
        <v>56</v>
      </c>
      <c r="D3603" s="6" t="str">
        <f t="shared" si="113"/>
        <v>Public Services</v>
      </c>
      <c r="E3603" s="6">
        <v>17121207</v>
      </c>
      <c r="F3603" s="6">
        <v>763925</v>
      </c>
      <c r="G3603" s="6">
        <v>1811085</v>
      </c>
      <c r="H3603" s="6">
        <v>130856</v>
      </c>
      <c r="I3603" s="6">
        <v>3266944</v>
      </c>
    </row>
    <row r="3604" spans="1:9">
      <c r="A3604" s="6">
        <v>27</v>
      </c>
      <c r="B3604" s="6" t="str">
        <f t="shared" si="112"/>
        <v>Basic Chemical Products</v>
      </c>
      <c r="C3604" s="6">
        <v>56</v>
      </c>
      <c r="D3604" s="6" t="str">
        <f t="shared" si="113"/>
        <v>Public Services</v>
      </c>
      <c r="E3604" s="6">
        <v>27342922</v>
      </c>
      <c r="F3604" s="6">
        <v>3001199</v>
      </c>
      <c r="G3604" s="6">
        <v>1897091</v>
      </c>
      <c r="H3604" s="6">
        <v>528713</v>
      </c>
      <c r="I3604" s="6">
        <v>18591495</v>
      </c>
    </row>
    <row r="3605" spans="1:9">
      <c r="A3605" s="6">
        <v>28</v>
      </c>
      <c r="B3605" s="6" t="str">
        <f t="shared" si="112"/>
        <v>Fertilizer and Pesticides</v>
      </c>
      <c r="C3605" s="6">
        <v>56</v>
      </c>
      <c r="D3605" s="6" t="str">
        <f t="shared" si="113"/>
        <v>Public Services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</row>
    <row r="3606" spans="1:9">
      <c r="A3606" s="6">
        <v>29</v>
      </c>
      <c r="B3606" s="6" t="str">
        <f t="shared" si="112"/>
        <v>Other Chemical Products</v>
      </c>
      <c r="C3606" s="6">
        <v>56</v>
      </c>
      <c r="D3606" s="6" t="str">
        <f t="shared" si="113"/>
        <v>Public Services</v>
      </c>
      <c r="E3606" s="6">
        <v>208500734</v>
      </c>
      <c r="F3606" s="6">
        <v>20911137</v>
      </c>
      <c r="G3606" s="6">
        <v>21845373</v>
      </c>
      <c r="H3606" s="6">
        <v>1584496</v>
      </c>
      <c r="I3606" s="6">
        <v>78026068</v>
      </c>
    </row>
    <row r="3607" spans="1:9">
      <c r="A3607" s="6">
        <v>30</v>
      </c>
      <c r="B3607" s="6" t="str">
        <f t="shared" si="112"/>
        <v>Petroleum Refineries</v>
      </c>
      <c r="C3607" s="6">
        <v>56</v>
      </c>
      <c r="D3607" s="6" t="str">
        <f t="shared" si="113"/>
        <v>Public Services</v>
      </c>
      <c r="E3607" s="6">
        <v>36201896</v>
      </c>
      <c r="F3607" s="6">
        <v>2348144</v>
      </c>
      <c r="G3607" s="6">
        <v>864752</v>
      </c>
      <c r="H3607" s="6">
        <v>281668</v>
      </c>
      <c r="I3607" s="6">
        <v>7035985</v>
      </c>
    </row>
    <row r="3608" spans="1:9">
      <c r="A3608" s="6">
        <v>31</v>
      </c>
      <c r="B3608" s="6" t="str">
        <f t="shared" si="112"/>
        <v>Rubber Products</v>
      </c>
      <c r="C3608" s="6">
        <v>56</v>
      </c>
      <c r="D3608" s="6" t="str">
        <f t="shared" si="113"/>
        <v>Public Services</v>
      </c>
      <c r="E3608" s="6">
        <v>1954273</v>
      </c>
      <c r="F3608" s="6">
        <v>109398</v>
      </c>
      <c r="G3608" s="6">
        <v>171365</v>
      </c>
      <c r="H3608" s="6">
        <v>42305</v>
      </c>
      <c r="I3608" s="6">
        <v>1550040</v>
      </c>
    </row>
    <row r="3609" spans="1:9">
      <c r="A3609" s="6">
        <v>32</v>
      </c>
      <c r="B3609" s="6" t="str">
        <f t="shared" si="112"/>
        <v>Plastic Wares</v>
      </c>
      <c r="C3609" s="6">
        <v>56</v>
      </c>
      <c r="D3609" s="6" t="str">
        <f t="shared" si="113"/>
        <v>Public Services</v>
      </c>
      <c r="E3609" s="6">
        <v>1208493</v>
      </c>
      <c r="F3609" s="6">
        <v>69031</v>
      </c>
      <c r="G3609" s="6">
        <v>93211</v>
      </c>
      <c r="H3609" s="6">
        <v>11069</v>
      </c>
      <c r="I3609" s="6">
        <v>345988</v>
      </c>
    </row>
    <row r="3610" spans="1:9">
      <c r="A3610" s="6">
        <v>33</v>
      </c>
      <c r="B3610" s="6" t="str">
        <f t="shared" si="112"/>
        <v>Cement and Concrete Products</v>
      </c>
      <c r="C3610" s="6">
        <v>56</v>
      </c>
      <c r="D3610" s="6" t="str">
        <f t="shared" si="113"/>
        <v>Public Services</v>
      </c>
      <c r="E3610" s="6">
        <v>76876</v>
      </c>
      <c r="F3610" s="6">
        <v>2767</v>
      </c>
      <c r="G3610" s="6">
        <v>2006</v>
      </c>
      <c r="H3610" s="6">
        <v>1312</v>
      </c>
      <c r="I3610" s="6">
        <v>0</v>
      </c>
    </row>
    <row r="3611" spans="1:9">
      <c r="A3611" s="6">
        <v>34</v>
      </c>
      <c r="B3611" s="6" t="str">
        <f t="shared" si="112"/>
        <v>Other Non-metallic Products</v>
      </c>
      <c r="C3611" s="6">
        <v>56</v>
      </c>
      <c r="D3611" s="6" t="str">
        <f t="shared" si="113"/>
        <v>Public Services</v>
      </c>
      <c r="E3611" s="6">
        <v>207706</v>
      </c>
      <c r="F3611" s="6">
        <v>10098</v>
      </c>
      <c r="G3611" s="6">
        <v>11121</v>
      </c>
      <c r="H3611" s="6">
        <v>2537</v>
      </c>
      <c r="I3611" s="6">
        <v>20544</v>
      </c>
    </row>
    <row r="3612" spans="1:9">
      <c r="A3612" s="6">
        <v>35</v>
      </c>
      <c r="B3612" s="6" t="str">
        <f t="shared" si="112"/>
        <v>Iron and Steel</v>
      </c>
      <c r="C3612" s="6">
        <v>56</v>
      </c>
      <c r="D3612" s="6" t="str">
        <f t="shared" si="113"/>
        <v>Public Services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</row>
    <row r="3613" spans="1:9">
      <c r="A3613" s="6">
        <v>36</v>
      </c>
      <c r="B3613" s="6" t="str">
        <f t="shared" si="112"/>
        <v>Non-ferrous Metal</v>
      </c>
      <c r="C3613" s="6">
        <v>56</v>
      </c>
      <c r="D3613" s="6" t="str">
        <f t="shared" si="113"/>
        <v>Public Services</v>
      </c>
      <c r="E3613" s="6">
        <v>100636</v>
      </c>
      <c r="F3613" s="6">
        <v>7737</v>
      </c>
      <c r="G3613" s="6">
        <v>1531</v>
      </c>
      <c r="H3613" s="6">
        <v>141</v>
      </c>
      <c r="I3613" s="6">
        <v>64639</v>
      </c>
    </row>
    <row r="3614" spans="1:9">
      <c r="A3614" s="6">
        <v>37</v>
      </c>
      <c r="B3614" s="6" t="str">
        <f t="shared" si="112"/>
        <v>Fabricated Metal Products</v>
      </c>
      <c r="C3614" s="6">
        <v>56</v>
      </c>
      <c r="D3614" s="6" t="str">
        <f t="shared" si="113"/>
        <v>Public Services</v>
      </c>
      <c r="E3614" s="6">
        <v>5831658</v>
      </c>
      <c r="F3614" s="6">
        <v>185165</v>
      </c>
      <c r="G3614" s="6">
        <v>243382</v>
      </c>
      <c r="H3614" s="6">
        <v>19045</v>
      </c>
      <c r="I3614" s="6">
        <v>3805640</v>
      </c>
    </row>
    <row r="3615" spans="1:9">
      <c r="A3615" s="6">
        <v>38</v>
      </c>
      <c r="B3615" s="6" t="str">
        <f t="shared" si="112"/>
        <v>Industrial Machinery</v>
      </c>
      <c r="C3615" s="6">
        <v>56</v>
      </c>
      <c r="D3615" s="6" t="str">
        <f t="shared" si="113"/>
        <v>Public Services</v>
      </c>
      <c r="E3615" s="6">
        <v>3420274</v>
      </c>
      <c r="F3615" s="6">
        <v>259759</v>
      </c>
      <c r="G3615" s="6">
        <v>955</v>
      </c>
      <c r="H3615" s="6">
        <v>50609</v>
      </c>
      <c r="I3615" s="6">
        <v>751945</v>
      </c>
    </row>
    <row r="3616" spans="1:9">
      <c r="A3616" s="6">
        <v>39</v>
      </c>
      <c r="B3616" s="6" t="str">
        <f t="shared" si="112"/>
        <v>Electrical Machinery and Apparatus</v>
      </c>
      <c r="C3616" s="6">
        <v>56</v>
      </c>
      <c r="D3616" s="6" t="str">
        <f t="shared" si="113"/>
        <v>Public Services</v>
      </c>
      <c r="E3616" s="6">
        <v>36910017</v>
      </c>
      <c r="F3616" s="6">
        <v>1879234</v>
      </c>
      <c r="G3616" s="6">
        <v>2250254</v>
      </c>
      <c r="H3616" s="6">
        <v>346285</v>
      </c>
      <c r="I3616" s="6">
        <v>13690993</v>
      </c>
    </row>
    <row r="3617" spans="1:9">
      <c r="A3617" s="6">
        <v>40</v>
      </c>
      <c r="B3617" s="6" t="str">
        <f t="shared" si="112"/>
        <v>Motor Vehicles and Repairing</v>
      </c>
      <c r="C3617" s="6">
        <v>56</v>
      </c>
      <c r="D3617" s="6" t="str">
        <f t="shared" si="113"/>
        <v>Public Services</v>
      </c>
      <c r="E3617" s="6">
        <v>9797914</v>
      </c>
      <c r="F3617" s="6">
        <v>0</v>
      </c>
      <c r="G3617" s="6">
        <v>0</v>
      </c>
      <c r="H3617" s="6">
        <v>0</v>
      </c>
      <c r="I3617" s="6">
        <v>0</v>
      </c>
    </row>
    <row r="3618" spans="1:9">
      <c r="A3618" s="6">
        <v>41</v>
      </c>
      <c r="B3618" s="6" t="str">
        <f t="shared" si="112"/>
        <v>Other Transportation Equipment</v>
      </c>
      <c r="C3618" s="6">
        <v>56</v>
      </c>
      <c r="D3618" s="6" t="str">
        <f t="shared" si="113"/>
        <v>Public Services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</row>
    <row r="3619" spans="1:9">
      <c r="A3619" s="6">
        <v>42</v>
      </c>
      <c r="B3619" s="6" t="str">
        <f t="shared" si="112"/>
        <v>Leather Products</v>
      </c>
      <c r="C3619" s="6">
        <v>56</v>
      </c>
      <c r="D3619" s="6" t="str">
        <f t="shared" si="113"/>
        <v>Public Services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</row>
    <row r="3620" spans="1:9">
      <c r="A3620" s="6">
        <v>43</v>
      </c>
      <c r="B3620" s="6" t="str">
        <f t="shared" si="112"/>
        <v>Saw Mills and Wood Products</v>
      </c>
      <c r="C3620" s="6">
        <v>56</v>
      </c>
      <c r="D3620" s="6" t="str">
        <f t="shared" si="113"/>
        <v>Public Services</v>
      </c>
      <c r="E3620" s="6">
        <v>772153</v>
      </c>
      <c r="F3620" s="6">
        <v>87015</v>
      </c>
      <c r="G3620" s="6">
        <v>97841</v>
      </c>
      <c r="H3620" s="6">
        <v>8484</v>
      </c>
      <c r="I3620" s="6">
        <v>0</v>
      </c>
    </row>
    <row r="3621" spans="1:9">
      <c r="A3621" s="6">
        <v>44</v>
      </c>
      <c r="B3621" s="6" t="str">
        <f t="shared" si="112"/>
        <v>Other Manufacturing Products</v>
      </c>
      <c r="C3621" s="6">
        <v>56</v>
      </c>
      <c r="D3621" s="6" t="str">
        <f t="shared" si="113"/>
        <v>Public Services</v>
      </c>
      <c r="E3621" s="6">
        <v>75341943</v>
      </c>
      <c r="F3621" s="6">
        <v>3431065</v>
      </c>
      <c r="G3621" s="6">
        <v>4501838</v>
      </c>
      <c r="H3621" s="6">
        <v>523232</v>
      </c>
      <c r="I3621" s="6">
        <v>51494008</v>
      </c>
    </row>
    <row r="3622" spans="1:9">
      <c r="A3622" s="6">
        <v>45</v>
      </c>
      <c r="B3622" s="6" t="str">
        <f t="shared" si="112"/>
        <v>Electricity and Gas</v>
      </c>
      <c r="C3622" s="6">
        <v>56</v>
      </c>
      <c r="D3622" s="6" t="str">
        <f t="shared" si="113"/>
        <v>Public Services</v>
      </c>
      <c r="E3622" s="6">
        <v>42529908</v>
      </c>
      <c r="F3622" s="6">
        <v>5009</v>
      </c>
      <c r="G3622" s="6">
        <v>7451</v>
      </c>
      <c r="H3622" s="6">
        <v>1636</v>
      </c>
      <c r="I3622" s="6">
        <v>0</v>
      </c>
    </row>
    <row r="3623" spans="1:9">
      <c r="A3623" s="6">
        <v>46</v>
      </c>
      <c r="B3623" s="6" t="str">
        <f t="shared" si="112"/>
        <v>Water Works and Supply</v>
      </c>
      <c r="C3623" s="6">
        <v>56</v>
      </c>
      <c r="D3623" s="6" t="str">
        <f t="shared" si="113"/>
        <v>Public Services</v>
      </c>
      <c r="E3623" s="6">
        <v>1299285</v>
      </c>
      <c r="F3623" s="6">
        <v>0</v>
      </c>
      <c r="G3623" s="6">
        <v>0</v>
      </c>
      <c r="H3623" s="6">
        <v>0</v>
      </c>
      <c r="I3623" s="6">
        <v>0</v>
      </c>
    </row>
    <row r="3624" spans="1:9">
      <c r="A3624" s="6">
        <v>47</v>
      </c>
      <c r="B3624" s="6" t="str">
        <f t="shared" si="112"/>
        <v>Building Construction</v>
      </c>
      <c r="C3624" s="6">
        <v>56</v>
      </c>
      <c r="D3624" s="6" t="str">
        <f t="shared" si="113"/>
        <v>Public Services</v>
      </c>
      <c r="E3624" s="6">
        <v>4677687</v>
      </c>
      <c r="F3624" s="6">
        <v>0</v>
      </c>
      <c r="G3624" s="6">
        <v>0</v>
      </c>
      <c r="H3624" s="6">
        <v>0</v>
      </c>
      <c r="I3624" s="6">
        <v>0</v>
      </c>
    </row>
    <row r="3625" spans="1:9">
      <c r="A3625" s="6">
        <v>48</v>
      </c>
      <c r="B3625" s="6" t="str">
        <f t="shared" si="112"/>
        <v>Public Works and Other Construction</v>
      </c>
      <c r="C3625" s="6">
        <v>56</v>
      </c>
      <c r="D3625" s="6" t="str">
        <f t="shared" si="113"/>
        <v>Public Services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</row>
    <row r="3626" spans="1:9">
      <c r="A3626" s="6">
        <v>49</v>
      </c>
      <c r="B3626" s="6" t="str">
        <f t="shared" si="112"/>
        <v>Trade</v>
      </c>
      <c r="C3626" s="6">
        <v>56</v>
      </c>
      <c r="D3626" s="6" t="str">
        <f t="shared" si="113"/>
        <v>Public Services</v>
      </c>
      <c r="E3626" s="6">
        <v>0</v>
      </c>
      <c r="F3626" s="6">
        <v>-39889228</v>
      </c>
      <c r="G3626" s="6">
        <v>-39355820</v>
      </c>
      <c r="H3626" s="6">
        <v>0</v>
      </c>
      <c r="I3626" s="6">
        <v>0</v>
      </c>
    </row>
    <row r="3627" spans="1:9">
      <c r="A3627" s="6">
        <v>50</v>
      </c>
      <c r="B3627" s="6" t="str">
        <f t="shared" si="112"/>
        <v>Restaurants and Hotels</v>
      </c>
      <c r="C3627" s="6">
        <v>56</v>
      </c>
      <c r="D3627" s="6" t="str">
        <f t="shared" si="113"/>
        <v>Public Services</v>
      </c>
      <c r="E3627" s="6">
        <v>25080684</v>
      </c>
      <c r="F3627" s="6">
        <v>0</v>
      </c>
      <c r="G3627" s="6">
        <v>0</v>
      </c>
      <c r="H3627" s="6">
        <v>0</v>
      </c>
      <c r="I3627" s="6">
        <v>0</v>
      </c>
    </row>
    <row r="3628" spans="1:9">
      <c r="A3628" s="6">
        <v>51</v>
      </c>
      <c r="B3628" s="6" t="str">
        <f t="shared" si="112"/>
        <v>Transportation</v>
      </c>
      <c r="C3628" s="6">
        <v>56</v>
      </c>
      <c r="D3628" s="6" t="str">
        <f t="shared" si="113"/>
        <v>Public Services</v>
      </c>
      <c r="E3628" s="6">
        <v>4330491</v>
      </c>
      <c r="F3628" s="6">
        <v>0</v>
      </c>
      <c r="G3628" s="6">
        <v>0</v>
      </c>
      <c r="H3628" s="6">
        <v>-4990880</v>
      </c>
      <c r="I3628" s="6">
        <v>0</v>
      </c>
    </row>
    <row r="3629" spans="1:9">
      <c r="A3629" s="6">
        <v>52</v>
      </c>
      <c r="B3629" s="6" t="str">
        <f t="shared" si="112"/>
        <v>Communication</v>
      </c>
      <c r="C3629" s="6">
        <v>56</v>
      </c>
      <c r="D3629" s="6" t="str">
        <f t="shared" si="113"/>
        <v>Public Services</v>
      </c>
      <c r="E3629" s="6">
        <v>7480931</v>
      </c>
      <c r="F3629" s="6">
        <v>0</v>
      </c>
      <c r="G3629" s="6">
        <v>0</v>
      </c>
      <c r="H3629" s="6">
        <v>0</v>
      </c>
      <c r="I3629" s="6">
        <v>0</v>
      </c>
    </row>
    <row r="3630" spans="1:9">
      <c r="A3630" s="6">
        <v>53</v>
      </c>
      <c r="B3630" s="6" t="str">
        <f t="shared" si="112"/>
        <v>Banking and Insurance</v>
      </c>
      <c r="C3630" s="6">
        <v>56</v>
      </c>
      <c r="D3630" s="6" t="str">
        <f t="shared" si="113"/>
        <v>Public Services</v>
      </c>
      <c r="E3630" s="6">
        <v>16171678</v>
      </c>
      <c r="F3630" s="6">
        <v>0</v>
      </c>
      <c r="G3630" s="6">
        <v>0</v>
      </c>
      <c r="H3630" s="6">
        <v>0</v>
      </c>
      <c r="I3630" s="6">
        <v>0</v>
      </c>
    </row>
    <row r="3631" spans="1:9">
      <c r="A3631" s="6">
        <v>54</v>
      </c>
      <c r="B3631" s="6" t="str">
        <f t="shared" si="112"/>
        <v>Real Estate</v>
      </c>
      <c r="C3631" s="6">
        <v>56</v>
      </c>
      <c r="D3631" s="6" t="str">
        <f t="shared" si="113"/>
        <v>Public Services</v>
      </c>
      <c r="E3631" s="6">
        <v>2746489</v>
      </c>
      <c r="F3631" s="6">
        <v>0</v>
      </c>
      <c r="G3631" s="6">
        <v>0</v>
      </c>
      <c r="H3631" s="6">
        <v>0</v>
      </c>
      <c r="I3631" s="6">
        <v>0</v>
      </c>
    </row>
    <row r="3632" spans="1:9">
      <c r="A3632" s="6">
        <v>55</v>
      </c>
      <c r="B3632" s="6" t="str">
        <f t="shared" si="112"/>
        <v>Business Services</v>
      </c>
      <c r="C3632" s="6">
        <v>56</v>
      </c>
      <c r="D3632" s="6" t="str">
        <f t="shared" si="113"/>
        <v>Public Services</v>
      </c>
      <c r="E3632" s="6">
        <v>37014591</v>
      </c>
      <c r="F3632" s="6">
        <v>0</v>
      </c>
      <c r="G3632" s="6">
        <v>0</v>
      </c>
      <c r="H3632" s="6">
        <v>0</v>
      </c>
      <c r="I3632" s="6">
        <v>0</v>
      </c>
    </row>
    <row r="3633" spans="1:9">
      <c r="A3633" s="6">
        <v>56</v>
      </c>
      <c r="B3633" s="6" t="str">
        <f t="shared" si="112"/>
        <v>Public Services</v>
      </c>
      <c r="C3633" s="6">
        <v>56</v>
      </c>
      <c r="D3633" s="6" t="str">
        <f t="shared" si="113"/>
        <v>Public Services</v>
      </c>
      <c r="E3633" s="6">
        <v>9226374</v>
      </c>
      <c r="F3633" s="6">
        <v>0</v>
      </c>
      <c r="G3633" s="6">
        <v>0</v>
      </c>
      <c r="H3633" s="6">
        <v>0</v>
      </c>
      <c r="I3633" s="6">
        <v>0</v>
      </c>
    </row>
    <row r="3634" spans="1:9">
      <c r="A3634" s="6">
        <v>57</v>
      </c>
      <c r="B3634" s="6" t="str">
        <f t="shared" si="112"/>
        <v>Other Services</v>
      </c>
      <c r="C3634" s="6">
        <v>56</v>
      </c>
      <c r="D3634" s="6" t="str">
        <f t="shared" si="113"/>
        <v>Public Services</v>
      </c>
      <c r="E3634" s="6">
        <v>12883950</v>
      </c>
      <c r="F3634" s="6">
        <v>0</v>
      </c>
      <c r="G3634" s="6">
        <v>0</v>
      </c>
      <c r="H3634" s="6">
        <v>0</v>
      </c>
      <c r="I3634" s="6">
        <v>0</v>
      </c>
    </row>
    <row r="3635" spans="1:9">
      <c r="A3635" s="6">
        <v>58</v>
      </c>
      <c r="B3635" s="6" t="str">
        <f t="shared" si="112"/>
        <v>Unclassified</v>
      </c>
      <c r="C3635" s="6">
        <v>56</v>
      </c>
      <c r="D3635" s="6" t="str">
        <f t="shared" si="113"/>
        <v>Public Services</v>
      </c>
      <c r="E3635" s="6">
        <v>3526403</v>
      </c>
      <c r="F3635" s="6">
        <v>0</v>
      </c>
      <c r="G3635" s="6">
        <v>0</v>
      </c>
      <c r="H3635" s="6">
        <v>0</v>
      </c>
      <c r="I3635" s="6">
        <v>392303</v>
      </c>
    </row>
    <row r="3636" spans="1:9">
      <c r="A3636" s="6">
        <v>190</v>
      </c>
      <c r="B3636" s="6" t="str">
        <f t="shared" si="112"/>
        <v>Total Intermedite Transaction</v>
      </c>
      <c r="C3636" s="6">
        <v>56</v>
      </c>
      <c r="D3636" s="6" t="str">
        <f t="shared" si="113"/>
        <v>Public Services</v>
      </c>
      <c r="E3636" s="6">
        <v>693426474</v>
      </c>
      <c r="F3636" s="6">
        <v>0</v>
      </c>
      <c r="G3636" s="6">
        <v>0</v>
      </c>
      <c r="H3636" s="6">
        <v>0</v>
      </c>
      <c r="I3636" s="6">
        <v>185984993</v>
      </c>
    </row>
    <row r="3637" spans="1:9">
      <c r="A3637" s="6">
        <v>201</v>
      </c>
      <c r="B3637" s="6" t="str">
        <f t="shared" si="112"/>
        <v>Wages and Salaries</v>
      </c>
      <c r="C3637" s="6">
        <v>56</v>
      </c>
      <c r="D3637" s="6" t="str">
        <f t="shared" si="113"/>
        <v>Public Services</v>
      </c>
      <c r="E3637" s="6">
        <v>1568187883</v>
      </c>
      <c r="F3637" s="6">
        <v>0</v>
      </c>
      <c r="G3637" s="6">
        <v>0</v>
      </c>
      <c r="H3637" s="6">
        <v>0</v>
      </c>
      <c r="I3637" s="6">
        <v>0</v>
      </c>
    </row>
    <row r="3638" spans="1:9">
      <c r="A3638" s="6">
        <v>202</v>
      </c>
      <c r="B3638" s="6" t="str">
        <f t="shared" si="112"/>
        <v>Operating Surplus</v>
      </c>
      <c r="C3638" s="6">
        <v>56</v>
      </c>
      <c r="D3638" s="6" t="str">
        <f t="shared" si="113"/>
        <v>Public Services</v>
      </c>
      <c r="E3638" s="6">
        <v>178554120</v>
      </c>
      <c r="F3638" s="6">
        <v>0</v>
      </c>
      <c r="G3638" s="6">
        <v>0</v>
      </c>
      <c r="H3638" s="6">
        <v>0</v>
      </c>
      <c r="I3638" s="6">
        <v>0</v>
      </c>
    </row>
    <row r="3639" spans="1:9">
      <c r="A3639" s="6">
        <v>203</v>
      </c>
      <c r="B3639" s="6" t="str">
        <f t="shared" si="112"/>
        <v>Depreciation</v>
      </c>
      <c r="C3639" s="6">
        <v>56</v>
      </c>
      <c r="D3639" s="6" t="str">
        <f t="shared" si="113"/>
        <v>Public Services</v>
      </c>
      <c r="E3639" s="6">
        <v>394879485</v>
      </c>
      <c r="F3639" s="6">
        <v>0</v>
      </c>
      <c r="G3639" s="6">
        <v>0</v>
      </c>
      <c r="H3639" s="6">
        <v>0</v>
      </c>
      <c r="I3639" s="6">
        <v>0</v>
      </c>
    </row>
    <row r="3640" spans="1:9">
      <c r="A3640" s="6">
        <v>204</v>
      </c>
      <c r="B3640" s="6" t="str">
        <f t="shared" si="112"/>
        <v>Indirect Taxes less Subsidies</v>
      </c>
      <c r="C3640" s="6">
        <v>56</v>
      </c>
      <c r="D3640" s="6" t="str">
        <f t="shared" si="113"/>
        <v>Public Services</v>
      </c>
      <c r="E3640" s="6">
        <v>8993207</v>
      </c>
      <c r="F3640" s="6">
        <v>0</v>
      </c>
      <c r="G3640" s="6">
        <v>0</v>
      </c>
      <c r="H3640" s="6">
        <v>0</v>
      </c>
      <c r="I3640" s="6">
        <v>0</v>
      </c>
    </row>
    <row r="3641" spans="1:9">
      <c r="A3641" s="6">
        <v>209</v>
      </c>
      <c r="B3641" s="6" t="str">
        <f t="shared" si="112"/>
        <v>Total Value Added</v>
      </c>
      <c r="C3641" s="6">
        <v>56</v>
      </c>
      <c r="D3641" s="6" t="str">
        <f t="shared" si="113"/>
        <v>Public Services</v>
      </c>
      <c r="E3641" s="6">
        <v>2150614695</v>
      </c>
      <c r="F3641" s="6">
        <v>0</v>
      </c>
      <c r="G3641" s="6">
        <v>0</v>
      </c>
      <c r="H3641" s="6">
        <v>0</v>
      </c>
      <c r="I3641" s="6">
        <v>0</v>
      </c>
    </row>
    <row r="3642" spans="1:9">
      <c r="A3642" s="6">
        <v>210</v>
      </c>
      <c r="B3642" s="6" t="str">
        <f t="shared" si="112"/>
        <v>Control Total</v>
      </c>
      <c r="C3642" s="6">
        <v>56</v>
      </c>
      <c r="D3642" s="6" t="str">
        <f t="shared" si="113"/>
        <v>Public Services</v>
      </c>
      <c r="E3642" s="6">
        <v>2844041169</v>
      </c>
      <c r="F3642" s="6">
        <v>0</v>
      </c>
      <c r="G3642" s="6">
        <v>0</v>
      </c>
      <c r="H3642" s="6">
        <v>0</v>
      </c>
      <c r="I3642" s="6">
        <v>0</v>
      </c>
    </row>
    <row r="3643" spans="1:9">
      <c r="A3643" s="6">
        <v>1</v>
      </c>
      <c r="B3643" s="6" t="str">
        <f t="shared" si="112"/>
        <v>Paddy</v>
      </c>
      <c r="C3643" s="6">
        <v>57</v>
      </c>
      <c r="D3643" s="6" t="str">
        <f t="shared" si="113"/>
        <v>Other Services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</row>
    <row r="3644" spans="1:9">
      <c r="A3644" s="6">
        <v>2</v>
      </c>
      <c r="B3644" s="6" t="str">
        <f t="shared" si="112"/>
        <v>Maize</v>
      </c>
      <c r="C3644" s="6">
        <v>57</v>
      </c>
      <c r="D3644" s="6" t="str">
        <f t="shared" si="113"/>
        <v>Other Services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</row>
    <row r="3645" spans="1:9">
      <c r="A3645" s="6">
        <v>3</v>
      </c>
      <c r="B3645" s="6" t="str">
        <f t="shared" si="112"/>
        <v>Cassava</v>
      </c>
      <c r="C3645" s="6">
        <v>57</v>
      </c>
      <c r="D3645" s="6" t="str">
        <f t="shared" si="113"/>
        <v>Other Services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</row>
    <row r="3646" spans="1:9">
      <c r="A3646" s="6">
        <v>4</v>
      </c>
      <c r="B3646" s="6" t="str">
        <f t="shared" si="112"/>
        <v>Beans and Nuts</v>
      </c>
      <c r="C3646" s="6">
        <v>57</v>
      </c>
      <c r="D3646" s="6" t="str">
        <f t="shared" si="113"/>
        <v>Other Services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</row>
    <row r="3647" spans="1:9">
      <c r="A3647" s="6">
        <v>5</v>
      </c>
      <c r="B3647" s="6" t="str">
        <f t="shared" si="112"/>
        <v>Vegetables and Fruits</v>
      </c>
      <c r="C3647" s="6">
        <v>57</v>
      </c>
      <c r="D3647" s="6" t="str">
        <f t="shared" si="113"/>
        <v>Other Services</v>
      </c>
      <c r="E3647" s="6">
        <v>2821187</v>
      </c>
      <c r="F3647" s="6">
        <v>67495</v>
      </c>
      <c r="G3647" s="6">
        <v>126132</v>
      </c>
      <c r="H3647" s="6">
        <v>35239</v>
      </c>
      <c r="I3647" s="6">
        <v>0</v>
      </c>
    </row>
    <row r="3648" spans="1:9">
      <c r="A3648" s="6">
        <v>6</v>
      </c>
      <c r="B3648" s="6" t="str">
        <f t="shared" si="112"/>
        <v>Sugarcane</v>
      </c>
      <c r="C3648" s="6">
        <v>57</v>
      </c>
      <c r="D3648" s="6" t="str">
        <f t="shared" si="113"/>
        <v>Other Services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</row>
    <row r="3649" spans="1:9">
      <c r="A3649" s="6">
        <v>7</v>
      </c>
      <c r="B3649" s="6" t="str">
        <f t="shared" si="112"/>
        <v>Rubber (Latex)</v>
      </c>
      <c r="C3649" s="6">
        <v>57</v>
      </c>
      <c r="D3649" s="6" t="str">
        <f t="shared" si="113"/>
        <v>Other Services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</row>
    <row r="3650" spans="1:9">
      <c r="A3650" s="6">
        <v>8</v>
      </c>
      <c r="B3650" s="6" t="str">
        <f t="shared" si="112"/>
        <v>Other Crops</v>
      </c>
      <c r="C3650" s="6">
        <v>57</v>
      </c>
      <c r="D3650" s="6" t="str">
        <f t="shared" si="113"/>
        <v>Other Services</v>
      </c>
      <c r="E3650" s="6">
        <v>1951087</v>
      </c>
      <c r="F3650" s="6">
        <v>127087</v>
      </c>
      <c r="G3650" s="6">
        <v>250748</v>
      </c>
      <c r="H3650" s="6">
        <v>32813</v>
      </c>
      <c r="I3650" s="6">
        <v>449349</v>
      </c>
    </row>
    <row r="3651" spans="1:9">
      <c r="A3651" s="6">
        <v>9</v>
      </c>
      <c r="B3651" s="6" t="str">
        <f t="shared" si="112"/>
        <v>Livestock</v>
      </c>
      <c r="C3651" s="6">
        <v>57</v>
      </c>
      <c r="D3651" s="6" t="str">
        <f t="shared" si="113"/>
        <v>Other Services</v>
      </c>
      <c r="E3651" s="6">
        <v>36415</v>
      </c>
      <c r="F3651" s="6">
        <v>190</v>
      </c>
      <c r="G3651" s="6">
        <v>371</v>
      </c>
      <c r="H3651" s="6">
        <v>113</v>
      </c>
      <c r="I3651" s="6">
        <v>17845</v>
      </c>
    </row>
    <row r="3652" spans="1:9">
      <c r="A3652" s="6">
        <v>10</v>
      </c>
      <c r="B3652" s="6" t="str">
        <f t="shared" ref="B3652:B3715" si="114">VLOOKUP(A3652,R:S,2,0)</f>
        <v>Forestry</v>
      </c>
      <c r="C3652" s="6">
        <v>57</v>
      </c>
      <c r="D3652" s="6" t="str">
        <f t="shared" ref="D3652:D3715" si="115">VLOOKUP(C3652,R:S,2,0)</f>
        <v>Other Services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</row>
    <row r="3653" spans="1:9">
      <c r="A3653" s="6">
        <v>11</v>
      </c>
      <c r="B3653" s="6" t="str">
        <f t="shared" si="114"/>
        <v>Fishery</v>
      </c>
      <c r="C3653" s="6">
        <v>57</v>
      </c>
      <c r="D3653" s="6" t="str">
        <f t="shared" si="115"/>
        <v>Other Services</v>
      </c>
      <c r="E3653" s="6">
        <v>157531</v>
      </c>
      <c r="F3653" s="6">
        <v>15983</v>
      </c>
      <c r="G3653" s="6">
        <v>15967</v>
      </c>
      <c r="H3653" s="6">
        <v>2880</v>
      </c>
      <c r="I3653" s="6">
        <v>29146</v>
      </c>
    </row>
    <row r="3654" spans="1:9">
      <c r="A3654" s="6">
        <v>12</v>
      </c>
      <c r="B3654" s="6" t="str">
        <f t="shared" si="114"/>
        <v>Crude Oil and Coal</v>
      </c>
      <c r="C3654" s="6">
        <v>57</v>
      </c>
      <c r="D3654" s="6" t="str">
        <f t="shared" si="115"/>
        <v>Other Services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</row>
    <row r="3655" spans="1:9">
      <c r="A3655" s="6">
        <v>13</v>
      </c>
      <c r="B3655" s="6" t="str">
        <f t="shared" si="114"/>
        <v>Metal Ore</v>
      </c>
      <c r="C3655" s="6">
        <v>57</v>
      </c>
      <c r="D3655" s="6" t="str">
        <f t="shared" si="115"/>
        <v>Other Services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</row>
    <row r="3656" spans="1:9">
      <c r="A3656" s="6">
        <v>14</v>
      </c>
      <c r="B3656" s="6" t="str">
        <f t="shared" si="114"/>
        <v>Non-Metal Ore</v>
      </c>
      <c r="C3656" s="6">
        <v>57</v>
      </c>
      <c r="D3656" s="6" t="str">
        <f t="shared" si="115"/>
        <v>Other Services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</row>
    <row r="3657" spans="1:9">
      <c r="A3657" s="6">
        <v>15</v>
      </c>
      <c r="B3657" s="6" t="str">
        <f t="shared" si="114"/>
        <v>Slaughtering</v>
      </c>
      <c r="C3657" s="6">
        <v>57</v>
      </c>
      <c r="D3657" s="6" t="str">
        <f t="shared" si="115"/>
        <v>Other Services</v>
      </c>
      <c r="E3657" s="6">
        <v>2439031</v>
      </c>
      <c r="F3657" s="6">
        <v>33338</v>
      </c>
      <c r="G3657" s="6">
        <v>53729</v>
      </c>
      <c r="H3657" s="6">
        <v>7119</v>
      </c>
      <c r="I3657" s="6">
        <v>0</v>
      </c>
    </row>
    <row r="3658" spans="1:9">
      <c r="A3658" s="6">
        <v>16</v>
      </c>
      <c r="B3658" s="6" t="str">
        <f t="shared" si="114"/>
        <v>Processing and Presering of Foods</v>
      </c>
      <c r="C3658" s="6">
        <v>57</v>
      </c>
      <c r="D3658" s="6" t="str">
        <f t="shared" si="115"/>
        <v>Other Services</v>
      </c>
      <c r="E3658" s="6">
        <v>1905618</v>
      </c>
      <c r="F3658" s="6">
        <v>17161</v>
      </c>
      <c r="G3658" s="6">
        <v>19112</v>
      </c>
      <c r="H3658" s="6">
        <v>14210</v>
      </c>
      <c r="I3658" s="6">
        <v>331429</v>
      </c>
    </row>
    <row r="3659" spans="1:9">
      <c r="A3659" s="6">
        <v>17</v>
      </c>
      <c r="B3659" s="6" t="str">
        <f t="shared" si="114"/>
        <v>Rice and Other Grain Milling</v>
      </c>
      <c r="C3659" s="6">
        <v>57</v>
      </c>
      <c r="D3659" s="6" t="str">
        <f t="shared" si="115"/>
        <v>Other Services</v>
      </c>
      <c r="E3659" s="6">
        <v>3352764</v>
      </c>
      <c r="F3659" s="6">
        <v>62073</v>
      </c>
      <c r="G3659" s="6">
        <v>373181</v>
      </c>
      <c r="H3659" s="6">
        <v>59579</v>
      </c>
      <c r="I3659" s="6">
        <v>0</v>
      </c>
    </row>
    <row r="3660" spans="1:9">
      <c r="A3660" s="6">
        <v>18</v>
      </c>
      <c r="B3660" s="6" t="str">
        <f t="shared" si="114"/>
        <v>Sugar Refineries</v>
      </c>
      <c r="C3660" s="6">
        <v>57</v>
      </c>
      <c r="D3660" s="6" t="str">
        <f t="shared" si="115"/>
        <v>Other Services</v>
      </c>
      <c r="E3660" s="6">
        <v>80069</v>
      </c>
      <c r="F3660" s="6">
        <v>2137</v>
      </c>
      <c r="G3660" s="6">
        <v>2688</v>
      </c>
      <c r="H3660" s="6">
        <v>1257</v>
      </c>
      <c r="I3660" s="6">
        <v>0</v>
      </c>
    </row>
    <row r="3661" spans="1:9">
      <c r="A3661" s="6">
        <v>19</v>
      </c>
      <c r="B3661" s="6" t="str">
        <f t="shared" si="114"/>
        <v>Other Foods</v>
      </c>
      <c r="C3661" s="6">
        <v>57</v>
      </c>
      <c r="D3661" s="6" t="str">
        <f t="shared" si="115"/>
        <v>Other Services</v>
      </c>
      <c r="E3661" s="6">
        <v>375009</v>
      </c>
      <c r="F3661" s="6">
        <v>18223</v>
      </c>
      <c r="G3661" s="6">
        <v>28901</v>
      </c>
      <c r="H3661" s="6">
        <v>5178</v>
      </c>
      <c r="I3661" s="6">
        <v>58026</v>
      </c>
    </row>
    <row r="3662" spans="1:9">
      <c r="A3662" s="6">
        <v>20</v>
      </c>
      <c r="B3662" s="6" t="str">
        <f t="shared" si="114"/>
        <v>Animal Food</v>
      </c>
      <c r="C3662" s="6">
        <v>57</v>
      </c>
      <c r="D3662" s="6" t="str">
        <f t="shared" si="115"/>
        <v>Other Services</v>
      </c>
      <c r="E3662" s="6">
        <v>1246895</v>
      </c>
      <c r="F3662" s="6">
        <v>12891</v>
      </c>
      <c r="G3662" s="6">
        <v>19803</v>
      </c>
      <c r="H3662" s="6">
        <v>9435</v>
      </c>
      <c r="I3662" s="6">
        <v>269043</v>
      </c>
    </row>
    <row r="3663" spans="1:9">
      <c r="A3663" s="6">
        <v>21</v>
      </c>
      <c r="B3663" s="6" t="str">
        <f t="shared" si="114"/>
        <v>Beverages</v>
      </c>
      <c r="C3663" s="6">
        <v>57</v>
      </c>
      <c r="D3663" s="6" t="str">
        <f t="shared" si="115"/>
        <v>Other Services</v>
      </c>
      <c r="E3663" s="6">
        <v>3166919</v>
      </c>
      <c r="F3663" s="6">
        <v>263181</v>
      </c>
      <c r="G3663" s="6">
        <v>181204</v>
      </c>
      <c r="H3663" s="6">
        <v>72633</v>
      </c>
      <c r="I3663" s="6">
        <v>328</v>
      </c>
    </row>
    <row r="3664" spans="1:9">
      <c r="A3664" s="6">
        <v>22</v>
      </c>
      <c r="B3664" s="6" t="str">
        <f t="shared" si="114"/>
        <v>Tobacco Processing and Products</v>
      </c>
      <c r="C3664" s="6">
        <v>57</v>
      </c>
      <c r="D3664" s="6" t="str">
        <f t="shared" si="115"/>
        <v>Other Services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</row>
    <row r="3665" spans="1:9">
      <c r="A3665" s="6">
        <v>23</v>
      </c>
      <c r="B3665" s="6" t="str">
        <f t="shared" si="114"/>
        <v>Spinning, Weaving and Bleaching</v>
      </c>
      <c r="C3665" s="6">
        <v>57</v>
      </c>
      <c r="D3665" s="6" t="str">
        <f t="shared" si="115"/>
        <v>Other Services</v>
      </c>
      <c r="E3665" s="6">
        <v>334827</v>
      </c>
      <c r="F3665" s="6">
        <v>14258</v>
      </c>
      <c r="G3665" s="6">
        <v>6051</v>
      </c>
      <c r="H3665" s="6">
        <v>3301</v>
      </c>
      <c r="I3665" s="6">
        <v>0</v>
      </c>
    </row>
    <row r="3666" spans="1:9">
      <c r="A3666" s="6">
        <v>24</v>
      </c>
      <c r="B3666" s="6" t="str">
        <f t="shared" si="114"/>
        <v>Textile Products</v>
      </c>
      <c r="C3666" s="6">
        <v>57</v>
      </c>
      <c r="D3666" s="6" t="str">
        <f t="shared" si="115"/>
        <v>Other Services</v>
      </c>
      <c r="E3666" s="6">
        <v>3142409</v>
      </c>
      <c r="F3666" s="6">
        <v>208682</v>
      </c>
      <c r="G3666" s="6">
        <v>359274</v>
      </c>
      <c r="H3666" s="6">
        <v>18569</v>
      </c>
      <c r="I3666" s="6">
        <v>731929</v>
      </c>
    </row>
    <row r="3667" spans="1:9">
      <c r="A3667" s="6">
        <v>25</v>
      </c>
      <c r="B3667" s="6" t="str">
        <f t="shared" si="114"/>
        <v>Paper and Paper Products</v>
      </c>
      <c r="C3667" s="6">
        <v>57</v>
      </c>
      <c r="D3667" s="6" t="str">
        <f t="shared" si="115"/>
        <v>Other Services</v>
      </c>
      <c r="E3667" s="6">
        <v>3435178</v>
      </c>
      <c r="F3667" s="6">
        <v>147831</v>
      </c>
      <c r="G3667" s="6">
        <v>133040</v>
      </c>
      <c r="H3667" s="6">
        <v>42622</v>
      </c>
      <c r="I3667" s="6">
        <v>0</v>
      </c>
    </row>
    <row r="3668" spans="1:9">
      <c r="A3668" s="6">
        <v>26</v>
      </c>
      <c r="B3668" s="6" t="str">
        <f t="shared" si="114"/>
        <v>Printing and Publishing</v>
      </c>
      <c r="C3668" s="6">
        <v>57</v>
      </c>
      <c r="D3668" s="6" t="str">
        <f t="shared" si="115"/>
        <v>Other Services</v>
      </c>
      <c r="E3668" s="6">
        <v>1017932</v>
      </c>
      <c r="F3668" s="6">
        <v>57794</v>
      </c>
      <c r="G3668" s="6">
        <v>95908</v>
      </c>
      <c r="H3668" s="6">
        <v>9587</v>
      </c>
      <c r="I3668" s="6">
        <v>435</v>
      </c>
    </row>
    <row r="3669" spans="1:9">
      <c r="A3669" s="6">
        <v>27</v>
      </c>
      <c r="B3669" s="6" t="str">
        <f t="shared" si="114"/>
        <v>Basic Chemical Products</v>
      </c>
      <c r="C3669" s="6">
        <v>57</v>
      </c>
      <c r="D3669" s="6" t="str">
        <f t="shared" si="115"/>
        <v>Other Services</v>
      </c>
      <c r="E3669" s="6">
        <v>1316135</v>
      </c>
      <c r="F3669" s="6">
        <v>42598</v>
      </c>
      <c r="G3669" s="6">
        <v>16510</v>
      </c>
      <c r="H3669" s="6">
        <v>19998</v>
      </c>
      <c r="I3669" s="6">
        <v>982581</v>
      </c>
    </row>
    <row r="3670" spans="1:9">
      <c r="A3670" s="6">
        <v>28</v>
      </c>
      <c r="B3670" s="6" t="str">
        <f t="shared" si="114"/>
        <v>Fertilizer and Pesticides</v>
      </c>
      <c r="C3670" s="6">
        <v>57</v>
      </c>
      <c r="D3670" s="6" t="str">
        <f t="shared" si="115"/>
        <v>Other Services</v>
      </c>
      <c r="E3670" s="6">
        <v>13371822</v>
      </c>
      <c r="F3670" s="6">
        <v>1180767</v>
      </c>
      <c r="G3670" s="6">
        <v>776102</v>
      </c>
      <c r="H3670" s="6">
        <v>480962</v>
      </c>
      <c r="I3670" s="6">
        <v>0</v>
      </c>
    </row>
    <row r="3671" spans="1:9">
      <c r="A3671" s="6">
        <v>29</v>
      </c>
      <c r="B3671" s="6" t="str">
        <f t="shared" si="114"/>
        <v>Other Chemical Products</v>
      </c>
      <c r="C3671" s="6">
        <v>57</v>
      </c>
      <c r="D3671" s="6" t="str">
        <f t="shared" si="115"/>
        <v>Other Services</v>
      </c>
      <c r="E3671" s="6">
        <v>40131587</v>
      </c>
      <c r="F3671" s="6">
        <v>3255049</v>
      </c>
      <c r="G3671" s="6">
        <v>4434699</v>
      </c>
      <c r="H3671" s="6">
        <v>566941</v>
      </c>
      <c r="I3671" s="6">
        <v>16404415</v>
      </c>
    </row>
    <row r="3672" spans="1:9">
      <c r="A3672" s="6">
        <v>30</v>
      </c>
      <c r="B3672" s="6" t="str">
        <f t="shared" si="114"/>
        <v>Petroleum Refineries</v>
      </c>
      <c r="C3672" s="6">
        <v>57</v>
      </c>
      <c r="D3672" s="6" t="str">
        <f t="shared" si="115"/>
        <v>Other Services</v>
      </c>
      <c r="E3672" s="6">
        <v>26346881</v>
      </c>
      <c r="F3672" s="6">
        <v>942943</v>
      </c>
      <c r="G3672" s="6">
        <v>1016971</v>
      </c>
      <c r="H3672" s="6">
        <v>225294</v>
      </c>
      <c r="I3672" s="6">
        <v>5200540</v>
      </c>
    </row>
    <row r="3673" spans="1:9">
      <c r="A3673" s="6">
        <v>31</v>
      </c>
      <c r="B3673" s="6" t="str">
        <f t="shared" si="114"/>
        <v>Rubber Products</v>
      </c>
      <c r="C3673" s="6">
        <v>57</v>
      </c>
      <c r="D3673" s="6" t="str">
        <f t="shared" si="115"/>
        <v>Other Services</v>
      </c>
      <c r="E3673" s="6">
        <v>1071017</v>
      </c>
      <c r="F3673" s="6">
        <v>97624</v>
      </c>
      <c r="G3673" s="6">
        <v>130033</v>
      </c>
      <c r="H3673" s="6">
        <v>26478</v>
      </c>
      <c r="I3673" s="6">
        <v>619794</v>
      </c>
    </row>
    <row r="3674" spans="1:9">
      <c r="A3674" s="6">
        <v>32</v>
      </c>
      <c r="B3674" s="6" t="str">
        <f t="shared" si="114"/>
        <v>Plastic Wares</v>
      </c>
      <c r="C3674" s="6">
        <v>57</v>
      </c>
      <c r="D3674" s="6" t="str">
        <f t="shared" si="115"/>
        <v>Other Services</v>
      </c>
      <c r="E3674" s="6">
        <v>6288348</v>
      </c>
      <c r="F3674" s="6">
        <v>242953</v>
      </c>
      <c r="G3674" s="6">
        <v>365449</v>
      </c>
      <c r="H3674" s="6">
        <v>58695</v>
      </c>
      <c r="I3674" s="6">
        <v>1625085</v>
      </c>
    </row>
    <row r="3675" spans="1:9">
      <c r="A3675" s="6">
        <v>33</v>
      </c>
      <c r="B3675" s="6" t="str">
        <f t="shared" si="114"/>
        <v>Cement and Concrete Products</v>
      </c>
      <c r="C3675" s="6">
        <v>57</v>
      </c>
      <c r="D3675" s="6" t="str">
        <f t="shared" si="115"/>
        <v>Other Services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</row>
    <row r="3676" spans="1:9">
      <c r="A3676" s="6">
        <v>34</v>
      </c>
      <c r="B3676" s="6" t="str">
        <f t="shared" si="114"/>
        <v>Other Non-metallic Products</v>
      </c>
      <c r="C3676" s="6">
        <v>57</v>
      </c>
      <c r="D3676" s="6" t="str">
        <f t="shared" si="115"/>
        <v>Other Services</v>
      </c>
      <c r="E3676" s="6">
        <v>135140</v>
      </c>
      <c r="F3676" s="6">
        <v>10695</v>
      </c>
      <c r="G3676" s="6">
        <v>11127</v>
      </c>
      <c r="H3676" s="6">
        <v>1836</v>
      </c>
      <c r="I3676" s="6">
        <v>0</v>
      </c>
    </row>
    <row r="3677" spans="1:9">
      <c r="A3677" s="6">
        <v>35</v>
      </c>
      <c r="B3677" s="6" t="str">
        <f t="shared" si="114"/>
        <v>Iron and Steel</v>
      </c>
      <c r="C3677" s="6">
        <v>57</v>
      </c>
      <c r="D3677" s="6" t="str">
        <f t="shared" si="115"/>
        <v>Other Services</v>
      </c>
      <c r="E3677" s="6">
        <v>7148686</v>
      </c>
      <c r="F3677" s="6">
        <v>231706</v>
      </c>
      <c r="G3677" s="6">
        <v>586261</v>
      </c>
      <c r="H3677" s="6">
        <v>76049</v>
      </c>
      <c r="I3677" s="6">
        <v>3526179</v>
      </c>
    </row>
    <row r="3678" spans="1:9">
      <c r="A3678" s="6">
        <v>36</v>
      </c>
      <c r="B3678" s="6" t="str">
        <f t="shared" si="114"/>
        <v>Non-ferrous Metal</v>
      </c>
      <c r="C3678" s="6">
        <v>57</v>
      </c>
      <c r="D3678" s="6" t="str">
        <f t="shared" si="115"/>
        <v>Other Services</v>
      </c>
      <c r="E3678" s="6">
        <v>8617753</v>
      </c>
      <c r="F3678" s="6">
        <v>297074</v>
      </c>
      <c r="G3678" s="6">
        <v>128526</v>
      </c>
      <c r="H3678" s="6">
        <v>12471</v>
      </c>
      <c r="I3678" s="6">
        <v>5832651</v>
      </c>
    </row>
    <row r="3679" spans="1:9">
      <c r="A3679" s="6">
        <v>37</v>
      </c>
      <c r="B3679" s="6" t="str">
        <f t="shared" si="114"/>
        <v>Fabricated Metal Products</v>
      </c>
      <c r="C3679" s="6">
        <v>57</v>
      </c>
      <c r="D3679" s="6" t="str">
        <f t="shared" si="115"/>
        <v>Other Services</v>
      </c>
      <c r="E3679" s="6">
        <v>8499915</v>
      </c>
      <c r="F3679" s="6">
        <v>138174</v>
      </c>
      <c r="G3679" s="6">
        <v>373445</v>
      </c>
      <c r="H3679" s="6">
        <v>24583</v>
      </c>
      <c r="I3679" s="6">
        <v>5922925</v>
      </c>
    </row>
    <row r="3680" spans="1:9">
      <c r="A3680" s="6">
        <v>38</v>
      </c>
      <c r="B3680" s="6" t="str">
        <f t="shared" si="114"/>
        <v>Industrial Machinery</v>
      </c>
      <c r="C3680" s="6">
        <v>57</v>
      </c>
      <c r="D3680" s="6" t="str">
        <f t="shared" si="115"/>
        <v>Other Services</v>
      </c>
      <c r="E3680" s="6">
        <v>2482406</v>
      </c>
      <c r="F3680" s="6">
        <v>168293</v>
      </c>
      <c r="G3680" s="6">
        <v>32065</v>
      </c>
      <c r="H3680" s="6">
        <v>34455</v>
      </c>
      <c r="I3680" s="6">
        <v>118598</v>
      </c>
    </row>
    <row r="3681" spans="1:9">
      <c r="A3681" s="6">
        <v>39</v>
      </c>
      <c r="B3681" s="6" t="str">
        <f t="shared" si="114"/>
        <v>Electrical Machinery and Apparatus</v>
      </c>
      <c r="C3681" s="6">
        <v>57</v>
      </c>
      <c r="D3681" s="6" t="str">
        <f t="shared" si="115"/>
        <v>Other Services</v>
      </c>
      <c r="E3681" s="6">
        <v>142729036</v>
      </c>
      <c r="F3681" s="6">
        <v>7434678</v>
      </c>
      <c r="G3681" s="6">
        <v>8743707</v>
      </c>
      <c r="H3681" s="6">
        <v>1031643</v>
      </c>
      <c r="I3681" s="6">
        <v>45751564</v>
      </c>
    </row>
    <row r="3682" spans="1:9">
      <c r="A3682" s="6">
        <v>40</v>
      </c>
      <c r="B3682" s="6" t="str">
        <f t="shared" si="114"/>
        <v>Motor Vehicles and Repairing</v>
      </c>
      <c r="C3682" s="6">
        <v>57</v>
      </c>
      <c r="D3682" s="6" t="str">
        <f t="shared" si="115"/>
        <v>Other Services</v>
      </c>
      <c r="E3682" s="6">
        <v>5857794</v>
      </c>
      <c r="F3682" s="6">
        <v>10857</v>
      </c>
      <c r="G3682" s="6">
        <v>22510</v>
      </c>
      <c r="H3682" s="6">
        <v>1427</v>
      </c>
      <c r="I3682" s="6">
        <v>0</v>
      </c>
    </row>
    <row r="3683" spans="1:9">
      <c r="A3683" s="6">
        <v>41</v>
      </c>
      <c r="B3683" s="6" t="str">
        <f t="shared" si="114"/>
        <v>Other Transportation Equipment</v>
      </c>
      <c r="C3683" s="6">
        <v>57</v>
      </c>
      <c r="D3683" s="6" t="str">
        <f t="shared" si="115"/>
        <v>Other Services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</row>
    <row r="3684" spans="1:9">
      <c r="A3684" s="6">
        <v>42</v>
      </c>
      <c r="B3684" s="6" t="str">
        <f t="shared" si="114"/>
        <v>Leather Products</v>
      </c>
      <c r="C3684" s="6">
        <v>57</v>
      </c>
      <c r="D3684" s="6" t="str">
        <f t="shared" si="115"/>
        <v>Other Services</v>
      </c>
      <c r="E3684" s="6">
        <v>236262</v>
      </c>
      <c r="F3684" s="6">
        <v>11976</v>
      </c>
      <c r="G3684" s="6">
        <v>24812</v>
      </c>
      <c r="H3684" s="6">
        <v>1623</v>
      </c>
      <c r="I3684" s="6">
        <v>26849</v>
      </c>
    </row>
    <row r="3685" spans="1:9">
      <c r="A3685" s="6">
        <v>43</v>
      </c>
      <c r="B3685" s="6" t="str">
        <f t="shared" si="114"/>
        <v>Saw Mills and Wood Products</v>
      </c>
      <c r="C3685" s="6">
        <v>57</v>
      </c>
      <c r="D3685" s="6" t="str">
        <f t="shared" si="115"/>
        <v>Other Services</v>
      </c>
      <c r="E3685" s="6">
        <v>476769</v>
      </c>
      <c r="F3685" s="6">
        <v>53983</v>
      </c>
      <c r="G3685" s="6">
        <v>64233</v>
      </c>
      <c r="H3685" s="6">
        <v>5481</v>
      </c>
      <c r="I3685" s="6">
        <v>0</v>
      </c>
    </row>
    <row r="3686" spans="1:9">
      <c r="A3686" s="6">
        <v>44</v>
      </c>
      <c r="B3686" s="6" t="str">
        <f t="shared" si="114"/>
        <v>Other Manufacturing Products</v>
      </c>
      <c r="C3686" s="6">
        <v>57</v>
      </c>
      <c r="D3686" s="6" t="str">
        <f t="shared" si="115"/>
        <v>Other Services</v>
      </c>
      <c r="E3686" s="6">
        <v>13709020</v>
      </c>
      <c r="F3686" s="6">
        <v>1014796</v>
      </c>
      <c r="G3686" s="6">
        <v>1059867</v>
      </c>
      <c r="H3686" s="6">
        <v>189363</v>
      </c>
      <c r="I3686" s="6">
        <v>3335827</v>
      </c>
    </row>
    <row r="3687" spans="1:9">
      <c r="A3687" s="6">
        <v>45</v>
      </c>
      <c r="B3687" s="6" t="str">
        <f t="shared" si="114"/>
        <v>Electricity and Gas</v>
      </c>
      <c r="C3687" s="6">
        <v>57</v>
      </c>
      <c r="D3687" s="6" t="str">
        <f t="shared" si="115"/>
        <v>Other Services</v>
      </c>
      <c r="E3687" s="6">
        <v>30150131</v>
      </c>
      <c r="F3687" s="6">
        <v>3820</v>
      </c>
      <c r="G3687" s="6">
        <v>5582</v>
      </c>
      <c r="H3687" s="6">
        <v>1347</v>
      </c>
      <c r="I3687" s="6">
        <v>0</v>
      </c>
    </row>
    <row r="3688" spans="1:9">
      <c r="A3688" s="6">
        <v>46</v>
      </c>
      <c r="B3688" s="6" t="str">
        <f t="shared" si="114"/>
        <v>Water Works and Supply</v>
      </c>
      <c r="C3688" s="6">
        <v>57</v>
      </c>
      <c r="D3688" s="6" t="str">
        <f t="shared" si="115"/>
        <v>Other Services</v>
      </c>
      <c r="E3688" s="6">
        <v>1721815</v>
      </c>
      <c r="F3688" s="6">
        <v>0</v>
      </c>
      <c r="G3688" s="6">
        <v>0</v>
      </c>
      <c r="H3688" s="6">
        <v>0</v>
      </c>
      <c r="I3688" s="6">
        <v>0</v>
      </c>
    </row>
    <row r="3689" spans="1:9">
      <c r="A3689" s="6">
        <v>47</v>
      </c>
      <c r="B3689" s="6" t="str">
        <f t="shared" si="114"/>
        <v>Building Construction</v>
      </c>
      <c r="C3689" s="6">
        <v>57</v>
      </c>
      <c r="D3689" s="6" t="str">
        <f t="shared" si="115"/>
        <v>Other Services</v>
      </c>
      <c r="E3689" s="6">
        <v>3232665</v>
      </c>
      <c r="F3689" s="6">
        <v>0</v>
      </c>
      <c r="G3689" s="6">
        <v>0</v>
      </c>
      <c r="H3689" s="6">
        <v>0</v>
      </c>
      <c r="I3689" s="6">
        <v>0</v>
      </c>
    </row>
    <row r="3690" spans="1:9">
      <c r="A3690" s="6">
        <v>48</v>
      </c>
      <c r="B3690" s="6" t="str">
        <f t="shared" si="114"/>
        <v>Public Works and Other Construction</v>
      </c>
      <c r="C3690" s="6">
        <v>57</v>
      </c>
      <c r="D3690" s="6" t="str">
        <f t="shared" si="115"/>
        <v>Other Services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</row>
    <row r="3691" spans="1:9">
      <c r="A3691" s="6">
        <v>49</v>
      </c>
      <c r="B3691" s="6" t="str">
        <f t="shared" si="114"/>
        <v>Trade</v>
      </c>
      <c r="C3691" s="6">
        <v>57</v>
      </c>
      <c r="D3691" s="6" t="str">
        <f t="shared" si="115"/>
        <v>Other Services</v>
      </c>
      <c r="E3691" s="6">
        <v>0</v>
      </c>
      <c r="F3691" s="6">
        <v>-16186310</v>
      </c>
      <c r="G3691" s="6">
        <v>-19458008</v>
      </c>
      <c r="H3691" s="6">
        <v>0</v>
      </c>
      <c r="I3691" s="6">
        <v>0</v>
      </c>
    </row>
    <row r="3692" spans="1:9">
      <c r="A3692" s="6">
        <v>50</v>
      </c>
      <c r="B3692" s="6" t="str">
        <f t="shared" si="114"/>
        <v>Restaurants and Hotels</v>
      </c>
      <c r="C3692" s="6">
        <v>57</v>
      </c>
      <c r="D3692" s="6" t="str">
        <f t="shared" si="115"/>
        <v>Other Services</v>
      </c>
      <c r="E3692" s="6">
        <v>15216137</v>
      </c>
      <c r="F3692" s="6">
        <v>0</v>
      </c>
      <c r="G3692" s="6">
        <v>0</v>
      </c>
      <c r="H3692" s="6">
        <v>0</v>
      </c>
      <c r="I3692" s="6">
        <v>0</v>
      </c>
    </row>
    <row r="3693" spans="1:9">
      <c r="A3693" s="6">
        <v>51</v>
      </c>
      <c r="B3693" s="6" t="str">
        <f t="shared" si="114"/>
        <v>Transportation</v>
      </c>
      <c r="C3693" s="6">
        <v>57</v>
      </c>
      <c r="D3693" s="6" t="str">
        <f t="shared" si="115"/>
        <v>Other Services</v>
      </c>
      <c r="E3693" s="6">
        <v>2774658</v>
      </c>
      <c r="F3693" s="6">
        <v>0</v>
      </c>
      <c r="G3693" s="6">
        <v>0</v>
      </c>
      <c r="H3693" s="6">
        <v>-3073181</v>
      </c>
      <c r="I3693" s="6">
        <v>0</v>
      </c>
    </row>
    <row r="3694" spans="1:9">
      <c r="A3694" s="6">
        <v>52</v>
      </c>
      <c r="B3694" s="6" t="str">
        <f t="shared" si="114"/>
        <v>Communication</v>
      </c>
      <c r="C3694" s="6">
        <v>57</v>
      </c>
      <c r="D3694" s="6" t="str">
        <f t="shared" si="115"/>
        <v>Other Services</v>
      </c>
      <c r="E3694" s="6">
        <v>17039405</v>
      </c>
      <c r="F3694" s="6">
        <v>0</v>
      </c>
      <c r="G3694" s="6">
        <v>0</v>
      </c>
      <c r="H3694" s="6">
        <v>0</v>
      </c>
      <c r="I3694" s="6">
        <v>0</v>
      </c>
    </row>
    <row r="3695" spans="1:9">
      <c r="A3695" s="6">
        <v>53</v>
      </c>
      <c r="B3695" s="6" t="str">
        <f t="shared" si="114"/>
        <v>Banking and Insurance</v>
      </c>
      <c r="C3695" s="6">
        <v>57</v>
      </c>
      <c r="D3695" s="6" t="str">
        <f t="shared" si="115"/>
        <v>Other Services</v>
      </c>
      <c r="E3695" s="6">
        <v>10781015</v>
      </c>
      <c r="F3695" s="6">
        <v>0</v>
      </c>
      <c r="G3695" s="6">
        <v>0</v>
      </c>
      <c r="H3695" s="6">
        <v>0</v>
      </c>
      <c r="I3695" s="6">
        <v>0</v>
      </c>
    </row>
    <row r="3696" spans="1:9">
      <c r="A3696" s="6">
        <v>54</v>
      </c>
      <c r="B3696" s="6" t="str">
        <f t="shared" si="114"/>
        <v>Real Estate</v>
      </c>
      <c r="C3696" s="6">
        <v>57</v>
      </c>
      <c r="D3696" s="6" t="str">
        <f t="shared" si="115"/>
        <v>Other Services</v>
      </c>
      <c r="E3696" s="6">
        <v>6549195</v>
      </c>
      <c r="F3696" s="6">
        <v>0</v>
      </c>
      <c r="G3696" s="6">
        <v>0</v>
      </c>
      <c r="H3696" s="6">
        <v>0</v>
      </c>
      <c r="I3696" s="6">
        <v>0</v>
      </c>
    </row>
    <row r="3697" spans="1:9">
      <c r="A3697" s="6">
        <v>55</v>
      </c>
      <c r="B3697" s="6" t="str">
        <f t="shared" si="114"/>
        <v>Business Services</v>
      </c>
      <c r="C3697" s="6">
        <v>57</v>
      </c>
      <c r="D3697" s="6" t="str">
        <f t="shared" si="115"/>
        <v>Other Services</v>
      </c>
      <c r="E3697" s="6">
        <v>27951924</v>
      </c>
      <c r="F3697" s="6">
        <v>0</v>
      </c>
      <c r="G3697" s="6">
        <v>0</v>
      </c>
      <c r="H3697" s="6">
        <v>0</v>
      </c>
      <c r="I3697" s="6">
        <v>0</v>
      </c>
    </row>
    <row r="3698" spans="1:9">
      <c r="A3698" s="6">
        <v>56</v>
      </c>
      <c r="B3698" s="6" t="str">
        <f t="shared" si="114"/>
        <v>Public Services</v>
      </c>
      <c r="C3698" s="6">
        <v>57</v>
      </c>
      <c r="D3698" s="6" t="str">
        <f t="shared" si="115"/>
        <v>Other Services</v>
      </c>
      <c r="E3698" s="6">
        <v>1757599</v>
      </c>
      <c r="F3698" s="6">
        <v>0</v>
      </c>
      <c r="G3698" s="6">
        <v>0</v>
      </c>
      <c r="H3698" s="6">
        <v>0</v>
      </c>
      <c r="I3698" s="6">
        <v>0</v>
      </c>
    </row>
    <row r="3699" spans="1:9">
      <c r="A3699" s="6">
        <v>57</v>
      </c>
      <c r="B3699" s="6" t="str">
        <f t="shared" si="114"/>
        <v>Other Services</v>
      </c>
      <c r="C3699" s="6">
        <v>57</v>
      </c>
      <c r="D3699" s="6" t="str">
        <f t="shared" si="115"/>
        <v>Other Services</v>
      </c>
      <c r="E3699" s="6">
        <v>49085675</v>
      </c>
      <c r="F3699" s="6">
        <v>0</v>
      </c>
      <c r="G3699" s="6">
        <v>0</v>
      </c>
      <c r="H3699" s="6">
        <v>0</v>
      </c>
      <c r="I3699" s="6">
        <v>0</v>
      </c>
    </row>
    <row r="3700" spans="1:9">
      <c r="A3700" s="6">
        <v>58</v>
      </c>
      <c r="B3700" s="6" t="str">
        <f t="shared" si="114"/>
        <v>Unclassified</v>
      </c>
      <c r="C3700" s="6">
        <v>57</v>
      </c>
      <c r="D3700" s="6" t="str">
        <f t="shared" si="115"/>
        <v>Other Services</v>
      </c>
      <c r="E3700" s="6">
        <v>8109457</v>
      </c>
      <c r="F3700" s="6">
        <v>0</v>
      </c>
      <c r="G3700" s="6">
        <v>0</v>
      </c>
      <c r="H3700" s="6">
        <v>0</v>
      </c>
      <c r="I3700" s="6">
        <v>847365</v>
      </c>
    </row>
    <row r="3701" spans="1:9">
      <c r="A3701" s="6">
        <v>190</v>
      </c>
      <c r="B3701" s="6" t="str">
        <f t="shared" si="114"/>
        <v>Total Intermedite Transaction</v>
      </c>
      <c r="C3701" s="6">
        <v>57</v>
      </c>
      <c r="D3701" s="6" t="str">
        <f t="shared" si="115"/>
        <v>Other Services</v>
      </c>
      <c r="E3701" s="6">
        <v>478251118</v>
      </c>
      <c r="F3701" s="6">
        <v>0</v>
      </c>
      <c r="G3701" s="6">
        <v>0</v>
      </c>
      <c r="H3701" s="6">
        <v>0</v>
      </c>
      <c r="I3701" s="6">
        <v>92081903</v>
      </c>
    </row>
    <row r="3702" spans="1:9">
      <c r="A3702" s="6">
        <v>201</v>
      </c>
      <c r="B3702" s="6" t="str">
        <f t="shared" si="114"/>
        <v>Wages and Salaries</v>
      </c>
      <c r="C3702" s="6">
        <v>57</v>
      </c>
      <c r="D3702" s="6" t="str">
        <f t="shared" si="115"/>
        <v>Other Services</v>
      </c>
      <c r="E3702" s="6">
        <v>195459789</v>
      </c>
      <c r="F3702" s="6">
        <v>0</v>
      </c>
      <c r="G3702" s="6">
        <v>0</v>
      </c>
      <c r="H3702" s="6">
        <v>0</v>
      </c>
      <c r="I3702" s="6">
        <v>0</v>
      </c>
    </row>
    <row r="3703" spans="1:9">
      <c r="A3703" s="6">
        <v>202</v>
      </c>
      <c r="B3703" s="6" t="str">
        <f t="shared" si="114"/>
        <v>Operating Surplus</v>
      </c>
      <c r="C3703" s="6">
        <v>57</v>
      </c>
      <c r="D3703" s="6" t="str">
        <f t="shared" si="115"/>
        <v>Other Services</v>
      </c>
      <c r="E3703" s="6">
        <v>172036260</v>
      </c>
      <c r="F3703" s="6">
        <v>0</v>
      </c>
      <c r="G3703" s="6">
        <v>0</v>
      </c>
      <c r="H3703" s="6">
        <v>0</v>
      </c>
      <c r="I3703" s="6">
        <v>0</v>
      </c>
    </row>
    <row r="3704" spans="1:9">
      <c r="A3704" s="6">
        <v>203</v>
      </c>
      <c r="B3704" s="6" t="str">
        <f t="shared" si="114"/>
        <v>Depreciation</v>
      </c>
      <c r="C3704" s="6">
        <v>57</v>
      </c>
      <c r="D3704" s="6" t="str">
        <f t="shared" si="115"/>
        <v>Other Services</v>
      </c>
      <c r="E3704" s="6">
        <v>74676300</v>
      </c>
      <c r="F3704" s="6">
        <v>0</v>
      </c>
      <c r="G3704" s="6">
        <v>0</v>
      </c>
      <c r="H3704" s="6">
        <v>0</v>
      </c>
      <c r="I3704" s="6">
        <v>0</v>
      </c>
    </row>
    <row r="3705" spans="1:9">
      <c r="A3705" s="6">
        <v>204</v>
      </c>
      <c r="B3705" s="6" t="str">
        <f t="shared" si="114"/>
        <v>Indirect Taxes less Subsidies</v>
      </c>
      <c r="C3705" s="6">
        <v>57</v>
      </c>
      <c r="D3705" s="6" t="str">
        <f t="shared" si="115"/>
        <v>Other Services</v>
      </c>
      <c r="E3705" s="6">
        <v>61751904</v>
      </c>
      <c r="F3705" s="6">
        <v>0</v>
      </c>
      <c r="G3705" s="6">
        <v>0</v>
      </c>
      <c r="H3705" s="6">
        <v>0</v>
      </c>
      <c r="I3705" s="6">
        <v>0</v>
      </c>
    </row>
    <row r="3706" spans="1:9">
      <c r="A3706" s="6">
        <v>209</v>
      </c>
      <c r="B3706" s="6" t="str">
        <f t="shared" si="114"/>
        <v>Total Value Added</v>
      </c>
      <c r="C3706" s="6">
        <v>57</v>
      </c>
      <c r="D3706" s="6" t="str">
        <f t="shared" si="115"/>
        <v>Other Services</v>
      </c>
      <c r="E3706" s="6">
        <v>503924253</v>
      </c>
      <c r="F3706" s="6">
        <v>0</v>
      </c>
      <c r="G3706" s="6">
        <v>0</v>
      </c>
      <c r="H3706" s="6">
        <v>0</v>
      </c>
      <c r="I3706" s="6">
        <v>0</v>
      </c>
    </row>
    <row r="3707" spans="1:9">
      <c r="A3707" s="6">
        <v>210</v>
      </c>
      <c r="B3707" s="6" t="str">
        <f t="shared" si="114"/>
        <v>Control Total</v>
      </c>
      <c r="C3707" s="6">
        <v>57</v>
      </c>
      <c r="D3707" s="6" t="str">
        <f t="shared" si="115"/>
        <v>Other Services</v>
      </c>
      <c r="E3707" s="6">
        <v>982175371</v>
      </c>
      <c r="F3707" s="6">
        <v>0</v>
      </c>
      <c r="G3707" s="6">
        <v>0</v>
      </c>
      <c r="H3707" s="6">
        <v>0</v>
      </c>
      <c r="I3707" s="6">
        <v>0</v>
      </c>
    </row>
    <row r="3708" spans="1:9">
      <c r="A3708" s="6">
        <v>1</v>
      </c>
      <c r="B3708" s="6" t="str">
        <f t="shared" si="114"/>
        <v>Paddy</v>
      </c>
      <c r="C3708" s="6">
        <v>58</v>
      </c>
      <c r="D3708" s="6" t="str">
        <f t="shared" si="115"/>
        <v>Unclassified</v>
      </c>
      <c r="E3708" s="6">
        <v>518802</v>
      </c>
      <c r="F3708" s="6">
        <v>98848</v>
      </c>
      <c r="G3708" s="6">
        <v>1354</v>
      </c>
      <c r="H3708" s="6">
        <v>9252</v>
      </c>
      <c r="I3708" s="6">
        <v>0</v>
      </c>
    </row>
    <row r="3709" spans="1:9">
      <c r="A3709" s="6">
        <v>2</v>
      </c>
      <c r="B3709" s="6" t="str">
        <f t="shared" si="114"/>
        <v>Maize</v>
      </c>
      <c r="C3709" s="6">
        <v>58</v>
      </c>
      <c r="D3709" s="6" t="str">
        <f t="shared" si="115"/>
        <v>Unclassified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</row>
    <row r="3710" spans="1:9">
      <c r="A3710" s="6">
        <v>3</v>
      </c>
      <c r="B3710" s="6" t="str">
        <f t="shared" si="114"/>
        <v>Cassava</v>
      </c>
      <c r="C3710" s="6">
        <v>58</v>
      </c>
      <c r="D3710" s="6" t="str">
        <f t="shared" si="115"/>
        <v>Unclassified</v>
      </c>
      <c r="E3710" s="6">
        <v>694544</v>
      </c>
      <c r="F3710" s="6">
        <v>8445</v>
      </c>
      <c r="G3710" s="6">
        <v>34715</v>
      </c>
      <c r="H3710" s="6">
        <v>3443</v>
      </c>
      <c r="I3710" s="6">
        <v>0</v>
      </c>
    </row>
    <row r="3711" spans="1:9">
      <c r="A3711" s="6">
        <v>4</v>
      </c>
      <c r="B3711" s="6" t="str">
        <f t="shared" si="114"/>
        <v>Beans and Nuts</v>
      </c>
      <c r="C3711" s="6">
        <v>58</v>
      </c>
      <c r="D3711" s="6" t="str">
        <f t="shared" si="115"/>
        <v>Unclassified</v>
      </c>
      <c r="E3711" s="6">
        <v>609364</v>
      </c>
      <c r="F3711" s="6">
        <v>3820</v>
      </c>
      <c r="G3711" s="6">
        <v>11951</v>
      </c>
      <c r="H3711" s="6">
        <v>778</v>
      </c>
      <c r="I3711" s="6">
        <v>509559</v>
      </c>
    </row>
    <row r="3712" spans="1:9">
      <c r="A3712" s="6">
        <v>5</v>
      </c>
      <c r="B3712" s="6" t="str">
        <f t="shared" si="114"/>
        <v>Vegetables and Fruits</v>
      </c>
      <c r="C3712" s="6">
        <v>58</v>
      </c>
      <c r="D3712" s="6" t="str">
        <f t="shared" si="115"/>
        <v>Unclassified</v>
      </c>
      <c r="E3712" s="6">
        <v>1095279</v>
      </c>
      <c r="F3712" s="6">
        <v>116504</v>
      </c>
      <c r="G3712" s="6">
        <v>188299</v>
      </c>
      <c r="H3712" s="6">
        <v>15005</v>
      </c>
      <c r="I3712" s="6">
        <v>0</v>
      </c>
    </row>
    <row r="3713" spans="1:9">
      <c r="A3713" s="6">
        <v>6</v>
      </c>
      <c r="B3713" s="6" t="str">
        <f t="shared" si="114"/>
        <v>Sugarcane</v>
      </c>
      <c r="C3713" s="6">
        <v>58</v>
      </c>
      <c r="D3713" s="6" t="str">
        <f t="shared" si="115"/>
        <v>Unclassified</v>
      </c>
      <c r="E3713" s="6">
        <v>10572</v>
      </c>
      <c r="F3713" s="6">
        <v>89</v>
      </c>
      <c r="G3713" s="6">
        <v>314</v>
      </c>
      <c r="H3713" s="6">
        <v>223</v>
      </c>
      <c r="I3713" s="6">
        <v>0</v>
      </c>
    </row>
    <row r="3714" spans="1:9">
      <c r="A3714" s="6">
        <v>7</v>
      </c>
      <c r="B3714" s="6" t="str">
        <f t="shared" si="114"/>
        <v>Rubber (Latex)</v>
      </c>
      <c r="C3714" s="6">
        <v>58</v>
      </c>
      <c r="D3714" s="6" t="str">
        <f t="shared" si="115"/>
        <v>Unclassified</v>
      </c>
      <c r="E3714" s="6">
        <v>143396</v>
      </c>
      <c r="F3714" s="6">
        <v>5747</v>
      </c>
      <c r="G3714" s="6">
        <v>0</v>
      </c>
      <c r="H3714" s="6">
        <v>935</v>
      </c>
      <c r="I3714" s="6">
        <v>0</v>
      </c>
    </row>
    <row r="3715" spans="1:9">
      <c r="A3715" s="6">
        <v>8</v>
      </c>
      <c r="B3715" s="6" t="str">
        <f t="shared" si="114"/>
        <v>Other Crops</v>
      </c>
      <c r="C3715" s="6">
        <v>58</v>
      </c>
      <c r="D3715" s="6" t="str">
        <f t="shared" si="115"/>
        <v>Unclassified</v>
      </c>
      <c r="E3715" s="6">
        <v>476099</v>
      </c>
      <c r="F3715" s="6">
        <v>39338</v>
      </c>
      <c r="G3715" s="6">
        <v>65753</v>
      </c>
      <c r="H3715" s="6">
        <v>4041</v>
      </c>
      <c r="I3715" s="6">
        <v>208706</v>
      </c>
    </row>
    <row r="3716" spans="1:9">
      <c r="A3716" s="6">
        <v>9</v>
      </c>
      <c r="B3716" s="6" t="str">
        <f t="shared" ref="B3716:B3779" si="116">VLOOKUP(A3716,R:S,2,0)</f>
        <v>Livestock</v>
      </c>
      <c r="C3716" s="6">
        <v>58</v>
      </c>
      <c r="D3716" s="6" t="str">
        <f t="shared" ref="D3716:D3779" si="117">VLOOKUP(C3716,R:S,2,0)</f>
        <v>Unclassified</v>
      </c>
      <c r="E3716" s="6">
        <v>147330</v>
      </c>
      <c r="F3716" s="6">
        <v>3393</v>
      </c>
      <c r="G3716" s="6">
        <v>2145</v>
      </c>
      <c r="H3716" s="6">
        <v>598</v>
      </c>
      <c r="I3716" s="6">
        <v>0</v>
      </c>
    </row>
    <row r="3717" spans="1:9">
      <c r="A3717" s="6">
        <v>10</v>
      </c>
      <c r="B3717" s="6" t="str">
        <f t="shared" si="116"/>
        <v>Forestry</v>
      </c>
      <c r="C3717" s="6">
        <v>58</v>
      </c>
      <c r="D3717" s="6" t="str">
        <f t="shared" si="117"/>
        <v>Unclassified</v>
      </c>
      <c r="E3717" s="6">
        <v>336145</v>
      </c>
      <c r="F3717" s="6">
        <v>18593</v>
      </c>
      <c r="G3717" s="6">
        <v>21126</v>
      </c>
      <c r="H3717" s="6">
        <v>5588</v>
      </c>
      <c r="I3717" s="6">
        <v>0</v>
      </c>
    </row>
    <row r="3718" spans="1:9">
      <c r="A3718" s="6">
        <v>11</v>
      </c>
      <c r="B3718" s="6" t="str">
        <f t="shared" si="116"/>
        <v>Fishery</v>
      </c>
      <c r="C3718" s="6">
        <v>58</v>
      </c>
      <c r="D3718" s="6" t="str">
        <f t="shared" si="117"/>
        <v>Unclassified</v>
      </c>
      <c r="E3718" s="6">
        <v>238845</v>
      </c>
      <c r="F3718" s="6">
        <v>22720</v>
      </c>
      <c r="G3718" s="6">
        <v>28212</v>
      </c>
      <c r="H3718" s="6">
        <v>4307</v>
      </c>
      <c r="I3718" s="6">
        <v>0</v>
      </c>
    </row>
    <row r="3719" spans="1:9">
      <c r="A3719" s="6">
        <v>12</v>
      </c>
      <c r="B3719" s="6" t="str">
        <f t="shared" si="116"/>
        <v>Crude Oil and Coal</v>
      </c>
      <c r="C3719" s="6">
        <v>58</v>
      </c>
      <c r="D3719" s="6" t="str">
        <f t="shared" si="117"/>
        <v>Unclassified</v>
      </c>
      <c r="E3719" s="6">
        <v>87013</v>
      </c>
      <c r="F3719" s="6">
        <v>1285</v>
      </c>
      <c r="G3719" s="6">
        <v>0</v>
      </c>
      <c r="H3719" s="6">
        <v>552</v>
      </c>
      <c r="I3719" s="6">
        <v>70388</v>
      </c>
    </row>
    <row r="3720" spans="1:9">
      <c r="A3720" s="6">
        <v>13</v>
      </c>
      <c r="B3720" s="6" t="str">
        <f t="shared" si="116"/>
        <v>Metal Ore</v>
      </c>
      <c r="C3720" s="6">
        <v>58</v>
      </c>
      <c r="D3720" s="6" t="str">
        <f t="shared" si="117"/>
        <v>Unclassified</v>
      </c>
      <c r="E3720" s="6">
        <v>108666</v>
      </c>
      <c r="F3720" s="6">
        <v>7810</v>
      </c>
      <c r="G3720" s="6">
        <v>0</v>
      </c>
      <c r="H3720" s="6">
        <v>4263</v>
      </c>
      <c r="I3720" s="6">
        <v>46514</v>
      </c>
    </row>
    <row r="3721" spans="1:9">
      <c r="A3721" s="6">
        <v>14</v>
      </c>
      <c r="B3721" s="6" t="str">
        <f t="shared" si="116"/>
        <v>Non-Metal Ore</v>
      </c>
      <c r="C3721" s="6">
        <v>58</v>
      </c>
      <c r="D3721" s="6" t="str">
        <f t="shared" si="117"/>
        <v>Unclassified</v>
      </c>
      <c r="E3721" s="6">
        <v>708078</v>
      </c>
      <c r="F3721" s="6">
        <v>33564</v>
      </c>
      <c r="G3721" s="6">
        <v>13456</v>
      </c>
      <c r="H3721" s="6">
        <v>24338</v>
      </c>
      <c r="I3721" s="6">
        <v>0</v>
      </c>
    </row>
    <row r="3722" spans="1:9">
      <c r="A3722" s="6">
        <v>15</v>
      </c>
      <c r="B3722" s="6" t="str">
        <f t="shared" si="116"/>
        <v>Slaughtering</v>
      </c>
      <c r="C3722" s="6">
        <v>58</v>
      </c>
      <c r="D3722" s="6" t="str">
        <f t="shared" si="117"/>
        <v>Unclassified</v>
      </c>
      <c r="E3722" s="6">
        <v>547622</v>
      </c>
      <c r="F3722" s="6">
        <v>109</v>
      </c>
      <c r="G3722" s="6">
        <v>204</v>
      </c>
      <c r="H3722" s="6">
        <v>1259</v>
      </c>
      <c r="I3722" s="6">
        <v>0</v>
      </c>
    </row>
    <row r="3723" spans="1:9">
      <c r="A3723" s="6">
        <v>16</v>
      </c>
      <c r="B3723" s="6" t="str">
        <f t="shared" si="116"/>
        <v>Processing and Presering of Foods</v>
      </c>
      <c r="C3723" s="6">
        <v>58</v>
      </c>
      <c r="D3723" s="6" t="str">
        <f t="shared" si="117"/>
        <v>Unclassified</v>
      </c>
      <c r="E3723" s="6">
        <v>1720964</v>
      </c>
      <c r="F3723" s="6">
        <v>49252</v>
      </c>
      <c r="G3723" s="6">
        <v>66803</v>
      </c>
      <c r="H3723" s="6">
        <v>13123</v>
      </c>
      <c r="I3723" s="6">
        <v>60561</v>
      </c>
    </row>
    <row r="3724" spans="1:9">
      <c r="A3724" s="6">
        <v>17</v>
      </c>
      <c r="B3724" s="6" t="str">
        <f t="shared" si="116"/>
        <v>Rice and Other Grain Milling</v>
      </c>
      <c r="C3724" s="6">
        <v>58</v>
      </c>
      <c r="D3724" s="6" t="str">
        <f t="shared" si="117"/>
        <v>Unclassified</v>
      </c>
      <c r="E3724" s="6">
        <v>322694</v>
      </c>
      <c r="F3724" s="6">
        <v>8306</v>
      </c>
      <c r="G3724" s="6">
        <v>13703</v>
      </c>
      <c r="H3724" s="6">
        <v>4474</v>
      </c>
      <c r="I3724" s="6">
        <v>0</v>
      </c>
    </row>
    <row r="3725" spans="1:9">
      <c r="A3725" s="6">
        <v>18</v>
      </c>
      <c r="B3725" s="6" t="str">
        <f t="shared" si="116"/>
        <v>Sugar Refineries</v>
      </c>
      <c r="C3725" s="6">
        <v>58</v>
      </c>
      <c r="D3725" s="6" t="str">
        <f t="shared" si="117"/>
        <v>Unclassified</v>
      </c>
      <c r="E3725" s="6">
        <v>113328</v>
      </c>
      <c r="F3725" s="6">
        <v>1514</v>
      </c>
      <c r="G3725" s="6">
        <v>2254</v>
      </c>
      <c r="H3725" s="6">
        <v>1470</v>
      </c>
      <c r="I3725" s="6">
        <v>0</v>
      </c>
    </row>
    <row r="3726" spans="1:9">
      <c r="A3726" s="6">
        <v>19</v>
      </c>
      <c r="B3726" s="6" t="str">
        <f t="shared" si="116"/>
        <v>Other Foods</v>
      </c>
      <c r="C3726" s="6">
        <v>58</v>
      </c>
      <c r="D3726" s="6" t="str">
        <f t="shared" si="117"/>
        <v>Unclassified</v>
      </c>
      <c r="E3726" s="6">
        <v>900153</v>
      </c>
      <c r="F3726" s="6">
        <v>24724</v>
      </c>
      <c r="G3726" s="6">
        <v>40930</v>
      </c>
      <c r="H3726" s="6">
        <v>9129</v>
      </c>
      <c r="I3726" s="6">
        <v>50926</v>
      </c>
    </row>
    <row r="3727" spans="1:9">
      <c r="A3727" s="6">
        <v>20</v>
      </c>
      <c r="B3727" s="6" t="str">
        <f t="shared" si="116"/>
        <v>Animal Food</v>
      </c>
      <c r="C3727" s="6">
        <v>58</v>
      </c>
      <c r="D3727" s="6" t="str">
        <f t="shared" si="117"/>
        <v>Unclassified</v>
      </c>
      <c r="E3727" s="6">
        <v>87650</v>
      </c>
      <c r="F3727" s="6">
        <v>5342</v>
      </c>
      <c r="G3727" s="6">
        <v>7939</v>
      </c>
      <c r="H3727" s="6">
        <v>853</v>
      </c>
      <c r="I3727" s="6">
        <v>0</v>
      </c>
    </row>
    <row r="3728" spans="1:9">
      <c r="A3728" s="6">
        <v>21</v>
      </c>
      <c r="B3728" s="6" t="str">
        <f t="shared" si="116"/>
        <v>Beverages</v>
      </c>
      <c r="C3728" s="6">
        <v>58</v>
      </c>
      <c r="D3728" s="6" t="str">
        <f t="shared" si="117"/>
        <v>Unclassified</v>
      </c>
      <c r="E3728" s="6">
        <v>2522613</v>
      </c>
      <c r="F3728" s="6">
        <v>44444</v>
      </c>
      <c r="G3728" s="6">
        <v>80574</v>
      </c>
      <c r="H3728" s="6">
        <v>15301</v>
      </c>
      <c r="I3728" s="6">
        <v>1590</v>
      </c>
    </row>
    <row r="3729" spans="1:9">
      <c r="A3729" s="6">
        <v>22</v>
      </c>
      <c r="B3729" s="6" t="str">
        <f t="shared" si="116"/>
        <v>Tobacco Processing and Products</v>
      </c>
      <c r="C3729" s="6">
        <v>58</v>
      </c>
      <c r="D3729" s="6" t="str">
        <f t="shared" si="117"/>
        <v>Unclassified</v>
      </c>
      <c r="E3729" s="6">
        <v>471772</v>
      </c>
      <c r="F3729" s="6">
        <v>17698</v>
      </c>
      <c r="G3729" s="6">
        <v>30339</v>
      </c>
      <c r="H3729" s="6">
        <v>3907</v>
      </c>
      <c r="I3729" s="6">
        <v>0</v>
      </c>
    </row>
    <row r="3730" spans="1:9">
      <c r="A3730" s="6">
        <v>23</v>
      </c>
      <c r="B3730" s="6" t="str">
        <f t="shared" si="116"/>
        <v>Spinning, Weaving and Bleaching</v>
      </c>
      <c r="C3730" s="6">
        <v>58</v>
      </c>
      <c r="D3730" s="6" t="str">
        <f t="shared" si="117"/>
        <v>Unclassified</v>
      </c>
      <c r="E3730" s="6">
        <v>249716</v>
      </c>
      <c r="F3730" s="6">
        <v>6649</v>
      </c>
      <c r="G3730" s="6">
        <v>3166</v>
      </c>
      <c r="H3730" s="6">
        <v>1413</v>
      </c>
      <c r="I3730" s="6">
        <v>0</v>
      </c>
    </row>
    <row r="3731" spans="1:9">
      <c r="A3731" s="6">
        <v>24</v>
      </c>
      <c r="B3731" s="6" t="str">
        <f t="shared" si="116"/>
        <v>Textile Products</v>
      </c>
      <c r="C3731" s="6">
        <v>58</v>
      </c>
      <c r="D3731" s="6" t="str">
        <f t="shared" si="117"/>
        <v>Unclassified</v>
      </c>
      <c r="E3731" s="6">
        <v>1634062</v>
      </c>
      <c r="F3731" s="6">
        <v>85659</v>
      </c>
      <c r="G3731" s="6">
        <v>184361</v>
      </c>
      <c r="H3731" s="6">
        <v>16167</v>
      </c>
      <c r="I3731" s="6">
        <v>731138</v>
      </c>
    </row>
    <row r="3732" spans="1:9">
      <c r="A3732" s="6">
        <v>25</v>
      </c>
      <c r="B3732" s="6" t="str">
        <f t="shared" si="116"/>
        <v>Paper and Paper Products</v>
      </c>
      <c r="C3732" s="6">
        <v>58</v>
      </c>
      <c r="D3732" s="6" t="str">
        <f t="shared" si="117"/>
        <v>Unclassified</v>
      </c>
      <c r="E3732" s="6">
        <v>1945549</v>
      </c>
      <c r="F3732" s="6">
        <v>95672</v>
      </c>
      <c r="G3732" s="6">
        <v>88485</v>
      </c>
      <c r="H3732" s="6">
        <v>28100</v>
      </c>
      <c r="I3732" s="6">
        <v>123566</v>
      </c>
    </row>
    <row r="3733" spans="1:9">
      <c r="A3733" s="6">
        <v>26</v>
      </c>
      <c r="B3733" s="6" t="str">
        <f t="shared" si="116"/>
        <v>Printing and Publishing</v>
      </c>
      <c r="C3733" s="6">
        <v>58</v>
      </c>
      <c r="D3733" s="6" t="str">
        <f t="shared" si="117"/>
        <v>Unclassified</v>
      </c>
      <c r="E3733" s="6">
        <v>143832</v>
      </c>
      <c r="F3733" s="6">
        <v>2073</v>
      </c>
      <c r="G3733" s="6">
        <v>14547</v>
      </c>
      <c r="H3733" s="6">
        <v>1074</v>
      </c>
      <c r="I3733" s="6">
        <v>0</v>
      </c>
    </row>
    <row r="3734" spans="1:9">
      <c r="A3734" s="6">
        <v>27</v>
      </c>
      <c r="B3734" s="6" t="str">
        <f t="shared" si="116"/>
        <v>Basic Chemical Products</v>
      </c>
      <c r="C3734" s="6">
        <v>58</v>
      </c>
      <c r="D3734" s="6" t="str">
        <f t="shared" si="117"/>
        <v>Unclassified</v>
      </c>
      <c r="E3734" s="6">
        <v>447311</v>
      </c>
      <c r="F3734" s="6">
        <v>21806</v>
      </c>
      <c r="G3734" s="6">
        <v>12621</v>
      </c>
      <c r="H3734" s="6">
        <v>6225</v>
      </c>
      <c r="I3734" s="6">
        <v>146716</v>
      </c>
    </row>
    <row r="3735" spans="1:9">
      <c r="A3735" s="6">
        <v>28</v>
      </c>
      <c r="B3735" s="6" t="str">
        <f t="shared" si="116"/>
        <v>Fertilizer and Pesticides</v>
      </c>
      <c r="C3735" s="6">
        <v>58</v>
      </c>
      <c r="D3735" s="6" t="str">
        <f t="shared" si="117"/>
        <v>Unclassified</v>
      </c>
      <c r="E3735" s="6">
        <v>245866</v>
      </c>
      <c r="F3735" s="6">
        <v>9353</v>
      </c>
      <c r="G3735" s="6">
        <v>7595</v>
      </c>
      <c r="H3735" s="6">
        <v>9602</v>
      </c>
      <c r="I3735" s="6">
        <v>1842</v>
      </c>
    </row>
    <row r="3736" spans="1:9">
      <c r="A3736" s="6">
        <v>29</v>
      </c>
      <c r="B3736" s="6" t="str">
        <f t="shared" si="116"/>
        <v>Other Chemical Products</v>
      </c>
      <c r="C3736" s="6">
        <v>58</v>
      </c>
      <c r="D3736" s="6" t="str">
        <f t="shared" si="117"/>
        <v>Unclassified</v>
      </c>
      <c r="E3736" s="6">
        <v>1394365</v>
      </c>
      <c r="F3736" s="6">
        <v>84781</v>
      </c>
      <c r="G3736" s="6">
        <v>91820</v>
      </c>
      <c r="H3736" s="6">
        <v>11943</v>
      </c>
      <c r="I3736" s="6">
        <v>58795</v>
      </c>
    </row>
    <row r="3737" spans="1:9">
      <c r="A3737" s="6">
        <v>30</v>
      </c>
      <c r="B3737" s="6" t="str">
        <f t="shared" si="116"/>
        <v>Petroleum Refineries</v>
      </c>
      <c r="C3737" s="6">
        <v>58</v>
      </c>
      <c r="D3737" s="6" t="str">
        <f t="shared" si="117"/>
        <v>Unclassified</v>
      </c>
      <c r="E3737" s="6">
        <v>1285403</v>
      </c>
      <c r="F3737" s="6">
        <v>58166</v>
      </c>
      <c r="G3737" s="6">
        <v>83770</v>
      </c>
      <c r="H3737" s="6">
        <v>9819</v>
      </c>
      <c r="I3737" s="6">
        <v>189358</v>
      </c>
    </row>
    <row r="3738" spans="1:9">
      <c r="A3738" s="6">
        <v>31</v>
      </c>
      <c r="B3738" s="6" t="str">
        <f t="shared" si="116"/>
        <v>Rubber Products</v>
      </c>
      <c r="C3738" s="6">
        <v>58</v>
      </c>
      <c r="D3738" s="6" t="str">
        <f t="shared" si="117"/>
        <v>Unclassified</v>
      </c>
      <c r="E3738" s="6">
        <v>1642521</v>
      </c>
      <c r="F3738" s="6">
        <v>72008</v>
      </c>
      <c r="G3738" s="6">
        <v>144107</v>
      </c>
      <c r="H3738" s="6">
        <v>36236</v>
      </c>
      <c r="I3738" s="6">
        <v>705715</v>
      </c>
    </row>
    <row r="3739" spans="1:9">
      <c r="A3739" s="6">
        <v>32</v>
      </c>
      <c r="B3739" s="6" t="str">
        <f t="shared" si="116"/>
        <v>Plastic Wares</v>
      </c>
      <c r="C3739" s="6">
        <v>58</v>
      </c>
      <c r="D3739" s="6" t="str">
        <f t="shared" si="117"/>
        <v>Unclassified</v>
      </c>
      <c r="E3739" s="6">
        <v>1876949</v>
      </c>
      <c r="F3739" s="6">
        <v>40221</v>
      </c>
      <c r="G3739" s="6">
        <v>53545</v>
      </c>
      <c r="H3739" s="6">
        <v>13123</v>
      </c>
      <c r="I3739" s="6">
        <v>458338</v>
      </c>
    </row>
    <row r="3740" spans="1:9">
      <c r="A3740" s="6">
        <v>33</v>
      </c>
      <c r="B3740" s="6" t="str">
        <f t="shared" si="116"/>
        <v>Cement and Concrete Products</v>
      </c>
      <c r="C3740" s="6">
        <v>58</v>
      </c>
      <c r="D3740" s="6" t="str">
        <f t="shared" si="117"/>
        <v>Unclassified</v>
      </c>
      <c r="E3740" s="6">
        <v>463304</v>
      </c>
      <c r="F3740" s="6">
        <v>27368</v>
      </c>
      <c r="G3740" s="6">
        <v>9840</v>
      </c>
      <c r="H3740" s="6">
        <v>6614</v>
      </c>
      <c r="I3740" s="6">
        <v>0</v>
      </c>
    </row>
    <row r="3741" spans="1:9">
      <c r="A3741" s="6">
        <v>34</v>
      </c>
      <c r="B3741" s="6" t="str">
        <f t="shared" si="116"/>
        <v>Other Non-metallic Products</v>
      </c>
      <c r="C3741" s="6">
        <v>58</v>
      </c>
      <c r="D3741" s="6" t="str">
        <f t="shared" si="117"/>
        <v>Unclassified</v>
      </c>
      <c r="E3741" s="6">
        <v>2243968</v>
      </c>
      <c r="F3741" s="6">
        <v>133202</v>
      </c>
      <c r="G3741" s="6">
        <v>132851</v>
      </c>
      <c r="H3741" s="6">
        <v>22826</v>
      </c>
      <c r="I3741" s="6">
        <v>0</v>
      </c>
    </row>
    <row r="3742" spans="1:9">
      <c r="A3742" s="6">
        <v>35</v>
      </c>
      <c r="B3742" s="6" t="str">
        <f t="shared" si="116"/>
        <v>Iron and Steel</v>
      </c>
      <c r="C3742" s="6">
        <v>58</v>
      </c>
      <c r="D3742" s="6" t="str">
        <f t="shared" si="117"/>
        <v>Unclassified</v>
      </c>
      <c r="E3742" s="6">
        <v>2433701</v>
      </c>
      <c r="F3742" s="6">
        <v>56604</v>
      </c>
      <c r="G3742" s="6">
        <v>39658</v>
      </c>
      <c r="H3742" s="6">
        <v>17291</v>
      </c>
      <c r="I3742" s="6">
        <v>202701</v>
      </c>
    </row>
    <row r="3743" spans="1:9">
      <c r="A3743" s="6">
        <v>36</v>
      </c>
      <c r="B3743" s="6" t="str">
        <f t="shared" si="116"/>
        <v>Non-ferrous Metal</v>
      </c>
      <c r="C3743" s="6">
        <v>58</v>
      </c>
      <c r="D3743" s="6" t="str">
        <f t="shared" si="117"/>
        <v>Unclassified</v>
      </c>
      <c r="E3743" s="6">
        <v>522683</v>
      </c>
      <c r="F3743" s="6">
        <v>30799</v>
      </c>
      <c r="G3743" s="6">
        <v>14253</v>
      </c>
      <c r="H3743" s="6">
        <v>668</v>
      </c>
      <c r="I3743" s="6">
        <v>358906</v>
      </c>
    </row>
    <row r="3744" spans="1:9">
      <c r="A3744" s="6">
        <v>37</v>
      </c>
      <c r="B3744" s="6" t="str">
        <f t="shared" si="116"/>
        <v>Fabricated Metal Products</v>
      </c>
      <c r="C3744" s="6">
        <v>58</v>
      </c>
      <c r="D3744" s="6" t="str">
        <f t="shared" si="117"/>
        <v>Unclassified</v>
      </c>
      <c r="E3744" s="6">
        <v>4177888</v>
      </c>
      <c r="F3744" s="6">
        <v>102799</v>
      </c>
      <c r="G3744" s="6">
        <v>171508</v>
      </c>
      <c r="H3744" s="6">
        <v>15629</v>
      </c>
      <c r="I3744" s="6">
        <v>2101005</v>
      </c>
    </row>
    <row r="3745" spans="1:9">
      <c r="A3745" s="6">
        <v>38</v>
      </c>
      <c r="B3745" s="6" t="str">
        <f t="shared" si="116"/>
        <v>Industrial Machinery</v>
      </c>
      <c r="C3745" s="6">
        <v>58</v>
      </c>
      <c r="D3745" s="6" t="str">
        <f t="shared" si="117"/>
        <v>Unclassified</v>
      </c>
      <c r="E3745" s="6">
        <v>783205</v>
      </c>
      <c r="F3745" s="6">
        <v>52443</v>
      </c>
      <c r="G3745" s="6">
        <v>22452</v>
      </c>
      <c r="H3745" s="6">
        <v>8928</v>
      </c>
      <c r="I3745" s="6">
        <v>0</v>
      </c>
    </row>
    <row r="3746" spans="1:9">
      <c r="A3746" s="6">
        <v>39</v>
      </c>
      <c r="B3746" s="6" t="str">
        <f t="shared" si="116"/>
        <v>Electrical Machinery and Apparatus</v>
      </c>
      <c r="C3746" s="6">
        <v>58</v>
      </c>
      <c r="D3746" s="6" t="str">
        <f t="shared" si="117"/>
        <v>Unclassified</v>
      </c>
      <c r="E3746" s="6">
        <v>8622414</v>
      </c>
      <c r="F3746" s="6">
        <v>449339</v>
      </c>
      <c r="G3746" s="6">
        <v>532142</v>
      </c>
      <c r="H3746" s="6">
        <v>67082</v>
      </c>
      <c r="I3746" s="6">
        <v>3925403</v>
      </c>
    </row>
    <row r="3747" spans="1:9">
      <c r="A3747" s="6">
        <v>40</v>
      </c>
      <c r="B3747" s="6" t="str">
        <f t="shared" si="116"/>
        <v>Motor Vehicles and Repairing</v>
      </c>
      <c r="C3747" s="6">
        <v>58</v>
      </c>
      <c r="D3747" s="6" t="str">
        <f t="shared" si="117"/>
        <v>Unclassified</v>
      </c>
      <c r="E3747" s="6">
        <v>15237789</v>
      </c>
      <c r="F3747" s="6">
        <v>0</v>
      </c>
      <c r="G3747" s="6">
        <v>0</v>
      </c>
      <c r="H3747" s="6">
        <v>0</v>
      </c>
      <c r="I3747" s="6">
        <v>0</v>
      </c>
    </row>
    <row r="3748" spans="1:9">
      <c r="A3748" s="6">
        <v>41</v>
      </c>
      <c r="B3748" s="6" t="str">
        <f t="shared" si="116"/>
        <v>Other Transportation Equipment</v>
      </c>
      <c r="C3748" s="6">
        <v>58</v>
      </c>
      <c r="D3748" s="6" t="str">
        <f t="shared" si="117"/>
        <v>Unclassified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</row>
    <row r="3749" spans="1:9">
      <c r="A3749" s="6">
        <v>42</v>
      </c>
      <c r="B3749" s="6" t="str">
        <f t="shared" si="116"/>
        <v>Leather Products</v>
      </c>
      <c r="C3749" s="6">
        <v>58</v>
      </c>
      <c r="D3749" s="6" t="str">
        <f t="shared" si="117"/>
        <v>Unclassified</v>
      </c>
      <c r="E3749" s="6">
        <v>394655</v>
      </c>
      <c r="F3749" s="6">
        <v>22596</v>
      </c>
      <c r="G3749" s="6">
        <v>35227</v>
      </c>
      <c r="H3749" s="6">
        <v>2556</v>
      </c>
      <c r="I3749" s="6">
        <v>28697</v>
      </c>
    </row>
    <row r="3750" spans="1:9">
      <c r="A3750" s="6">
        <v>43</v>
      </c>
      <c r="B3750" s="6" t="str">
        <f t="shared" si="116"/>
        <v>Saw Mills and Wood Products</v>
      </c>
      <c r="C3750" s="6">
        <v>58</v>
      </c>
      <c r="D3750" s="6" t="str">
        <f t="shared" si="117"/>
        <v>Unclassified</v>
      </c>
      <c r="E3750" s="6">
        <v>456103</v>
      </c>
      <c r="F3750" s="6">
        <v>28325</v>
      </c>
      <c r="G3750" s="6">
        <v>38052</v>
      </c>
      <c r="H3750" s="6">
        <v>4328</v>
      </c>
      <c r="I3750" s="6">
        <v>23583</v>
      </c>
    </row>
    <row r="3751" spans="1:9">
      <c r="A3751" s="6">
        <v>44</v>
      </c>
      <c r="B3751" s="6" t="str">
        <f t="shared" si="116"/>
        <v>Other Manufacturing Products</v>
      </c>
      <c r="C3751" s="6">
        <v>58</v>
      </c>
      <c r="D3751" s="6" t="str">
        <f t="shared" si="117"/>
        <v>Unclassified</v>
      </c>
      <c r="E3751" s="6">
        <v>5731952</v>
      </c>
      <c r="F3751" s="6">
        <v>320750</v>
      </c>
      <c r="G3751" s="6">
        <v>754645</v>
      </c>
      <c r="H3751" s="6">
        <v>19814</v>
      </c>
      <c r="I3751" s="6">
        <v>1243906</v>
      </c>
    </row>
    <row r="3752" spans="1:9">
      <c r="A3752" s="6">
        <v>45</v>
      </c>
      <c r="B3752" s="6" t="str">
        <f t="shared" si="116"/>
        <v>Electricity and Gas</v>
      </c>
      <c r="C3752" s="6">
        <v>58</v>
      </c>
      <c r="D3752" s="6" t="str">
        <f t="shared" si="117"/>
        <v>Unclassified</v>
      </c>
      <c r="E3752" s="6">
        <v>2538385</v>
      </c>
      <c r="F3752" s="6">
        <v>18008</v>
      </c>
      <c r="G3752" s="6">
        <v>21160</v>
      </c>
      <c r="H3752" s="6">
        <v>7388</v>
      </c>
      <c r="I3752" s="6">
        <v>0</v>
      </c>
    </row>
    <row r="3753" spans="1:9">
      <c r="A3753" s="6">
        <v>46</v>
      </c>
      <c r="B3753" s="6" t="str">
        <f t="shared" si="116"/>
        <v>Water Works and Supply</v>
      </c>
      <c r="C3753" s="6">
        <v>58</v>
      </c>
      <c r="D3753" s="6" t="str">
        <f t="shared" si="117"/>
        <v>Unclassified</v>
      </c>
      <c r="E3753" s="6">
        <v>17504</v>
      </c>
      <c r="F3753" s="6">
        <v>0</v>
      </c>
      <c r="G3753" s="6">
        <v>0</v>
      </c>
      <c r="H3753" s="6">
        <v>0</v>
      </c>
      <c r="I3753" s="6">
        <v>0</v>
      </c>
    </row>
    <row r="3754" spans="1:9">
      <c r="A3754" s="6">
        <v>47</v>
      </c>
      <c r="B3754" s="6" t="str">
        <f t="shared" si="116"/>
        <v>Building Construction</v>
      </c>
      <c r="C3754" s="6">
        <v>58</v>
      </c>
      <c r="D3754" s="6" t="str">
        <f t="shared" si="117"/>
        <v>Unclassified</v>
      </c>
      <c r="E3754" s="6">
        <v>80444</v>
      </c>
      <c r="F3754" s="6">
        <v>0</v>
      </c>
      <c r="G3754" s="6">
        <v>0</v>
      </c>
      <c r="H3754" s="6">
        <v>0</v>
      </c>
      <c r="I3754" s="6">
        <v>0</v>
      </c>
    </row>
    <row r="3755" spans="1:9">
      <c r="A3755" s="6">
        <v>48</v>
      </c>
      <c r="B3755" s="6" t="str">
        <f t="shared" si="116"/>
        <v>Public Works and Other Construction</v>
      </c>
      <c r="C3755" s="6">
        <v>58</v>
      </c>
      <c r="D3755" s="6" t="str">
        <f t="shared" si="117"/>
        <v>Unclassified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</row>
    <row r="3756" spans="1:9">
      <c r="A3756" s="6">
        <v>49</v>
      </c>
      <c r="B3756" s="6" t="str">
        <f t="shared" si="116"/>
        <v>Trade</v>
      </c>
      <c r="C3756" s="6">
        <v>58</v>
      </c>
      <c r="D3756" s="6" t="str">
        <f t="shared" si="117"/>
        <v>Unclassified</v>
      </c>
      <c r="E3756" s="6">
        <v>0</v>
      </c>
      <c r="F3756" s="6">
        <v>-2230166</v>
      </c>
      <c r="G3756" s="6">
        <v>-3065876</v>
      </c>
      <c r="H3756" s="6">
        <v>0</v>
      </c>
      <c r="I3756" s="6">
        <v>0</v>
      </c>
    </row>
    <row r="3757" spans="1:9">
      <c r="A3757" s="6">
        <v>50</v>
      </c>
      <c r="B3757" s="6" t="str">
        <f t="shared" si="116"/>
        <v>Restaurants and Hotels</v>
      </c>
      <c r="C3757" s="6">
        <v>58</v>
      </c>
      <c r="D3757" s="6" t="str">
        <f t="shared" si="117"/>
        <v>Unclassified</v>
      </c>
      <c r="E3757" s="6">
        <v>4545930</v>
      </c>
      <c r="F3757" s="6">
        <v>0</v>
      </c>
      <c r="G3757" s="6">
        <v>0</v>
      </c>
      <c r="H3757" s="6">
        <v>0</v>
      </c>
      <c r="I3757" s="6">
        <v>0</v>
      </c>
    </row>
    <row r="3758" spans="1:9">
      <c r="A3758" s="6">
        <v>51</v>
      </c>
      <c r="B3758" s="6" t="str">
        <f t="shared" si="116"/>
        <v>Transportation</v>
      </c>
      <c r="C3758" s="6">
        <v>58</v>
      </c>
      <c r="D3758" s="6" t="str">
        <f t="shared" si="117"/>
        <v>Unclassified</v>
      </c>
      <c r="E3758" s="6">
        <v>8719446</v>
      </c>
      <c r="F3758" s="6">
        <v>0</v>
      </c>
      <c r="G3758" s="6">
        <v>0</v>
      </c>
      <c r="H3758" s="6">
        <v>-429665</v>
      </c>
      <c r="I3758" s="6">
        <v>0</v>
      </c>
    </row>
    <row r="3759" spans="1:9">
      <c r="A3759" s="6">
        <v>52</v>
      </c>
      <c r="B3759" s="6" t="str">
        <f t="shared" si="116"/>
        <v>Communication</v>
      </c>
      <c r="C3759" s="6">
        <v>58</v>
      </c>
      <c r="D3759" s="6" t="str">
        <f t="shared" si="117"/>
        <v>Unclassified</v>
      </c>
      <c r="E3759" s="6">
        <v>5973373</v>
      </c>
      <c r="F3759" s="6">
        <v>0</v>
      </c>
      <c r="G3759" s="6">
        <v>0</v>
      </c>
      <c r="H3759" s="6">
        <v>0</v>
      </c>
      <c r="I3759" s="6">
        <v>0</v>
      </c>
    </row>
    <row r="3760" spans="1:9">
      <c r="A3760" s="6">
        <v>53</v>
      </c>
      <c r="B3760" s="6" t="str">
        <f t="shared" si="116"/>
        <v>Banking and Insurance</v>
      </c>
      <c r="C3760" s="6">
        <v>58</v>
      </c>
      <c r="D3760" s="6" t="str">
        <f t="shared" si="117"/>
        <v>Unclassified</v>
      </c>
      <c r="E3760" s="6">
        <v>16613146</v>
      </c>
      <c r="F3760" s="6">
        <v>0</v>
      </c>
      <c r="G3760" s="6">
        <v>0</v>
      </c>
      <c r="H3760" s="6">
        <v>0</v>
      </c>
      <c r="I3760" s="6">
        <v>0</v>
      </c>
    </row>
    <row r="3761" spans="1:9">
      <c r="A3761" s="6">
        <v>54</v>
      </c>
      <c r="B3761" s="6" t="str">
        <f t="shared" si="116"/>
        <v>Real Estate</v>
      </c>
      <c r="C3761" s="6">
        <v>58</v>
      </c>
      <c r="D3761" s="6" t="str">
        <f t="shared" si="117"/>
        <v>Unclassified</v>
      </c>
      <c r="E3761" s="6">
        <v>469346</v>
      </c>
      <c r="F3761" s="6">
        <v>0</v>
      </c>
      <c r="G3761" s="6">
        <v>0</v>
      </c>
      <c r="H3761" s="6">
        <v>0</v>
      </c>
      <c r="I3761" s="6">
        <v>0</v>
      </c>
    </row>
    <row r="3762" spans="1:9">
      <c r="A3762" s="6">
        <v>55</v>
      </c>
      <c r="B3762" s="6" t="str">
        <f t="shared" si="116"/>
        <v>Business Services</v>
      </c>
      <c r="C3762" s="6">
        <v>58</v>
      </c>
      <c r="D3762" s="6" t="str">
        <f t="shared" si="117"/>
        <v>Unclassified</v>
      </c>
      <c r="E3762" s="6">
        <v>2586399</v>
      </c>
      <c r="F3762" s="6">
        <v>0</v>
      </c>
      <c r="G3762" s="6">
        <v>0</v>
      </c>
      <c r="H3762" s="6">
        <v>0</v>
      </c>
      <c r="I3762" s="6">
        <v>0</v>
      </c>
    </row>
    <row r="3763" spans="1:9">
      <c r="A3763" s="6">
        <v>56</v>
      </c>
      <c r="B3763" s="6" t="str">
        <f t="shared" si="116"/>
        <v>Public Services</v>
      </c>
      <c r="C3763" s="6">
        <v>58</v>
      </c>
      <c r="D3763" s="6" t="str">
        <f t="shared" si="117"/>
        <v>Unclassified</v>
      </c>
      <c r="E3763" s="6">
        <v>2811000</v>
      </c>
      <c r="F3763" s="6">
        <v>0</v>
      </c>
      <c r="G3763" s="6">
        <v>0</v>
      </c>
      <c r="H3763" s="6">
        <v>0</v>
      </c>
      <c r="I3763" s="6">
        <v>0</v>
      </c>
    </row>
    <row r="3764" spans="1:9">
      <c r="A3764" s="6">
        <v>57</v>
      </c>
      <c r="B3764" s="6" t="str">
        <f t="shared" si="116"/>
        <v>Other Services</v>
      </c>
      <c r="C3764" s="6">
        <v>58</v>
      </c>
      <c r="D3764" s="6" t="str">
        <f t="shared" si="117"/>
        <v>Unclassified</v>
      </c>
      <c r="E3764" s="6">
        <v>4409126</v>
      </c>
      <c r="F3764" s="6">
        <v>0</v>
      </c>
      <c r="G3764" s="6">
        <v>0</v>
      </c>
      <c r="H3764" s="6">
        <v>0</v>
      </c>
      <c r="I3764" s="6">
        <v>0</v>
      </c>
    </row>
    <row r="3765" spans="1:9">
      <c r="A3765" s="6">
        <v>58</v>
      </c>
      <c r="B3765" s="6" t="str">
        <f t="shared" si="116"/>
        <v>Unclassified</v>
      </c>
      <c r="C3765" s="6">
        <v>58</v>
      </c>
      <c r="D3765" s="6" t="str">
        <f t="shared" si="117"/>
        <v>Unclassified</v>
      </c>
      <c r="E3765" s="6">
        <v>22840286</v>
      </c>
      <c r="F3765" s="6">
        <v>0</v>
      </c>
      <c r="G3765" s="6">
        <v>0</v>
      </c>
      <c r="H3765" s="6">
        <v>0</v>
      </c>
      <c r="I3765" s="6">
        <v>2339293</v>
      </c>
    </row>
    <row r="3766" spans="1:9">
      <c r="A3766" s="6">
        <v>190</v>
      </c>
      <c r="B3766" s="6" t="str">
        <f t="shared" si="116"/>
        <v>Total Intermedite Transaction</v>
      </c>
      <c r="C3766" s="6">
        <v>58</v>
      </c>
      <c r="D3766" s="6" t="str">
        <f t="shared" si="117"/>
        <v>Unclassified</v>
      </c>
      <c r="E3766" s="6">
        <v>135398550</v>
      </c>
      <c r="F3766" s="6">
        <v>0</v>
      </c>
      <c r="G3766" s="6">
        <v>0</v>
      </c>
      <c r="H3766" s="6">
        <v>0</v>
      </c>
      <c r="I3766" s="6">
        <v>13587206</v>
      </c>
    </row>
    <row r="3767" spans="1:9">
      <c r="A3767" s="6">
        <v>201</v>
      </c>
      <c r="B3767" s="6" t="str">
        <f t="shared" si="116"/>
        <v>Wages and Salaries</v>
      </c>
      <c r="C3767" s="6">
        <v>58</v>
      </c>
      <c r="D3767" s="6" t="str">
        <f t="shared" si="117"/>
        <v>Unclassified</v>
      </c>
      <c r="E3767" s="6">
        <v>34338703</v>
      </c>
      <c r="F3767" s="6">
        <v>0</v>
      </c>
      <c r="G3767" s="6">
        <v>0</v>
      </c>
      <c r="H3767" s="6">
        <v>0</v>
      </c>
      <c r="I3767" s="6">
        <v>0</v>
      </c>
    </row>
    <row r="3768" spans="1:9">
      <c r="A3768" s="6">
        <v>202</v>
      </c>
      <c r="B3768" s="6" t="str">
        <f t="shared" si="116"/>
        <v>Operating Surplus</v>
      </c>
      <c r="C3768" s="6">
        <v>58</v>
      </c>
      <c r="D3768" s="6" t="str">
        <f t="shared" si="117"/>
        <v>Unclassified</v>
      </c>
      <c r="E3768" s="6">
        <v>66417821</v>
      </c>
      <c r="F3768" s="6">
        <v>0</v>
      </c>
      <c r="G3768" s="6">
        <v>0</v>
      </c>
      <c r="H3768" s="6">
        <v>0</v>
      </c>
      <c r="I3768" s="6">
        <v>0</v>
      </c>
    </row>
    <row r="3769" spans="1:9">
      <c r="A3769" s="6">
        <v>203</v>
      </c>
      <c r="B3769" s="6" t="str">
        <f t="shared" si="116"/>
        <v>Depreciation</v>
      </c>
      <c r="C3769" s="6">
        <v>58</v>
      </c>
      <c r="D3769" s="6" t="str">
        <f t="shared" si="117"/>
        <v>Unclassified</v>
      </c>
      <c r="E3769" s="6">
        <v>30542477</v>
      </c>
      <c r="F3769" s="6">
        <v>0</v>
      </c>
      <c r="G3769" s="6">
        <v>0</v>
      </c>
      <c r="H3769" s="6">
        <v>0</v>
      </c>
      <c r="I3769" s="6">
        <v>0</v>
      </c>
    </row>
    <row r="3770" spans="1:9">
      <c r="A3770" s="6">
        <v>204</v>
      </c>
      <c r="B3770" s="6" t="str">
        <f t="shared" si="116"/>
        <v>Indirect Taxes less Subsidies</v>
      </c>
      <c r="C3770" s="6">
        <v>58</v>
      </c>
      <c r="D3770" s="6" t="str">
        <f t="shared" si="117"/>
        <v>Unclassified</v>
      </c>
      <c r="E3770" s="6">
        <v>5695233</v>
      </c>
      <c r="F3770" s="6">
        <v>0</v>
      </c>
      <c r="G3770" s="6">
        <v>0</v>
      </c>
      <c r="H3770" s="6">
        <v>0</v>
      </c>
      <c r="I3770" s="6">
        <v>0</v>
      </c>
    </row>
    <row r="3771" spans="1:9">
      <c r="A3771" s="6">
        <v>209</v>
      </c>
      <c r="B3771" s="6" t="str">
        <f t="shared" si="116"/>
        <v>Total Value Added</v>
      </c>
      <c r="C3771" s="6">
        <v>58</v>
      </c>
      <c r="D3771" s="6" t="str">
        <f t="shared" si="117"/>
        <v>Unclassified</v>
      </c>
      <c r="E3771" s="6">
        <v>136994234</v>
      </c>
      <c r="F3771" s="6">
        <v>0</v>
      </c>
      <c r="G3771" s="6">
        <v>0</v>
      </c>
      <c r="H3771" s="6">
        <v>0</v>
      </c>
      <c r="I3771" s="6">
        <v>0</v>
      </c>
    </row>
    <row r="3772" spans="1:9">
      <c r="A3772" s="6">
        <v>210</v>
      </c>
      <c r="B3772" s="6" t="str">
        <f t="shared" si="116"/>
        <v>Control Total</v>
      </c>
      <c r="C3772" s="6">
        <v>58</v>
      </c>
      <c r="D3772" s="6" t="str">
        <f t="shared" si="117"/>
        <v>Unclassified</v>
      </c>
      <c r="E3772" s="6">
        <v>272392784</v>
      </c>
      <c r="F3772" s="6">
        <v>0</v>
      </c>
      <c r="G3772" s="6">
        <v>0</v>
      </c>
      <c r="H3772" s="6">
        <v>0</v>
      </c>
      <c r="I3772" s="6">
        <v>0</v>
      </c>
    </row>
    <row r="3773" spans="1:9">
      <c r="A3773" s="6">
        <v>1</v>
      </c>
      <c r="B3773" s="6" t="str">
        <f t="shared" si="116"/>
        <v>Paddy</v>
      </c>
      <c r="C3773" s="6">
        <v>190</v>
      </c>
      <c r="D3773" s="6" t="str">
        <f t="shared" si="117"/>
        <v>Total Intermedite Transaction</v>
      </c>
      <c r="E3773" s="6">
        <v>338690232</v>
      </c>
      <c r="F3773" s="6">
        <v>14563805</v>
      </c>
      <c r="G3773" s="6">
        <v>886197</v>
      </c>
      <c r="H3773" s="6">
        <v>2072302</v>
      </c>
      <c r="I3773" s="6">
        <v>5</v>
      </c>
    </row>
    <row r="3774" spans="1:9">
      <c r="A3774" s="6">
        <v>2</v>
      </c>
      <c r="B3774" s="6" t="str">
        <f t="shared" si="116"/>
        <v>Maize</v>
      </c>
      <c r="C3774" s="6">
        <v>190</v>
      </c>
      <c r="D3774" s="6" t="str">
        <f t="shared" si="117"/>
        <v>Total Intermedite Transaction</v>
      </c>
      <c r="E3774" s="6">
        <v>28240925</v>
      </c>
      <c r="F3774" s="6">
        <v>899868</v>
      </c>
      <c r="G3774" s="6">
        <v>50279</v>
      </c>
      <c r="H3774" s="6">
        <v>242304</v>
      </c>
      <c r="I3774" s="6">
        <v>14356949</v>
      </c>
    </row>
    <row r="3775" spans="1:9">
      <c r="A3775" s="6">
        <v>3</v>
      </c>
      <c r="B3775" s="6" t="str">
        <f t="shared" si="116"/>
        <v>Cassava</v>
      </c>
      <c r="C3775" s="6">
        <v>190</v>
      </c>
      <c r="D3775" s="6" t="str">
        <f t="shared" si="117"/>
        <v>Total Intermedite Transaction</v>
      </c>
      <c r="E3775" s="6">
        <v>64065258</v>
      </c>
      <c r="F3775" s="6">
        <v>1557589</v>
      </c>
      <c r="G3775" s="6">
        <v>65308</v>
      </c>
      <c r="H3775" s="6">
        <v>434929</v>
      </c>
      <c r="I3775" s="6">
        <v>0</v>
      </c>
    </row>
    <row r="3776" spans="1:9">
      <c r="A3776" s="6">
        <v>4</v>
      </c>
      <c r="B3776" s="6" t="str">
        <f t="shared" si="116"/>
        <v>Beans and Nuts</v>
      </c>
      <c r="C3776" s="6">
        <v>190</v>
      </c>
      <c r="D3776" s="6" t="str">
        <f t="shared" si="117"/>
        <v>Total Intermedite Transaction</v>
      </c>
      <c r="E3776" s="6">
        <v>47414802</v>
      </c>
      <c r="F3776" s="6">
        <v>900726</v>
      </c>
      <c r="G3776" s="6">
        <v>896943</v>
      </c>
      <c r="H3776" s="6">
        <v>71392</v>
      </c>
      <c r="I3776" s="6">
        <v>43009086</v>
      </c>
    </row>
    <row r="3777" spans="1:9">
      <c r="A3777" s="6">
        <v>5</v>
      </c>
      <c r="B3777" s="6" t="str">
        <f t="shared" si="116"/>
        <v>Vegetables and Fruits</v>
      </c>
      <c r="C3777" s="6">
        <v>190</v>
      </c>
      <c r="D3777" s="6" t="str">
        <f t="shared" si="117"/>
        <v>Total Intermedite Transaction</v>
      </c>
      <c r="E3777" s="6">
        <v>213728157</v>
      </c>
      <c r="F3777" s="6">
        <v>13030034</v>
      </c>
      <c r="G3777" s="6">
        <v>21070415</v>
      </c>
      <c r="H3777" s="6">
        <v>3015241</v>
      </c>
      <c r="I3777" s="6">
        <v>10881121</v>
      </c>
    </row>
    <row r="3778" spans="1:9">
      <c r="A3778" s="6">
        <v>6</v>
      </c>
      <c r="B3778" s="6" t="str">
        <f t="shared" si="116"/>
        <v>Sugarcane</v>
      </c>
      <c r="C3778" s="6">
        <v>190</v>
      </c>
      <c r="D3778" s="6" t="str">
        <f t="shared" si="117"/>
        <v>Total Intermedite Transaction</v>
      </c>
      <c r="E3778" s="6">
        <v>73390631</v>
      </c>
      <c r="F3778" s="6">
        <v>3338178</v>
      </c>
      <c r="G3778" s="6">
        <v>314</v>
      </c>
      <c r="H3778" s="6">
        <v>2251997</v>
      </c>
      <c r="I3778" s="6">
        <v>2</v>
      </c>
    </row>
    <row r="3779" spans="1:9">
      <c r="A3779" s="6">
        <v>7</v>
      </c>
      <c r="B3779" s="6" t="str">
        <f t="shared" si="116"/>
        <v>Rubber (Latex)</v>
      </c>
      <c r="C3779" s="6">
        <v>190</v>
      </c>
      <c r="D3779" s="6" t="str">
        <f t="shared" si="117"/>
        <v>Total Intermedite Transaction</v>
      </c>
      <c r="E3779" s="6">
        <v>116086775</v>
      </c>
      <c r="F3779" s="6">
        <v>7235675</v>
      </c>
      <c r="G3779" s="6">
        <v>0</v>
      </c>
      <c r="H3779" s="6">
        <v>810466</v>
      </c>
      <c r="I3779" s="6">
        <v>149467</v>
      </c>
    </row>
    <row r="3780" spans="1:9">
      <c r="A3780" s="6">
        <v>8</v>
      </c>
      <c r="B3780" s="6" t="str">
        <f t="shared" ref="B3780:B3843" si="118">VLOOKUP(A3780,R:S,2,0)</f>
        <v>Other Crops</v>
      </c>
      <c r="C3780" s="6">
        <v>190</v>
      </c>
      <c r="D3780" s="6" t="str">
        <f t="shared" ref="D3780:D3843" si="119">VLOOKUP(C3780,R:S,2,0)</f>
        <v>Total Intermedite Transaction</v>
      </c>
      <c r="E3780" s="6">
        <v>244746136</v>
      </c>
      <c r="F3780" s="6">
        <v>10666860</v>
      </c>
      <c r="G3780" s="6">
        <v>7185601</v>
      </c>
      <c r="H3780" s="6">
        <v>2563985</v>
      </c>
      <c r="I3780" s="6">
        <v>52009113</v>
      </c>
    </row>
    <row r="3781" spans="1:9">
      <c r="A3781" s="6">
        <v>9</v>
      </c>
      <c r="B3781" s="6" t="str">
        <f t="shared" si="118"/>
        <v>Livestock</v>
      </c>
      <c r="C3781" s="6">
        <v>190</v>
      </c>
      <c r="D3781" s="6" t="str">
        <f t="shared" si="119"/>
        <v>Total Intermedite Transaction</v>
      </c>
      <c r="E3781" s="6">
        <v>369310583</v>
      </c>
      <c r="F3781" s="6">
        <v>31695915</v>
      </c>
      <c r="G3781" s="6">
        <v>833001</v>
      </c>
      <c r="H3781" s="6">
        <v>1769007</v>
      </c>
      <c r="I3781" s="6">
        <v>3552383</v>
      </c>
    </row>
    <row r="3782" spans="1:9">
      <c r="A3782" s="6">
        <v>10</v>
      </c>
      <c r="B3782" s="6" t="str">
        <f t="shared" si="118"/>
        <v>Forestry</v>
      </c>
      <c r="C3782" s="6">
        <v>190</v>
      </c>
      <c r="D3782" s="6" t="str">
        <f t="shared" si="119"/>
        <v>Total Intermedite Transaction</v>
      </c>
      <c r="E3782" s="6">
        <v>51835961</v>
      </c>
      <c r="F3782" s="6">
        <v>3288517</v>
      </c>
      <c r="G3782" s="6">
        <v>468794</v>
      </c>
      <c r="H3782" s="6">
        <v>750033</v>
      </c>
      <c r="I3782" s="6">
        <v>2428191</v>
      </c>
    </row>
    <row r="3783" spans="1:9">
      <c r="A3783" s="6">
        <v>11</v>
      </c>
      <c r="B3783" s="6" t="str">
        <f t="shared" si="118"/>
        <v>Fishery</v>
      </c>
      <c r="C3783" s="6">
        <v>190</v>
      </c>
      <c r="D3783" s="6" t="str">
        <f t="shared" si="119"/>
        <v>Total Intermedite Transaction</v>
      </c>
      <c r="E3783" s="6">
        <v>164683524</v>
      </c>
      <c r="F3783" s="6">
        <v>17408060</v>
      </c>
      <c r="G3783" s="6">
        <v>15892822</v>
      </c>
      <c r="H3783" s="6">
        <v>3100329</v>
      </c>
      <c r="I3783" s="6">
        <v>3720474</v>
      </c>
    </row>
    <row r="3784" spans="1:9">
      <c r="A3784" s="6">
        <v>12</v>
      </c>
      <c r="B3784" s="6" t="str">
        <f t="shared" si="118"/>
        <v>Crude Oil and Coal</v>
      </c>
      <c r="C3784" s="6">
        <v>190</v>
      </c>
      <c r="D3784" s="6" t="str">
        <f t="shared" si="119"/>
        <v>Total Intermedite Transaction</v>
      </c>
      <c r="E3784" s="6">
        <v>1247431814</v>
      </c>
      <c r="F3784" s="6">
        <v>846247</v>
      </c>
      <c r="G3784" s="6">
        <v>0</v>
      </c>
      <c r="H3784" s="6">
        <v>757317</v>
      </c>
      <c r="I3784" s="6">
        <v>1009496457</v>
      </c>
    </row>
    <row r="3785" spans="1:9">
      <c r="A3785" s="6">
        <v>13</v>
      </c>
      <c r="B3785" s="6" t="str">
        <f t="shared" si="118"/>
        <v>Metal Ore</v>
      </c>
      <c r="C3785" s="6">
        <v>190</v>
      </c>
      <c r="D3785" s="6" t="str">
        <f t="shared" si="119"/>
        <v>Total Intermedite Transaction</v>
      </c>
      <c r="E3785" s="6">
        <v>27351914</v>
      </c>
      <c r="F3785" s="6">
        <v>1209674</v>
      </c>
      <c r="G3785" s="6">
        <v>0</v>
      </c>
      <c r="H3785" s="6">
        <v>642205</v>
      </c>
      <c r="I3785" s="6">
        <v>19069227</v>
      </c>
    </row>
    <row r="3786" spans="1:9">
      <c r="A3786" s="6">
        <v>14</v>
      </c>
      <c r="B3786" s="6" t="str">
        <f t="shared" si="118"/>
        <v>Non-Metal Ore</v>
      </c>
      <c r="C3786" s="6">
        <v>190</v>
      </c>
      <c r="D3786" s="6" t="str">
        <f t="shared" si="119"/>
        <v>Total Intermedite Transaction</v>
      </c>
      <c r="E3786" s="6">
        <v>217205594</v>
      </c>
      <c r="F3786" s="6">
        <v>11337489</v>
      </c>
      <c r="G3786" s="6">
        <v>1920783</v>
      </c>
      <c r="H3786" s="6">
        <v>25720486</v>
      </c>
      <c r="I3786" s="6">
        <v>11087069</v>
      </c>
    </row>
    <row r="3787" spans="1:9">
      <c r="A3787" s="6">
        <v>15</v>
      </c>
      <c r="B3787" s="6" t="str">
        <f t="shared" si="118"/>
        <v>Slaughtering</v>
      </c>
      <c r="C3787" s="6">
        <v>190</v>
      </c>
      <c r="D3787" s="6" t="str">
        <f t="shared" si="119"/>
        <v>Total Intermedite Transaction</v>
      </c>
      <c r="E3787" s="6">
        <v>235012876</v>
      </c>
      <c r="F3787" s="6">
        <v>4006109</v>
      </c>
      <c r="G3787" s="6">
        <v>5647844</v>
      </c>
      <c r="H3787" s="6">
        <v>605805</v>
      </c>
      <c r="I3787" s="6">
        <v>338415</v>
      </c>
    </row>
    <row r="3788" spans="1:9">
      <c r="A3788" s="6">
        <v>16</v>
      </c>
      <c r="B3788" s="6" t="str">
        <f t="shared" si="118"/>
        <v>Processing and Presering of Foods</v>
      </c>
      <c r="C3788" s="6">
        <v>190</v>
      </c>
      <c r="D3788" s="6" t="str">
        <f t="shared" si="119"/>
        <v>Total Intermedite Transaction</v>
      </c>
      <c r="E3788" s="6">
        <v>289879255</v>
      </c>
      <c r="F3788" s="6">
        <v>6474576</v>
      </c>
      <c r="G3788" s="6">
        <v>8683667</v>
      </c>
      <c r="H3788" s="6">
        <v>2512757</v>
      </c>
      <c r="I3788" s="6">
        <v>163987561</v>
      </c>
    </row>
    <row r="3789" spans="1:9">
      <c r="A3789" s="6">
        <v>17</v>
      </c>
      <c r="B3789" s="6" t="str">
        <f t="shared" si="118"/>
        <v>Rice and Other Grain Milling</v>
      </c>
      <c r="C3789" s="6">
        <v>190</v>
      </c>
      <c r="D3789" s="6" t="str">
        <f t="shared" si="119"/>
        <v>Total Intermedite Transaction</v>
      </c>
      <c r="E3789" s="6">
        <v>170354192</v>
      </c>
      <c r="F3789" s="6">
        <v>5340822</v>
      </c>
      <c r="G3789" s="6">
        <v>7620879</v>
      </c>
      <c r="H3789" s="6">
        <v>2598944</v>
      </c>
      <c r="I3789" s="6">
        <v>33462502</v>
      </c>
    </row>
    <row r="3790" spans="1:9">
      <c r="A3790" s="6">
        <v>18</v>
      </c>
      <c r="B3790" s="6" t="str">
        <f t="shared" si="118"/>
        <v>Sugar Refineries</v>
      </c>
      <c r="C3790" s="6">
        <v>190</v>
      </c>
      <c r="D3790" s="6" t="str">
        <f t="shared" si="119"/>
        <v>Total Intermedite Transaction</v>
      </c>
      <c r="E3790" s="6">
        <v>109529077</v>
      </c>
      <c r="F3790" s="6">
        <v>2358442</v>
      </c>
      <c r="G3790" s="6">
        <v>3706530</v>
      </c>
      <c r="H3790" s="6">
        <v>1449010</v>
      </c>
      <c r="I3790" s="6">
        <v>12856977</v>
      </c>
    </row>
    <row r="3791" spans="1:9">
      <c r="A3791" s="6">
        <v>19</v>
      </c>
      <c r="B3791" s="6" t="str">
        <f t="shared" si="118"/>
        <v>Other Foods</v>
      </c>
      <c r="C3791" s="6">
        <v>190</v>
      </c>
      <c r="D3791" s="6" t="str">
        <f t="shared" si="119"/>
        <v>Total Intermedite Transaction</v>
      </c>
      <c r="E3791" s="6">
        <v>155691073</v>
      </c>
      <c r="F3791" s="6">
        <v>6412130</v>
      </c>
      <c r="G3791" s="6">
        <v>9392297</v>
      </c>
      <c r="H3791" s="6">
        <v>2336502</v>
      </c>
      <c r="I3791" s="6">
        <v>51878186</v>
      </c>
    </row>
    <row r="3792" spans="1:9">
      <c r="A3792" s="6">
        <v>20</v>
      </c>
      <c r="B3792" s="6" t="str">
        <f t="shared" si="118"/>
        <v>Animal Food</v>
      </c>
      <c r="C3792" s="6">
        <v>190</v>
      </c>
      <c r="D3792" s="6" t="str">
        <f t="shared" si="119"/>
        <v>Total Intermedite Transaction</v>
      </c>
      <c r="E3792" s="6">
        <v>103074004</v>
      </c>
      <c r="F3792" s="6">
        <v>5167160</v>
      </c>
      <c r="G3792" s="6">
        <v>8359159</v>
      </c>
      <c r="H3792" s="6">
        <v>1009648</v>
      </c>
      <c r="I3792" s="6">
        <v>24196152</v>
      </c>
    </row>
    <row r="3793" spans="1:9">
      <c r="A3793" s="6">
        <v>21</v>
      </c>
      <c r="B3793" s="6" t="str">
        <f t="shared" si="118"/>
        <v>Beverages</v>
      </c>
      <c r="C3793" s="6">
        <v>190</v>
      </c>
      <c r="D3793" s="6" t="str">
        <f t="shared" si="119"/>
        <v>Total Intermedite Transaction</v>
      </c>
      <c r="E3793" s="6">
        <v>210140196</v>
      </c>
      <c r="F3793" s="6">
        <v>15138608</v>
      </c>
      <c r="G3793" s="6">
        <v>9604341</v>
      </c>
      <c r="H3793" s="6">
        <v>2962509</v>
      </c>
      <c r="I3793" s="6">
        <v>12412901</v>
      </c>
    </row>
    <row r="3794" spans="1:9">
      <c r="A3794" s="6">
        <v>22</v>
      </c>
      <c r="B3794" s="6" t="str">
        <f t="shared" si="118"/>
        <v>Tobacco Processing and Products</v>
      </c>
      <c r="C3794" s="6">
        <v>190</v>
      </c>
      <c r="D3794" s="6" t="str">
        <f t="shared" si="119"/>
        <v>Total Intermedite Transaction</v>
      </c>
      <c r="E3794" s="6">
        <v>8742385</v>
      </c>
      <c r="F3794" s="6">
        <v>496817</v>
      </c>
      <c r="G3794" s="6">
        <v>272732</v>
      </c>
      <c r="H3794" s="6">
        <v>163871</v>
      </c>
      <c r="I3794" s="6">
        <v>142716</v>
      </c>
    </row>
    <row r="3795" spans="1:9">
      <c r="A3795" s="6">
        <v>23</v>
      </c>
      <c r="B3795" s="6" t="str">
        <f t="shared" si="118"/>
        <v>Spinning, Weaving and Bleaching</v>
      </c>
      <c r="C3795" s="6">
        <v>190</v>
      </c>
      <c r="D3795" s="6" t="str">
        <f t="shared" si="119"/>
        <v>Total Intermedite Transaction</v>
      </c>
      <c r="E3795" s="6">
        <v>206426485</v>
      </c>
      <c r="F3795" s="6">
        <v>18750321</v>
      </c>
      <c r="G3795" s="6">
        <v>13176499</v>
      </c>
      <c r="H3795" s="6">
        <v>1853945</v>
      </c>
      <c r="I3795" s="6">
        <v>77965426</v>
      </c>
    </row>
    <row r="3796" spans="1:9">
      <c r="A3796" s="6">
        <v>24</v>
      </c>
      <c r="B3796" s="6" t="str">
        <f t="shared" si="118"/>
        <v>Textile Products</v>
      </c>
      <c r="C3796" s="6">
        <v>190</v>
      </c>
      <c r="D3796" s="6" t="str">
        <f t="shared" si="119"/>
        <v>Total Intermedite Transaction</v>
      </c>
      <c r="E3796" s="6">
        <v>54363268</v>
      </c>
      <c r="F3796" s="6">
        <v>2506368</v>
      </c>
      <c r="G3796" s="6">
        <v>4896169</v>
      </c>
      <c r="H3796" s="6">
        <v>326239</v>
      </c>
      <c r="I3796" s="6">
        <v>17794729</v>
      </c>
    </row>
    <row r="3797" spans="1:9">
      <c r="A3797" s="6">
        <v>25</v>
      </c>
      <c r="B3797" s="6" t="str">
        <f t="shared" si="118"/>
        <v>Paper and Paper Products</v>
      </c>
      <c r="C3797" s="6">
        <v>190</v>
      </c>
      <c r="D3797" s="6" t="str">
        <f t="shared" si="119"/>
        <v>Total Intermedite Transaction</v>
      </c>
      <c r="E3797" s="6">
        <v>272163819</v>
      </c>
      <c r="F3797" s="6">
        <v>22556196</v>
      </c>
      <c r="G3797" s="6">
        <v>16415348</v>
      </c>
      <c r="H3797" s="6">
        <v>4184386</v>
      </c>
      <c r="I3797" s="6">
        <v>98602675</v>
      </c>
    </row>
    <row r="3798" spans="1:9">
      <c r="A3798" s="6">
        <v>26</v>
      </c>
      <c r="B3798" s="6" t="str">
        <f t="shared" si="118"/>
        <v>Printing and Publishing</v>
      </c>
      <c r="C3798" s="6">
        <v>190</v>
      </c>
      <c r="D3798" s="6" t="str">
        <f t="shared" si="119"/>
        <v>Total Intermedite Transaction</v>
      </c>
      <c r="E3798" s="6">
        <v>80117278</v>
      </c>
      <c r="F3798" s="6">
        <v>4904255</v>
      </c>
      <c r="G3798" s="6">
        <v>7675730</v>
      </c>
      <c r="H3798" s="6">
        <v>625868</v>
      </c>
      <c r="I3798" s="6">
        <v>31204855</v>
      </c>
    </row>
    <row r="3799" spans="1:9">
      <c r="A3799" s="6">
        <v>27</v>
      </c>
      <c r="B3799" s="6" t="str">
        <f t="shared" si="118"/>
        <v>Basic Chemical Products</v>
      </c>
      <c r="C3799" s="6">
        <v>190</v>
      </c>
      <c r="D3799" s="6" t="str">
        <f t="shared" si="119"/>
        <v>Total Intermedite Transaction</v>
      </c>
      <c r="E3799" s="6">
        <v>1081365618</v>
      </c>
      <c r="F3799" s="6">
        <v>86621663</v>
      </c>
      <c r="G3799" s="6">
        <v>43758119</v>
      </c>
      <c r="H3799" s="6">
        <v>14192833</v>
      </c>
      <c r="I3799" s="6">
        <v>621351663</v>
      </c>
    </row>
    <row r="3800" spans="1:9">
      <c r="A3800" s="6">
        <v>28</v>
      </c>
      <c r="B3800" s="6" t="str">
        <f t="shared" si="118"/>
        <v>Fertilizer and Pesticides</v>
      </c>
      <c r="C3800" s="6">
        <v>190</v>
      </c>
      <c r="D3800" s="6" t="str">
        <f t="shared" si="119"/>
        <v>Total Intermedite Transaction</v>
      </c>
      <c r="E3800" s="6">
        <v>248413664</v>
      </c>
      <c r="F3800" s="6">
        <v>24805561</v>
      </c>
      <c r="G3800" s="6">
        <v>22920409</v>
      </c>
      <c r="H3800" s="6">
        <v>8620750</v>
      </c>
      <c r="I3800" s="6">
        <v>101455218</v>
      </c>
    </row>
    <row r="3801" spans="1:9">
      <c r="A3801" s="6">
        <v>29</v>
      </c>
      <c r="B3801" s="6" t="str">
        <f t="shared" si="118"/>
        <v>Other Chemical Products</v>
      </c>
      <c r="C3801" s="6">
        <v>190</v>
      </c>
      <c r="D3801" s="6" t="str">
        <f t="shared" si="119"/>
        <v>Total Intermedite Transaction</v>
      </c>
      <c r="E3801" s="6">
        <v>638653429</v>
      </c>
      <c r="F3801" s="6">
        <v>58999011</v>
      </c>
      <c r="G3801" s="6">
        <v>64264770</v>
      </c>
      <c r="H3801" s="6">
        <v>6232784</v>
      </c>
      <c r="I3801" s="6">
        <v>246709753</v>
      </c>
    </row>
    <row r="3802" spans="1:9">
      <c r="A3802" s="6">
        <v>30</v>
      </c>
      <c r="B3802" s="6" t="str">
        <f t="shared" si="118"/>
        <v>Petroleum Refineries</v>
      </c>
      <c r="C3802" s="6">
        <v>190</v>
      </c>
      <c r="D3802" s="6" t="str">
        <f t="shared" si="119"/>
        <v>Total Intermedite Transaction</v>
      </c>
      <c r="E3802" s="6">
        <v>971810709</v>
      </c>
      <c r="F3802" s="6">
        <v>50584696</v>
      </c>
      <c r="G3802" s="6">
        <v>49562401</v>
      </c>
      <c r="H3802" s="6">
        <v>8632707</v>
      </c>
      <c r="I3802" s="6">
        <v>196802388</v>
      </c>
    </row>
    <row r="3803" spans="1:9">
      <c r="A3803" s="6">
        <v>31</v>
      </c>
      <c r="B3803" s="6" t="str">
        <f t="shared" si="118"/>
        <v>Rubber Products</v>
      </c>
      <c r="C3803" s="6">
        <v>190</v>
      </c>
      <c r="D3803" s="6" t="str">
        <f t="shared" si="119"/>
        <v>Total Intermedite Transaction</v>
      </c>
      <c r="E3803" s="6">
        <v>178321300</v>
      </c>
      <c r="F3803" s="6">
        <v>15607332</v>
      </c>
      <c r="G3803" s="6">
        <v>20363398</v>
      </c>
      <c r="H3803" s="6">
        <v>4063217</v>
      </c>
      <c r="I3803" s="6">
        <v>51747790</v>
      </c>
    </row>
    <row r="3804" spans="1:9">
      <c r="A3804" s="6">
        <v>32</v>
      </c>
      <c r="B3804" s="6" t="str">
        <f t="shared" si="118"/>
        <v>Plastic Wares</v>
      </c>
      <c r="C3804" s="6">
        <v>190</v>
      </c>
      <c r="D3804" s="6" t="str">
        <f t="shared" si="119"/>
        <v>Total Intermedite Transaction</v>
      </c>
      <c r="E3804" s="6">
        <v>397609431</v>
      </c>
      <c r="F3804" s="6">
        <v>13615724</v>
      </c>
      <c r="G3804" s="6">
        <v>18573737</v>
      </c>
      <c r="H3804" s="6">
        <v>3035819</v>
      </c>
      <c r="I3804" s="6">
        <v>143019796</v>
      </c>
    </row>
    <row r="3805" spans="1:9">
      <c r="A3805" s="6">
        <v>33</v>
      </c>
      <c r="B3805" s="6" t="str">
        <f t="shared" si="118"/>
        <v>Cement and Concrete Products</v>
      </c>
      <c r="C3805" s="6">
        <v>190</v>
      </c>
      <c r="D3805" s="6" t="str">
        <f t="shared" si="119"/>
        <v>Total Intermedite Transaction</v>
      </c>
      <c r="E3805" s="6">
        <v>256291298</v>
      </c>
      <c r="F3805" s="6">
        <v>14532184</v>
      </c>
      <c r="G3805" s="6">
        <v>11881901</v>
      </c>
      <c r="H3805" s="6">
        <v>3917061</v>
      </c>
      <c r="I3805" s="6">
        <v>2272390</v>
      </c>
    </row>
    <row r="3806" spans="1:9">
      <c r="A3806" s="6">
        <v>34</v>
      </c>
      <c r="B3806" s="6" t="str">
        <f t="shared" si="118"/>
        <v>Other Non-metallic Products</v>
      </c>
      <c r="C3806" s="6">
        <v>190</v>
      </c>
      <c r="D3806" s="6" t="str">
        <f t="shared" si="119"/>
        <v>Total Intermedite Transaction</v>
      </c>
      <c r="E3806" s="6">
        <v>260562786</v>
      </c>
      <c r="F3806" s="6">
        <v>17534692</v>
      </c>
      <c r="G3806" s="6">
        <v>15404147</v>
      </c>
      <c r="H3806" s="6">
        <v>3105396</v>
      </c>
      <c r="I3806" s="6">
        <v>65151362</v>
      </c>
    </row>
    <row r="3807" spans="1:9">
      <c r="A3807" s="6">
        <v>35</v>
      </c>
      <c r="B3807" s="6" t="str">
        <f t="shared" si="118"/>
        <v>Iron and Steel</v>
      </c>
      <c r="C3807" s="6">
        <v>190</v>
      </c>
      <c r="D3807" s="6" t="str">
        <f t="shared" si="119"/>
        <v>Total Intermedite Transaction</v>
      </c>
      <c r="E3807" s="6">
        <v>980594231</v>
      </c>
      <c r="F3807" s="6">
        <v>39459907</v>
      </c>
      <c r="G3807" s="6">
        <v>39049992</v>
      </c>
      <c r="H3807" s="6">
        <v>9066733</v>
      </c>
      <c r="I3807" s="6">
        <v>606077811</v>
      </c>
    </row>
    <row r="3808" spans="1:9">
      <c r="A3808" s="6">
        <v>36</v>
      </c>
      <c r="B3808" s="6" t="str">
        <f t="shared" si="118"/>
        <v>Non-ferrous Metal</v>
      </c>
      <c r="C3808" s="6">
        <v>190</v>
      </c>
      <c r="D3808" s="6" t="str">
        <f t="shared" si="119"/>
        <v>Total Intermedite Transaction</v>
      </c>
      <c r="E3808" s="6">
        <v>636537144</v>
      </c>
      <c r="F3808" s="6">
        <v>32192776</v>
      </c>
      <c r="G3808" s="6">
        <v>17041851</v>
      </c>
      <c r="H3808" s="6">
        <v>1010950</v>
      </c>
      <c r="I3808" s="6">
        <v>494344849</v>
      </c>
    </row>
    <row r="3809" spans="1:9">
      <c r="A3809" s="6">
        <v>37</v>
      </c>
      <c r="B3809" s="6" t="str">
        <f t="shared" si="118"/>
        <v>Fabricated Metal Products</v>
      </c>
      <c r="C3809" s="6">
        <v>190</v>
      </c>
      <c r="D3809" s="6" t="str">
        <f t="shared" si="119"/>
        <v>Total Intermedite Transaction</v>
      </c>
      <c r="E3809" s="6">
        <v>350269264</v>
      </c>
      <c r="F3809" s="6">
        <v>6802658</v>
      </c>
      <c r="G3809" s="6">
        <v>15123785</v>
      </c>
      <c r="H3809" s="6">
        <v>887686</v>
      </c>
      <c r="I3809" s="6">
        <v>259710376</v>
      </c>
    </row>
    <row r="3810" spans="1:9">
      <c r="A3810" s="6">
        <v>38</v>
      </c>
      <c r="B3810" s="6" t="str">
        <f t="shared" si="118"/>
        <v>Industrial Machinery</v>
      </c>
      <c r="C3810" s="6">
        <v>190</v>
      </c>
      <c r="D3810" s="6" t="str">
        <f t="shared" si="119"/>
        <v>Total Intermedite Transaction</v>
      </c>
      <c r="E3810" s="6">
        <v>486357302</v>
      </c>
      <c r="F3810" s="6">
        <v>34692817</v>
      </c>
      <c r="G3810" s="6">
        <v>10863875</v>
      </c>
      <c r="H3810" s="6">
        <v>4028702</v>
      </c>
      <c r="I3810" s="6">
        <v>260999515</v>
      </c>
    </row>
    <row r="3811" spans="1:9">
      <c r="A3811" s="6">
        <v>39</v>
      </c>
      <c r="B3811" s="6" t="str">
        <f t="shared" si="118"/>
        <v>Electrical Machinery and Apparatus</v>
      </c>
      <c r="C3811" s="6">
        <v>190</v>
      </c>
      <c r="D3811" s="6" t="str">
        <f t="shared" si="119"/>
        <v>Total Intermedite Transaction</v>
      </c>
      <c r="E3811" s="6">
        <v>2406026849</v>
      </c>
      <c r="F3811" s="6">
        <v>140799625</v>
      </c>
      <c r="G3811" s="6">
        <v>165471303</v>
      </c>
      <c r="H3811" s="6">
        <v>16434268</v>
      </c>
      <c r="I3811" s="6">
        <v>1436884056</v>
      </c>
    </row>
    <row r="3812" spans="1:9">
      <c r="A3812" s="6">
        <v>40</v>
      </c>
      <c r="B3812" s="6" t="str">
        <f t="shared" si="118"/>
        <v>Motor Vehicles and Repairing</v>
      </c>
      <c r="C3812" s="6">
        <v>190</v>
      </c>
      <c r="D3812" s="6" t="str">
        <f t="shared" si="119"/>
        <v>Total Intermedite Transaction</v>
      </c>
      <c r="E3812" s="6">
        <v>769920637</v>
      </c>
      <c r="F3812" s="6">
        <v>27292776</v>
      </c>
      <c r="G3812" s="6">
        <v>47378563</v>
      </c>
      <c r="H3812" s="6">
        <v>3972979</v>
      </c>
      <c r="I3812" s="6">
        <v>276325631</v>
      </c>
    </row>
    <row r="3813" spans="1:9">
      <c r="A3813" s="6">
        <v>41</v>
      </c>
      <c r="B3813" s="6" t="str">
        <f t="shared" si="118"/>
        <v>Other Transportation Equipment</v>
      </c>
      <c r="C3813" s="6">
        <v>190</v>
      </c>
      <c r="D3813" s="6" t="str">
        <f t="shared" si="119"/>
        <v>Total Intermedite Transaction</v>
      </c>
      <c r="E3813" s="6">
        <v>30823058</v>
      </c>
      <c r="F3813" s="6">
        <v>1011009</v>
      </c>
      <c r="G3813" s="6">
        <v>84753</v>
      </c>
      <c r="H3813" s="6">
        <v>357011</v>
      </c>
      <c r="I3813" s="6">
        <v>11534209</v>
      </c>
    </row>
    <row r="3814" spans="1:9">
      <c r="A3814" s="6">
        <v>42</v>
      </c>
      <c r="B3814" s="6" t="str">
        <f t="shared" si="118"/>
        <v>Leather Products</v>
      </c>
      <c r="C3814" s="6">
        <v>190</v>
      </c>
      <c r="D3814" s="6" t="str">
        <f t="shared" si="119"/>
        <v>Total Intermedite Transaction</v>
      </c>
      <c r="E3814" s="6">
        <v>36630792</v>
      </c>
      <c r="F3814" s="6">
        <v>2605333</v>
      </c>
      <c r="G3814" s="6">
        <v>1742458</v>
      </c>
      <c r="H3814" s="6">
        <v>188239</v>
      </c>
      <c r="I3814" s="6">
        <v>27729787</v>
      </c>
    </row>
    <row r="3815" spans="1:9">
      <c r="A3815" s="6">
        <v>43</v>
      </c>
      <c r="B3815" s="6" t="str">
        <f t="shared" si="118"/>
        <v>Saw Mills and Wood Products</v>
      </c>
      <c r="C3815" s="6">
        <v>190</v>
      </c>
      <c r="D3815" s="6" t="str">
        <f t="shared" si="119"/>
        <v>Total Intermedite Transaction</v>
      </c>
      <c r="E3815" s="6">
        <v>121378485</v>
      </c>
      <c r="F3815" s="6">
        <v>14504417</v>
      </c>
      <c r="G3815" s="6">
        <v>17084044</v>
      </c>
      <c r="H3815" s="6">
        <v>1024592</v>
      </c>
      <c r="I3815" s="6">
        <v>19392921</v>
      </c>
    </row>
    <row r="3816" spans="1:9">
      <c r="A3816" s="6">
        <v>44</v>
      </c>
      <c r="B3816" s="6" t="str">
        <f t="shared" si="118"/>
        <v>Other Manufacturing Products</v>
      </c>
      <c r="C3816" s="6">
        <v>190</v>
      </c>
      <c r="D3816" s="6" t="str">
        <f t="shared" si="119"/>
        <v>Total Intermedite Transaction</v>
      </c>
      <c r="E3816" s="6">
        <v>681715632</v>
      </c>
      <c r="F3816" s="6">
        <v>39979398</v>
      </c>
      <c r="G3816" s="6">
        <v>71790162</v>
      </c>
      <c r="H3816" s="6">
        <v>2867190</v>
      </c>
      <c r="I3816" s="6">
        <v>240558486</v>
      </c>
    </row>
    <row r="3817" spans="1:9">
      <c r="A3817" s="6">
        <v>45</v>
      </c>
      <c r="B3817" s="6" t="str">
        <f t="shared" si="118"/>
        <v>Electricity and Gas</v>
      </c>
      <c r="C3817" s="6">
        <v>190</v>
      </c>
      <c r="D3817" s="6" t="str">
        <f t="shared" si="119"/>
        <v>Total Intermedite Transaction</v>
      </c>
      <c r="E3817" s="6">
        <v>1281587219</v>
      </c>
      <c r="F3817" s="6">
        <v>4377053</v>
      </c>
      <c r="G3817" s="6">
        <v>6790037</v>
      </c>
      <c r="H3817" s="6">
        <v>975211</v>
      </c>
      <c r="I3817" s="6">
        <v>142248466</v>
      </c>
    </row>
    <row r="3818" spans="1:9">
      <c r="A3818" s="6">
        <v>46</v>
      </c>
      <c r="B3818" s="6" t="str">
        <f t="shared" si="118"/>
        <v>Water Works and Supply</v>
      </c>
      <c r="C3818" s="6">
        <v>190</v>
      </c>
      <c r="D3818" s="6" t="str">
        <f t="shared" si="119"/>
        <v>Total Intermedite Transaction</v>
      </c>
      <c r="E3818" s="6">
        <v>26932651</v>
      </c>
      <c r="F3818" s="6">
        <v>0</v>
      </c>
      <c r="G3818" s="6">
        <v>0</v>
      </c>
      <c r="H3818" s="6">
        <v>0</v>
      </c>
      <c r="I3818" s="6">
        <v>0</v>
      </c>
    </row>
    <row r="3819" spans="1:9">
      <c r="A3819" s="6">
        <v>47</v>
      </c>
      <c r="B3819" s="6" t="str">
        <f t="shared" si="118"/>
        <v>Building Construction</v>
      </c>
      <c r="C3819" s="6">
        <v>190</v>
      </c>
      <c r="D3819" s="6" t="str">
        <f t="shared" si="119"/>
        <v>Total Intermedite Transaction</v>
      </c>
      <c r="E3819" s="6">
        <v>29992568</v>
      </c>
      <c r="F3819" s="6">
        <v>0</v>
      </c>
      <c r="G3819" s="6">
        <v>0</v>
      </c>
      <c r="H3819" s="6">
        <v>0</v>
      </c>
      <c r="I3819" s="6">
        <v>0</v>
      </c>
    </row>
    <row r="3820" spans="1:9">
      <c r="A3820" s="6">
        <v>48</v>
      </c>
      <c r="B3820" s="6" t="str">
        <f t="shared" si="118"/>
        <v>Public Works and Other Construction</v>
      </c>
      <c r="C3820" s="6">
        <v>190</v>
      </c>
      <c r="D3820" s="6" t="str">
        <f t="shared" si="119"/>
        <v>Total Intermedite Transaction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</row>
    <row r="3821" spans="1:9">
      <c r="A3821" s="6">
        <v>49</v>
      </c>
      <c r="B3821" s="6" t="str">
        <f t="shared" si="118"/>
        <v>Trade</v>
      </c>
      <c r="C3821" s="6">
        <v>190</v>
      </c>
      <c r="D3821" s="6" t="str">
        <f t="shared" si="119"/>
        <v>Total Intermedite Transaction</v>
      </c>
      <c r="E3821" s="6">
        <v>0</v>
      </c>
      <c r="F3821" s="6">
        <v>-838109073</v>
      </c>
      <c r="G3821" s="6">
        <v>-783871357</v>
      </c>
      <c r="H3821" s="6">
        <v>0</v>
      </c>
      <c r="I3821" s="6">
        <v>0</v>
      </c>
    </row>
    <row r="3822" spans="1:9">
      <c r="A3822" s="6">
        <v>50</v>
      </c>
      <c r="B3822" s="6" t="str">
        <f t="shared" si="118"/>
        <v>Restaurants and Hotels</v>
      </c>
      <c r="C3822" s="6">
        <v>190</v>
      </c>
      <c r="D3822" s="6" t="str">
        <f t="shared" si="119"/>
        <v>Total Intermedite Transaction</v>
      </c>
      <c r="E3822" s="6">
        <v>171964375</v>
      </c>
      <c r="F3822" s="6">
        <v>0</v>
      </c>
      <c r="G3822" s="6">
        <v>0</v>
      </c>
      <c r="H3822" s="6">
        <v>0</v>
      </c>
      <c r="I3822" s="6">
        <v>0</v>
      </c>
    </row>
    <row r="3823" spans="1:9">
      <c r="A3823" s="6">
        <v>51</v>
      </c>
      <c r="B3823" s="6" t="str">
        <f t="shared" si="118"/>
        <v>Transportation</v>
      </c>
      <c r="C3823" s="6">
        <v>190</v>
      </c>
      <c r="D3823" s="6" t="str">
        <f t="shared" si="119"/>
        <v>Total Intermedite Transaction</v>
      </c>
      <c r="E3823" s="6">
        <v>436537256</v>
      </c>
      <c r="F3823" s="6">
        <v>0</v>
      </c>
      <c r="G3823" s="6">
        <v>0</v>
      </c>
      <c r="H3823" s="6">
        <v>-157445605</v>
      </c>
      <c r="I3823" s="6">
        <v>42071811</v>
      </c>
    </row>
    <row r="3824" spans="1:9">
      <c r="A3824" s="6">
        <v>52</v>
      </c>
      <c r="B3824" s="6" t="str">
        <f t="shared" si="118"/>
        <v>Communication</v>
      </c>
      <c r="C3824" s="6">
        <v>190</v>
      </c>
      <c r="D3824" s="6" t="str">
        <f t="shared" si="119"/>
        <v>Total Intermedite Transaction</v>
      </c>
      <c r="E3824" s="6">
        <v>315509401</v>
      </c>
      <c r="F3824" s="6">
        <v>0</v>
      </c>
      <c r="G3824" s="6">
        <v>0</v>
      </c>
      <c r="H3824" s="6">
        <v>0</v>
      </c>
      <c r="I3824" s="6">
        <v>0</v>
      </c>
    </row>
    <row r="3825" spans="1:9">
      <c r="A3825" s="6">
        <v>53</v>
      </c>
      <c r="B3825" s="6" t="str">
        <f t="shared" si="118"/>
        <v>Banking and Insurance</v>
      </c>
      <c r="C3825" s="6">
        <v>190</v>
      </c>
      <c r="D3825" s="6" t="str">
        <f t="shared" si="119"/>
        <v>Total Intermedite Transaction</v>
      </c>
      <c r="E3825" s="6">
        <v>1040098738</v>
      </c>
      <c r="F3825" s="6">
        <v>0</v>
      </c>
      <c r="G3825" s="6">
        <v>0</v>
      </c>
      <c r="H3825" s="6">
        <v>0</v>
      </c>
      <c r="I3825" s="6">
        <v>14494646</v>
      </c>
    </row>
    <row r="3826" spans="1:9">
      <c r="A3826" s="6">
        <v>54</v>
      </c>
      <c r="B3826" s="6" t="str">
        <f t="shared" si="118"/>
        <v>Real Estate</v>
      </c>
      <c r="C3826" s="6">
        <v>190</v>
      </c>
      <c r="D3826" s="6" t="str">
        <f t="shared" si="119"/>
        <v>Total Intermedite Transaction</v>
      </c>
      <c r="E3826" s="6">
        <v>99509530</v>
      </c>
      <c r="F3826" s="6">
        <v>0</v>
      </c>
      <c r="G3826" s="6">
        <v>0</v>
      </c>
      <c r="H3826" s="6">
        <v>0</v>
      </c>
      <c r="I3826" s="6">
        <v>0</v>
      </c>
    </row>
    <row r="3827" spans="1:9">
      <c r="A3827" s="6">
        <v>55</v>
      </c>
      <c r="B3827" s="6" t="str">
        <f t="shared" si="118"/>
        <v>Business Services</v>
      </c>
      <c r="C3827" s="6">
        <v>190</v>
      </c>
      <c r="D3827" s="6" t="str">
        <f t="shared" si="119"/>
        <v>Total Intermedite Transaction</v>
      </c>
      <c r="E3827" s="6">
        <v>1050683321</v>
      </c>
      <c r="F3827" s="6">
        <v>0</v>
      </c>
      <c r="G3827" s="6">
        <v>0</v>
      </c>
      <c r="H3827" s="6">
        <v>0</v>
      </c>
      <c r="I3827" s="6">
        <v>189195153</v>
      </c>
    </row>
    <row r="3828" spans="1:9">
      <c r="A3828" s="6">
        <v>56</v>
      </c>
      <c r="B3828" s="6" t="str">
        <f t="shared" si="118"/>
        <v>Public Services</v>
      </c>
      <c r="C3828" s="6">
        <v>190</v>
      </c>
      <c r="D3828" s="6" t="str">
        <f t="shared" si="119"/>
        <v>Total Intermedite Transaction</v>
      </c>
      <c r="E3828" s="6">
        <v>67192814</v>
      </c>
      <c r="F3828" s="6">
        <v>0</v>
      </c>
      <c r="G3828" s="6">
        <v>0</v>
      </c>
      <c r="H3828" s="6">
        <v>0</v>
      </c>
      <c r="I3828" s="6">
        <v>0</v>
      </c>
    </row>
    <row r="3829" spans="1:9">
      <c r="A3829" s="6">
        <v>57</v>
      </c>
      <c r="B3829" s="6" t="str">
        <f t="shared" si="118"/>
        <v>Other Services</v>
      </c>
      <c r="C3829" s="6">
        <v>190</v>
      </c>
      <c r="D3829" s="6" t="str">
        <f t="shared" si="119"/>
        <v>Total Intermedite Transaction</v>
      </c>
      <c r="E3829" s="6">
        <v>256649985</v>
      </c>
      <c r="F3829" s="6">
        <v>0</v>
      </c>
      <c r="G3829" s="6">
        <v>0</v>
      </c>
      <c r="H3829" s="6">
        <v>0</v>
      </c>
      <c r="I3829" s="6">
        <v>0</v>
      </c>
    </row>
    <row r="3830" spans="1:9">
      <c r="A3830" s="6">
        <v>58</v>
      </c>
      <c r="B3830" s="6" t="str">
        <f t="shared" si="118"/>
        <v>Unclassified</v>
      </c>
      <c r="C3830" s="6">
        <v>190</v>
      </c>
      <c r="D3830" s="6" t="str">
        <f t="shared" si="119"/>
        <v>Total Intermedite Transaction</v>
      </c>
      <c r="E3830" s="6">
        <v>154602701</v>
      </c>
      <c r="F3830" s="6">
        <v>0</v>
      </c>
      <c r="G3830" s="6">
        <v>0</v>
      </c>
      <c r="H3830" s="6">
        <v>0</v>
      </c>
      <c r="I3830" s="6">
        <v>15257759</v>
      </c>
    </row>
    <row r="3831" spans="1:9">
      <c r="A3831" s="6">
        <v>190</v>
      </c>
      <c r="B3831" s="6" t="str">
        <f t="shared" si="118"/>
        <v>Total Intermedite Transaction</v>
      </c>
      <c r="C3831" s="6">
        <v>190</v>
      </c>
      <c r="D3831" s="6" t="str">
        <f t="shared" si="119"/>
        <v>Total Intermedite Transaction</v>
      </c>
      <c r="E3831" s="6">
        <v>20564218402</v>
      </c>
      <c r="F3831" s="6">
        <v>0</v>
      </c>
      <c r="G3831" s="6">
        <v>0</v>
      </c>
      <c r="H3831" s="6">
        <v>0</v>
      </c>
      <c r="I3831" s="6">
        <v>7159938475</v>
      </c>
    </row>
    <row r="3832" spans="1:9">
      <c r="A3832" s="6">
        <v>201</v>
      </c>
      <c r="B3832" s="6" t="str">
        <f t="shared" si="118"/>
        <v>Wages and Salaries</v>
      </c>
      <c r="C3832" s="6">
        <v>190</v>
      </c>
      <c r="D3832" s="6" t="str">
        <f t="shared" si="119"/>
        <v>Total Intermedite Transaction</v>
      </c>
      <c r="E3832" s="6">
        <v>5402721965</v>
      </c>
      <c r="F3832" s="6">
        <v>0</v>
      </c>
      <c r="G3832" s="6">
        <v>0</v>
      </c>
      <c r="H3832" s="6">
        <v>0</v>
      </c>
      <c r="I3832" s="6">
        <v>0</v>
      </c>
    </row>
    <row r="3833" spans="1:9">
      <c r="A3833" s="6">
        <v>202</v>
      </c>
      <c r="B3833" s="6" t="str">
        <f t="shared" si="118"/>
        <v>Operating Surplus</v>
      </c>
      <c r="C3833" s="6">
        <v>190</v>
      </c>
      <c r="D3833" s="6" t="str">
        <f t="shared" si="119"/>
        <v>Total Intermedite Transaction</v>
      </c>
      <c r="E3833" s="6">
        <v>6023813837</v>
      </c>
      <c r="F3833" s="6">
        <v>0</v>
      </c>
      <c r="G3833" s="6">
        <v>0</v>
      </c>
      <c r="H3833" s="6">
        <v>0</v>
      </c>
      <c r="I3833" s="6">
        <v>0</v>
      </c>
    </row>
    <row r="3834" spans="1:9">
      <c r="A3834" s="6">
        <v>203</v>
      </c>
      <c r="B3834" s="6" t="str">
        <f t="shared" si="118"/>
        <v>Depreciation</v>
      </c>
      <c r="C3834" s="6">
        <v>190</v>
      </c>
      <c r="D3834" s="6" t="str">
        <f t="shared" si="119"/>
        <v>Total Intermedite Transaction</v>
      </c>
      <c r="E3834" s="6">
        <v>3040598000</v>
      </c>
      <c r="F3834" s="6">
        <v>0</v>
      </c>
      <c r="G3834" s="6">
        <v>0</v>
      </c>
      <c r="H3834" s="6">
        <v>0</v>
      </c>
      <c r="I3834" s="6">
        <v>0</v>
      </c>
    </row>
    <row r="3835" spans="1:9">
      <c r="A3835" s="6">
        <v>204</v>
      </c>
      <c r="B3835" s="6" t="str">
        <f t="shared" si="118"/>
        <v>Indirect Taxes less Subsidies</v>
      </c>
      <c r="C3835" s="6">
        <v>190</v>
      </c>
      <c r="D3835" s="6" t="str">
        <f t="shared" si="119"/>
        <v>Total Intermedite Transaction</v>
      </c>
      <c r="E3835" s="6">
        <v>1269949000</v>
      </c>
      <c r="F3835" s="6">
        <v>0</v>
      </c>
      <c r="G3835" s="6">
        <v>0</v>
      </c>
      <c r="H3835" s="6">
        <v>0</v>
      </c>
      <c r="I3835" s="6">
        <v>0</v>
      </c>
    </row>
    <row r="3836" spans="1:9">
      <c r="A3836" s="6">
        <v>209</v>
      </c>
      <c r="B3836" s="6" t="str">
        <f t="shared" si="118"/>
        <v>Total Value Added</v>
      </c>
      <c r="C3836" s="6">
        <v>190</v>
      </c>
      <c r="D3836" s="6" t="str">
        <f t="shared" si="119"/>
        <v>Total Intermedite Transaction</v>
      </c>
      <c r="E3836" s="6">
        <v>15737082802</v>
      </c>
      <c r="F3836" s="6">
        <v>0</v>
      </c>
      <c r="G3836" s="6">
        <v>0</v>
      </c>
      <c r="H3836" s="6">
        <v>0</v>
      </c>
      <c r="I3836" s="6">
        <v>0</v>
      </c>
    </row>
    <row r="3837" spans="1:9">
      <c r="A3837" s="6">
        <v>210</v>
      </c>
      <c r="B3837" s="6" t="str">
        <f t="shared" si="118"/>
        <v>Control Total</v>
      </c>
      <c r="C3837" s="6">
        <v>190</v>
      </c>
      <c r="D3837" s="6" t="str">
        <f t="shared" si="119"/>
        <v>Total Intermedite Transaction</v>
      </c>
      <c r="E3837" s="6">
        <v>36301301204</v>
      </c>
      <c r="F3837" s="6">
        <v>0</v>
      </c>
      <c r="G3837" s="6">
        <v>0</v>
      </c>
      <c r="H3837" s="6">
        <v>0</v>
      </c>
      <c r="I3837" s="6">
        <v>0</v>
      </c>
    </row>
    <row r="3838" spans="1:9">
      <c r="A3838" s="6">
        <v>1</v>
      </c>
      <c r="B3838" s="6" t="str">
        <f t="shared" si="118"/>
        <v>Paddy</v>
      </c>
      <c r="C3838" s="6">
        <v>301</v>
      </c>
      <c r="D3838" s="6" t="str">
        <f t="shared" si="119"/>
        <v>Private Consumption Expenditure</v>
      </c>
      <c r="E3838" s="6">
        <v>200503</v>
      </c>
      <c r="F3838" s="6">
        <v>38592</v>
      </c>
      <c r="G3838" s="6">
        <v>330</v>
      </c>
      <c r="H3838" s="6">
        <v>3602</v>
      </c>
      <c r="I3838" s="6">
        <v>0</v>
      </c>
    </row>
    <row r="3839" spans="1:9">
      <c r="A3839" s="6">
        <v>2</v>
      </c>
      <c r="B3839" s="6" t="str">
        <f t="shared" si="118"/>
        <v>Maize</v>
      </c>
      <c r="C3839" s="6">
        <v>301</v>
      </c>
      <c r="D3839" s="6" t="str">
        <f t="shared" si="119"/>
        <v>Private Consumption Expenditure</v>
      </c>
      <c r="E3839" s="6">
        <v>566358</v>
      </c>
      <c r="F3839" s="6">
        <v>20228</v>
      </c>
      <c r="G3839" s="6">
        <v>2200</v>
      </c>
      <c r="H3839" s="6">
        <v>5000</v>
      </c>
      <c r="I3839" s="6">
        <v>116384</v>
      </c>
    </row>
    <row r="3840" spans="1:9">
      <c r="A3840" s="6">
        <v>3</v>
      </c>
      <c r="B3840" s="6" t="str">
        <f t="shared" si="118"/>
        <v>Cassava</v>
      </c>
      <c r="C3840" s="6">
        <v>301</v>
      </c>
      <c r="D3840" s="6" t="str">
        <f t="shared" si="119"/>
        <v>Private Consumption Expenditure</v>
      </c>
      <c r="E3840" s="6">
        <v>522579</v>
      </c>
      <c r="F3840" s="6">
        <v>11805</v>
      </c>
      <c r="G3840" s="6">
        <v>1268</v>
      </c>
      <c r="H3840" s="6">
        <v>3355</v>
      </c>
      <c r="I3840" s="6">
        <v>0</v>
      </c>
    </row>
    <row r="3841" spans="1:9">
      <c r="A3841" s="6">
        <v>4</v>
      </c>
      <c r="B3841" s="6" t="str">
        <f t="shared" si="118"/>
        <v>Beans and Nuts</v>
      </c>
      <c r="C3841" s="6">
        <v>301</v>
      </c>
      <c r="D3841" s="6" t="str">
        <f t="shared" si="119"/>
        <v>Private Consumption Expenditure</v>
      </c>
      <c r="E3841" s="6">
        <v>1221069</v>
      </c>
      <c r="F3841" s="6">
        <v>57646</v>
      </c>
      <c r="G3841" s="6">
        <v>51877</v>
      </c>
      <c r="H3841" s="6">
        <v>2364</v>
      </c>
      <c r="I3841" s="6">
        <v>992311</v>
      </c>
    </row>
    <row r="3842" spans="1:9">
      <c r="A3842" s="6">
        <v>5</v>
      </c>
      <c r="B3842" s="6" t="str">
        <f t="shared" si="118"/>
        <v>Vegetables and Fruits</v>
      </c>
      <c r="C3842" s="6">
        <v>301</v>
      </c>
      <c r="D3842" s="6" t="str">
        <f t="shared" si="119"/>
        <v>Private Consumption Expenditure</v>
      </c>
      <c r="E3842" s="6">
        <v>586918761</v>
      </c>
      <c r="F3842" s="6">
        <v>76456761</v>
      </c>
      <c r="G3842" s="6">
        <v>118377622</v>
      </c>
      <c r="H3842" s="6">
        <v>10387835</v>
      </c>
      <c r="I3842" s="6">
        <v>42902095</v>
      </c>
    </row>
    <row r="3843" spans="1:9">
      <c r="A3843" s="6">
        <v>6</v>
      </c>
      <c r="B3843" s="6" t="str">
        <f t="shared" si="118"/>
        <v>Sugarcane</v>
      </c>
      <c r="C3843" s="6">
        <v>301</v>
      </c>
      <c r="D3843" s="6" t="str">
        <f t="shared" si="119"/>
        <v>Private Consumption Expenditure</v>
      </c>
      <c r="E3843" s="6">
        <v>7039</v>
      </c>
      <c r="F3843" s="6">
        <v>163</v>
      </c>
      <c r="G3843" s="6">
        <v>1535</v>
      </c>
      <c r="H3843" s="6">
        <v>171</v>
      </c>
      <c r="I3843" s="6">
        <v>0</v>
      </c>
    </row>
    <row r="3844" spans="1:9">
      <c r="A3844" s="6">
        <v>7</v>
      </c>
      <c r="B3844" s="6" t="str">
        <f t="shared" ref="B3844:B3907" si="120">VLOOKUP(A3844,R:S,2,0)</f>
        <v>Rubber (Latex)</v>
      </c>
      <c r="C3844" s="6">
        <v>301</v>
      </c>
      <c r="D3844" s="6" t="str">
        <f t="shared" ref="D3844:D3907" si="121">VLOOKUP(C3844,R:S,2,0)</f>
        <v>Private Consumption Expenditure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</row>
    <row r="3845" spans="1:9">
      <c r="A3845" s="6">
        <v>8</v>
      </c>
      <c r="B3845" s="6" t="str">
        <f t="shared" si="120"/>
        <v>Other Crops</v>
      </c>
      <c r="C3845" s="6">
        <v>301</v>
      </c>
      <c r="D3845" s="6" t="str">
        <f t="shared" si="121"/>
        <v>Private Consumption Expenditure</v>
      </c>
      <c r="E3845" s="6">
        <v>3944695</v>
      </c>
      <c r="F3845" s="6">
        <v>517052</v>
      </c>
      <c r="G3845" s="6">
        <v>559488</v>
      </c>
      <c r="H3845" s="6">
        <v>59728</v>
      </c>
      <c r="I3845" s="6">
        <v>1459477</v>
      </c>
    </row>
    <row r="3846" spans="1:9">
      <c r="A3846" s="6">
        <v>9</v>
      </c>
      <c r="B3846" s="6" t="str">
        <f t="shared" si="120"/>
        <v>Livestock</v>
      </c>
      <c r="C3846" s="6">
        <v>301</v>
      </c>
      <c r="D3846" s="6" t="str">
        <f t="shared" si="121"/>
        <v>Private Consumption Expenditure</v>
      </c>
      <c r="E3846" s="6">
        <v>75750243</v>
      </c>
      <c r="F3846" s="6">
        <v>3375965</v>
      </c>
      <c r="G3846" s="6">
        <v>3572968</v>
      </c>
      <c r="H3846" s="6">
        <v>561168</v>
      </c>
      <c r="I3846" s="6">
        <v>171114</v>
      </c>
    </row>
    <row r="3847" spans="1:9">
      <c r="A3847" s="6">
        <v>10</v>
      </c>
      <c r="B3847" s="6" t="str">
        <f t="shared" si="120"/>
        <v>Forestry</v>
      </c>
      <c r="C3847" s="6">
        <v>301</v>
      </c>
      <c r="D3847" s="6" t="str">
        <f t="shared" si="121"/>
        <v>Private Consumption Expenditure</v>
      </c>
      <c r="E3847" s="6">
        <v>10481989</v>
      </c>
      <c r="F3847" s="6">
        <v>932016</v>
      </c>
      <c r="G3847" s="6">
        <v>1228522</v>
      </c>
      <c r="H3847" s="6">
        <v>62021</v>
      </c>
      <c r="I3847" s="6">
        <v>503581</v>
      </c>
    </row>
    <row r="3848" spans="1:9">
      <c r="A3848" s="6">
        <v>11</v>
      </c>
      <c r="B3848" s="6" t="str">
        <f t="shared" si="120"/>
        <v>Fishery</v>
      </c>
      <c r="C3848" s="6">
        <v>301</v>
      </c>
      <c r="D3848" s="6" t="str">
        <f t="shared" si="121"/>
        <v>Private Consumption Expenditure</v>
      </c>
      <c r="E3848" s="6">
        <v>107290773</v>
      </c>
      <c r="F3848" s="6">
        <v>13183457</v>
      </c>
      <c r="G3848" s="6">
        <v>15148947</v>
      </c>
      <c r="H3848" s="6">
        <v>2176019</v>
      </c>
      <c r="I3848" s="6">
        <v>5919092</v>
      </c>
    </row>
    <row r="3849" spans="1:9">
      <c r="A3849" s="6">
        <v>12</v>
      </c>
      <c r="B3849" s="6" t="str">
        <f t="shared" si="120"/>
        <v>Crude Oil and Coal</v>
      </c>
      <c r="C3849" s="6">
        <v>301</v>
      </c>
      <c r="D3849" s="6" t="str">
        <f t="shared" si="121"/>
        <v>Private Consumption Expenditure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</row>
    <row r="3850" spans="1:9">
      <c r="A3850" s="6">
        <v>13</v>
      </c>
      <c r="B3850" s="6" t="str">
        <f t="shared" si="120"/>
        <v>Metal Ore</v>
      </c>
      <c r="C3850" s="6">
        <v>301</v>
      </c>
      <c r="D3850" s="6" t="str">
        <f t="shared" si="121"/>
        <v>Private Consumption Expenditure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</row>
    <row r="3851" spans="1:9">
      <c r="A3851" s="6">
        <v>14</v>
      </c>
      <c r="B3851" s="6" t="str">
        <f t="shared" si="120"/>
        <v>Non-Metal Ore</v>
      </c>
      <c r="C3851" s="6">
        <v>301</v>
      </c>
      <c r="D3851" s="6" t="str">
        <f t="shared" si="121"/>
        <v>Private Consumption Expenditure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</row>
    <row r="3852" spans="1:9">
      <c r="A3852" s="6">
        <v>15</v>
      </c>
      <c r="B3852" s="6" t="str">
        <f t="shared" si="120"/>
        <v>Slaughtering</v>
      </c>
      <c r="C3852" s="6">
        <v>301</v>
      </c>
      <c r="D3852" s="6" t="str">
        <f t="shared" si="121"/>
        <v>Private Consumption Expenditure</v>
      </c>
      <c r="E3852" s="6">
        <v>324813930</v>
      </c>
      <c r="F3852" s="6">
        <v>8928250</v>
      </c>
      <c r="G3852" s="6">
        <v>15396846</v>
      </c>
      <c r="H3852" s="6">
        <v>1032048</v>
      </c>
      <c r="I3852" s="6">
        <v>170979</v>
      </c>
    </row>
    <row r="3853" spans="1:9">
      <c r="A3853" s="6">
        <v>16</v>
      </c>
      <c r="B3853" s="6" t="str">
        <f t="shared" si="120"/>
        <v>Processing and Presering of Foods</v>
      </c>
      <c r="C3853" s="6">
        <v>301</v>
      </c>
      <c r="D3853" s="6" t="str">
        <f t="shared" si="121"/>
        <v>Private Consumption Expenditure</v>
      </c>
      <c r="E3853" s="6">
        <v>293033886</v>
      </c>
      <c r="F3853" s="6">
        <v>17096749</v>
      </c>
      <c r="G3853" s="6">
        <v>22197841</v>
      </c>
      <c r="H3853" s="6">
        <v>3238487</v>
      </c>
      <c r="I3853" s="6">
        <v>85660697</v>
      </c>
    </row>
    <row r="3854" spans="1:9">
      <c r="A3854" s="6">
        <v>17</v>
      </c>
      <c r="B3854" s="6" t="str">
        <f t="shared" si="120"/>
        <v>Rice and Other Grain Milling</v>
      </c>
      <c r="C3854" s="6">
        <v>301</v>
      </c>
      <c r="D3854" s="6" t="str">
        <f t="shared" si="121"/>
        <v>Private Consumption Expenditure</v>
      </c>
      <c r="E3854" s="6">
        <v>333340695</v>
      </c>
      <c r="F3854" s="6">
        <v>19764131</v>
      </c>
      <c r="G3854" s="6">
        <v>35413523</v>
      </c>
      <c r="H3854" s="6">
        <v>6612908</v>
      </c>
      <c r="I3854" s="6">
        <v>1880023</v>
      </c>
    </row>
    <row r="3855" spans="1:9">
      <c r="A3855" s="6">
        <v>18</v>
      </c>
      <c r="B3855" s="6" t="str">
        <f t="shared" si="120"/>
        <v>Sugar Refineries</v>
      </c>
      <c r="C3855" s="6">
        <v>301</v>
      </c>
      <c r="D3855" s="6" t="str">
        <f t="shared" si="121"/>
        <v>Private Consumption Expenditure</v>
      </c>
      <c r="E3855" s="6">
        <v>30347812</v>
      </c>
      <c r="F3855" s="6">
        <v>1164839</v>
      </c>
      <c r="G3855" s="6">
        <v>1261150</v>
      </c>
      <c r="H3855" s="6">
        <v>399179</v>
      </c>
      <c r="I3855" s="6">
        <v>1339243</v>
      </c>
    </row>
    <row r="3856" spans="1:9">
      <c r="A3856" s="6">
        <v>19</v>
      </c>
      <c r="B3856" s="6" t="str">
        <f t="shared" si="120"/>
        <v>Other Foods</v>
      </c>
      <c r="C3856" s="6">
        <v>301</v>
      </c>
      <c r="D3856" s="6" t="str">
        <f t="shared" si="121"/>
        <v>Private Consumption Expenditure</v>
      </c>
      <c r="E3856" s="6">
        <v>169586150</v>
      </c>
      <c r="F3856" s="6">
        <v>10179494</v>
      </c>
      <c r="G3856" s="6">
        <v>13674055</v>
      </c>
      <c r="H3856" s="6">
        <v>2760388</v>
      </c>
      <c r="I3856" s="6">
        <v>34030606</v>
      </c>
    </row>
    <row r="3857" spans="1:9">
      <c r="A3857" s="6">
        <v>20</v>
      </c>
      <c r="B3857" s="6" t="str">
        <f t="shared" si="120"/>
        <v>Animal Food</v>
      </c>
      <c r="C3857" s="6">
        <v>301</v>
      </c>
      <c r="D3857" s="6" t="str">
        <f t="shared" si="121"/>
        <v>Private Consumption Expenditure</v>
      </c>
      <c r="E3857" s="6">
        <v>4801466</v>
      </c>
      <c r="F3857" s="6">
        <v>466253</v>
      </c>
      <c r="G3857" s="6">
        <v>443357</v>
      </c>
      <c r="H3857" s="6">
        <v>48926</v>
      </c>
      <c r="I3857" s="6">
        <v>2178321</v>
      </c>
    </row>
    <row r="3858" spans="1:9">
      <c r="A3858" s="6">
        <v>21</v>
      </c>
      <c r="B3858" s="6" t="str">
        <f t="shared" si="120"/>
        <v>Beverages</v>
      </c>
      <c r="C3858" s="6">
        <v>301</v>
      </c>
      <c r="D3858" s="6" t="str">
        <f t="shared" si="121"/>
        <v>Private Consumption Expenditure</v>
      </c>
      <c r="E3858" s="6">
        <v>290107001</v>
      </c>
      <c r="F3858" s="6">
        <v>18906008</v>
      </c>
      <c r="G3858" s="6">
        <v>26905483</v>
      </c>
      <c r="H3858" s="6">
        <v>4141755</v>
      </c>
      <c r="I3858" s="6">
        <v>11366446</v>
      </c>
    </row>
    <row r="3859" spans="1:9">
      <c r="A3859" s="6">
        <v>22</v>
      </c>
      <c r="B3859" s="6" t="str">
        <f t="shared" si="120"/>
        <v>Tobacco Processing and Products</v>
      </c>
      <c r="C3859" s="6">
        <v>301</v>
      </c>
      <c r="D3859" s="6" t="str">
        <f t="shared" si="121"/>
        <v>Private Consumption Expenditure</v>
      </c>
      <c r="E3859" s="6">
        <v>68050398</v>
      </c>
      <c r="F3859" s="6">
        <v>3781048</v>
      </c>
      <c r="G3859" s="6">
        <v>4955670</v>
      </c>
      <c r="H3859" s="6">
        <v>580825</v>
      </c>
      <c r="I3859" s="6">
        <v>17804969</v>
      </c>
    </row>
    <row r="3860" spans="1:9">
      <c r="A3860" s="6">
        <v>23</v>
      </c>
      <c r="B3860" s="6" t="str">
        <f t="shared" si="120"/>
        <v>Spinning, Weaving and Bleaching</v>
      </c>
      <c r="C3860" s="6">
        <v>301</v>
      </c>
      <c r="D3860" s="6" t="str">
        <f t="shared" si="121"/>
        <v>Private Consumption Expenditure</v>
      </c>
      <c r="E3860" s="6">
        <v>2128333</v>
      </c>
      <c r="F3860" s="6">
        <v>111415</v>
      </c>
      <c r="G3860" s="6">
        <v>121612</v>
      </c>
      <c r="H3860" s="6">
        <v>29952</v>
      </c>
      <c r="I3860" s="6">
        <v>478484</v>
      </c>
    </row>
    <row r="3861" spans="1:9">
      <c r="A3861" s="6">
        <v>24</v>
      </c>
      <c r="B3861" s="6" t="str">
        <f t="shared" si="120"/>
        <v>Textile Products</v>
      </c>
      <c r="C3861" s="6">
        <v>301</v>
      </c>
      <c r="D3861" s="6" t="str">
        <f t="shared" si="121"/>
        <v>Private Consumption Expenditure</v>
      </c>
      <c r="E3861" s="6">
        <v>241844358</v>
      </c>
      <c r="F3861" s="6">
        <v>15687758</v>
      </c>
      <c r="G3861" s="6">
        <v>25415302</v>
      </c>
      <c r="H3861" s="6">
        <v>1189452</v>
      </c>
      <c r="I3861" s="6">
        <v>72925873</v>
      </c>
    </row>
    <row r="3862" spans="1:9">
      <c r="A3862" s="6">
        <v>25</v>
      </c>
      <c r="B3862" s="6" t="str">
        <f t="shared" si="120"/>
        <v>Paper and Paper Products</v>
      </c>
      <c r="C3862" s="6">
        <v>301</v>
      </c>
      <c r="D3862" s="6" t="str">
        <f t="shared" si="121"/>
        <v>Private Consumption Expenditure</v>
      </c>
      <c r="E3862" s="6">
        <v>20243584</v>
      </c>
      <c r="F3862" s="6">
        <v>1251712</v>
      </c>
      <c r="G3862" s="6">
        <v>866094</v>
      </c>
      <c r="H3862" s="6">
        <v>149472</v>
      </c>
      <c r="I3862" s="6">
        <v>7990823</v>
      </c>
    </row>
    <row r="3863" spans="1:9">
      <c r="A3863" s="6">
        <v>26</v>
      </c>
      <c r="B3863" s="6" t="str">
        <f t="shared" si="120"/>
        <v>Printing and Publishing</v>
      </c>
      <c r="C3863" s="6">
        <v>301</v>
      </c>
      <c r="D3863" s="6" t="str">
        <f t="shared" si="121"/>
        <v>Private Consumption Expenditure</v>
      </c>
      <c r="E3863" s="6">
        <v>48180928</v>
      </c>
      <c r="F3863" s="6">
        <v>2551020</v>
      </c>
      <c r="G3863" s="6">
        <v>4535061</v>
      </c>
      <c r="H3863" s="6">
        <v>418897</v>
      </c>
      <c r="I3863" s="6">
        <v>26825963</v>
      </c>
    </row>
    <row r="3864" spans="1:9">
      <c r="A3864" s="6">
        <v>27</v>
      </c>
      <c r="B3864" s="6" t="str">
        <f t="shared" si="120"/>
        <v>Basic Chemical Products</v>
      </c>
      <c r="C3864" s="6">
        <v>301</v>
      </c>
      <c r="D3864" s="6" t="str">
        <f t="shared" si="121"/>
        <v>Private Consumption Expenditure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</row>
    <row r="3865" spans="1:9">
      <c r="A3865" s="6">
        <v>28</v>
      </c>
      <c r="B3865" s="6" t="str">
        <f t="shared" si="120"/>
        <v>Fertilizer and Pesticides</v>
      </c>
      <c r="C3865" s="6">
        <v>301</v>
      </c>
      <c r="D3865" s="6" t="str">
        <f t="shared" si="121"/>
        <v>Private Consumption Expenditure</v>
      </c>
      <c r="E3865" s="6">
        <v>3053896</v>
      </c>
      <c r="F3865" s="6">
        <v>354024</v>
      </c>
      <c r="G3865" s="6">
        <v>347000</v>
      </c>
      <c r="H3865" s="6">
        <v>109464</v>
      </c>
      <c r="I3865" s="6">
        <v>1451241</v>
      </c>
    </row>
    <row r="3866" spans="1:9">
      <c r="A3866" s="6">
        <v>29</v>
      </c>
      <c r="B3866" s="6" t="str">
        <f t="shared" si="120"/>
        <v>Other Chemical Products</v>
      </c>
      <c r="C3866" s="6">
        <v>301</v>
      </c>
      <c r="D3866" s="6" t="str">
        <f t="shared" si="121"/>
        <v>Private Consumption Expenditure</v>
      </c>
      <c r="E3866" s="6">
        <v>318333132</v>
      </c>
      <c r="F3866" s="6">
        <v>40366892</v>
      </c>
      <c r="G3866" s="6">
        <v>53572575</v>
      </c>
      <c r="H3866" s="6">
        <v>3214065</v>
      </c>
      <c r="I3866" s="6">
        <v>126623092</v>
      </c>
    </row>
    <row r="3867" spans="1:9">
      <c r="A3867" s="6">
        <v>30</v>
      </c>
      <c r="B3867" s="6" t="str">
        <f t="shared" si="120"/>
        <v>Petroleum Refineries</v>
      </c>
      <c r="C3867" s="6">
        <v>301</v>
      </c>
      <c r="D3867" s="6" t="str">
        <f t="shared" si="121"/>
        <v>Private Consumption Expenditure</v>
      </c>
      <c r="E3867" s="6">
        <v>319772016</v>
      </c>
      <c r="F3867" s="6">
        <v>24323206</v>
      </c>
      <c r="G3867" s="6">
        <v>29978189</v>
      </c>
      <c r="H3867" s="6">
        <v>2986099</v>
      </c>
      <c r="I3867" s="6">
        <v>60637900</v>
      </c>
    </row>
    <row r="3868" spans="1:9">
      <c r="A3868" s="6">
        <v>31</v>
      </c>
      <c r="B3868" s="6" t="str">
        <f t="shared" si="120"/>
        <v>Rubber Products</v>
      </c>
      <c r="C3868" s="6">
        <v>301</v>
      </c>
      <c r="D3868" s="6" t="str">
        <f t="shared" si="121"/>
        <v>Private Consumption Expenditure</v>
      </c>
      <c r="E3868" s="6">
        <v>24108931</v>
      </c>
      <c r="F3868" s="6">
        <v>2313324</v>
      </c>
      <c r="G3868" s="6">
        <v>5710029</v>
      </c>
      <c r="H3868" s="6">
        <v>362878</v>
      </c>
      <c r="I3868" s="6">
        <v>8176299</v>
      </c>
    </row>
    <row r="3869" spans="1:9">
      <c r="A3869" s="6">
        <v>32</v>
      </c>
      <c r="B3869" s="6" t="str">
        <f t="shared" si="120"/>
        <v>Plastic Wares</v>
      </c>
      <c r="C3869" s="6">
        <v>301</v>
      </c>
      <c r="D3869" s="6" t="str">
        <f t="shared" si="121"/>
        <v>Private Consumption Expenditure</v>
      </c>
      <c r="E3869" s="6">
        <v>18815656</v>
      </c>
      <c r="F3869" s="6">
        <v>699299</v>
      </c>
      <c r="G3869" s="6">
        <v>1043034</v>
      </c>
      <c r="H3869" s="6">
        <v>140364</v>
      </c>
      <c r="I3869" s="6">
        <v>7217818</v>
      </c>
    </row>
    <row r="3870" spans="1:9">
      <c r="A3870" s="6">
        <v>33</v>
      </c>
      <c r="B3870" s="6" t="str">
        <f t="shared" si="120"/>
        <v>Cement and Concrete Products</v>
      </c>
      <c r="C3870" s="6">
        <v>301</v>
      </c>
      <c r="D3870" s="6" t="str">
        <f t="shared" si="121"/>
        <v>Private Consumption Expenditure</v>
      </c>
      <c r="E3870" s="6">
        <v>209652</v>
      </c>
      <c r="F3870" s="6">
        <v>14223</v>
      </c>
      <c r="G3870" s="6">
        <v>8235</v>
      </c>
      <c r="H3870" s="6">
        <v>3272</v>
      </c>
      <c r="I3870" s="6">
        <v>0</v>
      </c>
    </row>
    <row r="3871" spans="1:9">
      <c r="A3871" s="6">
        <v>34</v>
      </c>
      <c r="B3871" s="6" t="str">
        <f t="shared" si="120"/>
        <v>Other Non-metallic Products</v>
      </c>
      <c r="C3871" s="6">
        <v>301</v>
      </c>
      <c r="D3871" s="6" t="str">
        <f t="shared" si="121"/>
        <v>Private Consumption Expenditure</v>
      </c>
      <c r="E3871" s="6">
        <v>35421934</v>
      </c>
      <c r="F3871" s="6">
        <v>2156383</v>
      </c>
      <c r="G3871" s="6">
        <v>2267685</v>
      </c>
      <c r="H3871" s="6">
        <v>527163</v>
      </c>
      <c r="I3871" s="6">
        <v>2067327</v>
      </c>
    </row>
    <row r="3872" spans="1:9">
      <c r="A3872" s="6">
        <v>35</v>
      </c>
      <c r="B3872" s="6" t="str">
        <f t="shared" si="120"/>
        <v>Iron and Steel</v>
      </c>
      <c r="C3872" s="6">
        <v>301</v>
      </c>
      <c r="D3872" s="6" t="str">
        <f t="shared" si="121"/>
        <v>Private Consumption Expenditure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</row>
    <row r="3873" spans="1:9">
      <c r="A3873" s="6">
        <v>36</v>
      </c>
      <c r="B3873" s="6" t="str">
        <f t="shared" si="120"/>
        <v>Non-ferrous Metal</v>
      </c>
      <c r="C3873" s="6">
        <v>301</v>
      </c>
      <c r="D3873" s="6" t="str">
        <f t="shared" si="121"/>
        <v>Private Consumption Expenditure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</row>
    <row r="3874" spans="1:9">
      <c r="A3874" s="6">
        <v>37</v>
      </c>
      <c r="B3874" s="6" t="str">
        <f t="shared" si="120"/>
        <v>Fabricated Metal Products</v>
      </c>
      <c r="C3874" s="6">
        <v>301</v>
      </c>
      <c r="D3874" s="6" t="str">
        <f t="shared" si="121"/>
        <v>Private Consumption Expenditure</v>
      </c>
      <c r="E3874" s="6">
        <v>47639899</v>
      </c>
      <c r="F3874" s="6">
        <v>1428337</v>
      </c>
      <c r="G3874" s="6">
        <v>3017605</v>
      </c>
      <c r="H3874" s="6">
        <v>243898</v>
      </c>
      <c r="I3874" s="6">
        <v>31005565</v>
      </c>
    </row>
    <row r="3875" spans="1:9">
      <c r="A3875" s="6">
        <v>38</v>
      </c>
      <c r="B3875" s="6" t="str">
        <f t="shared" si="120"/>
        <v>Industrial Machinery</v>
      </c>
      <c r="C3875" s="6">
        <v>301</v>
      </c>
      <c r="D3875" s="6" t="str">
        <f t="shared" si="121"/>
        <v>Private Consumption Expenditure</v>
      </c>
      <c r="E3875" s="6">
        <v>1984416</v>
      </c>
      <c r="F3875" s="6">
        <v>150344</v>
      </c>
      <c r="G3875" s="6">
        <v>5712</v>
      </c>
      <c r="H3875" s="6">
        <v>8595</v>
      </c>
      <c r="I3875" s="6">
        <v>1010820</v>
      </c>
    </row>
    <row r="3876" spans="1:9">
      <c r="A3876" s="6">
        <v>39</v>
      </c>
      <c r="B3876" s="6" t="str">
        <f t="shared" si="120"/>
        <v>Electrical Machinery and Apparatus</v>
      </c>
      <c r="C3876" s="6">
        <v>301</v>
      </c>
      <c r="D3876" s="6" t="str">
        <f t="shared" si="121"/>
        <v>Private Consumption Expenditure</v>
      </c>
      <c r="E3876" s="6">
        <v>227908868</v>
      </c>
      <c r="F3876" s="6">
        <v>13902587</v>
      </c>
      <c r="G3876" s="6">
        <v>15814300</v>
      </c>
      <c r="H3876" s="6">
        <v>1573937</v>
      </c>
      <c r="I3876" s="6">
        <v>134673494</v>
      </c>
    </row>
    <row r="3877" spans="1:9">
      <c r="A3877" s="6">
        <v>40</v>
      </c>
      <c r="B3877" s="6" t="str">
        <f t="shared" si="120"/>
        <v>Motor Vehicles and Repairing</v>
      </c>
      <c r="C3877" s="6">
        <v>301</v>
      </c>
      <c r="D3877" s="6" t="str">
        <f t="shared" si="121"/>
        <v>Private Consumption Expenditure</v>
      </c>
      <c r="E3877" s="6">
        <v>373672841</v>
      </c>
      <c r="F3877" s="6">
        <v>30063993</v>
      </c>
      <c r="G3877" s="6">
        <v>36190899</v>
      </c>
      <c r="H3877" s="6">
        <v>2280721</v>
      </c>
      <c r="I3877" s="6">
        <v>34112718</v>
      </c>
    </row>
    <row r="3878" spans="1:9">
      <c r="A3878" s="6">
        <v>41</v>
      </c>
      <c r="B3878" s="6" t="str">
        <f t="shared" si="120"/>
        <v>Other Transportation Equipment</v>
      </c>
      <c r="C3878" s="6">
        <v>301</v>
      </c>
      <c r="D3878" s="6" t="str">
        <f t="shared" si="121"/>
        <v>Private Consumption Expenditure</v>
      </c>
      <c r="E3878" s="6">
        <v>228772</v>
      </c>
      <c r="F3878" s="6">
        <v>1532</v>
      </c>
      <c r="G3878" s="6">
        <v>588</v>
      </c>
      <c r="H3878" s="6">
        <v>586</v>
      </c>
      <c r="I3878" s="6">
        <v>37921</v>
      </c>
    </row>
    <row r="3879" spans="1:9">
      <c r="A3879" s="6">
        <v>42</v>
      </c>
      <c r="B3879" s="6" t="str">
        <f t="shared" si="120"/>
        <v>Leather Products</v>
      </c>
      <c r="C3879" s="6">
        <v>301</v>
      </c>
      <c r="D3879" s="6" t="str">
        <f t="shared" si="121"/>
        <v>Private Consumption Expenditure</v>
      </c>
      <c r="E3879" s="6">
        <v>74330917</v>
      </c>
      <c r="F3879" s="6">
        <v>5764838</v>
      </c>
      <c r="G3879" s="6">
        <v>7253052</v>
      </c>
      <c r="H3879" s="6">
        <v>475965</v>
      </c>
      <c r="I3879" s="6">
        <v>34389806</v>
      </c>
    </row>
    <row r="3880" spans="1:9">
      <c r="A3880" s="6">
        <v>43</v>
      </c>
      <c r="B3880" s="6" t="str">
        <f t="shared" si="120"/>
        <v>Saw Mills and Wood Products</v>
      </c>
      <c r="C3880" s="6">
        <v>301</v>
      </c>
      <c r="D3880" s="6" t="str">
        <f t="shared" si="121"/>
        <v>Private Consumption Expenditure</v>
      </c>
      <c r="E3880" s="6">
        <v>22176032</v>
      </c>
      <c r="F3880" s="6">
        <v>2316011</v>
      </c>
      <c r="G3880" s="6">
        <v>2701854</v>
      </c>
      <c r="H3880" s="6">
        <v>235231</v>
      </c>
      <c r="I3880" s="6">
        <v>796487</v>
      </c>
    </row>
    <row r="3881" spans="1:9">
      <c r="A3881" s="6">
        <v>44</v>
      </c>
      <c r="B3881" s="6" t="str">
        <f t="shared" si="120"/>
        <v>Other Manufacturing Products</v>
      </c>
      <c r="C3881" s="6">
        <v>301</v>
      </c>
      <c r="D3881" s="6" t="str">
        <f t="shared" si="121"/>
        <v>Private Consumption Expenditure</v>
      </c>
      <c r="E3881" s="6">
        <v>212845353</v>
      </c>
      <c r="F3881" s="6">
        <v>11150777</v>
      </c>
      <c r="G3881" s="6">
        <v>18501948</v>
      </c>
      <c r="H3881" s="6">
        <v>677831</v>
      </c>
      <c r="I3881" s="6">
        <v>28458599</v>
      </c>
    </row>
    <row r="3882" spans="1:9">
      <c r="A3882" s="6">
        <v>45</v>
      </c>
      <c r="B3882" s="6" t="str">
        <f t="shared" si="120"/>
        <v>Electricity and Gas</v>
      </c>
      <c r="C3882" s="6">
        <v>301</v>
      </c>
      <c r="D3882" s="6" t="str">
        <f t="shared" si="121"/>
        <v>Private Consumption Expenditure</v>
      </c>
      <c r="E3882" s="6">
        <v>355558350</v>
      </c>
      <c r="F3882" s="6">
        <v>803431</v>
      </c>
      <c r="G3882" s="6">
        <v>1169213</v>
      </c>
      <c r="H3882" s="6">
        <v>358167</v>
      </c>
      <c r="I3882" s="6">
        <v>0</v>
      </c>
    </row>
    <row r="3883" spans="1:9">
      <c r="A3883" s="6">
        <v>46</v>
      </c>
      <c r="B3883" s="6" t="str">
        <f t="shared" si="120"/>
        <v>Water Works and Supply</v>
      </c>
      <c r="C3883" s="6">
        <v>301</v>
      </c>
      <c r="D3883" s="6" t="str">
        <f t="shared" si="121"/>
        <v>Private Consumption Expenditure</v>
      </c>
      <c r="E3883" s="6">
        <v>36276529</v>
      </c>
      <c r="F3883" s="6">
        <v>0</v>
      </c>
      <c r="G3883" s="6">
        <v>0</v>
      </c>
      <c r="H3883" s="6">
        <v>0</v>
      </c>
      <c r="I3883" s="6">
        <v>0</v>
      </c>
    </row>
    <row r="3884" spans="1:9">
      <c r="A3884" s="6">
        <v>47</v>
      </c>
      <c r="B3884" s="6" t="str">
        <f t="shared" si="120"/>
        <v>Building Construction</v>
      </c>
      <c r="C3884" s="6">
        <v>301</v>
      </c>
      <c r="D3884" s="6" t="str">
        <f t="shared" si="121"/>
        <v>Private Consumption Expenditure</v>
      </c>
      <c r="E3884" s="6">
        <v>7177730</v>
      </c>
      <c r="F3884" s="6">
        <v>0</v>
      </c>
      <c r="G3884" s="6">
        <v>0</v>
      </c>
      <c r="H3884" s="6">
        <v>3674</v>
      </c>
      <c r="I3884" s="6">
        <v>0</v>
      </c>
    </row>
    <row r="3885" spans="1:9">
      <c r="A3885" s="6">
        <v>48</v>
      </c>
      <c r="B3885" s="6" t="str">
        <f t="shared" si="120"/>
        <v>Public Works and Other Construction</v>
      </c>
      <c r="C3885" s="6">
        <v>301</v>
      </c>
      <c r="D3885" s="6" t="str">
        <f t="shared" si="121"/>
        <v>Private Consumption Expenditure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</row>
    <row r="3886" spans="1:9">
      <c r="A3886" s="6">
        <v>49</v>
      </c>
      <c r="B3886" s="6" t="str">
        <f t="shared" si="120"/>
        <v>Trade</v>
      </c>
      <c r="C3886" s="6">
        <v>301</v>
      </c>
      <c r="D3886" s="6" t="str">
        <f t="shared" si="121"/>
        <v>Private Consumption Expenditure</v>
      </c>
      <c r="E3886" s="6">
        <v>11026474</v>
      </c>
      <c r="F3886" s="6">
        <v>-330291563</v>
      </c>
      <c r="G3886" s="6">
        <v>-467712669</v>
      </c>
      <c r="H3886" s="6">
        <v>0</v>
      </c>
      <c r="I3886" s="6">
        <v>0</v>
      </c>
    </row>
    <row r="3887" spans="1:9">
      <c r="A3887" s="6">
        <v>50</v>
      </c>
      <c r="B3887" s="6" t="str">
        <f t="shared" si="120"/>
        <v>Restaurants and Hotels</v>
      </c>
      <c r="C3887" s="6">
        <v>301</v>
      </c>
      <c r="D3887" s="6" t="str">
        <f t="shared" si="121"/>
        <v>Private Consumption Expenditure</v>
      </c>
      <c r="E3887" s="6">
        <v>1015795492</v>
      </c>
      <c r="F3887" s="6">
        <v>0</v>
      </c>
      <c r="G3887" s="6">
        <v>0</v>
      </c>
      <c r="H3887" s="6">
        <v>0</v>
      </c>
      <c r="I3887" s="6">
        <v>65700431</v>
      </c>
    </row>
    <row r="3888" spans="1:9">
      <c r="A3888" s="6">
        <v>51</v>
      </c>
      <c r="B3888" s="6" t="str">
        <f t="shared" si="120"/>
        <v>Transportation</v>
      </c>
      <c r="C3888" s="6">
        <v>301</v>
      </c>
      <c r="D3888" s="6" t="str">
        <f t="shared" si="121"/>
        <v>Private Consumption Expenditure</v>
      </c>
      <c r="E3888" s="6">
        <v>321944518</v>
      </c>
      <c r="F3888" s="6">
        <v>0</v>
      </c>
      <c r="G3888" s="6">
        <v>0</v>
      </c>
      <c r="H3888" s="6">
        <v>-47065462</v>
      </c>
      <c r="I3888" s="6">
        <v>75072113</v>
      </c>
    </row>
    <row r="3889" spans="1:9">
      <c r="A3889" s="6">
        <v>52</v>
      </c>
      <c r="B3889" s="6" t="str">
        <f t="shared" si="120"/>
        <v>Communication</v>
      </c>
      <c r="C3889" s="6">
        <v>301</v>
      </c>
      <c r="D3889" s="6" t="str">
        <f t="shared" si="121"/>
        <v>Private Consumption Expenditure</v>
      </c>
      <c r="E3889" s="6">
        <v>243250169</v>
      </c>
      <c r="F3889" s="6">
        <v>0</v>
      </c>
      <c r="G3889" s="6">
        <v>0</v>
      </c>
      <c r="H3889" s="6">
        <v>0</v>
      </c>
      <c r="I3889" s="6">
        <v>55188867</v>
      </c>
    </row>
    <row r="3890" spans="1:9">
      <c r="A3890" s="6">
        <v>53</v>
      </c>
      <c r="B3890" s="6" t="str">
        <f t="shared" si="120"/>
        <v>Banking and Insurance</v>
      </c>
      <c r="C3890" s="6">
        <v>301</v>
      </c>
      <c r="D3890" s="6" t="str">
        <f t="shared" si="121"/>
        <v>Private Consumption Expenditure</v>
      </c>
      <c r="E3890" s="6">
        <v>726376747</v>
      </c>
      <c r="F3890" s="6">
        <v>0</v>
      </c>
      <c r="G3890" s="6">
        <v>0</v>
      </c>
      <c r="H3890" s="6">
        <v>0</v>
      </c>
      <c r="I3890" s="6">
        <v>67215167</v>
      </c>
    </row>
    <row r="3891" spans="1:9">
      <c r="A3891" s="6">
        <v>54</v>
      </c>
      <c r="B3891" s="6" t="str">
        <f t="shared" si="120"/>
        <v>Real Estate</v>
      </c>
      <c r="C3891" s="6">
        <v>301</v>
      </c>
      <c r="D3891" s="6" t="str">
        <f t="shared" si="121"/>
        <v>Private Consumption Expenditure</v>
      </c>
      <c r="E3891" s="6">
        <v>536033494</v>
      </c>
      <c r="F3891" s="6">
        <v>0</v>
      </c>
      <c r="G3891" s="6">
        <v>0</v>
      </c>
      <c r="H3891" s="6">
        <v>0</v>
      </c>
      <c r="I3891" s="6">
        <v>101724443</v>
      </c>
    </row>
    <row r="3892" spans="1:9">
      <c r="A3892" s="6">
        <v>55</v>
      </c>
      <c r="B3892" s="6" t="str">
        <f t="shared" si="120"/>
        <v>Business Services</v>
      </c>
      <c r="C3892" s="6">
        <v>301</v>
      </c>
      <c r="D3892" s="6" t="str">
        <f t="shared" si="121"/>
        <v>Private Consumption Expenditure</v>
      </c>
      <c r="E3892" s="6">
        <v>129617731</v>
      </c>
      <c r="F3892" s="6">
        <v>0</v>
      </c>
      <c r="G3892" s="6">
        <v>0</v>
      </c>
      <c r="H3892" s="6">
        <v>0</v>
      </c>
      <c r="I3892" s="6">
        <v>44032441</v>
      </c>
    </row>
    <row r="3893" spans="1:9">
      <c r="A3893" s="6">
        <v>56</v>
      </c>
      <c r="B3893" s="6" t="str">
        <f t="shared" si="120"/>
        <v>Public Services</v>
      </c>
      <c r="C3893" s="6">
        <v>301</v>
      </c>
      <c r="D3893" s="6" t="str">
        <f t="shared" si="121"/>
        <v>Private Consumption Expenditure</v>
      </c>
      <c r="E3893" s="6">
        <v>399292025</v>
      </c>
      <c r="F3893" s="6">
        <v>0</v>
      </c>
      <c r="G3893" s="6">
        <v>0</v>
      </c>
      <c r="H3893" s="6">
        <v>0</v>
      </c>
      <c r="I3893" s="6">
        <v>86220627</v>
      </c>
    </row>
    <row r="3894" spans="1:9">
      <c r="A3894" s="6">
        <v>57</v>
      </c>
      <c r="B3894" s="6" t="str">
        <f t="shared" si="120"/>
        <v>Other Services</v>
      </c>
      <c r="C3894" s="6">
        <v>301</v>
      </c>
      <c r="D3894" s="6" t="str">
        <f t="shared" si="121"/>
        <v>Private Consumption Expenditure</v>
      </c>
      <c r="E3894" s="6">
        <v>685137076</v>
      </c>
      <c r="F3894" s="6">
        <v>0</v>
      </c>
      <c r="G3894" s="6">
        <v>0</v>
      </c>
      <c r="H3894" s="6">
        <v>0</v>
      </c>
      <c r="I3894" s="6">
        <v>16876564</v>
      </c>
    </row>
    <row r="3895" spans="1:9">
      <c r="A3895" s="6">
        <v>58</v>
      </c>
      <c r="B3895" s="6" t="str">
        <f t="shared" si="120"/>
        <v>Unclassified</v>
      </c>
      <c r="C3895" s="6">
        <v>301</v>
      </c>
      <c r="D3895" s="6" t="str">
        <f t="shared" si="121"/>
        <v>Private Consumption Expenditure</v>
      </c>
      <c r="E3895" s="6">
        <v>25140695</v>
      </c>
      <c r="F3895" s="6">
        <v>0</v>
      </c>
      <c r="G3895" s="6">
        <v>0</v>
      </c>
      <c r="H3895" s="6">
        <v>0</v>
      </c>
      <c r="I3895" s="6">
        <v>3570513</v>
      </c>
    </row>
    <row r="3896" spans="1:9">
      <c r="A3896" s="6">
        <v>190</v>
      </c>
      <c r="B3896" s="6" t="str">
        <f t="shared" si="120"/>
        <v>Total Intermedite Transaction</v>
      </c>
      <c r="C3896" s="6">
        <v>301</v>
      </c>
      <c r="D3896" s="6" t="str">
        <f t="shared" si="121"/>
        <v>Private Consumption Expenditure</v>
      </c>
      <c r="E3896" s="6">
        <v>8786511895</v>
      </c>
      <c r="F3896" s="6">
        <v>0</v>
      </c>
      <c r="G3896" s="6">
        <v>0</v>
      </c>
      <c r="H3896" s="6">
        <v>0</v>
      </c>
      <c r="I3896" s="6">
        <v>1300976734</v>
      </c>
    </row>
    <row r="3897" spans="1:9">
      <c r="A3897" s="6">
        <v>1</v>
      </c>
      <c r="B3897" s="6" t="str">
        <f t="shared" si="120"/>
        <v>Paddy</v>
      </c>
      <c r="C3897" s="6">
        <v>302</v>
      </c>
      <c r="D3897" s="6" t="str">
        <f t="shared" si="121"/>
        <v>Government Consumption Expenditure</v>
      </c>
      <c r="E3897" s="6">
        <v>26733</v>
      </c>
      <c r="F3897" s="6">
        <v>2474</v>
      </c>
      <c r="G3897" s="6">
        <v>188</v>
      </c>
      <c r="H3897" s="6">
        <v>213</v>
      </c>
      <c r="I3897" s="6">
        <v>0</v>
      </c>
    </row>
    <row r="3898" spans="1:9">
      <c r="A3898" s="6">
        <v>2</v>
      </c>
      <c r="B3898" s="6" t="str">
        <f t="shared" si="120"/>
        <v>Maize</v>
      </c>
      <c r="C3898" s="6">
        <v>302</v>
      </c>
      <c r="D3898" s="6" t="str">
        <f t="shared" si="121"/>
        <v>Government Consumption Expenditure</v>
      </c>
      <c r="E3898" s="6">
        <v>522790</v>
      </c>
      <c r="F3898" s="6">
        <v>7033</v>
      </c>
      <c r="G3898" s="6">
        <v>2860</v>
      </c>
      <c r="H3898" s="6">
        <v>3272</v>
      </c>
      <c r="I3898" s="6">
        <v>0</v>
      </c>
    </row>
    <row r="3899" spans="1:9">
      <c r="A3899" s="6">
        <v>3</v>
      </c>
      <c r="B3899" s="6" t="str">
        <f t="shared" si="120"/>
        <v>Cassava</v>
      </c>
      <c r="C3899" s="6">
        <v>302</v>
      </c>
      <c r="D3899" s="6" t="str">
        <f t="shared" si="121"/>
        <v>Government Consumption Expenditure</v>
      </c>
      <c r="E3899" s="6">
        <v>380</v>
      </c>
      <c r="F3899" s="6">
        <v>2</v>
      </c>
      <c r="G3899" s="6">
        <v>0</v>
      </c>
      <c r="H3899" s="6">
        <v>0</v>
      </c>
      <c r="I3899" s="6">
        <v>0</v>
      </c>
    </row>
    <row r="3900" spans="1:9">
      <c r="A3900" s="6">
        <v>4</v>
      </c>
      <c r="B3900" s="6" t="str">
        <f t="shared" si="120"/>
        <v>Beans and Nuts</v>
      </c>
      <c r="C3900" s="6">
        <v>302</v>
      </c>
      <c r="D3900" s="6" t="str">
        <f t="shared" si="121"/>
        <v>Government Consumption Expenditure</v>
      </c>
      <c r="E3900" s="6">
        <v>109055</v>
      </c>
      <c r="F3900" s="6">
        <v>1720</v>
      </c>
      <c r="G3900" s="6">
        <v>5423</v>
      </c>
      <c r="H3900" s="6">
        <v>148</v>
      </c>
      <c r="I3900" s="6">
        <v>72832</v>
      </c>
    </row>
    <row r="3901" spans="1:9">
      <c r="A3901" s="6">
        <v>5</v>
      </c>
      <c r="B3901" s="6" t="str">
        <f t="shared" si="120"/>
        <v>Vegetables and Fruits</v>
      </c>
      <c r="C3901" s="6">
        <v>302</v>
      </c>
      <c r="D3901" s="6" t="str">
        <f t="shared" si="121"/>
        <v>Government Consumption Expenditure</v>
      </c>
      <c r="E3901" s="6">
        <v>244132</v>
      </c>
      <c r="F3901" s="6">
        <v>9417</v>
      </c>
      <c r="G3901" s="6">
        <v>27009</v>
      </c>
      <c r="H3901" s="6">
        <v>5571</v>
      </c>
      <c r="I3901" s="6">
        <v>0</v>
      </c>
    </row>
    <row r="3902" spans="1:9">
      <c r="A3902" s="6">
        <v>6</v>
      </c>
      <c r="B3902" s="6" t="str">
        <f t="shared" si="120"/>
        <v>Sugarcane</v>
      </c>
      <c r="C3902" s="6">
        <v>302</v>
      </c>
      <c r="D3902" s="6" t="str">
        <f t="shared" si="121"/>
        <v>Government Consumption Expenditure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</row>
    <row r="3903" spans="1:9">
      <c r="A3903" s="6">
        <v>7</v>
      </c>
      <c r="B3903" s="6" t="str">
        <f t="shared" si="120"/>
        <v>Rubber (Latex)</v>
      </c>
      <c r="C3903" s="6">
        <v>302</v>
      </c>
      <c r="D3903" s="6" t="str">
        <f t="shared" si="121"/>
        <v>Government Consumption Expenditure</v>
      </c>
      <c r="E3903" s="6">
        <v>15785</v>
      </c>
      <c r="F3903" s="6">
        <v>506</v>
      </c>
      <c r="G3903" s="6">
        <v>0</v>
      </c>
      <c r="H3903" s="6">
        <v>90</v>
      </c>
      <c r="I3903" s="6">
        <v>0</v>
      </c>
    </row>
    <row r="3904" spans="1:9">
      <c r="A3904" s="6">
        <v>8</v>
      </c>
      <c r="B3904" s="6" t="str">
        <f t="shared" si="120"/>
        <v>Other Crops</v>
      </c>
      <c r="C3904" s="6">
        <v>302</v>
      </c>
      <c r="D3904" s="6" t="str">
        <f t="shared" si="121"/>
        <v>Government Consumption Expenditure</v>
      </c>
      <c r="E3904" s="6">
        <v>2199489</v>
      </c>
      <c r="F3904" s="6">
        <v>425439</v>
      </c>
      <c r="G3904" s="6">
        <v>398700</v>
      </c>
      <c r="H3904" s="6">
        <v>42145</v>
      </c>
      <c r="I3904" s="6">
        <v>305825</v>
      </c>
    </row>
    <row r="3905" spans="1:9">
      <c r="A3905" s="6">
        <v>9</v>
      </c>
      <c r="B3905" s="6" t="str">
        <f t="shared" si="120"/>
        <v>Livestock</v>
      </c>
      <c r="C3905" s="6">
        <v>302</v>
      </c>
      <c r="D3905" s="6" t="str">
        <f t="shared" si="121"/>
        <v>Government Consumption Expenditure</v>
      </c>
      <c r="E3905" s="6">
        <v>537858</v>
      </c>
      <c r="F3905" s="6">
        <v>30929</v>
      </c>
      <c r="G3905" s="6">
        <v>9029</v>
      </c>
      <c r="H3905" s="6">
        <v>5223</v>
      </c>
      <c r="I3905" s="6">
        <v>0</v>
      </c>
    </row>
    <row r="3906" spans="1:9">
      <c r="A3906" s="6">
        <v>10</v>
      </c>
      <c r="B3906" s="6" t="str">
        <f t="shared" si="120"/>
        <v>Forestry</v>
      </c>
      <c r="C3906" s="6">
        <v>302</v>
      </c>
      <c r="D3906" s="6" t="str">
        <f t="shared" si="121"/>
        <v>Government Consumption Expenditure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</row>
    <row r="3907" spans="1:9">
      <c r="A3907" s="6">
        <v>11</v>
      </c>
      <c r="B3907" s="6" t="str">
        <f t="shared" si="120"/>
        <v>Fishery</v>
      </c>
      <c r="C3907" s="6">
        <v>302</v>
      </c>
      <c r="D3907" s="6" t="str">
        <f t="shared" si="121"/>
        <v>Government Consumption Expenditure</v>
      </c>
      <c r="E3907" s="6">
        <v>141201</v>
      </c>
      <c r="F3907" s="6">
        <v>13758</v>
      </c>
      <c r="G3907" s="6">
        <v>9269</v>
      </c>
      <c r="H3907" s="6">
        <v>2362</v>
      </c>
      <c r="I3907" s="6">
        <v>0</v>
      </c>
    </row>
    <row r="3908" spans="1:9">
      <c r="A3908" s="6">
        <v>12</v>
      </c>
      <c r="B3908" s="6" t="str">
        <f t="shared" ref="B3908:B3971" si="122">VLOOKUP(A3908,R:S,2,0)</f>
        <v>Crude Oil and Coal</v>
      </c>
      <c r="C3908" s="6">
        <v>302</v>
      </c>
      <c r="D3908" s="6" t="str">
        <f t="shared" ref="D3908:D3971" si="123">VLOOKUP(C3908,R:S,2,0)</f>
        <v>Government Consumption Expenditure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</row>
    <row r="3909" spans="1:9">
      <c r="A3909" s="6">
        <v>13</v>
      </c>
      <c r="B3909" s="6" t="str">
        <f t="shared" si="122"/>
        <v>Metal Ore</v>
      </c>
      <c r="C3909" s="6">
        <v>302</v>
      </c>
      <c r="D3909" s="6" t="str">
        <f t="shared" si="123"/>
        <v>Government Consumption Expenditure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</row>
    <row r="3910" spans="1:9">
      <c r="A3910" s="6">
        <v>14</v>
      </c>
      <c r="B3910" s="6" t="str">
        <f t="shared" si="122"/>
        <v>Non-Metal Ore</v>
      </c>
      <c r="C3910" s="6">
        <v>302</v>
      </c>
      <c r="D3910" s="6" t="str">
        <f t="shared" si="123"/>
        <v>Government Consumption Expenditure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</row>
    <row r="3911" spans="1:9">
      <c r="A3911" s="6">
        <v>15</v>
      </c>
      <c r="B3911" s="6" t="str">
        <f t="shared" si="122"/>
        <v>Slaughtering</v>
      </c>
      <c r="C3911" s="6">
        <v>302</v>
      </c>
      <c r="D3911" s="6" t="str">
        <f t="shared" si="123"/>
        <v>Government Consumption Expenditure</v>
      </c>
      <c r="E3911" s="6">
        <v>3870084</v>
      </c>
      <c r="F3911" s="6">
        <v>112620</v>
      </c>
      <c r="G3911" s="6">
        <v>108139</v>
      </c>
      <c r="H3911" s="6">
        <v>13716</v>
      </c>
      <c r="I3911" s="6">
        <v>0</v>
      </c>
    </row>
    <row r="3912" spans="1:9">
      <c r="A3912" s="6">
        <v>16</v>
      </c>
      <c r="B3912" s="6" t="str">
        <f t="shared" si="122"/>
        <v>Processing and Presering of Foods</v>
      </c>
      <c r="C3912" s="6">
        <v>302</v>
      </c>
      <c r="D3912" s="6" t="str">
        <f t="shared" si="123"/>
        <v>Government Consumption Expenditure</v>
      </c>
      <c r="E3912" s="6">
        <v>25333331</v>
      </c>
      <c r="F3912" s="6">
        <v>152518</v>
      </c>
      <c r="G3912" s="6">
        <v>540393</v>
      </c>
      <c r="H3912" s="6">
        <v>96369</v>
      </c>
      <c r="I3912" s="6">
        <v>5489363</v>
      </c>
    </row>
    <row r="3913" spans="1:9">
      <c r="A3913" s="6">
        <v>17</v>
      </c>
      <c r="B3913" s="6" t="str">
        <f t="shared" si="122"/>
        <v>Rice and Other Grain Milling</v>
      </c>
      <c r="C3913" s="6">
        <v>302</v>
      </c>
      <c r="D3913" s="6" t="str">
        <f t="shared" si="123"/>
        <v>Government Consumption Expenditure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</row>
    <row r="3914" spans="1:9">
      <c r="A3914" s="6">
        <v>18</v>
      </c>
      <c r="B3914" s="6" t="str">
        <f t="shared" si="122"/>
        <v>Sugar Refineries</v>
      </c>
      <c r="C3914" s="6">
        <v>302</v>
      </c>
      <c r="D3914" s="6" t="str">
        <f t="shared" si="123"/>
        <v>Government Consumption Expenditure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</row>
    <row r="3915" spans="1:9">
      <c r="A3915" s="6">
        <v>19</v>
      </c>
      <c r="B3915" s="6" t="str">
        <f t="shared" si="122"/>
        <v>Other Foods</v>
      </c>
      <c r="C3915" s="6">
        <v>302</v>
      </c>
      <c r="D3915" s="6" t="str">
        <f t="shared" si="123"/>
        <v>Government Consumption Expenditure</v>
      </c>
      <c r="E3915" s="6">
        <v>11174935</v>
      </c>
      <c r="F3915" s="6">
        <v>175864</v>
      </c>
      <c r="G3915" s="6">
        <v>276924</v>
      </c>
      <c r="H3915" s="6">
        <v>108539</v>
      </c>
      <c r="I3915" s="6">
        <v>2550041</v>
      </c>
    </row>
    <row r="3916" spans="1:9">
      <c r="A3916" s="6">
        <v>20</v>
      </c>
      <c r="B3916" s="6" t="str">
        <f t="shared" si="122"/>
        <v>Animal Food</v>
      </c>
      <c r="C3916" s="6">
        <v>302</v>
      </c>
      <c r="D3916" s="6" t="str">
        <f t="shared" si="123"/>
        <v>Government Consumption Expenditure</v>
      </c>
      <c r="E3916" s="6">
        <v>44740</v>
      </c>
      <c r="F3916" s="6">
        <v>965</v>
      </c>
      <c r="G3916" s="6">
        <v>20</v>
      </c>
      <c r="H3916" s="6">
        <v>325</v>
      </c>
      <c r="I3916" s="6">
        <v>0</v>
      </c>
    </row>
    <row r="3917" spans="1:9">
      <c r="A3917" s="6">
        <v>21</v>
      </c>
      <c r="B3917" s="6" t="str">
        <f t="shared" si="122"/>
        <v>Beverages</v>
      </c>
      <c r="C3917" s="6">
        <v>302</v>
      </c>
      <c r="D3917" s="6" t="str">
        <f t="shared" si="123"/>
        <v>Government Consumption Expenditure</v>
      </c>
      <c r="E3917" s="6">
        <v>27385</v>
      </c>
      <c r="F3917" s="6">
        <v>2225</v>
      </c>
      <c r="G3917" s="6">
        <v>3225</v>
      </c>
      <c r="H3917" s="6">
        <v>606</v>
      </c>
      <c r="I3917" s="6">
        <v>0</v>
      </c>
    </row>
    <row r="3918" spans="1:9">
      <c r="A3918" s="6">
        <v>22</v>
      </c>
      <c r="B3918" s="6" t="str">
        <f t="shared" si="122"/>
        <v>Tobacco Processing and Products</v>
      </c>
      <c r="C3918" s="6">
        <v>302</v>
      </c>
      <c r="D3918" s="6" t="str">
        <f t="shared" si="123"/>
        <v>Government Consumption Expenditure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</row>
    <row r="3919" spans="1:9">
      <c r="A3919" s="6">
        <v>23</v>
      </c>
      <c r="B3919" s="6" t="str">
        <f t="shared" si="122"/>
        <v>Spinning, Weaving and Bleaching</v>
      </c>
      <c r="C3919" s="6">
        <v>302</v>
      </c>
      <c r="D3919" s="6" t="str">
        <f t="shared" si="123"/>
        <v>Government Consumption Expenditure</v>
      </c>
      <c r="E3919" s="6">
        <v>74188</v>
      </c>
      <c r="F3919" s="6">
        <v>1101</v>
      </c>
      <c r="G3919" s="6">
        <v>682</v>
      </c>
      <c r="H3919" s="6">
        <v>725</v>
      </c>
      <c r="I3919" s="6">
        <v>0</v>
      </c>
    </row>
    <row r="3920" spans="1:9">
      <c r="A3920" s="6">
        <v>24</v>
      </c>
      <c r="B3920" s="6" t="str">
        <f t="shared" si="122"/>
        <v>Textile Products</v>
      </c>
      <c r="C3920" s="6">
        <v>302</v>
      </c>
      <c r="D3920" s="6" t="str">
        <f t="shared" si="123"/>
        <v>Government Consumption Expenditure</v>
      </c>
      <c r="E3920" s="6">
        <v>4842898</v>
      </c>
      <c r="F3920" s="6">
        <v>238716</v>
      </c>
      <c r="G3920" s="6">
        <v>261660</v>
      </c>
      <c r="H3920" s="6">
        <v>30553</v>
      </c>
      <c r="I3920" s="6">
        <v>32022</v>
      </c>
    </row>
    <row r="3921" spans="1:9">
      <c r="A3921" s="6">
        <v>25</v>
      </c>
      <c r="B3921" s="6" t="str">
        <f t="shared" si="122"/>
        <v>Paper and Paper Products</v>
      </c>
      <c r="C3921" s="6">
        <v>302</v>
      </c>
      <c r="D3921" s="6" t="str">
        <f t="shared" si="123"/>
        <v>Government Consumption Expenditure</v>
      </c>
      <c r="E3921" s="6">
        <v>20176774</v>
      </c>
      <c r="F3921" s="6">
        <v>783653</v>
      </c>
      <c r="G3921" s="6">
        <v>711891</v>
      </c>
      <c r="H3921" s="6">
        <v>184397</v>
      </c>
      <c r="I3921" s="6">
        <v>1645466</v>
      </c>
    </row>
    <row r="3922" spans="1:9">
      <c r="A3922" s="6">
        <v>26</v>
      </c>
      <c r="B3922" s="6" t="str">
        <f t="shared" si="122"/>
        <v>Printing and Publishing</v>
      </c>
      <c r="C3922" s="6">
        <v>302</v>
      </c>
      <c r="D3922" s="6" t="str">
        <f t="shared" si="123"/>
        <v>Government Consumption Expenditure</v>
      </c>
      <c r="E3922" s="6">
        <v>8940983</v>
      </c>
      <c r="F3922" s="6">
        <v>289330</v>
      </c>
      <c r="G3922" s="6">
        <v>448114</v>
      </c>
      <c r="H3922" s="6">
        <v>65344</v>
      </c>
      <c r="I3922" s="6">
        <v>2347096</v>
      </c>
    </row>
    <row r="3923" spans="1:9">
      <c r="A3923" s="6">
        <v>27</v>
      </c>
      <c r="B3923" s="6" t="str">
        <f t="shared" si="122"/>
        <v>Basic Chemical Products</v>
      </c>
      <c r="C3923" s="6">
        <v>302</v>
      </c>
      <c r="D3923" s="6" t="str">
        <f t="shared" si="123"/>
        <v>Government Consumption Expenditure</v>
      </c>
      <c r="E3923" s="6">
        <v>274519</v>
      </c>
      <c r="F3923" s="6">
        <v>6423</v>
      </c>
      <c r="G3923" s="6">
        <v>14024</v>
      </c>
      <c r="H3923" s="6">
        <v>4722</v>
      </c>
      <c r="I3923" s="6">
        <v>141053</v>
      </c>
    </row>
    <row r="3924" spans="1:9">
      <c r="A3924" s="6">
        <v>28</v>
      </c>
      <c r="B3924" s="6" t="str">
        <f t="shared" si="122"/>
        <v>Fertilizer and Pesticides</v>
      </c>
      <c r="C3924" s="6">
        <v>302</v>
      </c>
      <c r="D3924" s="6" t="str">
        <f t="shared" si="123"/>
        <v>Government Consumption Expenditure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</row>
    <row r="3925" spans="1:9">
      <c r="A3925" s="6">
        <v>29</v>
      </c>
      <c r="B3925" s="6" t="str">
        <f t="shared" si="122"/>
        <v>Other Chemical Products</v>
      </c>
      <c r="C3925" s="6">
        <v>302</v>
      </c>
      <c r="D3925" s="6" t="str">
        <f t="shared" si="123"/>
        <v>Government Consumption Expenditure</v>
      </c>
      <c r="E3925" s="6">
        <v>11533559</v>
      </c>
      <c r="F3925" s="6">
        <v>772029</v>
      </c>
      <c r="G3925" s="6">
        <v>965553</v>
      </c>
      <c r="H3925" s="6">
        <v>109512</v>
      </c>
      <c r="I3925" s="6">
        <v>1402095</v>
      </c>
    </row>
    <row r="3926" spans="1:9">
      <c r="A3926" s="6">
        <v>30</v>
      </c>
      <c r="B3926" s="6" t="str">
        <f t="shared" si="122"/>
        <v>Petroleum Refineries</v>
      </c>
      <c r="C3926" s="6">
        <v>302</v>
      </c>
      <c r="D3926" s="6" t="str">
        <f t="shared" si="123"/>
        <v>Government Consumption Expenditure</v>
      </c>
      <c r="E3926" s="6">
        <v>54303707</v>
      </c>
      <c r="F3926" s="6">
        <v>2265953</v>
      </c>
      <c r="G3926" s="6">
        <v>1834033</v>
      </c>
      <c r="H3926" s="6">
        <v>480443</v>
      </c>
      <c r="I3926" s="6">
        <v>8407814</v>
      </c>
    </row>
    <row r="3927" spans="1:9">
      <c r="A3927" s="6">
        <v>31</v>
      </c>
      <c r="B3927" s="6" t="str">
        <f t="shared" si="122"/>
        <v>Rubber Products</v>
      </c>
      <c r="C3927" s="6">
        <v>302</v>
      </c>
      <c r="D3927" s="6" t="str">
        <f t="shared" si="123"/>
        <v>Government Consumption Expenditure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</row>
    <row r="3928" spans="1:9">
      <c r="A3928" s="6">
        <v>32</v>
      </c>
      <c r="B3928" s="6" t="str">
        <f t="shared" si="122"/>
        <v>Plastic Wares</v>
      </c>
      <c r="C3928" s="6">
        <v>302</v>
      </c>
      <c r="D3928" s="6" t="str">
        <f t="shared" si="123"/>
        <v>Government Consumption Expenditure</v>
      </c>
      <c r="E3928" s="6">
        <v>2104148</v>
      </c>
      <c r="F3928" s="6">
        <v>77652</v>
      </c>
      <c r="G3928" s="6">
        <v>151555</v>
      </c>
      <c r="H3928" s="6">
        <v>18393</v>
      </c>
      <c r="I3928" s="6">
        <v>636052</v>
      </c>
    </row>
    <row r="3929" spans="1:9">
      <c r="A3929" s="6">
        <v>33</v>
      </c>
      <c r="B3929" s="6" t="str">
        <f t="shared" si="122"/>
        <v>Cement and Concrete Products</v>
      </c>
      <c r="C3929" s="6">
        <v>302</v>
      </c>
      <c r="D3929" s="6" t="str">
        <f t="shared" si="123"/>
        <v>Government Consumption Expenditure</v>
      </c>
      <c r="E3929" s="6">
        <v>1040322</v>
      </c>
      <c r="F3929" s="6">
        <v>37919</v>
      </c>
      <c r="G3929" s="6">
        <v>26313</v>
      </c>
      <c r="H3929" s="6">
        <v>13429</v>
      </c>
      <c r="I3929" s="6">
        <v>0</v>
      </c>
    </row>
    <row r="3930" spans="1:9">
      <c r="A3930" s="6">
        <v>34</v>
      </c>
      <c r="B3930" s="6" t="str">
        <f t="shared" si="122"/>
        <v>Other Non-metallic Products</v>
      </c>
      <c r="C3930" s="6">
        <v>302</v>
      </c>
      <c r="D3930" s="6" t="str">
        <f t="shared" si="123"/>
        <v>Government Consumption Expenditure</v>
      </c>
      <c r="E3930" s="6">
        <v>315539</v>
      </c>
      <c r="F3930" s="6">
        <v>7128</v>
      </c>
      <c r="G3930" s="6">
        <v>5180</v>
      </c>
      <c r="H3930" s="6">
        <v>3690</v>
      </c>
      <c r="I3930" s="6">
        <v>0</v>
      </c>
    </row>
    <row r="3931" spans="1:9">
      <c r="A3931" s="6">
        <v>35</v>
      </c>
      <c r="B3931" s="6" t="str">
        <f t="shared" si="122"/>
        <v>Iron and Steel</v>
      </c>
      <c r="C3931" s="6">
        <v>302</v>
      </c>
      <c r="D3931" s="6" t="str">
        <f t="shared" si="123"/>
        <v>Government Consumption Expenditure</v>
      </c>
      <c r="E3931" s="6">
        <v>31724</v>
      </c>
      <c r="F3931" s="6">
        <v>0</v>
      </c>
      <c r="G3931" s="6">
        <v>0</v>
      </c>
      <c r="H3931" s="6">
        <v>0</v>
      </c>
      <c r="I3931" s="6">
        <v>0</v>
      </c>
    </row>
    <row r="3932" spans="1:9">
      <c r="A3932" s="6">
        <v>36</v>
      </c>
      <c r="B3932" s="6" t="str">
        <f t="shared" si="122"/>
        <v>Non-ferrous Metal</v>
      </c>
      <c r="C3932" s="6">
        <v>302</v>
      </c>
      <c r="D3932" s="6" t="str">
        <f t="shared" si="123"/>
        <v>Government Consumption Expenditure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</row>
    <row r="3933" spans="1:9">
      <c r="A3933" s="6">
        <v>37</v>
      </c>
      <c r="B3933" s="6" t="str">
        <f t="shared" si="122"/>
        <v>Fabricated Metal Products</v>
      </c>
      <c r="C3933" s="6">
        <v>302</v>
      </c>
      <c r="D3933" s="6" t="str">
        <f t="shared" si="123"/>
        <v>Government Consumption Expenditure</v>
      </c>
      <c r="E3933" s="6">
        <v>12626373</v>
      </c>
      <c r="F3933" s="6">
        <v>619747</v>
      </c>
      <c r="G3933" s="6">
        <v>1126070</v>
      </c>
      <c r="H3933" s="6">
        <v>82645</v>
      </c>
      <c r="I3933" s="6">
        <v>2060397</v>
      </c>
    </row>
    <row r="3934" spans="1:9">
      <c r="A3934" s="6">
        <v>38</v>
      </c>
      <c r="B3934" s="6" t="str">
        <f t="shared" si="122"/>
        <v>Industrial Machinery</v>
      </c>
      <c r="C3934" s="6">
        <v>302</v>
      </c>
      <c r="D3934" s="6" t="str">
        <f t="shared" si="123"/>
        <v>Government Consumption Expenditure</v>
      </c>
      <c r="E3934" s="6">
        <v>8000504</v>
      </c>
      <c r="F3934" s="6">
        <v>174337</v>
      </c>
      <c r="G3934" s="6">
        <v>65963</v>
      </c>
      <c r="H3934" s="6">
        <v>70658</v>
      </c>
      <c r="I3934" s="6">
        <v>0</v>
      </c>
    </row>
    <row r="3935" spans="1:9">
      <c r="A3935" s="6">
        <v>39</v>
      </c>
      <c r="B3935" s="6" t="str">
        <f t="shared" si="122"/>
        <v>Electrical Machinery and Apparatus</v>
      </c>
      <c r="C3935" s="6">
        <v>302</v>
      </c>
      <c r="D3935" s="6" t="str">
        <f t="shared" si="123"/>
        <v>Government Consumption Expenditure</v>
      </c>
      <c r="E3935" s="6">
        <v>13219792</v>
      </c>
      <c r="F3935" s="6">
        <v>586796</v>
      </c>
      <c r="G3935" s="6">
        <v>606834</v>
      </c>
      <c r="H3935" s="6">
        <v>99814</v>
      </c>
      <c r="I3935" s="6">
        <v>2941893</v>
      </c>
    </row>
    <row r="3936" spans="1:9">
      <c r="A3936" s="6">
        <v>40</v>
      </c>
      <c r="B3936" s="6" t="str">
        <f t="shared" si="122"/>
        <v>Motor Vehicles and Repairing</v>
      </c>
      <c r="C3936" s="6">
        <v>302</v>
      </c>
      <c r="D3936" s="6" t="str">
        <f t="shared" si="123"/>
        <v>Government Consumption Expenditure</v>
      </c>
      <c r="E3936" s="6">
        <v>4966017</v>
      </c>
      <c r="F3936" s="6">
        <v>34696</v>
      </c>
      <c r="G3936" s="6">
        <v>39411</v>
      </c>
      <c r="H3936" s="6">
        <v>3882</v>
      </c>
      <c r="I3936" s="6">
        <v>0</v>
      </c>
    </row>
    <row r="3937" spans="1:9">
      <c r="A3937" s="6">
        <v>41</v>
      </c>
      <c r="B3937" s="6" t="str">
        <f t="shared" si="122"/>
        <v>Other Transportation Equipment</v>
      </c>
      <c r="C3937" s="6">
        <v>302</v>
      </c>
      <c r="D3937" s="6" t="str">
        <f t="shared" si="123"/>
        <v>Government Consumption Expenditure</v>
      </c>
      <c r="E3937" s="6">
        <v>101324</v>
      </c>
      <c r="F3937" s="6">
        <v>5661</v>
      </c>
      <c r="G3937" s="6">
        <v>68</v>
      </c>
      <c r="H3937" s="6">
        <v>2534</v>
      </c>
      <c r="I3937" s="6">
        <v>32997</v>
      </c>
    </row>
    <row r="3938" spans="1:9">
      <c r="A3938" s="6">
        <v>42</v>
      </c>
      <c r="B3938" s="6" t="str">
        <f t="shared" si="122"/>
        <v>Leather Products</v>
      </c>
      <c r="C3938" s="6">
        <v>302</v>
      </c>
      <c r="D3938" s="6" t="str">
        <f t="shared" si="123"/>
        <v>Government Consumption Expenditure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</row>
    <row r="3939" spans="1:9">
      <c r="A3939" s="6">
        <v>43</v>
      </c>
      <c r="B3939" s="6" t="str">
        <f t="shared" si="122"/>
        <v>Saw Mills and Wood Products</v>
      </c>
      <c r="C3939" s="6">
        <v>302</v>
      </c>
      <c r="D3939" s="6" t="str">
        <f t="shared" si="123"/>
        <v>Government Consumption Expenditure</v>
      </c>
      <c r="E3939" s="6">
        <v>56810</v>
      </c>
      <c r="F3939" s="6">
        <v>0</v>
      </c>
      <c r="G3939" s="6">
        <v>0</v>
      </c>
      <c r="H3939" s="6">
        <v>592</v>
      </c>
      <c r="I3939" s="6">
        <v>0</v>
      </c>
    </row>
    <row r="3940" spans="1:9">
      <c r="A3940" s="6">
        <v>44</v>
      </c>
      <c r="B3940" s="6" t="str">
        <f t="shared" si="122"/>
        <v>Other Manufacturing Products</v>
      </c>
      <c r="C3940" s="6">
        <v>302</v>
      </c>
      <c r="D3940" s="6" t="str">
        <f t="shared" si="123"/>
        <v>Government Consumption Expenditure</v>
      </c>
      <c r="E3940" s="6">
        <v>21933718</v>
      </c>
      <c r="F3940" s="6">
        <v>1849491</v>
      </c>
      <c r="G3940" s="6">
        <v>1905072</v>
      </c>
      <c r="H3940" s="6">
        <v>189507</v>
      </c>
      <c r="I3940" s="6">
        <v>8243347</v>
      </c>
    </row>
    <row r="3941" spans="1:9">
      <c r="A3941" s="6">
        <v>45</v>
      </c>
      <c r="B3941" s="6" t="str">
        <f t="shared" si="122"/>
        <v>Electricity and Gas</v>
      </c>
      <c r="C3941" s="6">
        <v>302</v>
      </c>
      <c r="D3941" s="6" t="str">
        <f t="shared" si="123"/>
        <v>Government Consumption Expenditure</v>
      </c>
      <c r="E3941" s="6">
        <v>51460693</v>
      </c>
      <c r="F3941" s="6">
        <v>0</v>
      </c>
      <c r="G3941" s="6">
        <v>0</v>
      </c>
      <c r="H3941" s="6">
        <v>0</v>
      </c>
      <c r="I3941" s="6">
        <v>0</v>
      </c>
    </row>
    <row r="3942" spans="1:9">
      <c r="A3942" s="6">
        <v>46</v>
      </c>
      <c r="B3942" s="6" t="str">
        <f t="shared" si="122"/>
        <v>Water Works and Supply</v>
      </c>
      <c r="C3942" s="6">
        <v>302</v>
      </c>
      <c r="D3942" s="6" t="str">
        <f t="shared" si="123"/>
        <v>Government Consumption Expenditure</v>
      </c>
      <c r="E3942" s="6">
        <v>8054354</v>
      </c>
      <c r="F3942" s="6">
        <v>0</v>
      </c>
      <c r="G3942" s="6">
        <v>0</v>
      </c>
      <c r="H3942" s="6">
        <v>0</v>
      </c>
      <c r="I3942" s="6">
        <v>0</v>
      </c>
    </row>
    <row r="3943" spans="1:9">
      <c r="A3943" s="6">
        <v>47</v>
      </c>
      <c r="B3943" s="6" t="str">
        <f t="shared" si="122"/>
        <v>Building Construction</v>
      </c>
      <c r="C3943" s="6">
        <v>302</v>
      </c>
      <c r="D3943" s="6" t="str">
        <f t="shared" si="123"/>
        <v>Government Consumption Expenditure</v>
      </c>
      <c r="E3943" s="6">
        <v>3682908</v>
      </c>
      <c r="F3943" s="6">
        <v>0</v>
      </c>
      <c r="G3943" s="6">
        <v>0</v>
      </c>
      <c r="H3943" s="6">
        <v>0</v>
      </c>
      <c r="I3943" s="6">
        <v>0</v>
      </c>
    </row>
    <row r="3944" spans="1:9">
      <c r="A3944" s="6">
        <v>48</v>
      </c>
      <c r="B3944" s="6" t="str">
        <f t="shared" si="122"/>
        <v>Public Works and Other Construction</v>
      </c>
      <c r="C3944" s="6">
        <v>302</v>
      </c>
      <c r="D3944" s="6" t="str">
        <f t="shared" si="123"/>
        <v>Government Consumption Expenditure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</row>
    <row r="3945" spans="1:9">
      <c r="A3945" s="6">
        <v>49</v>
      </c>
      <c r="B3945" s="6" t="str">
        <f t="shared" si="122"/>
        <v>Trade</v>
      </c>
      <c r="C3945" s="6">
        <v>302</v>
      </c>
      <c r="D3945" s="6" t="str">
        <f t="shared" si="123"/>
        <v>Government Consumption Expenditure</v>
      </c>
      <c r="E3945" s="6">
        <v>0</v>
      </c>
      <c r="F3945" s="6">
        <v>-8686102</v>
      </c>
      <c r="G3945" s="6">
        <v>-9543602</v>
      </c>
      <c r="H3945" s="6">
        <v>0</v>
      </c>
      <c r="I3945" s="6">
        <v>0</v>
      </c>
    </row>
    <row r="3946" spans="1:9">
      <c r="A3946" s="6">
        <v>50</v>
      </c>
      <c r="B3946" s="6" t="str">
        <f t="shared" si="122"/>
        <v>Restaurants and Hotels</v>
      </c>
      <c r="C3946" s="6">
        <v>302</v>
      </c>
      <c r="D3946" s="6" t="str">
        <f t="shared" si="123"/>
        <v>Government Consumption Expenditure</v>
      </c>
      <c r="E3946" s="6">
        <v>68138115</v>
      </c>
      <c r="F3946" s="6">
        <v>0</v>
      </c>
      <c r="G3946" s="6">
        <v>0</v>
      </c>
      <c r="H3946" s="6">
        <v>0</v>
      </c>
      <c r="I3946" s="6">
        <v>0</v>
      </c>
    </row>
    <row r="3947" spans="1:9">
      <c r="A3947" s="6">
        <v>51</v>
      </c>
      <c r="B3947" s="6" t="str">
        <f t="shared" si="122"/>
        <v>Transportation</v>
      </c>
      <c r="C3947" s="6">
        <v>302</v>
      </c>
      <c r="D3947" s="6" t="str">
        <f t="shared" si="123"/>
        <v>Government Consumption Expenditure</v>
      </c>
      <c r="E3947" s="6">
        <v>19732042</v>
      </c>
      <c r="F3947" s="6">
        <v>0</v>
      </c>
      <c r="G3947" s="6">
        <v>0</v>
      </c>
      <c r="H3947" s="6">
        <v>-1639419</v>
      </c>
      <c r="I3947" s="6">
        <v>0</v>
      </c>
    </row>
    <row r="3948" spans="1:9">
      <c r="A3948" s="6">
        <v>52</v>
      </c>
      <c r="B3948" s="6" t="str">
        <f t="shared" si="122"/>
        <v>Communication</v>
      </c>
      <c r="C3948" s="6">
        <v>302</v>
      </c>
      <c r="D3948" s="6" t="str">
        <f t="shared" si="123"/>
        <v>Government Consumption Expenditure</v>
      </c>
      <c r="E3948" s="6">
        <v>53306370</v>
      </c>
      <c r="F3948" s="6">
        <v>0</v>
      </c>
      <c r="G3948" s="6">
        <v>0</v>
      </c>
      <c r="H3948" s="6">
        <v>0</v>
      </c>
      <c r="I3948" s="6">
        <v>0</v>
      </c>
    </row>
    <row r="3949" spans="1:9">
      <c r="A3949" s="6">
        <v>53</v>
      </c>
      <c r="B3949" s="6" t="str">
        <f t="shared" si="122"/>
        <v>Banking and Insurance</v>
      </c>
      <c r="C3949" s="6">
        <v>302</v>
      </c>
      <c r="D3949" s="6" t="str">
        <f t="shared" si="123"/>
        <v>Government Consumption Expenditure</v>
      </c>
      <c r="E3949" s="6">
        <v>636055</v>
      </c>
      <c r="F3949" s="6">
        <v>0</v>
      </c>
      <c r="G3949" s="6">
        <v>0</v>
      </c>
      <c r="H3949" s="6">
        <v>0</v>
      </c>
      <c r="I3949" s="6">
        <v>0</v>
      </c>
    </row>
    <row r="3950" spans="1:9">
      <c r="A3950" s="6">
        <v>54</v>
      </c>
      <c r="B3950" s="6" t="str">
        <f t="shared" si="122"/>
        <v>Real Estate</v>
      </c>
      <c r="C3950" s="6">
        <v>302</v>
      </c>
      <c r="D3950" s="6" t="str">
        <f t="shared" si="123"/>
        <v>Government Consumption Expenditure</v>
      </c>
      <c r="E3950" s="6">
        <v>42134280</v>
      </c>
      <c r="F3950" s="6">
        <v>0</v>
      </c>
      <c r="G3950" s="6">
        <v>0</v>
      </c>
      <c r="H3950" s="6">
        <v>0</v>
      </c>
      <c r="I3950" s="6">
        <v>0</v>
      </c>
    </row>
    <row r="3951" spans="1:9">
      <c r="A3951" s="6">
        <v>55</v>
      </c>
      <c r="B3951" s="6" t="str">
        <f t="shared" si="122"/>
        <v>Business Services</v>
      </c>
      <c r="C3951" s="6">
        <v>302</v>
      </c>
      <c r="D3951" s="6" t="str">
        <f t="shared" si="123"/>
        <v>Government Consumption Expenditure</v>
      </c>
      <c r="E3951" s="6">
        <v>145749337</v>
      </c>
      <c r="F3951" s="6">
        <v>0</v>
      </c>
      <c r="G3951" s="6">
        <v>0</v>
      </c>
      <c r="H3951" s="6">
        <v>0</v>
      </c>
      <c r="I3951" s="6">
        <v>0</v>
      </c>
    </row>
    <row r="3952" spans="1:9">
      <c r="A3952" s="6">
        <v>56</v>
      </c>
      <c r="B3952" s="6" t="str">
        <f t="shared" si="122"/>
        <v>Public Services</v>
      </c>
      <c r="C3952" s="6">
        <v>302</v>
      </c>
      <c r="D3952" s="6" t="str">
        <f t="shared" si="123"/>
        <v>Government Consumption Expenditure</v>
      </c>
      <c r="E3952" s="6">
        <v>2300579496</v>
      </c>
      <c r="F3952" s="6">
        <v>0</v>
      </c>
      <c r="G3952" s="6">
        <v>0</v>
      </c>
      <c r="H3952" s="6">
        <v>0</v>
      </c>
      <c r="I3952" s="6">
        <v>0</v>
      </c>
    </row>
    <row r="3953" spans="1:9">
      <c r="A3953" s="6">
        <v>57</v>
      </c>
      <c r="B3953" s="6" t="str">
        <f t="shared" si="122"/>
        <v>Other Services</v>
      </c>
      <c r="C3953" s="6">
        <v>302</v>
      </c>
      <c r="D3953" s="6" t="str">
        <f t="shared" si="123"/>
        <v>Government Consumption Expenditure</v>
      </c>
      <c r="E3953" s="6">
        <v>13803365</v>
      </c>
      <c r="F3953" s="6">
        <v>0</v>
      </c>
      <c r="G3953" s="6">
        <v>0</v>
      </c>
      <c r="H3953" s="6">
        <v>0</v>
      </c>
      <c r="I3953" s="6">
        <v>0</v>
      </c>
    </row>
    <row r="3954" spans="1:9">
      <c r="A3954" s="6">
        <v>58</v>
      </c>
      <c r="B3954" s="6" t="str">
        <f t="shared" si="122"/>
        <v>Unclassified</v>
      </c>
      <c r="C3954" s="6">
        <v>302</v>
      </c>
      <c r="D3954" s="6" t="str">
        <f t="shared" si="123"/>
        <v>Government Consumption Expenditure</v>
      </c>
      <c r="E3954" s="6">
        <v>35329250</v>
      </c>
      <c r="F3954" s="6">
        <v>0</v>
      </c>
      <c r="G3954" s="6">
        <v>0</v>
      </c>
      <c r="H3954" s="6">
        <v>0</v>
      </c>
      <c r="I3954" s="6">
        <v>3082884</v>
      </c>
    </row>
    <row r="3955" spans="1:9">
      <c r="A3955" s="6">
        <v>190</v>
      </c>
      <c r="B3955" s="6" t="str">
        <f t="shared" si="122"/>
        <v>Total Intermedite Transaction</v>
      </c>
      <c r="C3955" s="6">
        <v>302</v>
      </c>
      <c r="D3955" s="6" t="str">
        <f t="shared" si="123"/>
        <v>Government Consumption Expenditure</v>
      </c>
      <c r="E3955" s="6">
        <v>2951397062</v>
      </c>
      <c r="F3955" s="6">
        <v>0</v>
      </c>
      <c r="G3955" s="6">
        <v>0</v>
      </c>
      <c r="H3955" s="6">
        <v>0</v>
      </c>
      <c r="I3955" s="6">
        <v>39391177</v>
      </c>
    </row>
    <row r="3956" spans="1:9">
      <c r="A3956" s="6">
        <v>1</v>
      </c>
      <c r="B3956" s="6" t="str">
        <f t="shared" si="122"/>
        <v>Paddy</v>
      </c>
      <c r="C3956" s="6">
        <v>303</v>
      </c>
      <c r="D3956" s="6" t="str">
        <f t="shared" si="123"/>
        <v>Gross Fixed Capital Formation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</row>
    <row r="3957" spans="1:9">
      <c r="A3957" s="6">
        <v>2</v>
      </c>
      <c r="B3957" s="6" t="str">
        <f t="shared" si="122"/>
        <v>Maize</v>
      </c>
      <c r="C3957" s="6">
        <v>303</v>
      </c>
      <c r="D3957" s="6" t="str">
        <f t="shared" si="123"/>
        <v>Gross Fixed Capital Formation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</row>
    <row r="3958" spans="1:9">
      <c r="A3958" s="6">
        <v>3</v>
      </c>
      <c r="B3958" s="6" t="str">
        <f t="shared" si="122"/>
        <v>Cassava</v>
      </c>
      <c r="C3958" s="6">
        <v>303</v>
      </c>
      <c r="D3958" s="6" t="str">
        <f t="shared" si="123"/>
        <v>Gross Fixed Capital Formation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</row>
    <row r="3959" spans="1:9">
      <c r="A3959" s="6">
        <v>4</v>
      </c>
      <c r="B3959" s="6" t="str">
        <f t="shared" si="122"/>
        <v>Beans and Nuts</v>
      </c>
      <c r="C3959" s="6">
        <v>303</v>
      </c>
      <c r="D3959" s="6" t="str">
        <f t="shared" si="123"/>
        <v>Gross Fixed Capital Formation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</row>
    <row r="3960" spans="1:9">
      <c r="A3960" s="6">
        <v>5</v>
      </c>
      <c r="B3960" s="6" t="str">
        <f t="shared" si="122"/>
        <v>Vegetables and Fruits</v>
      </c>
      <c r="C3960" s="6">
        <v>303</v>
      </c>
      <c r="D3960" s="6" t="str">
        <f t="shared" si="123"/>
        <v>Gross Fixed Capital Formation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</row>
    <row r="3961" spans="1:9">
      <c r="A3961" s="6">
        <v>6</v>
      </c>
      <c r="B3961" s="6" t="str">
        <f t="shared" si="122"/>
        <v>Sugarcane</v>
      </c>
      <c r="C3961" s="6">
        <v>303</v>
      </c>
      <c r="D3961" s="6" t="str">
        <f t="shared" si="123"/>
        <v>Gross Fixed Capital Formation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</row>
    <row r="3962" spans="1:9">
      <c r="A3962" s="6">
        <v>7</v>
      </c>
      <c r="B3962" s="6" t="str">
        <f t="shared" si="122"/>
        <v>Rubber (Latex)</v>
      </c>
      <c r="C3962" s="6">
        <v>303</v>
      </c>
      <c r="D3962" s="6" t="str">
        <f t="shared" si="123"/>
        <v>Gross Fixed Capital Formation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</row>
    <row r="3963" spans="1:9">
      <c r="A3963" s="6">
        <v>8</v>
      </c>
      <c r="B3963" s="6" t="str">
        <f t="shared" si="122"/>
        <v>Other Crops</v>
      </c>
      <c r="C3963" s="6">
        <v>303</v>
      </c>
      <c r="D3963" s="6" t="str">
        <f t="shared" si="123"/>
        <v>Gross Fixed Capital Formation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</row>
    <row r="3964" spans="1:9">
      <c r="A3964" s="6">
        <v>9</v>
      </c>
      <c r="B3964" s="6" t="str">
        <f t="shared" si="122"/>
        <v>Livestock</v>
      </c>
      <c r="C3964" s="6">
        <v>303</v>
      </c>
      <c r="D3964" s="6" t="str">
        <f t="shared" si="123"/>
        <v>Gross Fixed Capital Formation</v>
      </c>
      <c r="E3964" s="6">
        <v>3049362</v>
      </c>
      <c r="F3964" s="6">
        <v>76472</v>
      </c>
      <c r="G3964" s="6">
        <v>0</v>
      </c>
      <c r="H3964" s="6">
        <v>6163</v>
      </c>
      <c r="I3964" s="6">
        <v>2010376</v>
      </c>
    </row>
    <row r="3965" spans="1:9">
      <c r="A3965" s="6">
        <v>10</v>
      </c>
      <c r="B3965" s="6" t="str">
        <f t="shared" si="122"/>
        <v>Forestry</v>
      </c>
      <c r="C3965" s="6">
        <v>303</v>
      </c>
      <c r="D3965" s="6" t="str">
        <f t="shared" si="123"/>
        <v>Gross Fixed Capital Formation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</row>
    <row r="3966" spans="1:9">
      <c r="A3966" s="6">
        <v>11</v>
      </c>
      <c r="B3966" s="6" t="str">
        <f t="shared" si="122"/>
        <v>Fishery</v>
      </c>
      <c r="C3966" s="6">
        <v>303</v>
      </c>
      <c r="D3966" s="6" t="str">
        <f t="shared" si="123"/>
        <v>Gross Fixed Capital Formation</v>
      </c>
      <c r="E3966" s="6">
        <v>3154870</v>
      </c>
      <c r="F3966" s="6">
        <v>151422</v>
      </c>
      <c r="G3966" s="6">
        <v>126971</v>
      </c>
      <c r="H3966" s="6">
        <v>57356</v>
      </c>
      <c r="I3966" s="6">
        <v>1763672</v>
      </c>
    </row>
    <row r="3967" spans="1:9">
      <c r="A3967" s="6">
        <v>12</v>
      </c>
      <c r="B3967" s="6" t="str">
        <f t="shared" si="122"/>
        <v>Crude Oil and Coal</v>
      </c>
      <c r="C3967" s="6">
        <v>303</v>
      </c>
      <c r="D3967" s="6" t="str">
        <f t="shared" si="123"/>
        <v>Gross Fixed Capital Formation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</row>
    <row r="3968" spans="1:9">
      <c r="A3968" s="6">
        <v>13</v>
      </c>
      <c r="B3968" s="6" t="str">
        <f t="shared" si="122"/>
        <v>Metal Ore</v>
      </c>
      <c r="C3968" s="6">
        <v>303</v>
      </c>
      <c r="D3968" s="6" t="str">
        <f t="shared" si="123"/>
        <v>Gross Fixed Capital Formation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</row>
    <row r="3969" spans="1:9">
      <c r="A3969" s="6">
        <v>14</v>
      </c>
      <c r="B3969" s="6" t="str">
        <f t="shared" si="122"/>
        <v>Non-Metal Ore</v>
      </c>
      <c r="C3969" s="6">
        <v>303</v>
      </c>
      <c r="D3969" s="6" t="str">
        <f t="shared" si="123"/>
        <v>Gross Fixed Capital Formation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</row>
    <row r="3970" spans="1:9">
      <c r="A3970" s="6">
        <v>15</v>
      </c>
      <c r="B3970" s="6" t="str">
        <f t="shared" si="122"/>
        <v>Slaughtering</v>
      </c>
      <c r="C3970" s="6">
        <v>303</v>
      </c>
      <c r="D3970" s="6" t="str">
        <f t="shared" si="123"/>
        <v>Gross Fixed Capital Formation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</row>
    <row r="3971" spans="1:9">
      <c r="A3971" s="6">
        <v>16</v>
      </c>
      <c r="B3971" s="6" t="str">
        <f t="shared" si="122"/>
        <v>Processing and Presering of Foods</v>
      </c>
      <c r="C3971" s="6">
        <v>303</v>
      </c>
      <c r="D3971" s="6" t="str">
        <f t="shared" si="123"/>
        <v>Gross Fixed Capital Formation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</row>
    <row r="3972" spans="1:9">
      <c r="A3972" s="6">
        <v>17</v>
      </c>
      <c r="B3972" s="6" t="str">
        <f t="shared" ref="B3972:B4035" si="124">VLOOKUP(A3972,R:S,2,0)</f>
        <v>Rice and Other Grain Milling</v>
      </c>
      <c r="C3972" s="6">
        <v>303</v>
      </c>
      <c r="D3972" s="6" t="str">
        <f t="shared" ref="D3972:D4035" si="125">VLOOKUP(C3972,R:S,2,0)</f>
        <v>Gross Fixed Capital Formation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</row>
    <row r="3973" spans="1:9">
      <c r="A3973" s="6">
        <v>18</v>
      </c>
      <c r="B3973" s="6" t="str">
        <f t="shared" si="124"/>
        <v>Sugar Refineries</v>
      </c>
      <c r="C3973" s="6">
        <v>303</v>
      </c>
      <c r="D3973" s="6" t="str">
        <f t="shared" si="125"/>
        <v>Gross Fixed Capital Formation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</row>
    <row r="3974" spans="1:9">
      <c r="A3974" s="6">
        <v>19</v>
      </c>
      <c r="B3974" s="6" t="str">
        <f t="shared" si="124"/>
        <v>Other Foods</v>
      </c>
      <c r="C3974" s="6">
        <v>303</v>
      </c>
      <c r="D3974" s="6" t="str">
        <f t="shared" si="125"/>
        <v>Gross Fixed Capital Formation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</row>
    <row r="3975" spans="1:9">
      <c r="A3975" s="6">
        <v>20</v>
      </c>
      <c r="B3975" s="6" t="str">
        <f t="shared" si="124"/>
        <v>Animal Food</v>
      </c>
      <c r="C3975" s="6">
        <v>303</v>
      </c>
      <c r="D3975" s="6" t="str">
        <f t="shared" si="125"/>
        <v>Gross Fixed Capital Formation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</row>
    <row r="3976" spans="1:9">
      <c r="A3976" s="6">
        <v>21</v>
      </c>
      <c r="B3976" s="6" t="str">
        <f t="shared" si="124"/>
        <v>Beverages</v>
      </c>
      <c r="C3976" s="6">
        <v>303</v>
      </c>
      <c r="D3976" s="6" t="str">
        <f t="shared" si="125"/>
        <v>Gross Fixed Capital Formation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</row>
    <row r="3977" spans="1:9">
      <c r="A3977" s="6">
        <v>22</v>
      </c>
      <c r="B3977" s="6" t="str">
        <f t="shared" si="124"/>
        <v>Tobacco Processing and Products</v>
      </c>
      <c r="C3977" s="6">
        <v>303</v>
      </c>
      <c r="D3977" s="6" t="str">
        <f t="shared" si="125"/>
        <v>Gross Fixed Capital Formation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</row>
    <row r="3978" spans="1:9">
      <c r="A3978" s="6">
        <v>23</v>
      </c>
      <c r="B3978" s="6" t="str">
        <f t="shared" si="124"/>
        <v>Spinning, Weaving and Bleaching</v>
      </c>
      <c r="C3978" s="6">
        <v>303</v>
      </c>
      <c r="D3978" s="6" t="str">
        <f t="shared" si="125"/>
        <v>Gross Fixed Capital Formation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</row>
    <row r="3979" spans="1:9">
      <c r="A3979" s="6">
        <v>24</v>
      </c>
      <c r="B3979" s="6" t="str">
        <f t="shared" si="124"/>
        <v>Textile Products</v>
      </c>
      <c r="C3979" s="6">
        <v>303</v>
      </c>
      <c r="D3979" s="6" t="str">
        <f t="shared" si="125"/>
        <v>Gross Fixed Capital Formation</v>
      </c>
      <c r="E3979" s="6">
        <v>8762791</v>
      </c>
      <c r="F3979" s="6">
        <v>585150</v>
      </c>
      <c r="G3979" s="6">
        <v>589107</v>
      </c>
      <c r="H3979" s="6">
        <v>42312</v>
      </c>
      <c r="I3979" s="6">
        <v>825518</v>
      </c>
    </row>
    <row r="3980" spans="1:9">
      <c r="A3980" s="6">
        <v>25</v>
      </c>
      <c r="B3980" s="6" t="str">
        <f t="shared" si="124"/>
        <v>Paper and Paper Products</v>
      </c>
      <c r="C3980" s="6">
        <v>303</v>
      </c>
      <c r="D3980" s="6" t="str">
        <f t="shared" si="125"/>
        <v>Gross Fixed Capital Formation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</row>
    <row r="3981" spans="1:9">
      <c r="A3981" s="6">
        <v>26</v>
      </c>
      <c r="B3981" s="6" t="str">
        <f t="shared" si="124"/>
        <v>Printing and Publishing</v>
      </c>
      <c r="C3981" s="6">
        <v>303</v>
      </c>
      <c r="D3981" s="6" t="str">
        <f t="shared" si="125"/>
        <v>Gross Fixed Capital Formation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</row>
    <row r="3982" spans="1:9">
      <c r="A3982" s="6">
        <v>27</v>
      </c>
      <c r="B3982" s="6" t="str">
        <f t="shared" si="124"/>
        <v>Basic Chemical Products</v>
      </c>
      <c r="C3982" s="6">
        <v>303</v>
      </c>
      <c r="D3982" s="6" t="str">
        <f t="shared" si="125"/>
        <v>Gross Fixed Capital Formation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</row>
    <row r="3983" spans="1:9">
      <c r="A3983" s="6">
        <v>28</v>
      </c>
      <c r="B3983" s="6" t="str">
        <f t="shared" si="124"/>
        <v>Fertilizer and Pesticides</v>
      </c>
      <c r="C3983" s="6">
        <v>303</v>
      </c>
      <c r="D3983" s="6" t="str">
        <f t="shared" si="125"/>
        <v>Gross Fixed Capital Formation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</row>
    <row r="3984" spans="1:9">
      <c r="A3984" s="6">
        <v>29</v>
      </c>
      <c r="B3984" s="6" t="str">
        <f t="shared" si="124"/>
        <v>Other Chemical Products</v>
      </c>
      <c r="C3984" s="6">
        <v>303</v>
      </c>
      <c r="D3984" s="6" t="str">
        <f t="shared" si="125"/>
        <v>Gross Fixed Capital Formation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</row>
    <row r="3985" spans="1:9">
      <c r="A3985" s="6">
        <v>30</v>
      </c>
      <c r="B3985" s="6" t="str">
        <f t="shared" si="124"/>
        <v>Petroleum Refineries</v>
      </c>
      <c r="C3985" s="6">
        <v>303</v>
      </c>
      <c r="D3985" s="6" t="str">
        <f t="shared" si="125"/>
        <v>Gross Fixed Capital Formation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</row>
    <row r="3986" spans="1:9">
      <c r="A3986" s="6">
        <v>31</v>
      </c>
      <c r="B3986" s="6" t="str">
        <f t="shared" si="124"/>
        <v>Rubber Products</v>
      </c>
      <c r="C3986" s="6">
        <v>303</v>
      </c>
      <c r="D3986" s="6" t="str">
        <f t="shared" si="125"/>
        <v>Gross Fixed Capital Formation</v>
      </c>
      <c r="E3986" s="6">
        <v>4351757</v>
      </c>
      <c r="F3986" s="6">
        <v>458050</v>
      </c>
      <c r="G3986" s="6">
        <v>663169</v>
      </c>
      <c r="H3986" s="6">
        <v>141520</v>
      </c>
      <c r="I3986" s="6">
        <v>2524226</v>
      </c>
    </row>
    <row r="3987" spans="1:9">
      <c r="A3987" s="6">
        <v>32</v>
      </c>
      <c r="B3987" s="6" t="str">
        <f t="shared" si="124"/>
        <v>Plastic Wares</v>
      </c>
      <c r="C3987" s="6">
        <v>303</v>
      </c>
      <c r="D3987" s="6" t="str">
        <f t="shared" si="125"/>
        <v>Gross Fixed Capital Formation</v>
      </c>
      <c r="E3987" s="6">
        <v>4859105</v>
      </c>
      <c r="F3987" s="6">
        <v>300522</v>
      </c>
      <c r="G3987" s="6">
        <v>245338</v>
      </c>
      <c r="H3987" s="6">
        <v>38177</v>
      </c>
      <c r="I3987" s="6">
        <v>1354204</v>
      </c>
    </row>
    <row r="3988" spans="1:9">
      <c r="A3988" s="6">
        <v>33</v>
      </c>
      <c r="B3988" s="6" t="str">
        <f t="shared" si="124"/>
        <v>Cement and Concrete Products</v>
      </c>
      <c r="C3988" s="6">
        <v>303</v>
      </c>
      <c r="D3988" s="6" t="str">
        <f t="shared" si="125"/>
        <v>Gross Fixed Capital Formation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</row>
    <row r="3989" spans="1:9">
      <c r="A3989" s="6">
        <v>34</v>
      </c>
      <c r="B3989" s="6" t="str">
        <f t="shared" si="124"/>
        <v>Other Non-metallic Products</v>
      </c>
      <c r="C3989" s="6">
        <v>303</v>
      </c>
      <c r="D3989" s="6" t="str">
        <f t="shared" si="125"/>
        <v>Gross Fixed Capital Formation</v>
      </c>
      <c r="E3989" s="6">
        <v>24505542</v>
      </c>
      <c r="F3989" s="6">
        <v>1755568</v>
      </c>
      <c r="G3989" s="6">
        <v>1580231</v>
      </c>
      <c r="H3989" s="6">
        <v>286531</v>
      </c>
      <c r="I3989" s="6">
        <v>8057880</v>
      </c>
    </row>
    <row r="3990" spans="1:9">
      <c r="A3990" s="6">
        <v>35</v>
      </c>
      <c r="B3990" s="6" t="str">
        <f t="shared" si="124"/>
        <v>Iron and Steel</v>
      </c>
      <c r="C3990" s="6">
        <v>303</v>
      </c>
      <c r="D3990" s="6" t="str">
        <f t="shared" si="125"/>
        <v>Gross Fixed Capital Formation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</row>
    <row r="3991" spans="1:9">
      <c r="A3991" s="6">
        <v>36</v>
      </c>
      <c r="B3991" s="6" t="str">
        <f t="shared" si="124"/>
        <v>Non-ferrous Metal</v>
      </c>
      <c r="C3991" s="6">
        <v>303</v>
      </c>
      <c r="D3991" s="6" t="str">
        <f t="shared" si="125"/>
        <v>Gross Fixed Capital Formation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</row>
    <row r="3992" spans="1:9">
      <c r="A3992" s="6">
        <v>37</v>
      </c>
      <c r="B3992" s="6" t="str">
        <f t="shared" si="124"/>
        <v>Fabricated Metal Products</v>
      </c>
      <c r="C3992" s="6">
        <v>303</v>
      </c>
      <c r="D3992" s="6" t="str">
        <f t="shared" si="125"/>
        <v>Gross Fixed Capital Formation</v>
      </c>
      <c r="E3992" s="6">
        <v>87316283</v>
      </c>
      <c r="F3992" s="6">
        <v>1420471</v>
      </c>
      <c r="G3992" s="6">
        <v>4450831</v>
      </c>
      <c r="H3992" s="6">
        <v>280488</v>
      </c>
      <c r="I3992" s="6">
        <v>71553242</v>
      </c>
    </row>
    <row r="3993" spans="1:9">
      <c r="A3993" s="6">
        <v>38</v>
      </c>
      <c r="B3993" s="6" t="str">
        <f t="shared" si="124"/>
        <v>Industrial Machinery</v>
      </c>
      <c r="C3993" s="6">
        <v>303</v>
      </c>
      <c r="D3993" s="6" t="str">
        <f t="shared" si="125"/>
        <v>Gross Fixed Capital Formation</v>
      </c>
      <c r="E3993" s="6">
        <v>414032286</v>
      </c>
      <c r="F3993" s="6">
        <v>30888637</v>
      </c>
      <c r="G3993" s="6">
        <v>27137032</v>
      </c>
      <c r="H3993" s="6">
        <v>4926544</v>
      </c>
      <c r="I3993" s="6">
        <v>315139379</v>
      </c>
    </row>
    <row r="3994" spans="1:9">
      <c r="A3994" s="6">
        <v>39</v>
      </c>
      <c r="B3994" s="6" t="str">
        <f t="shared" si="124"/>
        <v>Electrical Machinery and Apparatus</v>
      </c>
      <c r="C3994" s="6">
        <v>303</v>
      </c>
      <c r="D3994" s="6" t="str">
        <f t="shared" si="125"/>
        <v>Gross Fixed Capital Formation</v>
      </c>
      <c r="E3994" s="6">
        <v>655006360</v>
      </c>
      <c r="F3994" s="6">
        <v>25712634</v>
      </c>
      <c r="G3994" s="6">
        <v>21616380</v>
      </c>
      <c r="H3994" s="6">
        <v>5145031</v>
      </c>
      <c r="I3994" s="6">
        <v>368831969</v>
      </c>
    </row>
    <row r="3995" spans="1:9">
      <c r="A3995" s="6">
        <v>40</v>
      </c>
      <c r="B3995" s="6" t="str">
        <f t="shared" si="124"/>
        <v>Motor Vehicles and Repairing</v>
      </c>
      <c r="C3995" s="6">
        <v>303</v>
      </c>
      <c r="D3995" s="6" t="str">
        <f t="shared" si="125"/>
        <v>Gross Fixed Capital Formation</v>
      </c>
      <c r="E3995" s="6">
        <v>755219295</v>
      </c>
      <c r="F3995" s="6">
        <v>49384665</v>
      </c>
      <c r="G3995" s="6">
        <v>67689586</v>
      </c>
      <c r="H3995" s="6">
        <v>5255375</v>
      </c>
      <c r="I3995" s="6">
        <v>139287540</v>
      </c>
    </row>
    <row r="3996" spans="1:9">
      <c r="A3996" s="6">
        <v>41</v>
      </c>
      <c r="B3996" s="6" t="str">
        <f t="shared" si="124"/>
        <v>Other Transportation Equipment</v>
      </c>
      <c r="C3996" s="6">
        <v>303</v>
      </c>
      <c r="D3996" s="6" t="str">
        <f t="shared" si="125"/>
        <v>Gross Fixed Capital Formation</v>
      </c>
      <c r="E3996" s="6">
        <v>114957101</v>
      </c>
      <c r="F3996" s="6">
        <v>5144863</v>
      </c>
      <c r="G3996" s="6">
        <v>800281</v>
      </c>
      <c r="H3996" s="6">
        <v>593437</v>
      </c>
      <c r="I3996" s="6">
        <v>55858143</v>
      </c>
    </row>
    <row r="3997" spans="1:9">
      <c r="A3997" s="6">
        <v>42</v>
      </c>
      <c r="B3997" s="6" t="str">
        <f t="shared" si="124"/>
        <v>Leather Products</v>
      </c>
      <c r="C3997" s="6">
        <v>303</v>
      </c>
      <c r="D3997" s="6" t="str">
        <f t="shared" si="125"/>
        <v>Gross Fixed Capital Formation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</row>
    <row r="3998" spans="1:9">
      <c r="A3998" s="6">
        <v>43</v>
      </c>
      <c r="B3998" s="6" t="str">
        <f t="shared" si="124"/>
        <v>Saw Mills and Wood Products</v>
      </c>
      <c r="C3998" s="6">
        <v>303</v>
      </c>
      <c r="D3998" s="6" t="str">
        <f t="shared" si="125"/>
        <v>Gross Fixed Capital Formation</v>
      </c>
      <c r="E3998" s="6">
        <v>17271136</v>
      </c>
      <c r="F3998" s="6">
        <v>1272716</v>
      </c>
      <c r="G3998" s="6">
        <v>1377897</v>
      </c>
      <c r="H3998" s="6">
        <v>190788</v>
      </c>
      <c r="I3998" s="6">
        <v>2933570</v>
      </c>
    </row>
    <row r="3999" spans="1:9">
      <c r="A3999" s="6">
        <v>44</v>
      </c>
      <c r="B3999" s="6" t="str">
        <f t="shared" si="124"/>
        <v>Other Manufacturing Products</v>
      </c>
      <c r="C3999" s="6">
        <v>303</v>
      </c>
      <c r="D3999" s="6" t="str">
        <f t="shared" si="125"/>
        <v>Gross Fixed Capital Formation</v>
      </c>
      <c r="E3999" s="6">
        <v>168232534</v>
      </c>
      <c r="F3999" s="6">
        <v>10012418</v>
      </c>
      <c r="G3999" s="6">
        <v>12480542</v>
      </c>
      <c r="H3999" s="6">
        <v>1476985</v>
      </c>
      <c r="I3999" s="6">
        <v>101682463</v>
      </c>
    </row>
    <row r="4000" spans="1:9">
      <c r="A4000" s="6">
        <v>45</v>
      </c>
      <c r="B4000" s="6" t="str">
        <f t="shared" si="124"/>
        <v>Electricity and Gas</v>
      </c>
      <c r="C4000" s="6">
        <v>303</v>
      </c>
      <c r="D4000" s="6" t="str">
        <f t="shared" si="125"/>
        <v>Gross Fixed Capital Formation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</row>
    <row r="4001" spans="1:9">
      <c r="A4001" s="6">
        <v>46</v>
      </c>
      <c r="B4001" s="6" t="str">
        <f t="shared" si="124"/>
        <v>Water Works and Supply</v>
      </c>
      <c r="C4001" s="6">
        <v>303</v>
      </c>
      <c r="D4001" s="6" t="str">
        <f t="shared" si="125"/>
        <v>Gross Fixed Capital Formation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</row>
    <row r="4002" spans="1:9">
      <c r="A4002" s="6">
        <v>47</v>
      </c>
      <c r="B4002" s="6" t="str">
        <f t="shared" si="124"/>
        <v>Building Construction</v>
      </c>
      <c r="C4002" s="6">
        <v>303</v>
      </c>
      <c r="D4002" s="6" t="str">
        <f t="shared" si="125"/>
        <v>Gross Fixed Capital Formation</v>
      </c>
      <c r="E4002" s="6">
        <v>571863768</v>
      </c>
      <c r="F4002" s="6">
        <v>0</v>
      </c>
      <c r="G4002" s="6">
        <v>0</v>
      </c>
      <c r="H4002" s="6">
        <v>0</v>
      </c>
      <c r="I4002" s="6">
        <v>0</v>
      </c>
    </row>
    <row r="4003" spans="1:9">
      <c r="A4003" s="6">
        <v>48</v>
      </c>
      <c r="B4003" s="6" t="str">
        <f t="shared" si="124"/>
        <v>Public Works and Other Construction</v>
      </c>
      <c r="C4003" s="6">
        <v>303</v>
      </c>
      <c r="D4003" s="6" t="str">
        <f t="shared" si="125"/>
        <v>Gross Fixed Capital Formation</v>
      </c>
      <c r="E4003" s="6">
        <v>758113275</v>
      </c>
      <c r="F4003" s="6">
        <v>0</v>
      </c>
      <c r="G4003" s="6">
        <v>0</v>
      </c>
      <c r="H4003" s="6">
        <v>0</v>
      </c>
      <c r="I4003" s="6">
        <v>0</v>
      </c>
    </row>
    <row r="4004" spans="1:9">
      <c r="A4004" s="6">
        <v>49</v>
      </c>
      <c r="B4004" s="6" t="str">
        <f t="shared" si="124"/>
        <v>Trade</v>
      </c>
      <c r="C4004" s="6">
        <v>303</v>
      </c>
      <c r="D4004" s="6" t="str">
        <f t="shared" si="125"/>
        <v>Gross Fixed Capital Formation</v>
      </c>
      <c r="E4004" s="6">
        <v>0</v>
      </c>
      <c r="F4004" s="6">
        <v>-127163588</v>
      </c>
      <c r="G4004" s="6">
        <v>-138757365</v>
      </c>
      <c r="H4004" s="6">
        <v>0</v>
      </c>
      <c r="I4004" s="6">
        <v>0</v>
      </c>
    </row>
    <row r="4005" spans="1:9">
      <c r="A4005" s="6">
        <v>50</v>
      </c>
      <c r="B4005" s="6" t="str">
        <f t="shared" si="124"/>
        <v>Restaurants and Hotels</v>
      </c>
      <c r="C4005" s="6">
        <v>303</v>
      </c>
      <c r="D4005" s="6" t="str">
        <f t="shared" si="125"/>
        <v>Gross Fixed Capital Formation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</row>
    <row r="4006" spans="1:9">
      <c r="A4006" s="6">
        <v>51</v>
      </c>
      <c r="B4006" s="6" t="str">
        <f t="shared" si="124"/>
        <v>Transportation</v>
      </c>
      <c r="C4006" s="6">
        <v>303</v>
      </c>
      <c r="D4006" s="6" t="str">
        <f t="shared" si="125"/>
        <v>Gross Fixed Capital Formation</v>
      </c>
      <c r="E4006" s="6">
        <v>0</v>
      </c>
      <c r="F4006" s="6">
        <v>0</v>
      </c>
      <c r="G4006" s="6">
        <v>0</v>
      </c>
      <c r="H4006" s="6">
        <v>-18440707</v>
      </c>
      <c r="I4006" s="6">
        <v>0</v>
      </c>
    </row>
    <row r="4007" spans="1:9">
      <c r="A4007" s="6">
        <v>52</v>
      </c>
      <c r="B4007" s="6" t="str">
        <f t="shared" si="124"/>
        <v>Communication</v>
      </c>
      <c r="C4007" s="6">
        <v>303</v>
      </c>
      <c r="D4007" s="6" t="str">
        <f t="shared" si="125"/>
        <v>Gross Fixed Capital Formation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</row>
    <row r="4008" spans="1:9">
      <c r="A4008" s="6">
        <v>53</v>
      </c>
      <c r="B4008" s="6" t="str">
        <f t="shared" si="124"/>
        <v>Banking and Insurance</v>
      </c>
      <c r="C4008" s="6">
        <v>303</v>
      </c>
      <c r="D4008" s="6" t="str">
        <f t="shared" si="125"/>
        <v>Gross Fixed Capital Formation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</row>
    <row r="4009" spans="1:9">
      <c r="A4009" s="6">
        <v>54</v>
      </c>
      <c r="B4009" s="6" t="str">
        <f t="shared" si="124"/>
        <v>Real Estate</v>
      </c>
      <c r="C4009" s="6">
        <v>303</v>
      </c>
      <c r="D4009" s="6" t="str">
        <f t="shared" si="125"/>
        <v>Gross Fixed Capital Formation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</row>
    <row r="4010" spans="1:9">
      <c r="A4010" s="6">
        <v>55</v>
      </c>
      <c r="B4010" s="6" t="str">
        <f t="shared" si="124"/>
        <v>Business Services</v>
      </c>
      <c r="C4010" s="6">
        <v>303</v>
      </c>
      <c r="D4010" s="6" t="str">
        <f t="shared" si="125"/>
        <v>Gross Fixed Capital Formation</v>
      </c>
      <c r="E4010" s="6">
        <v>96174705</v>
      </c>
      <c r="F4010" s="6">
        <v>0</v>
      </c>
      <c r="G4010" s="6">
        <v>0</v>
      </c>
      <c r="H4010" s="6">
        <v>0</v>
      </c>
      <c r="I4010" s="6">
        <v>84945926</v>
      </c>
    </row>
    <row r="4011" spans="1:9">
      <c r="A4011" s="6">
        <v>56</v>
      </c>
      <c r="B4011" s="6" t="str">
        <f t="shared" si="124"/>
        <v>Public Services</v>
      </c>
      <c r="C4011" s="6">
        <v>303</v>
      </c>
      <c r="D4011" s="6" t="str">
        <f t="shared" si="125"/>
        <v>Gross Fixed Capital Formation</v>
      </c>
      <c r="E4011" s="6">
        <v>116357846</v>
      </c>
      <c r="F4011" s="6">
        <v>0</v>
      </c>
      <c r="G4011" s="6">
        <v>0</v>
      </c>
      <c r="H4011" s="6">
        <v>0</v>
      </c>
      <c r="I4011" s="6">
        <v>0</v>
      </c>
    </row>
    <row r="4012" spans="1:9">
      <c r="A4012" s="6">
        <v>57</v>
      </c>
      <c r="B4012" s="6" t="str">
        <f t="shared" si="124"/>
        <v>Other Services</v>
      </c>
      <c r="C4012" s="6">
        <v>303</v>
      </c>
      <c r="D4012" s="6" t="str">
        <f t="shared" si="125"/>
        <v>Gross Fixed Capital Formation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</row>
    <row r="4013" spans="1:9">
      <c r="A4013" s="6">
        <v>58</v>
      </c>
      <c r="B4013" s="6" t="str">
        <f t="shared" si="124"/>
        <v>Unclassified</v>
      </c>
      <c r="C4013" s="6">
        <v>303</v>
      </c>
      <c r="D4013" s="6" t="str">
        <f t="shared" si="125"/>
        <v>Gross Fixed Capital Formation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</row>
    <row r="4014" spans="1:9">
      <c r="A4014" s="6">
        <v>190</v>
      </c>
      <c r="B4014" s="6" t="str">
        <f t="shared" si="124"/>
        <v>Total Intermedite Transaction</v>
      </c>
      <c r="C4014" s="6">
        <v>303</v>
      </c>
      <c r="D4014" s="6" t="str">
        <f t="shared" si="125"/>
        <v>Gross Fixed Capital Formation</v>
      </c>
      <c r="E4014" s="6">
        <v>3803228016</v>
      </c>
      <c r="F4014" s="6">
        <v>0</v>
      </c>
      <c r="G4014" s="6">
        <v>0</v>
      </c>
      <c r="H4014" s="6">
        <v>0</v>
      </c>
      <c r="I4014" s="6">
        <v>1156768108</v>
      </c>
    </row>
    <row r="4015" spans="1:9">
      <c r="A4015" s="6">
        <v>1</v>
      </c>
      <c r="B4015" s="6" t="str">
        <f t="shared" si="124"/>
        <v>Paddy</v>
      </c>
      <c r="C4015" s="6">
        <v>304</v>
      </c>
      <c r="D4015" s="6" t="str">
        <f t="shared" si="125"/>
        <v>Increase in Stock</v>
      </c>
      <c r="E4015" s="6">
        <v>-24818427</v>
      </c>
      <c r="F4015" s="6">
        <v>-3849441</v>
      </c>
      <c r="G4015" s="6">
        <v>-209812</v>
      </c>
      <c r="H4015" s="6">
        <v>-199956</v>
      </c>
      <c r="I4015" s="6">
        <v>0</v>
      </c>
    </row>
    <row r="4016" spans="1:9">
      <c r="A4016" s="6">
        <v>2</v>
      </c>
      <c r="B4016" s="6" t="str">
        <f t="shared" si="124"/>
        <v>Maize</v>
      </c>
      <c r="C4016" s="6">
        <v>304</v>
      </c>
      <c r="D4016" s="6" t="str">
        <f t="shared" si="125"/>
        <v>Increase in Stock</v>
      </c>
      <c r="E4016" s="6">
        <v>27353408</v>
      </c>
      <c r="F4016" s="6">
        <v>1163675</v>
      </c>
      <c r="G4016" s="6">
        <v>500580</v>
      </c>
      <c r="H4016" s="6">
        <v>210596</v>
      </c>
      <c r="I4016" s="6">
        <v>557575</v>
      </c>
    </row>
    <row r="4017" spans="1:9">
      <c r="A4017" s="6">
        <v>3</v>
      </c>
      <c r="B4017" s="6" t="str">
        <f t="shared" si="124"/>
        <v>Cassava</v>
      </c>
      <c r="C4017" s="6">
        <v>304</v>
      </c>
      <c r="D4017" s="6" t="str">
        <f t="shared" si="125"/>
        <v>Increase in Stock</v>
      </c>
      <c r="E4017" s="6">
        <v>12230209</v>
      </c>
      <c r="F4017" s="6">
        <v>553424</v>
      </c>
      <c r="G4017" s="6">
        <v>107822</v>
      </c>
      <c r="H4017" s="6">
        <v>82671</v>
      </c>
      <c r="I4017" s="6">
        <v>0</v>
      </c>
    </row>
    <row r="4018" spans="1:9">
      <c r="A4018" s="6">
        <v>4</v>
      </c>
      <c r="B4018" s="6" t="str">
        <f t="shared" si="124"/>
        <v>Beans and Nuts</v>
      </c>
      <c r="C4018" s="6">
        <v>304</v>
      </c>
      <c r="D4018" s="6" t="str">
        <f t="shared" si="125"/>
        <v>Increase in Stock</v>
      </c>
      <c r="E4018" s="6">
        <v>-288257</v>
      </c>
      <c r="F4018" s="6">
        <v>-6708</v>
      </c>
      <c r="G4018" s="6">
        <v>-4456</v>
      </c>
      <c r="H4018" s="6">
        <v>-701</v>
      </c>
      <c r="I4018" s="6">
        <v>0</v>
      </c>
    </row>
    <row r="4019" spans="1:9">
      <c r="A4019" s="6">
        <v>5</v>
      </c>
      <c r="B4019" s="6" t="str">
        <f t="shared" si="124"/>
        <v>Vegetables and Fruits</v>
      </c>
      <c r="C4019" s="6">
        <v>304</v>
      </c>
      <c r="D4019" s="6" t="str">
        <f t="shared" si="125"/>
        <v>Increase in Stock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</row>
    <row r="4020" spans="1:9">
      <c r="A4020" s="6">
        <v>6</v>
      </c>
      <c r="B4020" s="6" t="str">
        <f t="shared" si="124"/>
        <v>Sugarcane</v>
      </c>
      <c r="C4020" s="6">
        <v>304</v>
      </c>
      <c r="D4020" s="6" t="str">
        <f t="shared" si="125"/>
        <v>Increase in Stock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</row>
    <row r="4021" spans="1:9">
      <c r="A4021" s="6">
        <v>7</v>
      </c>
      <c r="B4021" s="6" t="str">
        <f t="shared" si="124"/>
        <v>Rubber (Latex)</v>
      </c>
      <c r="C4021" s="6">
        <v>304</v>
      </c>
      <c r="D4021" s="6" t="str">
        <f t="shared" si="125"/>
        <v>Increase in Stock</v>
      </c>
      <c r="E4021" s="6">
        <v>67637322</v>
      </c>
      <c r="F4021" s="6">
        <v>2895950</v>
      </c>
      <c r="G4021" s="6">
        <v>0</v>
      </c>
      <c r="H4021" s="6">
        <v>338924</v>
      </c>
      <c r="I4021" s="6">
        <v>0</v>
      </c>
    </row>
    <row r="4022" spans="1:9">
      <c r="A4022" s="6">
        <v>8</v>
      </c>
      <c r="B4022" s="6" t="str">
        <f t="shared" si="124"/>
        <v>Other Crops</v>
      </c>
      <c r="C4022" s="6">
        <v>304</v>
      </c>
      <c r="D4022" s="6" t="str">
        <f t="shared" si="125"/>
        <v>Increase in Stock</v>
      </c>
      <c r="E4022" s="6">
        <v>203793</v>
      </c>
      <c r="F4022" s="6">
        <v>-13403</v>
      </c>
      <c r="G4022" s="6">
        <v>36674</v>
      </c>
      <c r="H4022" s="6">
        <v>5720</v>
      </c>
      <c r="I4022" s="6">
        <v>0</v>
      </c>
    </row>
    <row r="4023" spans="1:9">
      <c r="A4023" s="6">
        <v>9</v>
      </c>
      <c r="B4023" s="6" t="str">
        <f t="shared" si="124"/>
        <v>Livestock</v>
      </c>
      <c r="C4023" s="6">
        <v>304</v>
      </c>
      <c r="D4023" s="6" t="str">
        <f t="shared" si="125"/>
        <v>Increase in Stock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</row>
    <row r="4024" spans="1:9">
      <c r="A4024" s="6">
        <v>10</v>
      </c>
      <c r="B4024" s="6" t="str">
        <f t="shared" si="124"/>
        <v>Forestry</v>
      </c>
      <c r="C4024" s="6">
        <v>304</v>
      </c>
      <c r="D4024" s="6" t="str">
        <f t="shared" si="125"/>
        <v>Increase in Stock</v>
      </c>
      <c r="E4024" s="6">
        <v>-38847602</v>
      </c>
      <c r="F4024" s="6">
        <v>-704976</v>
      </c>
      <c r="G4024" s="6">
        <v>0</v>
      </c>
      <c r="H4024" s="6">
        <v>-448046</v>
      </c>
      <c r="I4024" s="6">
        <v>0</v>
      </c>
    </row>
    <row r="4025" spans="1:9">
      <c r="A4025" s="6">
        <v>11</v>
      </c>
      <c r="B4025" s="6" t="str">
        <f t="shared" si="124"/>
        <v>Fishery</v>
      </c>
      <c r="C4025" s="6">
        <v>304</v>
      </c>
      <c r="D4025" s="6" t="str">
        <f t="shared" si="125"/>
        <v>Increase in Stock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</row>
    <row r="4026" spans="1:9">
      <c r="A4026" s="6">
        <v>12</v>
      </c>
      <c r="B4026" s="6" t="str">
        <f t="shared" si="124"/>
        <v>Crude Oil and Coal</v>
      </c>
      <c r="C4026" s="6">
        <v>304</v>
      </c>
      <c r="D4026" s="6" t="str">
        <f t="shared" si="125"/>
        <v>Increase in Stock</v>
      </c>
      <c r="E4026" s="6">
        <v>119611124</v>
      </c>
      <c r="F4026" s="6">
        <v>23140</v>
      </c>
      <c r="G4026" s="6">
        <v>0</v>
      </c>
      <c r="H4026" s="6">
        <v>52086</v>
      </c>
      <c r="I4026" s="6">
        <v>4847781</v>
      </c>
    </row>
    <row r="4027" spans="1:9">
      <c r="A4027" s="6">
        <v>13</v>
      </c>
      <c r="B4027" s="6" t="str">
        <f t="shared" si="124"/>
        <v>Metal Ore</v>
      </c>
      <c r="C4027" s="6">
        <v>304</v>
      </c>
      <c r="D4027" s="6" t="str">
        <f t="shared" si="125"/>
        <v>Increase in Stock</v>
      </c>
      <c r="E4027" s="6">
        <v>-10590201</v>
      </c>
      <c r="F4027" s="6">
        <v>-136595</v>
      </c>
      <c r="G4027" s="6">
        <v>0</v>
      </c>
      <c r="H4027" s="6">
        <v>-180595</v>
      </c>
      <c r="I4027" s="6">
        <v>0</v>
      </c>
    </row>
    <row r="4028" spans="1:9">
      <c r="A4028" s="6">
        <v>14</v>
      </c>
      <c r="B4028" s="6" t="str">
        <f t="shared" si="124"/>
        <v>Non-Metal Ore</v>
      </c>
      <c r="C4028" s="6">
        <v>304</v>
      </c>
      <c r="D4028" s="6" t="str">
        <f t="shared" si="125"/>
        <v>Increase in Stock</v>
      </c>
      <c r="E4028" s="6">
        <v>-66262088</v>
      </c>
      <c r="F4028" s="6">
        <v>-4088861</v>
      </c>
      <c r="G4028" s="6">
        <v>0</v>
      </c>
      <c r="H4028" s="6">
        <v>-7028773</v>
      </c>
      <c r="I4028" s="6">
        <v>0</v>
      </c>
    </row>
    <row r="4029" spans="1:9">
      <c r="A4029" s="6">
        <v>15</v>
      </c>
      <c r="B4029" s="6" t="str">
        <f t="shared" si="124"/>
        <v>Slaughtering</v>
      </c>
      <c r="C4029" s="6">
        <v>304</v>
      </c>
      <c r="D4029" s="6" t="str">
        <f t="shared" si="125"/>
        <v>Increase in Stock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</row>
    <row r="4030" spans="1:9">
      <c r="A4030" s="6">
        <v>16</v>
      </c>
      <c r="B4030" s="6" t="str">
        <f t="shared" si="124"/>
        <v>Processing and Presering of Foods</v>
      </c>
      <c r="C4030" s="6">
        <v>304</v>
      </c>
      <c r="D4030" s="6" t="str">
        <f t="shared" si="125"/>
        <v>Increase in Stock</v>
      </c>
      <c r="E4030" s="6">
        <v>57844489</v>
      </c>
      <c r="F4030" s="6">
        <v>1009035</v>
      </c>
      <c r="G4030" s="6">
        <v>2486686</v>
      </c>
      <c r="H4030" s="6">
        <v>501796</v>
      </c>
      <c r="I4030" s="6">
        <v>16703183</v>
      </c>
    </row>
    <row r="4031" spans="1:9">
      <c r="A4031" s="6">
        <v>17</v>
      </c>
      <c r="B4031" s="6" t="str">
        <f t="shared" si="124"/>
        <v>Rice and Other Grain Milling</v>
      </c>
      <c r="C4031" s="6">
        <v>304</v>
      </c>
      <c r="D4031" s="6" t="str">
        <f t="shared" si="125"/>
        <v>Increase in Stock</v>
      </c>
      <c r="E4031" s="6">
        <v>-79365247</v>
      </c>
      <c r="F4031" s="6">
        <v>-4078321</v>
      </c>
      <c r="G4031" s="6">
        <v>-3917493</v>
      </c>
      <c r="H4031" s="6">
        <v>-1394476</v>
      </c>
      <c r="I4031" s="6">
        <v>0</v>
      </c>
    </row>
    <row r="4032" spans="1:9">
      <c r="A4032" s="6">
        <v>18</v>
      </c>
      <c r="B4032" s="6" t="str">
        <f t="shared" si="124"/>
        <v>Sugar Refineries</v>
      </c>
      <c r="C4032" s="6">
        <v>304</v>
      </c>
      <c r="D4032" s="6" t="str">
        <f t="shared" si="125"/>
        <v>Increase in Stock</v>
      </c>
      <c r="E4032" s="6">
        <v>-23289063</v>
      </c>
      <c r="F4032" s="6">
        <v>-228577</v>
      </c>
      <c r="G4032" s="6">
        <v>-179031</v>
      </c>
      <c r="H4032" s="6">
        <v>-247801</v>
      </c>
      <c r="I4032" s="6">
        <v>0</v>
      </c>
    </row>
    <row r="4033" spans="1:9">
      <c r="A4033" s="6">
        <v>19</v>
      </c>
      <c r="B4033" s="6" t="str">
        <f t="shared" si="124"/>
        <v>Other Foods</v>
      </c>
      <c r="C4033" s="6">
        <v>304</v>
      </c>
      <c r="D4033" s="6" t="str">
        <f t="shared" si="125"/>
        <v>Increase in Stock</v>
      </c>
      <c r="E4033" s="6">
        <v>-44431677</v>
      </c>
      <c r="F4033" s="6">
        <v>342892</v>
      </c>
      <c r="G4033" s="6">
        <v>563883</v>
      </c>
      <c r="H4033" s="6">
        <v>-593469</v>
      </c>
      <c r="I4033" s="6">
        <v>952921</v>
      </c>
    </row>
    <row r="4034" spans="1:9">
      <c r="A4034" s="6">
        <v>20</v>
      </c>
      <c r="B4034" s="6" t="str">
        <f t="shared" si="124"/>
        <v>Animal Food</v>
      </c>
      <c r="C4034" s="6">
        <v>304</v>
      </c>
      <c r="D4034" s="6" t="str">
        <f t="shared" si="125"/>
        <v>Increase in Stock</v>
      </c>
      <c r="E4034" s="6">
        <v>-54850635</v>
      </c>
      <c r="F4034" s="6">
        <v>-829574</v>
      </c>
      <c r="G4034" s="6">
        <v>-1497251</v>
      </c>
      <c r="H4034" s="6">
        <v>-429962</v>
      </c>
      <c r="I4034" s="6">
        <v>0</v>
      </c>
    </row>
    <row r="4035" spans="1:9">
      <c r="A4035" s="6">
        <v>21</v>
      </c>
      <c r="B4035" s="6" t="str">
        <f t="shared" si="124"/>
        <v>Beverages</v>
      </c>
      <c r="C4035" s="6">
        <v>304</v>
      </c>
      <c r="D4035" s="6" t="str">
        <f t="shared" si="125"/>
        <v>Increase in Stock</v>
      </c>
      <c r="E4035" s="6">
        <v>113113549</v>
      </c>
      <c r="F4035" s="6">
        <v>2359398</v>
      </c>
      <c r="G4035" s="6">
        <v>1996967</v>
      </c>
      <c r="H4035" s="6">
        <v>987575</v>
      </c>
      <c r="I4035" s="6">
        <v>0</v>
      </c>
    </row>
    <row r="4036" spans="1:9">
      <c r="A4036" s="6">
        <v>22</v>
      </c>
      <c r="B4036" s="6" t="str">
        <f t="shared" ref="B4036:B4099" si="126">VLOOKUP(A4036,R:S,2,0)</f>
        <v>Tobacco Processing and Products</v>
      </c>
      <c r="C4036" s="6">
        <v>304</v>
      </c>
      <c r="D4036" s="6" t="str">
        <f t="shared" ref="D4036:D4099" si="127">VLOOKUP(C4036,R:S,2,0)</f>
        <v>Increase in Stock</v>
      </c>
      <c r="E4036" s="6">
        <v>-5612033</v>
      </c>
      <c r="F4036" s="6">
        <v>-267186</v>
      </c>
      <c r="G4036" s="6">
        <v>30126</v>
      </c>
      <c r="H4036" s="6">
        <v>-141449</v>
      </c>
      <c r="I4036" s="6">
        <v>0</v>
      </c>
    </row>
    <row r="4037" spans="1:9">
      <c r="A4037" s="6">
        <v>23</v>
      </c>
      <c r="B4037" s="6" t="str">
        <f t="shared" si="126"/>
        <v>Spinning, Weaving and Bleaching</v>
      </c>
      <c r="C4037" s="6">
        <v>304</v>
      </c>
      <c r="D4037" s="6" t="str">
        <f t="shared" si="127"/>
        <v>Increase in Stock</v>
      </c>
      <c r="E4037" s="6">
        <v>9184715</v>
      </c>
      <c r="F4037" s="6">
        <v>446839</v>
      </c>
      <c r="G4037" s="6">
        <v>512739</v>
      </c>
      <c r="H4037" s="6">
        <v>108700</v>
      </c>
      <c r="I4037" s="6">
        <v>614489</v>
      </c>
    </row>
    <row r="4038" spans="1:9">
      <c r="A4038" s="6">
        <v>24</v>
      </c>
      <c r="B4038" s="6" t="str">
        <f t="shared" si="126"/>
        <v>Textile Products</v>
      </c>
      <c r="C4038" s="6">
        <v>304</v>
      </c>
      <c r="D4038" s="6" t="str">
        <f t="shared" si="127"/>
        <v>Increase in Stock</v>
      </c>
      <c r="E4038" s="6">
        <v>4852347</v>
      </c>
      <c r="F4038" s="6">
        <v>1007145</v>
      </c>
      <c r="G4038" s="6">
        <v>1143360</v>
      </c>
      <c r="H4038" s="6">
        <v>-47888</v>
      </c>
      <c r="I4038" s="6">
        <v>4662979</v>
      </c>
    </row>
    <row r="4039" spans="1:9">
      <c r="A4039" s="6">
        <v>25</v>
      </c>
      <c r="B4039" s="6" t="str">
        <f t="shared" si="126"/>
        <v>Paper and Paper Products</v>
      </c>
      <c r="C4039" s="6">
        <v>304</v>
      </c>
      <c r="D4039" s="6" t="str">
        <f t="shared" si="127"/>
        <v>Increase in Stock</v>
      </c>
      <c r="E4039" s="6">
        <v>-24589740</v>
      </c>
      <c r="F4039" s="6">
        <v>-950689</v>
      </c>
      <c r="G4039" s="6">
        <v>-211803</v>
      </c>
      <c r="H4039" s="6">
        <v>-118907</v>
      </c>
      <c r="I4039" s="6">
        <v>947897</v>
      </c>
    </row>
    <row r="4040" spans="1:9">
      <c r="A4040" s="6">
        <v>26</v>
      </c>
      <c r="B4040" s="6" t="str">
        <f t="shared" si="126"/>
        <v>Printing and Publishing</v>
      </c>
      <c r="C4040" s="6">
        <v>304</v>
      </c>
      <c r="D4040" s="6" t="str">
        <f t="shared" si="127"/>
        <v>Increase in Stock</v>
      </c>
      <c r="E4040" s="6">
        <v>12135680</v>
      </c>
      <c r="F4040" s="6">
        <v>596085</v>
      </c>
      <c r="G4040" s="6">
        <v>1060275</v>
      </c>
      <c r="H4040" s="6">
        <v>103873</v>
      </c>
      <c r="I4040" s="6">
        <v>2769446</v>
      </c>
    </row>
    <row r="4041" spans="1:9">
      <c r="A4041" s="6">
        <v>27</v>
      </c>
      <c r="B4041" s="6" t="str">
        <f t="shared" si="126"/>
        <v>Basic Chemical Products</v>
      </c>
      <c r="C4041" s="6">
        <v>304</v>
      </c>
      <c r="D4041" s="6" t="str">
        <f t="shared" si="127"/>
        <v>Increase in Stock</v>
      </c>
      <c r="E4041" s="6">
        <v>-125251916</v>
      </c>
      <c r="F4041" s="6">
        <v>-7028002</v>
      </c>
      <c r="G4041" s="6">
        <v>-4608418</v>
      </c>
      <c r="H4041" s="6">
        <v>-867119</v>
      </c>
      <c r="I4041" s="6">
        <v>0</v>
      </c>
    </row>
    <row r="4042" spans="1:9">
      <c r="A4042" s="6">
        <v>28</v>
      </c>
      <c r="B4042" s="6" t="str">
        <f t="shared" si="126"/>
        <v>Fertilizer and Pesticides</v>
      </c>
      <c r="C4042" s="6">
        <v>304</v>
      </c>
      <c r="D4042" s="6" t="str">
        <f t="shared" si="127"/>
        <v>Increase in Stock</v>
      </c>
      <c r="E4042" s="6">
        <v>-44150296</v>
      </c>
      <c r="F4042" s="6">
        <v>-1725830</v>
      </c>
      <c r="G4042" s="6">
        <v>-2192300</v>
      </c>
      <c r="H4042" s="6">
        <v>-1417399</v>
      </c>
      <c r="I4042" s="6">
        <v>0</v>
      </c>
    </row>
    <row r="4043" spans="1:9">
      <c r="A4043" s="6">
        <v>29</v>
      </c>
      <c r="B4043" s="6" t="str">
        <f t="shared" si="126"/>
        <v>Other Chemical Products</v>
      </c>
      <c r="C4043" s="6">
        <v>304</v>
      </c>
      <c r="D4043" s="6" t="str">
        <f t="shared" si="127"/>
        <v>Increase in Stock</v>
      </c>
      <c r="E4043" s="6">
        <v>-56175188</v>
      </c>
      <c r="F4043" s="6">
        <v>-3562493</v>
      </c>
      <c r="G4043" s="6">
        <v>-1910913</v>
      </c>
      <c r="H4043" s="6">
        <v>-410833</v>
      </c>
      <c r="I4043" s="6">
        <v>0</v>
      </c>
    </row>
    <row r="4044" spans="1:9">
      <c r="A4044" s="6">
        <v>30</v>
      </c>
      <c r="B4044" s="6" t="str">
        <f t="shared" si="126"/>
        <v>Petroleum Refineries</v>
      </c>
      <c r="C4044" s="6">
        <v>304</v>
      </c>
      <c r="D4044" s="6" t="str">
        <f t="shared" si="127"/>
        <v>Increase in Stock</v>
      </c>
      <c r="E4044" s="6">
        <v>66954903</v>
      </c>
      <c r="F4044" s="6">
        <v>1779670</v>
      </c>
      <c r="G4044" s="6">
        <v>1905579</v>
      </c>
      <c r="H4044" s="6">
        <v>615045</v>
      </c>
      <c r="I4044" s="6">
        <v>8349885</v>
      </c>
    </row>
    <row r="4045" spans="1:9">
      <c r="A4045" s="6">
        <v>31</v>
      </c>
      <c r="B4045" s="6" t="str">
        <f t="shared" si="126"/>
        <v>Rubber Products</v>
      </c>
      <c r="C4045" s="6">
        <v>304</v>
      </c>
      <c r="D4045" s="6" t="str">
        <f t="shared" si="127"/>
        <v>Increase in Stock</v>
      </c>
      <c r="E4045" s="6">
        <v>-111442144</v>
      </c>
      <c r="F4045" s="6">
        <v>-5546125</v>
      </c>
      <c r="G4045" s="6">
        <v>-6383899</v>
      </c>
      <c r="H4045" s="6">
        <v>-2681790</v>
      </c>
      <c r="I4045" s="6">
        <v>0</v>
      </c>
    </row>
    <row r="4046" spans="1:9">
      <c r="A4046" s="6">
        <v>32</v>
      </c>
      <c r="B4046" s="6" t="str">
        <f t="shared" si="126"/>
        <v>Plastic Wares</v>
      </c>
      <c r="C4046" s="6">
        <v>304</v>
      </c>
      <c r="D4046" s="6" t="str">
        <f t="shared" si="127"/>
        <v>Increase in Stock</v>
      </c>
      <c r="E4046" s="6">
        <v>119902509</v>
      </c>
      <c r="F4046" s="6">
        <v>3800911</v>
      </c>
      <c r="G4046" s="6">
        <v>4949466</v>
      </c>
      <c r="H4046" s="6">
        <v>686700</v>
      </c>
      <c r="I4046" s="6">
        <v>14233352</v>
      </c>
    </row>
    <row r="4047" spans="1:9">
      <c r="A4047" s="6">
        <v>33</v>
      </c>
      <c r="B4047" s="6" t="str">
        <f t="shared" si="126"/>
        <v>Cement and Concrete Products</v>
      </c>
      <c r="C4047" s="6">
        <v>304</v>
      </c>
      <c r="D4047" s="6" t="str">
        <f t="shared" si="127"/>
        <v>Increase in Stock</v>
      </c>
      <c r="E4047" s="6">
        <v>-28198862</v>
      </c>
      <c r="F4047" s="6">
        <v>-1428997</v>
      </c>
      <c r="G4047" s="6">
        <v>-543332</v>
      </c>
      <c r="H4047" s="6">
        <v>-418304</v>
      </c>
      <c r="I4047" s="6">
        <v>0</v>
      </c>
    </row>
    <row r="4048" spans="1:9">
      <c r="A4048" s="6">
        <v>34</v>
      </c>
      <c r="B4048" s="6" t="str">
        <f t="shared" si="126"/>
        <v>Other Non-metallic Products</v>
      </c>
      <c r="C4048" s="6">
        <v>304</v>
      </c>
      <c r="D4048" s="6" t="str">
        <f t="shared" si="127"/>
        <v>Increase in Stock</v>
      </c>
      <c r="E4048" s="6">
        <v>14593912</v>
      </c>
      <c r="F4048" s="6">
        <v>983442</v>
      </c>
      <c r="G4048" s="6">
        <v>851740</v>
      </c>
      <c r="H4048" s="6">
        <v>124113</v>
      </c>
      <c r="I4048" s="6">
        <v>2284907</v>
      </c>
    </row>
    <row r="4049" spans="1:9">
      <c r="A4049" s="6">
        <v>35</v>
      </c>
      <c r="B4049" s="6" t="str">
        <f t="shared" si="126"/>
        <v>Iron and Steel</v>
      </c>
      <c r="C4049" s="6">
        <v>304</v>
      </c>
      <c r="D4049" s="6" t="str">
        <f t="shared" si="127"/>
        <v>Increase in Stock</v>
      </c>
      <c r="E4049" s="6">
        <v>-124444497</v>
      </c>
      <c r="F4049" s="6">
        <v>-5384238</v>
      </c>
      <c r="G4049" s="6">
        <v>-8561549</v>
      </c>
      <c r="H4049" s="6">
        <v>-1417659</v>
      </c>
      <c r="I4049" s="6">
        <v>0</v>
      </c>
    </row>
    <row r="4050" spans="1:9">
      <c r="A4050" s="6">
        <v>36</v>
      </c>
      <c r="B4050" s="6" t="str">
        <f t="shared" si="126"/>
        <v>Non-ferrous Metal</v>
      </c>
      <c r="C4050" s="6">
        <v>304</v>
      </c>
      <c r="D4050" s="6" t="str">
        <f t="shared" si="127"/>
        <v>Increase in Stock</v>
      </c>
      <c r="E4050" s="6">
        <v>26090084</v>
      </c>
      <c r="F4050" s="6">
        <v>861448</v>
      </c>
      <c r="G4050" s="6">
        <v>576239</v>
      </c>
      <c r="H4050" s="6">
        <v>39094</v>
      </c>
      <c r="I4050" s="6">
        <v>15386588</v>
      </c>
    </row>
    <row r="4051" spans="1:9">
      <c r="A4051" s="6">
        <v>37</v>
      </c>
      <c r="B4051" s="6" t="str">
        <f t="shared" si="126"/>
        <v>Fabricated Metal Products</v>
      </c>
      <c r="C4051" s="6">
        <v>304</v>
      </c>
      <c r="D4051" s="6" t="str">
        <f t="shared" si="127"/>
        <v>Increase in Stock</v>
      </c>
      <c r="E4051" s="6">
        <v>133976575</v>
      </c>
      <c r="F4051" s="6">
        <v>2649100</v>
      </c>
      <c r="G4051" s="6">
        <v>5748667</v>
      </c>
      <c r="H4051" s="6">
        <v>576550</v>
      </c>
      <c r="I4051" s="6">
        <v>13828551</v>
      </c>
    </row>
    <row r="4052" spans="1:9">
      <c r="A4052" s="6">
        <v>38</v>
      </c>
      <c r="B4052" s="6" t="str">
        <f t="shared" si="126"/>
        <v>Industrial Machinery</v>
      </c>
      <c r="C4052" s="6">
        <v>304</v>
      </c>
      <c r="D4052" s="6" t="str">
        <f t="shared" si="127"/>
        <v>Increase in Stock</v>
      </c>
      <c r="E4052" s="6">
        <v>-78029883</v>
      </c>
      <c r="F4052" s="6">
        <v>-3533942</v>
      </c>
      <c r="G4052" s="6">
        <v>-871784</v>
      </c>
      <c r="H4052" s="6">
        <v>-328353</v>
      </c>
      <c r="I4052" s="6">
        <v>523277</v>
      </c>
    </row>
    <row r="4053" spans="1:9">
      <c r="A4053" s="6">
        <v>39</v>
      </c>
      <c r="B4053" s="6" t="str">
        <f t="shared" si="126"/>
        <v>Electrical Machinery and Apparatus</v>
      </c>
      <c r="C4053" s="6">
        <v>304</v>
      </c>
      <c r="D4053" s="6" t="str">
        <f t="shared" si="127"/>
        <v>Increase in Stock</v>
      </c>
      <c r="E4053" s="6">
        <v>554015860</v>
      </c>
      <c r="F4053" s="6">
        <v>17844340</v>
      </c>
      <c r="G4053" s="6">
        <v>22678797</v>
      </c>
      <c r="H4053" s="6">
        <v>5740747</v>
      </c>
      <c r="I4053" s="6">
        <v>104926960</v>
      </c>
    </row>
    <row r="4054" spans="1:9">
      <c r="A4054" s="6">
        <v>40</v>
      </c>
      <c r="B4054" s="6" t="str">
        <f t="shared" si="126"/>
        <v>Motor Vehicles and Repairing</v>
      </c>
      <c r="C4054" s="6">
        <v>304</v>
      </c>
      <c r="D4054" s="6" t="str">
        <f t="shared" si="127"/>
        <v>Increase in Stock</v>
      </c>
      <c r="E4054" s="6">
        <v>45949449</v>
      </c>
      <c r="F4054" s="6">
        <v>6204802</v>
      </c>
      <c r="G4054" s="6">
        <v>6516478</v>
      </c>
      <c r="H4054" s="6">
        <v>372289</v>
      </c>
      <c r="I4054" s="6">
        <v>6165051</v>
      </c>
    </row>
    <row r="4055" spans="1:9">
      <c r="A4055" s="6">
        <v>41</v>
      </c>
      <c r="B4055" s="6" t="str">
        <f t="shared" si="126"/>
        <v>Other Transportation Equipment</v>
      </c>
      <c r="C4055" s="6">
        <v>304</v>
      </c>
      <c r="D4055" s="6" t="str">
        <f t="shared" si="127"/>
        <v>Increase in Stock</v>
      </c>
      <c r="E4055" s="6">
        <v>11923291</v>
      </c>
      <c r="F4055" s="6">
        <v>-389037</v>
      </c>
      <c r="G4055" s="6">
        <v>105193</v>
      </c>
      <c r="H4055" s="6">
        <v>-202911</v>
      </c>
      <c r="I4055" s="6">
        <v>2365096</v>
      </c>
    </row>
    <row r="4056" spans="1:9">
      <c r="A4056" s="6">
        <v>42</v>
      </c>
      <c r="B4056" s="6" t="str">
        <f t="shared" si="126"/>
        <v>Leather Products</v>
      </c>
      <c r="C4056" s="6">
        <v>304</v>
      </c>
      <c r="D4056" s="6" t="str">
        <f t="shared" si="127"/>
        <v>Increase in Stock</v>
      </c>
      <c r="E4056" s="6">
        <v>4230148</v>
      </c>
      <c r="F4056" s="6">
        <v>-1692506</v>
      </c>
      <c r="G4056" s="6">
        <v>204970</v>
      </c>
      <c r="H4056" s="6">
        <v>-87990</v>
      </c>
      <c r="I4056" s="6">
        <v>2744246</v>
      </c>
    </row>
    <row r="4057" spans="1:9">
      <c r="A4057" s="6">
        <v>43</v>
      </c>
      <c r="B4057" s="6" t="str">
        <f t="shared" si="126"/>
        <v>Saw Mills and Wood Products</v>
      </c>
      <c r="C4057" s="6">
        <v>304</v>
      </c>
      <c r="D4057" s="6" t="str">
        <f t="shared" si="127"/>
        <v>Increase in Stock</v>
      </c>
      <c r="E4057" s="6">
        <v>82632447</v>
      </c>
      <c r="F4057" s="6">
        <v>3181431</v>
      </c>
      <c r="G4057" s="6">
        <v>1803352</v>
      </c>
      <c r="H4057" s="6">
        <v>792823</v>
      </c>
      <c r="I4057" s="6">
        <v>0</v>
      </c>
    </row>
    <row r="4058" spans="1:9">
      <c r="A4058" s="6">
        <v>44</v>
      </c>
      <c r="B4058" s="6" t="str">
        <f t="shared" si="126"/>
        <v>Other Manufacturing Products</v>
      </c>
      <c r="C4058" s="6">
        <v>304</v>
      </c>
      <c r="D4058" s="6" t="str">
        <f t="shared" si="127"/>
        <v>Increase in Stock</v>
      </c>
      <c r="E4058" s="6">
        <v>244746842</v>
      </c>
      <c r="F4058" s="6">
        <v>491334</v>
      </c>
      <c r="G4058" s="6">
        <v>4184941</v>
      </c>
      <c r="H4058" s="6">
        <v>-223552</v>
      </c>
      <c r="I4058" s="6">
        <v>13054481</v>
      </c>
    </row>
    <row r="4059" spans="1:9">
      <c r="A4059" s="6">
        <v>45</v>
      </c>
      <c r="B4059" s="6" t="str">
        <f t="shared" si="126"/>
        <v>Electricity and Gas</v>
      </c>
      <c r="C4059" s="6">
        <v>304</v>
      </c>
      <c r="D4059" s="6" t="str">
        <f t="shared" si="127"/>
        <v>Increase in Stock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</row>
    <row r="4060" spans="1:9">
      <c r="A4060" s="6">
        <v>46</v>
      </c>
      <c r="B4060" s="6" t="str">
        <f t="shared" si="126"/>
        <v>Water Works and Supply</v>
      </c>
      <c r="C4060" s="6">
        <v>304</v>
      </c>
      <c r="D4060" s="6" t="str">
        <f t="shared" si="127"/>
        <v>Increase in Stock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</row>
    <row r="4061" spans="1:9">
      <c r="A4061" s="6">
        <v>47</v>
      </c>
      <c r="B4061" s="6" t="str">
        <f t="shared" si="126"/>
        <v>Building Construction</v>
      </c>
      <c r="C4061" s="6">
        <v>304</v>
      </c>
      <c r="D4061" s="6" t="str">
        <f t="shared" si="127"/>
        <v>Increase in Stock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</row>
    <row r="4062" spans="1:9">
      <c r="A4062" s="6">
        <v>48</v>
      </c>
      <c r="B4062" s="6" t="str">
        <f t="shared" si="126"/>
        <v>Public Works and Other Construction</v>
      </c>
      <c r="C4062" s="6">
        <v>304</v>
      </c>
      <c r="D4062" s="6" t="str">
        <f t="shared" si="127"/>
        <v>Increase in Stock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</row>
    <row r="4063" spans="1:9">
      <c r="A4063" s="6">
        <v>49</v>
      </c>
      <c r="B4063" s="6" t="str">
        <f t="shared" si="126"/>
        <v>Trade</v>
      </c>
      <c r="C4063" s="6">
        <v>304</v>
      </c>
      <c r="D4063" s="6" t="str">
        <f t="shared" si="127"/>
        <v>Increase in Stock</v>
      </c>
      <c r="E4063" s="6">
        <v>0</v>
      </c>
      <c r="F4063" s="6">
        <v>-2748560</v>
      </c>
      <c r="G4063" s="6">
        <v>-26872493</v>
      </c>
      <c r="H4063" s="6">
        <v>0</v>
      </c>
      <c r="I4063" s="6">
        <v>0</v>
      </c>
    </row>
    <row r="4064" spans="1:9">
      <c r="A4064" s="6">
        <v>50</v>
      </c>
      <c r="B4064" s="6" t="str">
        <f t="shared" si="126"/>
        <v>Restaurants and Hotels</v>
      </c>
      <c r="C4064" s="6">
        <v>304</v>
      </c>
      <c r="D4064" s="6" t="str">
        <f t="shared" si="127"/>
        <v>Increase in Stock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</row>
    <row r="4065" spans="1:9">
      <c r="A4065" s="6">
        <v>51</v>
      </c>
      <c r="B4065" s="6" t="str">
        <f t="shared" si="126"/>
        <v>Transportation</v>
      </c>
      <c r="C4065" s="6">
        <v>304</v>
      </c>
      <c r="D4065" s="6" t="str">
        <f t="shared" si="127"/>
        <v>Increase in Stock</v>
      </c>
      <c r="E4065" s="6">
        <v>0</v>
      </c>
      <c r="F4065" s="6">
        <v>0</v>
      </c>
      <c r="G4065" s="6">
        <v>0</v>
      </c>
      <c r="H4065" s="6">
        <v>7548631</v>
      </c>
      <c r="I4065" s="6">
        <v>0</v>
      </c>
    </row>
    <row r="4066" spans="1:9">
      <c r="A4066" s="6">
        <v>52</v>
      </c>
      <c r="B4066" s="6" t="str">
        <f t="shared" si="126"/>
        <v>Communication</v>
      </c>
      <c r="C4066" s="6">
        <v>304</v>
      </c>
      <c r="D4066" s="6" t="str">
        <f t="shared" si="127"/>
        <v>Increase in Stock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</row>
    <row r="4067" spans="1:9">
      <c r="A4067" s="6">
        <v>53</v>
      </c>
      <c r="B4067" s="6" t="str">
        <f t="shared" si="126"/>
        <v>Banking and Insurance</v>
      </c>
      <c r="C4067" s="6">
        <v>304</v>
      </c>
      <c r="D4067" s="6" t="str">
        <f t="shared" si="127"/>
        <v>Increase in Stock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</row>
    <row r="4068" spans="1:9">
      <c r="A4068" s="6">
        <v>54</v>
      </c>
      <c r="B4068" s="6" t="str">
        <f t="shared" si="126"/>
        <v>Real Estate</v>
      </c>
      <c r="C4068" s="6">
        <v>304</v>
      </c>
      <c r="D4068" s="6" t="str">
        <f t="shared" si="127"/>
        <v>Increase in Stock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</row>
    <row r="4069" spans="1:9">
      <c r="A4069" s="6">
        <v>55</v>
      </c>
      <c r="B4069" s="6" t="str">
        <f t="shared" si="126"/>
        <v>Business Services</v>
      </c>
      <c r="C4069" s="6">
        <v>304</v>
      </c>
      <c r="D4069" s="6" t="str">
        <f t="shared" si="127"/>
        <v>Increase in Stock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</row>
    <row r="4070" spans="1:9">
      <c r="A4070" s="6">
        <v>56</v>
      </c>
      <c r="B4070" s="6" t="str">
        <f t="shared" si="126"/>
        <v>Public Services</v>
      </c>
      <c r="C4070" s="6">
        <v>304</v>
      </c>
      <c r="D4070" s="6" t="str">
        <f t="shared" si="127"/>
        <v>Increase in Stock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</row>
    <row r="4071" spans="1:9">
      <c r="A4071" s="6">
        <v>57</v>
      </c>
      <c r="B4071" s="6" t="str">
        <f t="shared" si="126"/>
        <v>Other Services</v>
      </c>
      <c r="C4071" s="6">
        <v>304</v>
      </c>
      <c r="D4071" s="6" t="str">
        <f t="shared" si="127"/>
        <v>Increase in Stock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</row>
    <row r="4072" spans="1:9">
      <c r="A4072" s="6">
        <v>58</v>
      </c>
      <c r="B4072" s="6" t="str">
        <f t="shared" si="126"/>
        <v>Unclassified</v>
      </c>
      <c r="C4072" s="6">
        <v>304</v>
      </c>
      <c r="D4072" s="6" t="str">
        <f t="shared" si="127"/>
        <v>Increase in Stock</v>
      </c>
      <c r="E4072" s="6">
        <v>71440100</v>
      </c>
      <c r="F4072" s="6">
        <v>0</v>
      </c>
      <c r="G4072" s="6">
        <v>0</v>
      </c>
      <c r="H4072" s="6">
        <v>0</v>
      </c>
      <c r="I4072" s="6">
        <v>0</v>
      </c>
    </row>
    <row r="4073" spans="1:9">
      <c r="A4073" s="6">
        <v>190</v>
      </c>
      <c r="B4073" s="6" t="str">
        <f t="shared" si="126"/>
        <v>Total Intermedite Transaction</v>
      </c>
      <c r="C4073" s="6">
        <v>304</v>
      </c>
      <c r="D4073" s="6" t="str">
        <f t="shared" si="127"/>
        <v>Increase in Stock</v>
      </c>
      <c r="E4073" s="6">
        <v>859985000</v>
      </c>
      <c r="F4073" s="6">
        <v>0</v>
      </c>
      <c r="G4073" s="6">
        <v>0</v>
      </c>
      <c r="H4073" s="6">
        <v>0</v>
      </c>
      <c r="I4073" s="6">
        <v>215918665</v>
      </c>
    </row>
    <row r="4074" spans="1:9">
      <c r="A4074" s="6">
        <v>1</v>
      </c>
      <c r="B4074" s="6" t="str">
        <f t="shared" si="126"/>
        <v>Paddy</v>
      </c>
      <c r="C4074" s="6">
        <v>305</v>
      </c>
      <c r="D4074" s="6" t="str">
        <f t="shared" si="127"/>
        <v>Exports (F.O.B.)</v>
      </c>
      <c r="E4074" s="6">
        <v>15619</v>
      </c>
      <c r="F4074" s="6">
        <v>704</v>
      </c>
      <c r="G4074" s="6">
        <v>0</v>
      </c>
      <c r="H4074" s="6">
        <v>0</v>
      </c>
      <c r="I4074" s="6">
        <v>0</v>
      </c>
    </row>
    <row r="4075" spans="1:9">
      <c r="A4075" s="6">
        <v>2</v>
      </c>
      <c r="B4075" s="6" t="str">
        <f t="shared" si="126"/>
        <v>Maize</v>
      </c>
      <c r="C4075" s="6">
        <v>305</v>
      </c>
      <c r="D4075" s="6" t="str">
        <f t="shared" si="127"/>
        <v>Exports (F.O.B.)</v>
      </c>
      <c r="E4075" s="6">
        <v>3543545</v>
      </c>
      <c r="F4075" s="6">
        <v>160737</v>
      </c>
      <c r="G4075" s="6">
        <v>0</v>
      </c>
      <c r="H4075" s="6">
        <v>19431</v>
      </c>
      <c r="I4075" s="6">
        <v>0</v>
      </c>
    </row>
    <row r="4076" spans="1:9">
      <c r="A4076" s="6">
        <v>3</v>
      </c>
      <c r="B4076" s="6" t="str">
        <f t="shared" si="126"/>
        <v>Cassava</v>
      </c>
      <c r="C4076" s="6">
        <v>305</v>
      </c>
      <c r="D4076" s="6" t="str">
        <f t="shared" si="127"/>
        <v>Exports (F.O.B.)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</row>
    <row r="4077" spans="1:9">
      <c r="A4077" s="6">
        <v>4</v>
      </c>
      <c r="B4077" s="6" t="str">
        <f t="shared" si="126"/>
        <v>Beans and Nuts</v>
      </c>
      <c r="C4077" s="6">
        <v>305</v>
      </c>
      <c r="D4077" s="6" t="str">
        <f t="shared" si="127"/>
        <v>Exports (F.O.B.)</v>
      </c>
      <c r="E4077" s="6">
        <v>2149301</v>
      </c>
      <c r="F4077" s="6">
        <v>169237</v>
      </c>
      <c r="G4077" s="6">
        <v>0</v>
      </c>
      <c r="H4077" s="6">
        <v>3492</v>
      </c>
      <c r="I4077" s="6">
        <v>0</v>
      </c>
    </row>
    <row r="4078" spans="1:9">
      <c r="A4078" s="6">
        <v>5</v>
      </c>
      <c r="B4078" s="6" t="str">
        <f t="shared" si="126"/>
        <v>Vegetables and Fruits</v>
      </c>
      <c r="C4078" s="6">
        <v>305</v>
      </c>
      <c r="D4078" s="6" t="str">
        <f t="shared" si="127"/>
        <v>Exports (F.O.B.)</v>
      </c>
      <c r="E4078" s="6">
        <v>165985221</v>
      </c>
      <c r="F4078" s="6">
        <v>24876791</v>
      </c>
      <c r="G4078" s="6">
        <v>0</v>
      </c>
      <c r="H4078" s="6">
        <v>2011665</v>
      </c>
      <c r="I4078" s="6">
        <v>0</v>
      </c>
    </row>
    <row r="4079" spans="1:9">
      <c r="A4079" s="6">
        <v>6</v>
      </c>
      <c r="B4079" s="6" t="str">
        <f t="shared" si="126"/>
        <v>Sugarcane</v>
      </c>
      <c r="C4079" s="6">
        <v>305</v>
      </c>
      <c r="D4079" s="6" t="str">
        <f t="shared" si="127"/>
        <v>Exports (F.O.B.)</v>
      </c>
      <c r="E4079" s="6">
        <v>96</v>
      </c>
      <c r="F4079" s="6">
        <v>4</v>
      </c>
      <c r="G4079" s="6">
        <v>0</v>
      </c>
      <c r="H4079" s="6">
        <v>1</v>
      </c>
      <c r="I4079" s="6">
        <v>0</v>
      </c>
    </row>
    <row r="4080" spans="1:9">
      <c r="A4080" s="6">
        <v>7</v>
      </c>
      <c r="B4080" s="6" t="str">
        <f t="shared" si="126"/>
        <v>Rubber (Latex)</v>
      </c>
      <c r="C4080" s="6">
        <v>305</v>
      </c>
      <c r="D4080" s="6" t="str">
        <f t="shared" si="127"/>
        <v>Exports (F.O.B.)</v>
      </c>
      <c r="E4080" s="6">
        <v>52033737</v>
      </c>
      <c r="F4080" s="6">
        <v>3033223</v>
      </c>
      <c r="G4080" s="6">
        <v>0</v>
      </c>
      <c r="H4080" s="6">
        <v>266915</v>
      </c>
      <c r="I4080" s="6">
        <v>0</v>
      </c>
    </row>
    <row r="4081" spans="1:9">
      <c r="A4081" s="6">
        <v>8</v>
      </c>
      <c r="B4081" s="6" t="str">
        <f t="shared" si="126"/>
        <v>Other Crops</v>
      </c>
      <c r="C4081" s="6">
        <v>305</v>
      </c>
      <c r="D4081" s="6" t="str">
        <f t="shared" si="127"/>
        <v>Exports (F.O.B.)</v>
      </c>
      <c r="E4081" s="6">
        <v>27642715</v>
      </c>
      <c r="F4081" s="6">
        <v>3397362</v>
      </c>
      <c r="G4081" s="6">
        <v>0</v>
      </c>
      <c r="H4081" s="6">
        <v>387017</v>
      </c>
      <c r="I4081" s="6">
        <v>0</v>
      </c>
    </row>
    <row r="4082" spans="1:9">
      <c r="A4082" s="6">
        <v>9</v>
      </c>
      <c r="B4082" s="6" t="str">
        <f t="shared" si="126"/>
        <v>Livestock</v>
      </c>
      <c r="C4082" s="6">
        <v>305</v>
      </c>
      <c r="D4082" s="6" t="str">
        <f t="shared" si="127"/>
        <v>Exports (F.O.B.)</v>
      </c>
      <c r="E4082" s="6">
        <v>15461511</v>
      </c>
      <c r="F4082" s="6">
        <v>1806379</v>
      </c>
      <c r="G4082" s="6">
        <v>0</v>
      </c>
      <c r="H4082" s="6">
        <v>53363</v>
      </c>
      <c r="I4082" s="6">
        <v>0</v>
      </c>
    </row>
    <row r="4083" spans="1:9">
      <c r="A4083" s="6">
        <v>10</v>
      </c>
      <c r="B4083" s="6" t="str">
        <f t="shared" si="126"/>
        <v>Forestry</v>
      </c>
      <c r="C4083" s="6">
        <v>305</v>
      </c>
      <c r="D4083" s="6" t="str">
        <f t="shared" si="127"/>
        <v>Exports (F.O.B.)</v>
      </c>
      <c r="E4083" s="6">
        <v>9694480</v>
      </c>
      <c r="F4083" s="6">
        <v>506290</v>
      </c>
      <c r="G4083" s="6">
        <v>0</v>
      </c>
      <c r="H4083" s="6">
        <v>115097</v>
      </c>
      <c r="I4083" s="6">
        <v>0</v>
      </c>
    </row>
    <row r="4084" spans="1:9">
      <c r="A4084" s="6">
        <v>11</v>
      </c>
      <c r="B4084" s="6" t="str">
        <f t="shared" si="126"/>
        <v>Fishery</v>
      </c>
      <c r="C4084" s="6">
        <v>305</v>
      </c>
      <c r="D4084" s="6" t="str">
        <f t="shared" si="127"/>
        <v>Exports (F.O.B.)</v>
      </c>
      <c r="E4084" s="6">
        <v>4047601</v>
      </c>
      <c r="F4084" s="6">
        <v>551331</v>
      </c>
      <c r="G4084" s="6">
        <v>0</v>
      </c>
      <c r="H4084" s="6">
        <v>86008</v>
      </c>
      <c r="I4084" s="6">
        <v>0</v>
      </c>
    </row>
    <row r="4085" spans="1:9">
      <c r="A4085" s="6">
        <v>12</v>
      </c>
      <c r="B4085" s="6" t="str">
        <f t="shared" si="126"/>
        <v>Crude Oil and Coal</v>
      </c>
      <c r="C4085" s="6">
        <v>305</v>
      </c>
      <c r="D4085" s="6" t="str">
        <f t="shared" si="127"/>
        <v>Exports (F.O.B.)</v>
      </c>
      <c r="E4085" s="6">
        <v>15399283</v>
      </c>
      <c r="F4085" s="6">
        <v>7842</v>
      </c>
      <c r="G4085" s="6">
        <v>0</v>
      </c>
      <c r="H4085" s="6">
        <v>9685</v>
      </c>
      <c r="I4085" s="6">
        <v>0</v>
      </c>
    </row>
    <row r="4086" spans="1:9">
      <c r="A4086" s="6">
        <v>13</v>
      </c>
      <c r="B4086" s="6" t="str">
        <f t="shared" si="126"/>
        <v>Metal Ore</v>
      </c>
      <c r="C4086" s="6">
        <v>305</v>
      </c>
      <c r="D4086" s="6" t="str">
        <f t="shared" si="127"/>
        <v>Exports (F.O.B.)</v>
      </c>
      <c r="E4086" s="6">
        <v>4337404</v>
      </c>
      <c r="F4086" s="6">
        <v>224082</v>
      </c>
      <c r="G4086" s="6">
        <v>0</v>
      </c>
      <c r="H4086" s="6">
        <v>82172</v>
      </c>
      <c r="I4086" s="6">
        <v>0</v>
      </c>
    </row>
    <row r="4087" spans="1:9">
      <c r="A4087" s="6">
        <v>14</v>
      </c>
      <c r="B4087" s="6" t="str">
        <f t="shared" si="126"/>
        <v>Non-Metal Ore</v>
      </c>
      <c r="C4087" s="6">
        <v>305</v>
      </c>
      <c r="D4087" s="6" t="str">
        <f t="shared" si="127"/>
        <v>Exports (F.O.B.)</v>
      </c>
      <c r="E4087" s="6">
        <v>20257280</v>
      </c>
      <c r="F4087" s="6">
        <v>1908479</v>
      </c>
      <c r="G4087" s="6">
        <v>0</v>
      </c>
      <c r="H4087" s="6">
        <v>1724332</v>
      </c>
      <c r="I4087" s="6">
        <v>0</v>
      </c>
    </row>
    <row r="4088" spans="1:9">
      <c r="A4088" s="6">
        <v>15</v>
      </c>
      <c r="B4088" s="6" t="str">
        <f t="shared" si="126"/>
        <v>Slaughtering</v>
      </c>
      <c r="C4088" s="6">
        <v>305</v>
      </c>
      <c r="D4088" s="6" t="str">
        <f t="shared" si="127"/>
        <v>Exports (F.O.B.)</v>
      </c>
      <c r="E4088" s="6">
        <v>1414190</v>
      </c>
      <c r="F4088" s="6">
        <v>38016</v>
      </c>
      <c r="G4088" s="6">
        <v>0</v>
      </c>
      <c r="H4088" s="6">
        <v>3685</v>
      </c>
      <c r="I4088" s="6">
        <v>0</v>
      </c>
    </row>
    <row r="4089" spans="1:9">
      <c r="A4089" s="6">
        <v>16</v>
      </c>
      <c r="B4089" s="6" t="str">
        <f t="shared" si="126"/>
        <v>Processing and Presering of Foods</v>
      </c>
      <c r="C4089" s="6">
        <v>305</v>
      </c>
      <c r="D4089" s="6" t="str">
        <f t="shared" si="127"/>
        <v>Exports (F.O.B.)</v>
      </c>
      <c r="E4089" s="6">
        <v>456662650</v>
      </c>
      <c r="F4089" s="6">
        <v>14964113</v>
      </c>
      <c r="G4089" s="6">
        <v>0</v>
      </c>
      <c r="H4089" s="6">
        <v>2504973</v>
      </c>
      <c r="I4089" s="6">
        <v>0</v>
      </c>
    </row>
    <row r="4090" spans="1:9">
      <c r="A4090" s="6">
        <v>17</v>
      </c>
      <c r="B4090" s="6" t="str">
        <f t="shared" si="126"/>
        <v>Rice and Other Grain Milling</v>
      </c>
      <c r="C4090" s="6">
        <v>305</v>
      </c>
      <c r="D4090" s="6" t="str">
        <f t="shared" si="127"/>
        <v>Exports (F.O.B.)</v>
      </c>
      <c r="E4090" s="6">
        <v>224554307</v>
      </c>
      <c r="F4090" s="6">
        <v>15069977</v>
      </c>
      <c r="G4090" s="6">
        <v>0</v>
      </c>
      <c r="H4090" s="6">
        <v>3678039</v>
      </c>
      <c r="I4090" s="6">
        <v>0</v>
      </c>
    </row>
    <row r="4091" spans="1:9">
      <c r="A4091" s="6">
        <v>18</v>
      </c>
      <c r="B4091" s="6" t="str">
        <f t="shared" si="126"/>
        <v>Sugar Refineries</v>
      </c>
      <c r="C4091" s="6">
        <v>305</v>
      </c>
      <c r="D4091" s="6" t="str">
        <f t="shared" si="127"/>
        <v>Exports (F.O.B.)</v>
      </c>
      <c r="E4091" s="6">
        <v>60233732</v>
      </c>
      <c r="F4091" s="6">
        <v>2001984</v>
      </c>
      <c r="G4091" s="6">
        <v>0</v>
      </c>
      <c r="H4091" s="6">
        <v>808267</v>
      </c>
      <c r="I4091" s="6">
        <v>0</v>
      </c>
    </row>
    <row r="4092" spans="1:9">
      <c r="A4092" s="6">
        <v>19</v>
      </c>
      <c r="B4092" s="6" t="str">
        <f t="shared" si="126"/>
        <v>Other Foods</v>
      </c>
      <c r="C4092" s="6">
        <v>305</v>
      </c>
      <c r="D4092" s="6" t="str">
        <f t="shared" si="127"/>
        <v>Exports (F.O.B.)</v>
      </c>
      <c r="E4092" s="6">
        <v>153275469</v>
      </c>
      <c r="F4092" s="6">
        <v>7900843</v>
      </c>
      <c r="G4092" s="6">
        <v>0</v>
      </c>
      <c r="H4092" s="6">
        <v>2104004</v>
      </c>
      <c r="I4092" s="6">
        <v>0</v>
      </c>
    </row>
    <row r="4093" spans="1:9">
      <c r="A4093" s="6">
        <v>20</v>
      </c>
      <c r="B4093" s="6" t="str">
        <f t="shared" si="126"/>
        <v>Animal Food</v>
      </c>
      <c r="C4093" s="6">
        <v>305</v>
      </c>
      <c r="D4093" s="6" t="str">
        <f t="shared" si="127"/>
        <v>Exports (F.O.B.)</v>
      </c>
      <c r="E4093" s="6">
        <v>61682867</v>
      </c>
      <c r="F4093" s="6">
        <v>3885870</v>
      </c>
      <c r="G4093" s="6">
        <v>0</v>
      </c>
      <c r="H4093" s="6">
        <v>444190</v>
      </c>
      <c r="I4093" s="6">
        <v>0</v>
      </c>
    </row>
    <row r="4094" spans="1:9">
      <c r="A4094" s="6">
        <v>21</v>
      </c>
      <c r="B4094" s="6" t="str">
        <f t="shared" si="126"/>
        <v>Beverages</v>
      </c>
      <c r="C4094" s="6">
        <v>305</v>
      </c>
      <c r="D4094" s="6" t="str">
        <f t="shared" si="127"/>
        <v>Exports (F.O.B.)</v>
      </c>
      <c r="E4094" s="6">
        <v>55307074</v>
      </c>
      <c r="F4094" s="6">
        <v>5162665</v>
      </c>
      <c r="G4094" s="6">
        <v>0</v>
      </c>
      <c r="H4094" s="6">
        <v>1157015</v>
      </c>
      <c r="I4094" s="6">
        <v>0</v>
      </c>
    </row>
    <row r="4095" spans="1:9">
      <c r="A4095" s="6">
        <v>22</v>
      </c>
      <c r="B4095" s="6" t="str">
        <f t="shared" si="126"/>
        <v>Tobacco Processing and Products</v>
      </c>
      <c r="C4095" s="6">
        <v>305</v>
      </c>
      <c r="D4095" s="6" t="str">
        <f t="shared" si="127"/>
        <v>Exports (F.O.B.)</v>
      </c>
      <c r="E4095" s="6">
        <v>6931620</v>
      </c>
      <c r="F4095" s="6">
        <v>741748</v>
      </c>
      <c r="G4095" s="6">
        <v>0</v>
      </c>
      <c r="H4095" s="6">
        <v>89240</v>
      </c>
      <c r="I4095" s="6">
        <v>0</v>
      </c>
    </row>
    <row r="4096" spans="1:9">
      <c r="A4096" s="6">
        <v>23</v>
      </c>
      <c r="B4096" s="6" t="str">
        <f t="shared" si="126"/>
        <v>Spinning, Weaving and Bleaching</v>
      </c>
      <c r="C4096" s="6">
        <v>305</v>
      </c>
      <c r="D4096" s="6" t="str">
        <f t="shared" si="127"/>
        <v>Exports (F.O.B.)</v>
      </c>
      <c r="E4096" s="6">
        <v>92962136</v>
      </c>
      <c r="F4096" s="6">
        <v>8242713</v>
      </c>
      <c r="G4096" s="6">
        <v>0</v>
      </c>
      <c r="H4096" s="6">
        <v>557533</v>
      </c>
      <c r="I4096" s="6">
        <v>0</v>
      </c>
    </row>
    <row r="4097" spans="1:9">
      <c r="A4097" s="6">
        <v>24</v>
      </c>
      <c r="B4097" s="6" t="str">
        <f t="shared" si="126"/>
        <v>Textile Products</v>
      </c>
      <c r="C4097" s="6">
        <v>305</v>
      </c>
      <c r="D4097" s="6" t="str">
        <f t="shared" si="127"/>
        <v>Exports (F.O.B.)</v>
      </c>
      <c r="E4097" s="6">
        <v>127350338</v>
      </c>
      <c r="F4097" s="6">
        <v>6110793</v>
      </c>
      <c r="G4097" s="6">
        <v>0</v>
      </c>
      <c r="H4097" s="6">
        <v>757867</v>
      </c>
      <c r="I4097" s="6">
        <v>0</v>
      </c>
    </row>
    <row r="4098" spans="1:9">
      <c r="A4098" s="6">
        <v>25</v>
      </c>
      <c r="B4098" s="6" t="str">
        <f t="shared" si="126"/>
        <v>Paper and Paper Products</v>
      </c>
      <c r="C4098" s="6">
        <v>305</v>
      </c>
      <c r="D4098" s="6" t="str">
        <f t="shared" si="127"/>
        <v>Exports (F.O.B.)</v>
      </c>
      <c r="E4098" s="6">
        <v>75003347</v>
      </c>
      <c r="F4098" s="6">
        <v>6371543</v>
      </c>
      <c r="G4098" s="6">
        <v>0</v>
      </c>
      <c r="H4098" s="6">
        <v>1039872</v>
      </c>
      <c r="I4098" s="6">
        <v>0</v>
      </c>
    </row>
    <row r="4099" spans="1:9">
      <c r="A4099" s="6">
        <v>26</v>
      </c>
      <c r="B4099" s="6" t="str">
        <f t="shared" si="126"/>
        <v>Printing and Publishing</v>
      </c>
      <c r="C4099" s="6">
        <v>305</v>
      </c>
      <c r="D4099" s="6" t="str">
        <f t="shared" si="127"/>
        <v>Exports (F.O.B.)</v>
      </c>
      <c r="E4099" s="6">
        <v>1814911</v>
      </c>
      <c r="F4099" s="6">
        <v>121436</v>
      </c>
      <c r="G4099" s="6">
        <v>0</v>
      </c>
      <c r="H4099" s="6">
        <v>18471</v>
      </c>
      <c r="I4099" s="6">
        <v>0</v>
      </c>
    </row>
    <row r="4100" spans="1:9">
      <c r="A4100" s="6">
        <v>27</v>
      </c>
      <c r="B4100" s="6" t="str">
        <f t="shared" ref="B4100:B4163" si="128">VLOOKUP(A4100,R:S,2,0)</f>
        <v>Basic Chemical Products</v>
      </c>
      <c r="C4100" s="6">
        <v>305</v>
      </c>
      <c r="D4100" s="6" t="str">
        <f t="shared" ref="D4100:D4163" si="129">VLOOKUP(C4100,R:S,2,0)</f>
        <v>Exports (F.O.B.)</v>
      </c>
      <c r="E4100" s="6">
        <v>720480163</v>
      </c>
      <c r="F4100" s="6">
        <v>80845869</v>
      </c>
      <c r="G4100" s="6">
        <v>0</v>
      </c>
      <c r="H4100" s="6">
        <v>7272710</v>
      </c>
      <c r="I4100" s="6">
        <v>0</v>
      </c>
    </row>
    <row r="4101" spans="1:9">
      <c r="A4101" s="6">
        <v>28</v>
      </c>
      <c r="B4101" s="6" t="str">
        <f t="shared" si="128"/>
        <v>Fertilizer and Pesticides</v>
      </c>
      <c r="C4101" s="6">
        <v>305</v>
      </c>
      <c r="D4101" s="6" t="str">
        <f t="shared" si="129"/>
        <v>Exports (F.O.B.)</v>
      </c>
      <c r="E4101" s="6">
        <v>20334810</v>
      </c>
      <c r="F4101" s="6">
        <v>1972952</v>
      </c>
      <c r="G4101" s="6">
        <v>0</v>
      </c>
      <c r="H4101" s="6">
        <v>710952</v>
      </c>
      <c r="I4101" s="6">
        <v>0</v>
      </c>
    </row>
    <row r="4102" spans="1:9">
      <c r="A4102" s="6">
        <v>29</v>
      </c>
      <c r="B4102" s="6" t="str">
        <f t="shared" si="128"/>
        <v>Other Chemical Products</v>
      </c>
      <c r="C4102" s="6">
        <v>305</v>
      </c>
      <c r="D4102" s="6" t="str">
        <f t="shared" si="129"/>
        <v>Exports (F.O.B.)</v>
      </c>
      <c r="E4102" s="6">
        <v>174834009</v>
      </c>
      <c r="F4102" s="6">
        <v>18537259</v>
      </c>
      <c r="G4102" s="6">
        <v>0</v>
      </c>
      <c r="H4102" s="6">
        <v>1967283</v>
      </c>
      <c r="I4102" s="6">
        <v>0</v>
      </c>
    </row>
    <row r="4103" spans="1:9">
      <c r="A4103" s="6">
        <v>30</v>
      </c>
      <c r="B4103" s="6" t="str">
        <f t="shared" si="128"/>
        <v>Petroleum Refineries</v>
      </c>
      <c r="C4103" s="6">
        <v>305</v>
      </c>
      <c r="D4103" s="6" t="str">
        <f t="shared" si="129"/>
        <v>Exports (F.O.B.)</v>
      </c>
      <c r="E4103" s="6">
        <v>279068236</v>
      </c>
      <c r="F4103" s="6">
        <v>9650014</v>
      </c>
      <c r="G4103" s="6">
        <v>0</v>
      </c>
      <c r="H4103" s="6">
        <v>2131379</v>
      </c>
      <c r="I4103" s="6">
        <v>0</v>
      </c>
    </row>
    <row r="4104" spans="1:9">
      <c r="A4104" s="6">
        <v>31</v>
      </c>
      <c r="B4104" s="6" t="str">
        <f t="shared" si="128"/>
        <v>Rubber Products</v>
      </c>
      <c r="C4104" s="6">
        <v>305</v>
      </c>
      <c r="D4104" s="6" t="str">
        <f t="shared" si="129"/>
        <v>Exports (F.O.B.)</v>
      </c>
      <c r="E4104" s="6">
        <v>410804902</v>
      </c>
      <c r="F4104" s="6">
        <v>34974519</v>
      </c>
      <c r="G4104" s="6">
        <v>0</v>
      </c>
      <c r="H4104" s="6">
        <v>8289973</v>
      </c>
      <c r="I4104" s="6">
        <v>0</v>
      </c>
    </row>
    <row r="4105" spans="1:9">
      <c r="A4105" s="6">
        <v>32</v>
      </c>
      <c r="B4105" s="6" t="str">
        <f t="shared" si="128"/>
        <v>Plastic Wares</v>
      </c>
      <c r="C4105" s="6">
        <v>305</v>
      </c>
      <c r="D4105" s="6" t="str">
        <f t="shared" si="129"/>
        <v>Exports (F.O.B.)</v>
      </c>
      <c r="E4105" s="6">
        <v>183756053</v>
      </c>
      <c r="F4105" s="6">
        <v>11233623</v>
      </c>
      <c r="G4105" s="6">
        <v>0</v>
      </c>
      <c r="H4105" s="6">
        <v>1083117</v>
      </c>
      <c r="I4105" s="6">
        <v>0</v>
      </c>
    </row>
    <row r="4106" spans="1:9">
      <c r="A4106" s="6">
        <v>33</v>
      </c>
      <c r="B4106" s="6" t="str">
        <f t="shared" si="128"/>
        <v>Cement and Concrete Products</v>
      </c>
      <c r="C4106" s="6">
        <v>305</v>
      </c>
      <c r="D4106" s="6" t="str">
        <f t="shared" si="129"/>
        <v>Exports (F.O.B.)</v>
      </c>
      <c r="E4106" s="6">
        <v>7783723</v>
      </c>
      <c r="F4106" s="6">
        <v>452660</v>
      </c>
      <c r="G4106" s="6">
        <v>0</v>
      </c>
      <c r="H4106" s="6">
        <v>124543</v>
      </c>
      <c r="I4106" s="6">
        <v>0</v>
      </c>
    </row>
    <row r="4107" spans="1:9">
      <c r="A4107" s="6">
        <v>34</v>
      </c>
      <c r="B4107" s="6" t="str">
        <f t="shared" si="128"/>
        <v>Other Non-metallic Products</v>
      </c>
      <c r="C4107" s="6">
        <v>305</v>
      </c>
      <c r="D4107" s="6" t="str">
        <f t="shared" si="129"/>
        <v>Exports (F.O.B.)</v>
      </c>
      <c r="E4107" s="6">
        <v>76756158</v>
      </c>
      <c r="F4107" s="6">
        <v>5400529</v>
      </c>
      <c r="G4107" s="6">
        <v>0</v>
      </c>
      <c r="H4107" s="6">
        <v>1016292</v>
      </c>
      <c r="I4107" s="6">
        <v>0</v>
      </c>
    </row>
    <row r="4108" spans="1:9">
      <c r="A4108" s="6">
        <v>35</v>
      </c>
      <c r="B4108" s="6" t="str">
        <f t="shared" si="128"/>
        <v>Iron and Steel</v>
      </c>
      <c r="C4108" s="6">
        <v>305</v>
      </c>
      <c r="D4108" s="6" t="str">
        <f t="shared" si="129"/>
        <v>Exports (F.O.B.)</v>
      </c>
      <c r="E4108" s="6">
        <v>90213821</v>
      </c>
      <c r="F4108" s="6">
        <v>5279442</v>
      </c>
      <c r="G4108" s="6">
        <v>0</v>
      </c>
      <c r="H4108" s="6">
        <v>1071193</v>
      </c>
      <c r="I4108" s="6">
        <v>0</v>
      </c>
    </row>
    <row r="4109" spans="1:9">
      <c r="A4109" s="6">
        <v>36</v>
      </c>
      <c r="B4109" s="6" t="str">
        <f t="shared" si="128"/>
        <v>Non-ferrous Metal</v>
      </c>
      <c r="C4109" s="6">
        <v>305</v>
      </c>
      <c r="D4109" s="6" t="str">
        <f t="shared" si="129"/>
        <v>Exports (F.O.B.)</v>
      </c>
      <c r="E4109" s="6">
        <v>218017435</v>
      </c>
      <c r="F4109" s="6">
        <v>6708010</v>
      </c>
      <c r="G4109" s="6">
        <v>0</v>
      </c>
      <c r="H4109" s="6">
        <v>334214</v>
      </c>
      <c r="I4109" s="6">
        <v>173725482</v>
      </c>
    </row>
    <row r="4110" spans="1:9">
      <c r="A4110" s="6">
        <v>37</v>
      </c>
      <c r="B4110" s="6" t="str">
        <f t="shared" si="128"/>
        <v>Fabricated Metal Products</v>
      </c>
      <c r="C4110" s="6">
        <v>305</v>
      </c>
      <c r="D4110" s="6" t="str">
        <f t="shared" si="129"/>
        <v>Exports (F.O.B.)</v>
      </c>
      <c r="E4110" s="6">
        <v>309791435</v>
      </c>
      <c r="F4110" s="6">
        <v>7971842</v>
      </c>
      <c r="G4110" s="6">
        <v>0</v>
      </c>
      <c r="H4110" s="6">
        <v>961786</v>
      </c>
      <c r="I4110" s="6">
        <v>0</v>
      </c>
    </row>
    <row r="4111" spans="1:9">
      <c r="A4111" s="6">
        <v>38</v>
      </c>
      <c r="B4111" s="6" t="str">
        <f t="shared" si="128"/>
        <v>Industrial Machinery</v>
      </c>
      <c r="C4111" s="6">
        <v>305</v>
      </c>
      <c r="D4111" s="6" t="str">
        <f t="shared" si="129"/>
        <v>Exports (F.O.B.)</v>
      </c>
      <c r="E4111" s="6">
        <v>472823393</v>
      </c>
      <c r="F4111" s="6">
        <v>40251882</v>
      </c>
      <c r="G4111" s="6">
        <v>0</v>
      </c>
      <c r="H4111" s="6">
        <v>4247602</v>
      </c>
      <c r="I4111" s="6">
        <v>0</v>
      </c>
    </row>
    <row r="4112" spans="1:9">
      <c r="A4112" s="6">
        <v>39</v>
      </c>
      <c r="B4112" s="6" t="str">
        <f t="shared" si="128"/>
        <v>Electrical Machinery and Apparatus</v>
      </c>
      <c r="C4112" s="6">
        <v>305</v>
      </c>
      <c r="D4112" s="6" t="str">
        <f t="shared" si="129"/>
        <v>Exports (F.O.B.)</v>
      </c>
      <c r="E4112" s="6">
        <v>2175521572</v>
      </c>
      <c r="F4112" s="6">
        <v>104727427</v>
      </c>
      <c r="G4112" s="6">
        <v>0</v>
      </c>
      <c r="H4112" s="6">
        <v>18311246</v>
      </c>
      <c r="I4112" s="6">
        <v>0</v>
      </c>
    </row>
    <row r="4113" spans="1:9">
      <c r="A4113" s="6">
        <v>40</v>
      </c>
      <c r="B4113" s="6" t="str">
        <f t="shared" si="128"/>
        <v>Motor Vehicles and Repairing</v>
      </c>
      <c r="C4113" s="6">
        <v>305</v>
      </c>
      <c r="D4113" s="6" t="str">
        <f t="shared" si="129"/>
        <v>Exports (F.O.B.)</v>
      </c>
      <c r="E4113" s="6">
        <v>1027702174</v>
      </c>
      <c r="F4113" s="6">
        <v>47491960</v>
      </c>
      <c r="G4113" s="6">
        <v>0</v>
      </c>
      <c r="H4113" s="6">
        <v>8164543</v>
      </c>
      <c r="I4113" s="6">
        <v>0</v>
      </c>
    </row>
    <row r="4114" spans="1:9">
      <c r="A4114" s="6">
        <v>41</v>
      </c>
      <c r="B4114" s="6" t="str">
        <f t="shared" si="128"/>
        <v>Other Transportation Equipment</v>
      </c>
      <c r="C4114" s="6">
        <v>305</v>
      </c>
      <c r="D4114" s="6" t="str">
        <f t="shared" si="129"/>
        <v>Exports (F.O.B.)</v>
      </c>
      <c r="E4114" s="6">
        <v>34122492</v>
      </c>
      <c r="F4114" s="6">
        <v>1371356</v>
      </c>
      <c r="G4114" s="6">
        <v>0</v>
      </c>
      <c r="H4114" s="6">
        <v>414091</v>
      </c>
      <c r="I4114" s="6">
        <v>0</v>
      </c>
    </row>
    <row r="4115" spans="1:9">
      <c r="A4115" s="6">
        <v>42</v>
      </c>
      <c r="B4115" s="6" t="str">
        <f t="shared" si="128"/>
        <v>Leather Products</v>
      </c>
      <c r="C4115" s="6">
        <v>305</v>
      </c>
      <c r="D4115" s="6" t="str">
        <f t="shared" si="129"/>
        <v>Exports (F.O.B.)</v>
      </c>
      <c r="E4115" s="6">
        <v>55757274</v>
      </c>
      <c r="F4115" s="6">
        <v>3287627</v>
      </c>
      <c r="G4115" s="6">
        <v>0</v>
      </c>
      <c r="H4115" s="6">
        <v>353382</v>
      </c>
      <c r="I4115" s="6">
        <v>0</v>
      </c>
    </row>
    <row r="4116" spans="1:9">
      <c r="A4116" s="6">
        <v>43</v>
      </c>
      <c r="B4116" s="6" t="str">
        <f t="shared" si="128"/>
        <v>Saw Mills and Wood Products</v>
      </c>
      <c r="C4116" s="6">
        <v>305</v>
      </c>
      <c r="D4116" s="6" t="str">
        <f t="shared" si="129"/>
        <v>Exports (F.O.B.)</v>
      </c>
      <c r="E4116" s="6">
        <v>100669375</v>
      </c>
      <c r="F4116" s="6">
        <v>7522745</v>
      </c>
      <c r="G4116" s="6">
        <v>0</v>
      </c>
      <c r="H4116" s="6">
        <v>870096</v>
      </c>
      <c r="I4116" s="6">
        <v>0</v>
      </c>
    </row>
    <row r="4117" spans="1:9">
      <c r="A4117" s="6">
        <v>44</v>
      </c>
      <c r="B4117" s="6" t="str">
        <f t="shared" si="128"/>
        <v>Other Manufacturing Products</v>
      </c>
      <c r="C4117" s="6">
        <v>305</v>
      </c>
      <c r="D4117" s="6" t="str">
        <f t="shared" si="129"/>
        <v>Exports (F.O.B.)</v>
      </c>
      <c r="E4117" s="6">
        <v>564184975</v>
      </c>
      <c r="F4117" s="6">
        <v>32749421</v>
      </c>
      <c r="G4117" s="6">
        <v>0</v>
      </c>
      <c r="H4117" s="6">
        <v>2565251</v>
      </c>
      <c r="I4117" s="6">
        <v>0</v>
      </c>
    </row>
    <row r="4118" spans="1:9">
      <c r="A4118" s="6">
        <v>45</v>
      </c>
      <c r="B4118" s="6" t="str">
        <f t="shared" si="128"/>
        <v>Electricity and Gas</v>
      </c>
      <c r="C4118" s="6">
        <v>305</v>
      </c>
      <c r="D4118" s="6" t="str">
        <f t="shared" si="129"/>
        <v>Exports (F.O.B.)</v>
      </c>
      <c r="E4118" s="6">
        <v>8557486</v>
      </c>
      <c r="F4118" s="6">
        <v>42868</v>
      </c>
      <c r="G4118" s="6">
        <v>0</v>
      </c>
      <c r="H4118" s="6">
        <v>7914</v>
      </c>
      <c r="I4118" s="6">
        <v>0</v>
      </c>
    </row>
    <row r="4119" spans="1:9">
      <c r="A4119" s="6">
        <v>46</v>
      </c>
      <c r="B4119" s="6" t="str">
        <f t="shared" si="128"/>
        <v>Water Works and Supply</v>
      </c>
      <c r="C4119" s="6">
        <v>305</v>
      </c>
      <c r="D4119" s="6" t="str">
        <f t="shared" si="129"/>
        <v>Exports (F.O.B.)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</row>
    <row r="4120" spans="1:9">
      <c r="A4120" s="6">
        <v>47</v>
      </c>
      <c r="B4120" s="6" t="str">
        <f t="shared" si="128"/>
        <v>Building Construction</v>
      </c>
      <c r="C4120" s="6">
        <v>305</v>
      </c>
      <c r="D4120" s="6" t="str">
        <f t="shared" si="129"/>
        <v>Exports (F.O.B.)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</row>
    <row r="4121" spans="1:9">
      <c r="A4121" s="6">
        <v>48</v>
      </c>
      <c r="B4121" s="6" t="str">
        <f t="shared" si="128"/>
        <v>Public Works and Other Construction</v>
      </c>
      <c r="C4121" s="6">
        <v>305</v>
      </c>
      <c r="D4121" s="6" t="str">
        <f t="shared" si="129"/>
        <v>Exports (F.O.B.)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</row>
    <row r="4122" spans="1:9">
      <c r="A4122" s="6">
        <v>49</v>
      </c>
      <c r="B4122" s="6" t="str">
        <f t="shared" si="128"/>
        <v>Trade</v>
      </c>
      <c r="C4122" s="6">
        <v>305</v>
      </c>
      <c r="D4122" s="6" t="str">
        <f t="shared" si="129"/>
        <v>Exports (F.O.B.)</v>
      </c>
      <c r="E4122" s="6">
        <v>0</v>
      </c>
      <c r="F4122" s="6">
        <v>-527726167</v>
      </c>
      <c r="G4122" s="6">
        <v>0</v>
      </c>
      <c r="H4122" s="6">
        <v>0</v>
      </c>
      <c r="I4122" s="6">
        <v>0</v>
      </c>
    </row>
    <row r="4123" spans="1:9">
      <c r="A4123" s="6">
        <v>50</v>
      </c>
      <c r="B4123" s="6" t="str">
        <f t="shared" si="128"/>
        <v>Restaurants and Hotels</v>
      </c>
      <c r="C4123" s="6">
        <v>305</v>
      </c>
      <c r="D4123" s="6" t="str">
        <f t="shared" si="129"/>
        <v>Exports (F.O.B.)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</row>
    <row r="4124" spans="1:9">
      <c r="A4124" s="6">
        <v>51</v>
      </c>
      <c r="B4124" s="6" t="str">
        <f t="shared" si="128"/>
        <v>Transportation</v>
      </c>
      <c r="C4124" s="6">
        <v>305</v>
      </c>
      <c r="D4124" s="6" t="str">
        <f t="shared" si="129"/>
        <v>Exports (F.O.B.)</v>
      </c>
      <c r="E4124" s="6">
        <v>0</v>
      </c>
      <c r="F4124" s="6">
        <v>0</v>
      </c>
      <c r="G4124" s="6">
        <v>0</v>
      </c>
      <c r="H4124" s="6">
        <v>-77819901</v>
      </c>
      <c r="I4124" s="6">
        <v>0</v>
      </c>
    </row>
    <row r="4125" spans="1:9">
      <c r="A4125" s="6">
        <v>52</v>
      </c>
      <c r="B4125" s="6" t="str">
        <f t="shared" si="128"/>
        <v>Communication</v>
      </c>
      <c r="C4125" s="6">
        <v>305</v>
      </c>
      <c r="D4125" s="6" t="str">
        <f t="shared" si="129"/>
        <v>Exports (F.O.B.)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</row>
    <row r="4126" spans="1:9">
      <c r="A4126" s="6">
        <v>53</v>
      </c>
      <c r="B4126" s="6" t="str">
        <f t="shared" si="128"/>
        <v>Banking and Insurance</v>
      </c>
      <c r="C4126" s="6">
        <v>305</v>
      </c>
      <c r="D4126" s="6" t="str">
        <f t="shared" si="129"/>
        <v>Exports (F.O.B.)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</row>
    <row r="4127" spans="1:9">
      <c r="A4127" s="6">
        <v>54</v>
      </c>
      <c r="B4127" s="6" t="str">
        <f t="shared" si="128"/>
        <v>Real Estate</v>
      </c>
      <c r="C4127" s="6">
        <v>305</v>
      </c>
      <c r="D4127" s="6" t="str">
        <f t="shared" si="129"/>
        <v>Exports (F.O.B.)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</row>
    <row r="4128" spans="1:9">
      <c r="A4128" s="6">
        <v>55</v>
      </c>
      <c r="B4128" s="6" t="str">
        <f t="shared" si="128"/>
        <v>Business Services</v>
      </c>
      <c r="C4128" s="6">
        <v>305</v>
      </c>
      <c r="D4128" s="6" t="str">
        <f t="shared" si="129"/>
        <v>Exports (F.O.B.)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</row>
    <row r="4129" spans="1:9">
      <c r="A4129" s="6">
        <v>56</v>
      </c>
      <c r="B4129" s="6" t="str">
        <f t="shared" si="128"/>
        <v>Public Services</v>
      </c>
      <c r="C4129" s="6">
        <v>305</v>
      </c>
      <c r="D4129" s="6" t="str">
        <f t="shared" si="129"/>
        <v>Exports (F.O.B.)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</row>
    <row r="4130" spans="1:9">
      <c r="A4130" s="6">
        <v>57</v>
      </c>
      <c r="B4130" s="6" t="str">
        <f t="shared" si="128"/>
        <v>Other Services</v>
      </c>
      <c r="C4130" s="6">
        <v>305</v>
      </c>
      <c r="D4130" s="6" t="str">
        <f t="shared" si="129"/>
        <v>Exports (F.O.B.)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</row>
    <row r="4131" spans="1:9">
      <c r="A4131" s="6">
        <v>58</v>
      </c>
      <c r="B4131" s="6" t="str">
        <f t="shared" si="128"/>
        <v>Unclassified</v>
      </c>
      <c r="C4131" s="6">
        <v>305</v>
      </c>
      <c r="D4131" s="6" t="str">
        <f t="shared" si="129"/>
        <v>Exports (F.O.B.)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</row>
    <row r="4132" spans="1:9">
      <c r="A4132" s="6">
        <v>190</v>
      </c>
      <c r="B4132" s="6" t="str">
        <f t="shared" si="128"/>
        <v>Total Intermedite Transaction</v>
      </c>
      <c r="C4132" s="6">
        <v>305</v>
      </c>
      <c r="D4132" s="6" t="str">
        <f t="shared" si="129"/>
        <v>Exports (F.O.B.)</v>
      </c>
      <c r="E4132" s="6">
        <v>8568939920</v>
      </c>
      <c r="F4132" s="6">
        <v>0</v>
      </c>
      <c r="G4132" s="6">
        <v>0</v>
      </c>
      <c r="H4132" s="6">
        <v>0</v>
      </c>
      <c r="I4132" s="6">
        <v>173725482</v>
      </c>
    </row>
    <row r="4133" spans="1:9">
      <c r="A4133" s="6">
        <v>1</v>
      </c>
      <c r="B4133" s="6" t="str">
        <f t="shared" si="128"/>
        <v>Paddy</v>
      </c>
      <c r="C4133" s="6">
        <v>306</v>
      </c>
      <c r="D4133" s="6" t="str">
        <f t="shared" si="129"/>
        <v>Special Exports</v>
      </c>
      <c r="E4133" s="6">
        <v>0</v>
      </c>
      <c r="F4133" s="6">
        <v>0</v>
      </c>
      <c r="G4133" s="6">
        <v>0</v>
      </c>
      <c r="H4133" s="6">
        <v>0</v>
      </c>
      <c r="I4133" s="6">
        <v>0</v>
      </c>
    </row>
    <row r="4134" spans="1:9">
      <c r="A4134" s="6">
        <v>2</v>
      </c>
      <c r="B4134" s="6" t="str">
        <f t="shared" si="128"/>
        <v>Maize</v>
      </c>
      <c r="C4134" s="6">
        <v>306</v>
      </c>
      <c r="D4134" s="6" t="str">
        <f t="shared" si="129"/>
        <v>Special Exports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</row>
    <row r="4135" spans="1:9">
      <c r="A4135" s="6">
        <v>3</v>
      </c>
      <c r="B4135" s="6" t="str">
        <f t="shared" si="128"/>
        <v>Cassava</v>
      </c>
      <c r="C4135" s="6">
        <v>306</v>
      </c>
      <c r="D4135" s="6" t="str">
        <f t="shared" si="129"/>
        <v>Special Exports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</row>
    <row r="4136" spans="1:9">
      <c r="A4136" s="6">
        <v>4</v>
      </c>
      <c r="B4136" s="6" t="str">
        <f t="shared" si="128"/>
        <v>Beans and Nuts</v>
      </c>
      <c r="C4136" s="6">
        <v>306</v>
      </c>
      <c r="D4136" s="6" t="str">
        <f t="shared" si="129"/>
        <v>Special Exports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</row>
    <row r="4137" spans="1:9">
      <c r="A4137" s="6">
        <v>5</v>
      </c>
      <c r="B4137" s="6" t="str">
        <f t="shared" si="128"/>
        <v>Vegetables and Fruits</v>
      </c>
      <c r="C4137" s="6">
        <v>306</v>
      </c>
      <c r="D4137" s="6" t="str">
        <f t="shared" si="129"/>
        <v>Special Exports</v>
      </c>
      <c r="E4137" s="6">
        <v>2304919</v>
      </c>
      <c r="F4137" s="6">
        <v>121464</v>
      </c>
      <c r="G4137" s="6">
        <v>352385</v>
      </c>
      <c r="H4137" s="6">
        <v>16293</v>
      </c>
      <c r="I4137" s="6">
        <v>0</v>
      </c>
    </row>
    <row r="4138" spans="1:9">
      <c r="A4138" s="6">
        <v>6</v>
      </c>
      <c r="B4138" s="6" t="str">
        <f t="shared" si="128"/>
        <v>Sugarcane</v>
      </c>
      <c r="C4138" s="6">
        <v>306</v>
      </c>
      <c r="D4138" s="6" t="str">
        <f t="shared" si="129"/>
        <v>Special Exports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</row>
    <row r="4139" spans="1:9">
      <c r="A4139" s="6">
        <v>7</v>
      </c>
      <c r="B4139" s="6" t="str">
        <f t="shared" si="128"/>
        <v>Rubber (Latex)</v>
      </c>
      <c r="C4139" s="6">
        <v>306</v>
      </c>
      <c r="D4139" s="6" t="str">
        <f t="shared" si="129"/>
        <v>Special Exports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</row>
    <row r="4140" spans="1:9">
      <c r="A4140" s="6">
        <v>8</v>
      </c>
      <c r="B4140" s="6" t="str">
        <f t="shared" si="128"/>
        <v>Other Crops</v>
      </c>
      <c r="C4140" s="6">
        <v>306</v>
      </c>
      <c r="D4140" s="6" t="str">
        <f t="shared" si="129"/>
        <v>Special Exports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</row>
    <row r="4141" spans="1:9">
      <c r="A4141" s="6">
        <v>9</v>
      </c>
      <c r="B4141" s="6" t="str">
        <f t="shared" si="128"/>
        <v>Livestock</v>
      </c>
      <c r="C4141" s="6">
        <v>306</v>
      </c>
      <c r="D4141" s="6" t="str">
        <f t="shared" si="129"/>
        <v>Special Exports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</row>
    <row r="4142" spans="1:9">
      <c r="A4142" s="6">
        <v>10</v>
      </c>
      <c r="B4142" s="6" t="str">
        <f t="shared" si="128"/>
        <v>Forestry</v>
      </c>
      <c r="C4142" s="6">
        <v>306</v>
      </c>
      <c r="D4142" s="6" t="str">
        <f t="shared" si="129"/>
        <v>Special Exports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</row>
    <row r="4143" spans="1:9">
      <c r="A4143" s="6">
        <v>11</v>
      </c>
      <c r="B4143" s="6" t="str">
        <f t="shared" si="128"/>
        <v>Fishery</v>
      </c>
      <c r="C4143" s="6">
        <v>306</v>
      </c>
      <c r="D4143" s="6" t="str">
        <f t="shared" si="129"/>
        <v>Special Exports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</row>
    <row r="4144" spans="1:9">
      <c r="A4144" s="6">
        <v>12</v>
      </c>
      <c r="B4144" s="6" t="str">
        <f t="shared" si="128"/>
        <v>Crude Oil and Coal</v>
      </c>
      <c r="C4144" s="6">
        <v>306</v>
      </c>
      <c r="D4144" s="6" t="str">
        <f t="shared" si="129"/>
        <v>Special Exports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</row>
    <row r="4145" spans="1:9">
      <c r="A4145" s="6">
        <v>13</v>
      </c>
      <c r="B4145" s="6" t="str">
        <f t="shared" si="128"/>
        <v>Metal Ore</v>
      </c>
      <c r="C4145" s="6">
        <v>306</v>
      </c>
      <c r="D4145" s="6" t="str">
        <f t="shared" si="129"/>
        <v>Special Exports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</row>
    <row r="4146" spans="1:9">
      <c r="A4146" s="6">
        <v>14</v>
      </c>
      <c r="B4146" s="6" t="str">
        <f t="shared" si="128"/>
        <v>Non-Metal Ore</v>
      </c>
      <c r="C4146" s="6">
        <v>306</v>
      </c>
      <c r="D4146" s="6" t="str">
        <f t="shared" si="129"/>
        <v>Special Exports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</row>
    <row r="4147" spans="1:9">
      <c r="A4147" s="6">
        <v>15</v>
      </c>
      <c r="B4147" s="6" t="str">
        <f t="shared" si="128"/>
        <v>Slaughtering</v>
      </c>
      <c r="C4147" s="6">
        <v>306</v>
      </c>
      <c r="D4147" s="6" t="str">
        <f t="shared" si="129"/>
        <v>Special Exports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</row>
    <row r="4148" spans="1:9">
      <c r="A4148" s="6">
        <v>16</v>
      </c>
      <c r="B4148" s="6" t="str">
        <f t="shared" si="128"/>
        <v>Processing and Presering of Foods</v>
      </c>
      <c r="C4148" s="6">
        <v>306</v>
      </c>
      <c r="D4148" s="6" t="str">
        <f t="shared" si="129"/>
        <v>Special Exports</v>
      </c>
      <c r="E4148" s="6">
        <v>2736921</v>
      </c>
      <c r="F4148" s="6">
        <v>119189</v>
      </c>
      <c r="G4148" s="6">
        <v>136364</v>
      </c>
      <c r="H4148" s="6">
        <v>25365</v>
      </c>
      <c r="I4148" s="6">
        <v>0</v>
      </c>
    </row>
    <row r="4149" spans="1:9">
      <c r="A4149" s="6">
        <v>17</v>
      </c>
      <c r="B4149" s="6" t="str">
        <f t="shared" si="128"/>
        <v>Rice and Other Grain Milling</v>
      </c>
      <c r="C4149" s="6">
        <v>306</v>
      </c>
      <c r="D4149" s="6" t="str">
        <f t="shared" si="129"/>
        <v>Special Exports</v>
      </c>
      <c r="E4149" s="6">
        <v>804</v>
      </c>
      <c r="F4149" s="6">
        <v>47</v>
      </c>
      <c r="G4149" s="6">
        <v>61</v>
      </c>
      <c r="H4149" s="6">
        <v>14</v>
      </c>
      <c r="I4149" s="6">
        <v>0</v>
      </c>
    </row>
    <row r="4150" spans="1:9">
      <c r="A4150" s="6">
        <v>18</v>
      </c>
      <c r="B4150" s="6" t="str">
        <f t="shared" si="128"/>
        <v>Sugar Refineries</v>
      </c>
      <c r="C4150" s="6">
        <v>306</v>
      </c>
      <c r="D4150" s="6" t="str">
        <f t="shared" si="129"/>
        <v>Special Exports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</row>
    <row r="4151" spans="1:9">
      <c r="A4151" s="6">
        <v>19</v>
      </c>
      <c r="B4151" s="6" t="str">
        <f t="shared" si="128"/>
        <v>Other Foods</v>
      </c>
      <c r="C4151" s="6">
        <v>306</v>
      </c>
      <c r="D4151" s="6" t="str">
        <f t="shared" si="129"/>
        <v>Special Exports</v>
      </c>
      <c r="E4151" s="6">
        <v>4260765</v>
      </c>
      <c r="F4151" s="6">
        <v>99420</v>
      </c>
      <c r="G4151" s="6">
        <v>202141</v>
      </c>
      <c r="H4151" s="6">
        <v>35642</v>
      </c>
      <c r="I4151" s="6">
        <v>0</v>
      </c>
    </row>
    <row r="4152" spans="1:9">
      <c r="A4152" s="6">
        <v>20</v>
      </c>
      <c r="B4152" s="6" t="str">
        <f t="shared" si="128"/>
        <v>Animal Food</v>
      </c>
      <c r="C4152" s="6">
        <v>306</v>
      </c>
      <c r="D4152" s="6" t="str">
        <f t="shared" si="129"/>
        <v>Special Exports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</row>
    <row r="4153" spans="1:9">
      <c r="A4153" s="6">
        <v>21</v>
      </c>
      <c r="B4153" s="6" t="str">
        <f t="shared" si="128"/>
        <v>Beverages</v>
      </c>
      <c r="C4153" s="6">
        <v>306</v>
      </c>
      <c r="D4153" s="6" t="str">
        <f t="shared" si="129"/>
        <v>Special Exports</v>
      </c>
      <c r="E4153" s="6">
        <v>2898841</v>
      </c>
      <c r="F4153" s="6">
        <v>231883</v>
      </c>
      <c r="G4153" s="6">
        <v>266903</v>
      </c>
      <c r="H4153" s="6">
        <v>41210</v>
      </c>
      <c r="I4153" s="6">
        <v>0</v>
      </c>
    </row>
    <row r="4154" spans="1:9">
      <c r="A4154" s="6">
        <v>22</v>
      </c>
      <c r="B4154" s="6" t="str">
        <f t="shared" si="128"/>
        <v>Tobacco Processing and Products</v>
      </c>
      <c r="C4154" s="6">
        <v>306</v>
      </c>
      <c r="D4154" s="6" t="str">
        <f t="shared" si="129"/>
        <v>Special Exports</v>
      </c>
      <c r="E4154" s="6">
        <v>776644</v>
      </c>
      <c r="F4154" s="6">
        <v>61599</v>
      </c>
      <c r="G4154" s="6">
        <v>51983</v>
      </c>
      <c r="H4154" s="6">
        <v>8400</v>
      </c>
      <c r="I4154" s="6">
        <v>0</v>
      </c>
    </row>
    <row r="4155" spans="1:9">
      <c r="A4155" s="6">
        <v>23</v>
      </c>
      <c r="B4155" s="6" t="str">
        <f t="shared" si="128"/>
        <v>Spinning, Weaving and Bleaching</v>
      </c>
      <c r="C4155" s="6">
        <v>306</v>
      </c>
      <c r="D4155" s="6" t="str">
        <f t="shared" si="129"/>
        <v>Special Exports</v>
      </c>
      <c r="E4155" s="6">
        <v>21234</v>
      </c>
      <c r="F4155" s="6">
        <v>1535</v>
      </c>
      <c r="G4155" s="6">
        <v>1813</v>
      </c>
      <c r="H4155" s="6">
        <v>325</v>
      </c>
      <c r="I4155" s="6">
        <v>0</v>
      </c>
    </row>
    <row r="4156" spans="1:9">
      <c r="A4156" s="6">
        <v>24</v>
      </c>
      <c r="B4156" s="6" t="str">
        <f t="shared" si="128"/>
        <v>Textile Products</v>
      </c>
      <c r="C4156" s="6">
        <v>306</v>
      </c>
      <c r="D4156" s="6" t="str">
        <f t="shared" si="129"/>
        <v>Special Exports</v>
      </c>
      <c r="E4156" s="6">
        <v>8648857</v>
      </c>
      <c r="F4156" s="6">
        <v>786533</v>
      </c>
      <c r="G4156" s="6">
        <v>1026555</v>
      </c>
      <c r="H4156" s="6">
        <v>40180</v>
      </c>
      <c r="I4156" s="6">
        <v>0</v>
      </c>
    </row>
    <row r="4157" spans="1:9">
      <c r="A4157" s="6">
        <v>25</v>
      </c>
      <c r="B4157" s="6" t="str">
        <f t="shared" si="128"/>
        <v>Paper and Paper Products</v>
      </c>
      <c r="C4157" s="6">
        <v>306</v>
      </c>
      <c r="D4157" s="6" t="str">
        <f t="shared" si="129"/>
        <v>Special Exports</v>
      </c>
      <c r="E4157" s="6">
        <v>5624</v>
      </c>
      <c r="F4157" s="6">
        <v>403</v>
      </c>
      <c r="G4157" s="6">
        <v>343</v>
      </c>
      <c r="H4157" s="6">
        <v>65</v>
      </c>
      <c r="I4157" s="6">
        <v>0</v>
      </c>
    </row>
    <row r="4158" spans="1:9">
      <c r="A4158" s="6">
        <v>26</v>
      </c>
      <c r="B4158" s="6" t="str">
        <f t="shared" si="128"/>
        <v>Printing and Publishing</v>
      </c>
      <c r="C4158" s="6">
        <v>306</v>
      </c>
      <c r="D4158" s="6" t="str">
        <f t="shared" si="129"/>
        <v>Special Exports</v>
      </c>
      <c r="E4158" s="6">
        <v>16230929</v>
      </c>
      <c r="F4158" s="6">
        <v>933040</v>
      </c>
      <c r="G4158" s="6">
        <v>1488467</v>
      </c>
      <c r="H4158" s="6">
        <v>122763</v>
      </c>
      <c r="I4158" s="6">
        <v>0</v>
      </c>
    </row>
    <row r="4159" spans="1:9">
      <c r="A4159" s="6">
        <v>27</v>
      </c>
      <c r="B4159" s="6" t="str">
        <f t="shared" si="128"/>
        <v>Basic Chemical Products</v>
      </c>
      <c r="C4159" s="6">
        <v>306</v>
      </c>
      <c r="D4159" s="6" t="str">
        <f t="shared" si="129"/>
        <v>Special Exports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</row>
    <row r="4160" spans="1:9">
      <c r="A4160" s="6">
        <v>28</v>
      </c>
      <c r="B4160" s="6" t="str">
        <f t="shared" si="128"/>
        <v>Fertilizer and Pesticides</v>
      </c>
      <c r="C4160" s="6">
        <v>306</v>
      </c>
      <c r="D4160" s="6" t="str">
        <f t="shared" si="129"/>
        <v>Special Exports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</row>
    <row r="4161" spans="1:9">
      <c r="A4161" s="6">
        <v>29</v>
      </c>
      <c r="B4161" s="6" t="str">
        <f t="shared" si="128"/>
        <v>Other Chemical Products</v>
      </c>
      <c r="C4161" s="6">
        <v>306</v>
      </c>
      <c r="D4161" s="6" t="str">
        <f t="shared" si="129"/>
        <v>Special Exports</v>
      </c>
      <c r="E4161" s="6">
        <v>3936462</v>
      </c>
      <c r="F4161" s="6">
        <v>197443</v>
      </c>
      <c r="G4161" s="6">
        <v>241493</v>
      </c>
      <c r="H4161" s="6">
        <v>67211</v>
      </c>
      <c r="I4161" s="6">
        <v>0</v>
      </c>
    </row>
    <row r="4162" spans="1:9">
      <c r="A4162" s="6">
        <v>30</v>
      </c>
      <c r="B4162" s="6" t="str">
        <f t="shared" si="128"/>
        <v>Petroleum Refineries</v>
      </c>
      <c r="C4162" s="6">
        <v>306</v>
      </c>
      <c r="D4162" s="6" t="str">
        <f t="shared" si="129"/>
        <v>Special Exports</v>
      </c>
      <c r="E4162" s="6">
        <v>38030322</v>
      </c>
      <c r="F4162" s="6">
        <v>2552185</v>
      </c>
      <c r="G4162" s="6">
        <v>3623998</v>
      </c>
      <c r="H4162" s="6">
        <v>362241</v>
      </c>
      <c r="I4162" s="6">
        <v>0</v>
      </c>
    </row>
    <row r="4163" spans="1:9">
      <c r="A4163" s="6">
        <v>31</v>
      </c>
      <c r="B4163" s="6" t="str">
        <f t="shared" si="128"/>
        <v>Rubber Products</v>
      </c>
      <c r="C4163" s="6">
        <v>306</v>
      </c>
      <c r="D4163" s="6" t="str">
        <f t="shared" si="129"/>
        <v>Special Exports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</row>
    <row r="4164" spans="1:9">
      <c r="A4164" s="6">
        <v>32</v>
      </c>
      <c r="B4164" s="6" t="str">
        <f t="shared" ref="B4164:B4227" si="130">VLOOKUP(A4164,R:S,2,0)</f>
        <v>Plastic Wares</v>
      </c>
      <c r="C4164" s="6">
        <v>306</v>
      </c>
      <c r="D4164" s="6" t="str">
        <f t="shared" ref="D4164:D4227" si="131">VLOOKUP(C4164,R:S,2,0)</f>
        <v>Special Exports</v>
      </c>
      <c r="E4164" s="6">
        <v>38472</v>
      </c>
      <c r="F4164" s="6">
        <v>718</v>
      </c>
      <c r="G4164" s="6">
        <v>563</v>
      </c>
      <c r="H4164" s="6">
        <v>243</v>
      </c>
      <c r="I4164" s="6">
        <v>0</v>
      </c>
    </row>
    <row r="4165" spans="1:9">
      <c r="A4165" s="6">
        <v>33</v>
      </c>
      <c r="B4165" s="6" t="str">
        <f t="shared" si="130"/>
        <v>Cement and Concrete Products</v>
      </c>
      <c r="C4165" s="6">
        <v>306</v>
      </c>
      <c r="D4165" s="6" t="str">
        <f t="shared" si="131"/>
        <v>Special Exports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</row>
    <row r="4166" spans="1:9">
      <c r="A4166" s="6">
        <v>34</v>
      </c>
      <c r="B4166" s="6" t="str">
        <f t="shared" si="130"/>
        <v>Other Non-metallic Products</v>
      </c>
      <c r="C4166" s="6">
        <v>306</v>
      </c>
      <c r="D4166" s="6" t="str">
        <f t="shared" si="131"/>
        <v>Special Exports</v>
      </c>
      <c r="E4166" s="6">
        <v>58528</v>
      </c>
      <c r="F4166" s="6">
        <v>4471</v>
      </c>
      <c r="G4166" s="6">
        <v>3778</v>
      </c>
      <c r="H4166" s="6">
        <v>801</v>
      </c>
      <c r="I4166" s="6">
        <v>0</v>
      </c>
    </row>
    <row r="4167" spans="1:9">
      <c r="A4167" s="6">
        <v>35</v>
      </c>
      <c r="B4167" s="6" t="str">
        <f t="shared" si="130"/>
        <v>Iron and Steel</v>
      </c>
      <c r="C4167" s="6">
        <v>306</v>
      </c>
      <c r="D4167" s="6" t="str">
        <f t="shared" si="131"/>
        <v>Special Exports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</row>
    <row r="4168" spans="1:9">
      <c r="A4168" s="6">
        <v>36</v>
      </c>
      <c r="B4168" s="6" t="str">
        <f t="shared" si="130"/>
        <v>Non-ferrous Metal</v>
      </c>
      <c r="C4168" s="6">
        <v>306</v>
      </c>
      <c r="D4168" s="6" t="str">
        <f t="shared" si="131"/>
        <v>Special Exports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</row>
    <row r="4169" spans="1:9">
      <c r="A4169" s="6">
        <v>37</v>
      </c>
      <c r="B4169" s="6" t="str">
        <f t="shared" si="130"/>
        <v>Fabricated Metal Products</v>
      </c>
      <c r="C4169" s="6">
        <v>306</v>
      </c>
      <c r="D4169" s="6" t="str">
        <f t="shared" si="131"/>
        <v>Special Exports</v>
      </c>
      <c r="E4169" s="6">
        <v>51557</v>
      </c>
      <c r="F4169" s="6">
        <v>334</v>
      </c>
      <c r="G4169" s="6">
        <v>1380</v>
      </c>
      <c r="H4169" s="6">
        <v>91</v>
      </c>
      <c r="I4169" s="6">
        <v>0</v>
      </c>
    </row>
    <row r="4170" spans="1:9">
      <c r="A4170" s="6">
        <v>38</v>
      </c>
      <c r="B4170" s="6" t="str">
        <f t="shared" si="130"/>
        <v>Industrial Machinery</v>
      </c>
      <c r="C4170" s="6">
        <v>306</v>
      </c>
      <c r="D4170" s="6" t="str">
        <f t="shared" si="131"/>
        <v>Special Exports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</row>
    <row r="4171" spans="1:9">
      <c r="A4171" s="6">
        <v>39</v>
      </c>
      <c r="B4171" s="6" t="str">
        <f t="shared" si="130"/>
        <v>Electrical Machinery and Apparatus</v>
      </c>
      <c r="C4171" s="6">
        <v>306</v>
      </c>
      <c r="D4171" s="6" t="str">
        <f t="shared" si="131"/>
        <v>Special Exports</v>
      </c>
      <c r="E4171" s="6">
        <v>1002657</v>
      </c>
      <c r="F4171" s="6">
        <v>48154</v>
      </c>
      <c r="G4171" s="6">
        <v>68646</v>
      </c>
      <c r="H4171" s="6">
        <v>9075</v>
      </c>
      <c r="I4171" s="6">
        <v>0</v>
      </c>
    </row>
    <row r="4172" spans="1:9">
      <c r="A4172" s="6">
        <v>40</v>
      </c>
      <c r="B4172" s="6" t="str">
        <f t="shared" si="130"/>
        <v>Motor Vehicles and Repairing</v>
      </c>
      <c r="C4172" s="6">
        <v>306</v>
      </c>
      <c r="D4172" s="6" t="str">
        <f t="shared" si="131"/>
        <v>Special Exports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</row>
    <row r="4173" spans="1:9">
      <c r="A4173" s="6">
        <v>41</v>
      </c>
      <c r="B4173" s="6" t="str">
        <f t="shared" si="130"/>
        <v>Other Transportation Equipment</v>
      </c>
      <c r="C4173" s="6">
        <v>306</v>
      </c>
      <c r="D4173" s="6" t="str">
        <f t="shared" si="131"/>
        <v>Special Exports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</row>
    <row r="4174" spans="1:9">
      <c r="A4174" s="6">
        <v>42</v>
      </c>
      <c r="B4174" s="6" t="str">
        <f t="shared" si="130"/>
        <v>Leather Products</v>
      </c>
      <c r="C4174" s="6">
        <v>306</v>
      </c>
      <c r="D4174" s="6" t="str">
        <f t="shared" si="131"/>
        <v>Special Exports</v>
      </c>
      <c r="E4174" s="6">
        <v>1715154</v>
      </c>
      <c r="F4174" s="6">
        <v>79953</v>
      </c>
      <c r="G4174" s="6">
        <v>125763</v>
      </c>
      <c r="H4174" s="6">
        <v>11558</v>
      </c>
      <c r="I4174" s="6">
        <v>0</v>
      </c>
    </row>
    <row r="4175" spans="1:9">
      <c r="A4175" s="6">
        <v>43</v>
      </c>
      <c r="B4175" s="6" t="str">
        <f t="shared" si="130"/>
        <v>Saw Mills and Wood Products</v>
      </c>
      <c r="C4175" s="6">
        <v>306</v>
      </c>
      <c r="D4175" s="6" t="str">
        <f t="shared" si="131"/>
        <v>Special Exports</v>
      </c>
      <c r="E4175" s="6">
        <v>75464</v>
      </c>
      <c r="F4175" s="6">
        <v>2024</v>
      </c>
      <c r="G4175" s="6">
        <v>9054</v>
      </c>
      <c r="H4175" s="6">
        <v>547</v>
      </c>
      <c r="I4175" s="6">
        <v>0</v>
      </c>
    </row>
    <row r="4176" spans="1:9">
      <c r="A4176" s="6">
        <v>44</v>
      </c>
      <c r="B4176" s="6" t="str">
        <f t="shared" si="130"/>
        <v>Other Manufacturing Products</v>
      </c>
      <c r="C4176" s="6">
        <v>306</v>
      </c>
      <c r="D4176" s="6" t="str">
        <f t="shared" si="131"/>
        <v>Special Exports</v>
      </c>
      <c r="E4176" s="6">
        <v>5374352</v>
      </c>
      <c r="F4176" s="6">
        <v>377252</v>
      </c>
      <c r="G4176" s="6">
        <v>597900</v>
      </c>
      <c r="H4176" s="6">
        <v>35997</v>
      </c>
      <c r="I4176" s="6">
        <v>0</v>
      </c>
    </row>
    <row r="4177" spans="1:9">
      <c r="A4177" s="6">
        <v>45</v>
      </c>
      <c r="B4177" s="6" t="str">
        <f t="shared" si="130"/>
        <v>Electricity and Gas</v>
      </c>
      <c r="C4177" s="6">
        <v>306</v>
      </c>
      <c r="D4177" s="6" t="str">
        <f t="shared" si="131"/>
        <v>Special Exports</v>
      </c>
      <c r="E4177" s="6">
        <v>1061</v>
      </c>
      <c r="F4177" s="6">
        <v>0</v>
      </c>
      <c r="G4177" s="6">
        <v>0</v>
      </c>
      <c r="H4177" s="6">
        <v>0</v>
      </c>
      <c r="I4177" s="6">
        <v>0</v>
      </c>
    </row>
    <row r="4178" spans="1:9">
      <c r="A4178" s="6">
        <v>46</v>
      </c>
      <c r="B4178" s="6" t="str">
        <f t="shared" si="130"/>
        <v>Water Works and Supply</v>
      </c>
      <c r="C4178" s="6">
        <v>306</v>
      </c>
      <c r="D4178" s="6" t="str">
        <f t="shared" si="131"/>
        <v>Special Exports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</row>
    <row r="4179" spans="1:9">
      <c r="A4179" s="6">
        <v>47</v>
      </c>
      <c r="B4179" s="6" t="str">
        <f t="shared" si="130"/>
        <v>Building Construction</v>
      </c>
      <c r="C4179" s="6">
        <v>306</v>
      </c>
      <c r="D4179" s="6" t="str">
        <f t="shared" si="131"/>
        <v>Special Exports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</row>
    <row r="4180" spans="1:9">
      <c r="A4180" s="6">
        <v>48</v>
      </c>
      <c r="B4180" s="6" t="str">
        <f t="shared" si="130"/>
        <v>Public Works and Other Construction</v>
      </c>
      <c r="C4180" s="6">
        <v>306</v>
      </c>
      <c r="D4180" s="6" t="str">
        <f t="shared" si="131"/>
        <v>Special Exports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</row>
    <row r="4181" spans="1:9">
      <c r="A4181" s="6">
        <v>49</v>
      </c>
      <c r="B4181" s="6" t="str">
        <f t="shared" si="130"/>
        <v>Trade</v>
      </c>
      <c r="C4181" s="6">
        <v>306</v>
      </c>
      <c r="D4181" s="6" t="str">
        <f t="shared" si="131"/>
        <v>Special Exports</v>
      </c>
      <c r="E4181" s="6">
        <v>0</v>
      </c>
      <c r="F4181" s="6">
        <v>-5617647</v>
      </c>
      <c r="G4181" s="6">
        <v>-8199590</v>
      </c>
      <c r="H4181" s="6">
        <v>0</v>
      </c>
      <c r="I4181" s="6">
        <v>0</v>
      </c>
    </row>
    <row r="4182" spans="1:9">
      <c r="A4182" s="6">
        <v>50</v>
      </c>
      <c r="B4182" s="6" t="str">
        <f t="shared" si="130"/>
        <v>Restaurants and Hotels</v>
      </c>
      <c r="C4182" s="6">
        <v>306</v>
      </c>
      <c r="D4182" s="6" t="str">
        <f t="shared" si="131"/>
        <v>Special Exports</v>
      </c>
      <c r="E4182" s="6">
        <v>102435752</v>
      </c>
      <c r="F4182" s="6">
        <v>0</v>
      </c>
      <c r="G4182" s="6">
        <v>0</v>
      </c>
      <c r="H4182" s="6">
        <v>0</v>
      </c>
      <c r="I4182" s="6">
        <v>0</v>
      </c>
    </row>
    <row r="4183" spans="1:9">
      <c r="A4183" s="6">
        <v>51</v>
      </c>
      <c r="B4183" s="6" t="str">
        <f t="shared" si="130"/>
        <v>Transportation</v>
      </c>
      <c r="C4183" s="6">
        <v>306</v>
      </c>
      <c r="D4183" s="6" t="str">
        <f t="shared" si="131"/>
        <v>Special Exports</v>
      </c>
      <c r="E4183" s="6">
        <v>250913871</v>
      </c>
      <c r="F4183" s="6">
        <v>0</v>
      </c>
      <c r="G4183" s="6">
        <v>0</v>
      </c>
      <c r="H4183" s="6">
        <v>-778021</v>
      </c>
      <c r="I4183" s="6">
        <v>0</v>
      </c>
    </row>
    <row r="4184" spans="1:9">
      <c r="A4184" s="6">
        <v>52</v>
      </c>
      <c r="B4184" s="6" t="str">
        <f t="shared" si="130"/>
        <v>Communication</v>
      </c>
      <c r="C4184" s="6">
        <v>306</v>
      </c>
      <c r="D4184" s="6" t="str">
        <f t="shared" si="131"/>
        <v>Special Exports</v>
      </c>
      <c r="E4184" s="6">
        <v>26928955</v>
      </c>
      <c r="F4184" s="6">
        <v>0</v>
      </c>
      <c r="G4184" s="6">
        <v>0</v>
      </c>
      <c r="H4184" s="6">
        <v>0</v>
      </c>
      <c r="I4184" s="6">
        <v>0</v>
      </c>
    </row>
    <row r="4185" spans="1:9">
      <c r="A4185" s="6">
        <v>53</v>
      </c>
      <c r="B4185" s="6" t="str">
        <f t="shared" si="130"/>
        <v>Banking and Insurance</v>
      </c>
      <c r="C4185" s="6">
        <v>306</v>
      </c>
      <c r="D4185" s="6" t="str">
        <f t="shared" si="131"/>
        <v>Special Exports</v>
      </c>
      <c r="E4185" s="6">
        <v>41559726</v>
      </c>
      <c r="F4185" s="6">
        <v>0</v>
      </c>
      <c r="G4185" s="6">
        <v>0</v>
      </c>
      <c r="H4185" s="6">
        <v>0</v>
      </c>
      <c r="I4185" s="6">
        <v>0</v>
      </c>
    </row>
    <row r="4186" spans="1:9">
      <c r="A4186" s="6">
        <v>54</v>
      </c>
      <c r="B4186" s="6" t="str">
        <f t="shared" si="130"/>
        <v>Real Estate</v>
      </c>
      <c r="C4186" s="6">
        <v>306</v>
      </c>
      <c r="D4186" s="6" t="str">
        <f t="shared" si="131"/>
        <v>Special Exports</v>
      </c>
      <c r="E4186" s="6">
        <v>75641619</v>
      </c>
      <c r="F4186" s="6">
        <v>0</v>
      </c>
      <c r="G4186" s="6">
        <v>0</v>
      </c>
      <c r="H4186" s="6">
        <v>0</v>
      </c>
      <c r="I4186" s="6">
        <v>0</v>
      </c>
    </row>
    <row r="4187" spans="1:9">
      <c r="A4187" s="6">
        <v>55</v>
      </c>
      <c r="B4187" s="6" t="str">
        <f t="shared" si="130"/>
        <v>Business Services</v>
      </c>
      <c r="C4187" s="6">
        <v>306</v>
      </c>
      <c r="D4187" s="6" t="str">
        <f t="shared" si="131"/>
        <v>Special Exports</v>
      </c>
      <c r="E4187" s="6">
        <v>129997742</v>
      </c>
      <c r="F4187" s="6">
        <v>0</v>
      </c>
      <c r="G4187" s="6">
        <v>0</v>
      </c>
      <c r="H4187" s="6">
        <v>0</v>
      </c>
      <c r="I4187" s="6">
        <v>0</v>
      </c>
    </row>
    <row r="4188" spans="1:9">
      <c r="A4188" s="6">
        <v>56</v>
      </c>
      <c r="B4188" s="6" t="str">
        <f t="shared" si="130"/>
        <v>Public Services</v>
      </c>
      <c r="C4188" s="6">
        <v>306</v>
      </c>
      <c r="D4188" s="6" t="str">
        <f t="shared" si="131"/>
        <v>Special Exports</v>
      </c>
      <c r="E4188" s="6">
        <v>46839615</v>
      </c>
      <c r="F4188" s="6">
        <v>0</v>
      </c>
      <c r="G4188" s="6">
        <v>0</v>
      </c>
      <c r="H4188" s="6">
        <v>0</v>
      </c>
      <c r="I4188" s="6">
        <v>0</v>
      </c>
    </row>
    <row r="4189" spans="1:9">
      <c r="A4189" s="6">
        <v>57</v>
      </c>
      <c r="B4189" s="6" t="str">
        <f t="shared" si="130"/>
        <v>Other Services</v>
      </c>
      <c r="C4189" s="6">
        <v>306</v>
      </c>
      <c r="D4189" s="6" t="str">
        <f t="shared" si="131"/>
        <v>Special Exports</v>
      </c>
      <c r="E4189" s="6">
        <v>43461509</v>
      </c>
      <c r="F4189" s="6">
        <v>0</v>
      </c>
      <c r="G4189" s="6">
        <v>0</v>
      </c>
      <c r="H4189" s="6">
        <v>0</v>
      </c>
      <c r="I4189" s="6">
        <v>0</v>
      </c>
    </row>
    <row r="4190" spans="1:9">
      <c r="A4190" s="6">
        <v>58</v>
      </c>
      <c r="B4190" s="6" t="str">
        <f t="shared" si="130"/>
        <v>Unclassified</v>
      </c>
      <c r="C4190" s="6">
        <v>306</v>
      </c>
      <c r="D4190" s="6" t="str">
        <f t="shared" si="131"/>
        <v>Special Exports</v>
      </c>
      <c r="E4190" s="6">
        <v>7791194</v>
      </c>
      <c r="F4190" s="6">
        <v>0</v>
      </c>
      <c r="G4190" s="6">
        <v>0</v>
      </c>
      <c r="H4190" s="6">
        <v>0</v>
      </c>
      <c r="I4190" s="6">
        <v>0</v>
      </c>
    </row>
    <row r="4191" spans="1:9">
      <c r="A4191" s="6">
        <v>190</v>
      </c>
      <c r="B4191" s="6" t="str">
        <f t="shared" si="130"/>
        <v>Total Intermedite Transaction</v>
      </c>
      <c r="C4191" s="6">
        <v>306</v>
      </c>
      <c r="D4191" s="6" t="str">
        <f t="shared" si="131"/>
        <v>Special Exports</v>
      </c>
      <c r="E4191" s="6">
        <v>813739550</v>
      </c>
      <c r="F4191" s="6">
        <v>0</v>
      </c>
      <c r="G4191" s="6">
        <v>0</v>
      </c>
      <c r="H4191" s="6">
        <v>0</v>
      </c>
      <c r="I4191" s="6">
        <v>0</v>
      </c>
    </row>
    <row r="4192" spans="1:9">
      <c r="A4192" s="6">
        <v>1</v>
      </c>
      <c r="B4192" s="6" t="str">
        <f t="shared" si="130"/>
        <v>Paddy</v>
      </c>
      <c r="C4192" s="6">
        <v>309</v>
      </c>
      <c r="D4192" s="6" t="str">
        <f t="shared" si="131"/>
        <v>Total Final Demand</v>
      </c>
      <c r="E4192" s="6">
        <v>-24575572</v>
      </c>
      <c r="F4192" s="6">
        <v>-3807671</v>
      </c>
      <c r="G4192" s="6">
        <v>-209294</v>
      </c>
      <c r="H4192" s="6">
        <v>-196141</v>
      </c>
      <c r="I4192" s="6">
        <v>0</v>
      </c>
    </row>
    <row r="4193" spans="1:9">
      <c r="A4193" s="6">
        <v>2</v>
      </c>
      <c r="B4193" s="6" t="str">
        <f t="shared" si="130"/>
        <v>Maize</v>
      </c>
      <c r="C4193" s="6">
        <v>309</v>
      </c>
      <c r="D4193" s="6" t="str">
        <f t="shared" si="131"/>
        <v>Total Final Demand</v>
      </c>
      <c r="E4193" s="6">
        <v>31986101</v>
      </c>
      <c r="F4193" s="6">
        <v>1351673</v>
      </c>
      <c r="G4193" s="6">
        <v>505640</v>
      </c>
      <c r="H4193" s="6">
        <v>238299</v>
      </c>
      <c r="I4193" s="6">
        <v>673959</v>
      </c>
    </row>
    <row r="4194" spans="1:9">
      <c r="A4194" s="6">
        <v>3</v>
      </c>
      <c r="B4194" s="6" t="str">
        <f t="shared" si="130"/>
        <v>Cassava</v>
      </c>
      <c r="C4194" s="6">
        <v>309</v>
      </c>
      <c r="D4194" s="6" t="str">
        <f t="shared" si="131"/>
        <v>Total Final Demand</v>
      </c>
      <c r="E4194" s="6">
        <v>12753168</v>
      </c>
      <c r="F4194" s="6">
        <v>565231</v>
      </c>
      <c r="G4194" s="6">
        <v>109090</v>
      </c>
      <c r="H4194" s="6">
        <v>86026</v>
      </c>
      <c r="I4194" s="6">
        <v>0</v>
      </c>
    </row>
    <row r="4195" spans="1:9">
      <c r="A4195" s="6">
        <v>4</v>
      </c>
      <c r="B4195" s="6" t="str">
        <f t="shared" si="130"/>
        <v>Beans and Nuts</v>
      </c>
      <c r="C4195" s="6">
        <v>309</v>
      </c>
      <c r="D4195" s="6" t="str">
        <f t="shared" si="131"/>
        <v>Total Final Demand</v>
      </c>
      <c r="E4195" s="6">
        <v>3191168</v>
      </c>
      <c r="F4195" s="6">
        <v>221895</v>
      </c>
      <c r="G4195" s="6">
        <v>52844</v>
      </c>
      <c r="H4195" s="6">
        <v>5303</v>
      </c>
      <c r="I4195" s="6">
        <v>1065143</v>
      </c>
    </row>
    <row r="4196" spans="1:9">
      <c r="A4196" s="6">
        <v>5</v>
      </c>
      <c r="B4196" s="6" t="str">
        <f t="shared" si="130"/>
        <v>Vegetables and Fruits</v>
      </c>
      <c r="C4196" s="6">
        <v>309</v>
      </c>
      <c r="D4196" s="6" t="str">
        <f t="shared" si="131"/>
        <v>Total Final Demand</v>
      </c>
      <c r="E4196" s="6">
        <v>755453033</v>
      </c>
      <c r="F4196" s="6">
        <v>101464433</v>
      </c>
      <c r="G4196" s="6">
        <v>118757016</v>
      </c>
      <c r="H4196" s="6">
        <v>12421364</v>
      </c>
      <c r="I4196" s="6">
        <v>42902095</v>
      </c>
    </row>
    <row r="4197" spans="1:9">
      <c r="A4197" s="6">
        <v>6</v>
      </c>
      <c r="B4197" s="6" t="str">
        <f t="shared" si="130"/>
        <v>Sugarcane</v>
      </c>
      <c r="C4197" s="6">
        <v>309</v>
      </c>
      <c r="D4197" s="6" t="str">
        <f t="shared" si="131"/>
        <v>Total Final Demand</v>
      </c>
      <c r="E4197" s="6">
        <v>7135</v>
      </c>
      <c r="F4197" s="6">
        <v>167</v>
      </c>
      <c r="G4197" s="6">
        <v>1535</v>
      </c>
      <c r="H4197" s="6">
        <v>172</v>
      </c>
      <c r="I4197" s="6">
        <v>0</v>
      </c>
    </row>
    <row r="4198" spans="1:9">
      <c r="A4198" s="6">
        <v>7</v>
      </c>
      <c r="B4198" s="6" t="str">
        <f t="shared" si="130"/>
        <v>Rubber (Latex)</v>
      </c>
      <c r="C4198" s="6">
        <v>309</v>
      </c>
      <c r="D4198" s="6" t="str">
        <f t="shared" si="131"/>
        <v>Total Final Demand</v>
      </c>
      <c r="E4198" s="6">
        <v>119686844</v>
      </c>
      <c r="F4198" s="6">
        <v>5929679</v>
      </c>
      <c r="G4198" s="6">
        <v>0</v>
      </c>
      <c r="H4198" s="6">
        <v>605929</v>
      </c>
      <c r="I4198" s="6">
        <v>0</v>
      </c>
    </row>
    <row r="4199" spans="1:9">
      <c r="A4199" s="6">
        <v>8</v>
      </c>
      <c r="B4199" s="6" t="str">
        <f t="shared" si="130"/>
        <v>Other Crops</v>
      </c>
      <c r="C4199" s="6">
        <v>309</v>
      </c>
      <c r="D4199" s="6" t="str">
        <f t="shared" si="131"/>
        <v>Total Final Demand</v>
      </c>
      <c r="E4199" s="6">
        <v>33990692</v>
      </c>
      <c r="F4199" s="6">
        <v>4326450</v>
      </c>
      <c r="G4199" s="6">
        <v>994862</v>
      </c>
      <c r="H4199" s="6">
        <v>494610</v>
      </c>
      <c r="I4199" s="6">
        <v>1765302</v>
      </c>
    </row>
    <row r="4200" spans="1:9">
      <c r="A4200" s="6">
        <v>9</v>
      </c>
      <c r="B4200" s="6" t="str">
        <f t="shared" si="130"/>
        <v>Livestock</v>
      </c>
      <c r="C4200" s="6">
        <v>309</v>
      </c>
      <c r="D4200" s="6" t="str">
        <f t="shared" si="131"/>
        <v>Total Final Demand</v>
      </c>
      <c r="E4200" s="6">
        <v>94798974</v>
      </c>
      <c r="F4200" s="6">
        <v>5289745</v>
      </c>
      <c r="G4200" s="6">
        <v>3581997</v>
      </c>
      <c r="H4200" s="6">
        <v>625917</v>
      </c>
      <c r="I4200" s="6">
        <v>2181490</v>
      </c>
    </row>
    <row r="4201" spans="1:9">
      <c r="A4201" s="6">
        <v>10</v>
      </c>
      <c r="B4201" s="6" t="str">
        <f t="shared" si="130"/>
        <v>Forestry</v>
      </c>
      <c r="C4201" s="6">
        <v>309</v>
      </c>
      <c r="D4201" s="6" t="str">
        <f t="shared" si="131"/>
        <v>Total Final Demand</v>
      </c>
      <c r="E4201" s="6">
        <v>-18671133</v>
      </c>
      <c r="F4201" s="6">
        <v>733330</v>
      </c>
      <c r="G4201" s="6">
        <v>1228522</v>
      </c>
      <c r="H4201" s="6">
        <v>-270928</v>
      </c>
      <c r="I4201" s="6">
        <v>503581</v>
      </c>
    </row>
    <row r="4202" spans="1:9">
      <c r="A4202" s="6">
        <v>11</v>
      </c>
      <c r="B4202" s="6" t="str">
        <f t="shared" si="130"/>
        <v>Fishery</v>
      </c>
      <c r="C4202" s="6">
        <v>309</v>
      </c>
      <c r="D4202" s="6" t="str">
        <f t="shared" si="131"/>
        <v>Total Final Demand</v>
      </c>
      <c r="E4202" s="6">
        <v>114634445</v>
      </c>
      <c r="F4202" s="6">
        <v>13899968</v>
      </c>
      <c r="G4202" s="6">
        <v>15285187</v>
      </c>
      <c r="H4202" s="6">
        <v>2321745</v>
      </c>
      <c r="I4202" s="6">
        <v>7682764</v>
      </c>
    </row>
    <row r="4203" spans="1:9">
      <c r="A4203" s="6">
        <v>12</v>
      </c>
      <c r="B4203" s="6" t="str">
        <f t="shared" si="130"/>
        <v>Crude Oil and Coal</v>
      </c>
      <c r="C4203" s="6">
        <v>309</v>
      </c>
      <c r="D4203" s="6" t="str">
        <f t="shared" si="131"/>
        <v>Total Final Demand</v>
      </c>
      <c r="E4203" s="6">
        <v>135010407</v>
      </c>
      <c r="F4203" s="6">
        <v>30982</v>
      </c>
      <c r="G4203" s="6">
        <v>0</v>
      </c>
      <c r="H4203" s="6">
        <v>61771</v>
      </c>
      <c r="I4203" s="6">
        <v>4847781</v>
      </c>
    </row>
    <row r="4204" spans="1:9">
      <c r="A4204" s="6">
        <v>13</v>
      </c>
      <c r="B4204" s="6" t="str">
        <f t="shared" si="130"/>
        <v>Metal Ore</v>
      </c>
      <c r="C4204" s="6">
        <v>309</v>
      </c>
      <c r="D4204" s="6" t="str">
        <f t="shared" si="131"/>
        <v>Total Final Demand</v>
      </c>
      <c r="E4204" s="6">
        <v>-6252797</v>
      </c>
      <c r="F4204" s="6">
        <v>87487</v>
      </c>
      <c r="G4204" s="6">
        <v>0</v>
      </c>
      <c r="H4204" s="6">
        <v>-98423</v>
      </c>
      <c r="I4204" s="6">
        <v>0</v>
      </c>
    </row>
    <row r="4205" spans="1:9">
      <c r="A4205" s="6">
        <v>14</v>
      </c>
      <c r="B4205" s="6" t="str">
        <f t="shared" si="130"/>
        <v>Non-Metal Ore</v>
      </c>
      <c r="C4205" s="6">
        <v>309</v>
      </c>
      <c r="D4205" s="6" t="str">
        <f t="shared" si="131"/>
        <v>Total Final Demand</v>
      </c>
      <c r="E4205" s="6">
        <v>-46004808</v>
      </c>
      <c r="F4205" s="6">
        <v>-2180382</v>
      </c>
      <c r="G4205" s="6">
        <v>0</v>
      </c>
      <c r="H4205" s="6">
        <v>-5304441</v>
      </c>
      <c r="I4205" s="6">
        <v>0</v>
      </c>
    </row>
    <row r="4206" spans="1:9">
      <c r="A4206" s="6">
        <v>15</v>
      </c>
      <c r="B4206" s="6" t="str">
        <f t="shared" si="130"/>
        <v>Slaughtering</v>
      </c>
      <c r="C4206" s="6">
        <v>309</v>
      </c>
      <c r="D4206" s="6" t="str">
        <f t="shared" si="131"/>
        <v>Total Final Demand</v>
      </c>
      <c r="E4206" s="6">
        <v>330098204</v>
      </c>
      <c r="F4206" s="6">
        <v>9078886</v>
      </c>
      <c r="G4206" s="6">
        <v>15504985</v>
      </c>
      <c r="H4206" s="6">
        <v>1049449</v>
      </c>
      <c r="I4206" s="6">
        <v>170979</v>
      </c>
    </row>
    <row r="4207" spans="1:9">
      <c r="A4207" s="6">
        <v>16</v>
      </c>
      <c r="B4207" s="6" t="str">
        <f t="shared" si="130"/>
        <v>Processing and Presering of Foods</v>
      </c>
      <c r="C4207" s="6">
        <v>309</v>
      </c>
      <c r="D4207" s="6" t="str">
        <f t="shared" si="131"/>
        <v>Total Final Demand</v>
      </c>
      <c r="E4207" s="6">
        <v>835611277</v>
      </c>
      <c r="F4207" s="6">
        <v>33341604</v>
      </c>
      <c r="G4207" s="6">
        <v>25361284</v>
      </c>
      <c r="H4207" s="6">
        <v>6366990</v>
      </c>
      <c r="I4207" s="6">
        <v>107853243</v>
      </c>
    </row>
    <row r="4208" spans="1:9">
      <c r="A4208" s="6">
        <v>17</v>
      </c>
      <c r="B4208" s="6" t="str">
        <f t="shared" si="130"/>
        <v>Rice and Other Grain Milling</v>
      </c>
      <c r="C4208" s="6">
        <v>309</v>
      </c>
      <c r="D4208" s="6" t="str">
        <f t="shared" si="131"/>
        <v>Total Final Demand</v>
      </c>
      <c r="E4208" s="6">
        <v>478530559</v>
      </c>
      <c r="F4208" s="6">
        <v>30755834</v>
      </c>
      <c r="G4208" s="6">
        <v>31496091</v>
      </c>
      <c r="H4208" s="6">
        <v>8896485</v>
      </c>
      <c r="I4208" s="6">
        <v>1880023</v>
      </c>
    </row>
    <row r="4209" spans="1:9">
      <c r="A4209" s="6">
        <v>18</v>
      </c>
      <c r="B4209" s="6" t="str">
        <f t="shared" si="130"/>
        <v>Sugar Refineries</v>
      </c>
      <c r="C4209" s="6">
        <v>309</v>
      </c>
      <c r="D4209" s="6" t="str">
        <f t="shared" si="131"/>
        <v>Total Final Demand</v>
      </c>
      <c r="E4209" s="6">
        <v>67292481</v>
      </c>
      <c r="F4209" s="6">
        <v>2938246</v>
      </c>
      <c r="G4209" s="6">
        <v>1082119</v>
      </c>
      <c r="H4209" s="6">
        <v>959645</v>
      </c>
      <c r="I4209" s="6">
        <v>1339243</v>
      </c>
    </row>
    <row r="4210" spans="1:9">
      <c r="A4210" s="6">
        <v>19</v>
      </c>
      <c r="B4210" s="6" t="str">
        <f t="shared" si="130"/>
        <v>Other Foods</v>
      </c>
      <c r="C4210" s="6">
        <v>309</v>
      </c>
      <c r="D4210" s="6" t="str">
        <f t="shared" si="131"/>
        <v>Total Final Demand</v>
      </c>
      <c r="E4210" s="6">
        <v>293865642</v>
      </c>
      <c r="F4210" s="6">
        <v>18698513</v>
      </c>
      <c r="G4210" s="6">
        <v>14717003</v>
      </c>
      <c r="H4210" s="6">
        <v>4415104</v>
      </c>
      <c r="I4210" s="6">
        <v>37533568</v>
      </c>
    </row>
    <row r="4211" spans="1:9">
      <c r="A4211" s="6">
        <v>20</v>
      </c>
      <c r="B4211" s="6" t="str">
        <f t="shared" si="130"/>
        <v>Animal Food</v>
      </c>
      <c r="C4211" s="6">
        <v>309</v>
      </c>
      <c r="D4211" s="6" t="str">
        <f t="shared" si="131"/>
        <v>Total Final Demand</v>
      </c>
      <c r="E4211" s="6">
        <v>11678438</v>
      </c>
      <c r="F4211" s="6">
        <v>3523514</v>
      </c>
      <c r="G4211" s="6">
        <v>-1053874</v>
      </c>
      <c r="H4211" s="6">
        <v>63479</v>
      </c>
      <c r="I4211" s="6">
        <v>2178321</v>
      </c>
    </row>
    <row r="4212" spans="1:9">
      <c r="A4212" s="6">
        <v>21</v>
      </c>
      <c r="B4212" s="6" t="str">
        <f t="shared" si="130"/>
        <v>Beverages</v>
      </c>
      <c r="C4212" s="6">
        <v>309</v>
      </c>
      <c r="D4212" s="6" t="str">
        <f t="shared" si="131"/>
        <v>Total Final Demand</v>
      </c>
      <c r="E4212" s="6">
        <v>461453850</v>
      </c>
      <c r="F4212" s="6">
        <v>26662179</v>
      </c>
      <c r="G4212" s="6">
        <v>29172578</v>
      </c>
      <c r="H4212" s="6">
        <v>6328161</v>
      </c>
      <c r="I4212" s="6">
        <v>11366446</v>
      </c>
    </row>
    <row r="4213" spans="1:9">
      <c r="A4213" s="6">
        <v>22</v>
      </c>
      <c r="B4213" s="6" t="str">
        <f t="shared" si="130"/>
        <v>Tobacco Processing and Products</v>
      </c>
      <c r="C4213" s="6">
        <v>309</v>
      </c>
      <c r="D4213" s="6" t="str">
        <f t="shared" si="131"/>
        <v>Total Final Demand</v>
      </c>
      <c r="E4213" s="6">
        <v>70146629</v>
      </c>
      <c r="F4213" s="6">
        <v>4317209</v>
      </c>
      <c r="G4213" s="6">
        <v>5037779</v>
      </c>
      <c r="H4213" s="6">
        <v>537016</v>
      </c>
      <c r="I4213" s="6">
        <v>17804969</v>
      </c>
    </row>
    <row r="4214" spans="1:9">
      <c r="A4214" s="6">
        <v>23</v>
      </c>
      <c r="B4214" s="6" t="str">
        <f t="shared" si="130"/>
        <v>Spinning, Weaving and Bleaching</v>
      </c>
      <c r="C4214" s="6">
        <v>309</v>
      </c>
      <c r="D4214" s="6" t="str">
        <f t="shared" si="131"/>
        <v>Total Final Demand</v>
      </c>
      <c r="E4214" s="6">
        <v>104370606</v>
      </c>
      <c r="F4214" s="6">
        <v>8803603</v>
      </c>
      <c r="G4214" s="6">
        <v>636846</v>
      </c>
      <c r="H4214" s="6">
        <v>697235</v>
      </c>
      <c r="I4214" s="6">
        <v>1092973</v>
      </c>
    </row>
    <row r="4215" spans="1:9">
      <c r="A4215" s="6">
        <v>24</v>
      </c>
      <c r="B4215" s="6" t="str">
        <f t="shared" si="130"/>
        <v>Textile Products</v>
      </c>
      <c r="C4215" s="6">
        <v>309</v>
      </c>
      <c r="D4215" s="6" t="str">
        <f t="shared" si="131"/>
        <v>Total Final Demand</v>
      </c>
      <c r="E4215" s="6">
        <v>396301589</v>
      </c>
      <c r="F4215" s="6">
        <v>24416095</v>
      </c>
      <c r="G4215" s="6">
        <v>28435984</v>
      </c>
      <c r="H4215" s="6">
        <v>2012476</v>
      </c>
      <c r="I4215" s="6">
        <v>78446392</v>
      </c>
    </row>
    <row r="4216" spans="1:9">
      <c r="A4216" s="6">
        <v>25</v>
      </c>
      <c r="B4216" s="6" t="str">
        <f t="shared" si="130"/>
        <v>Paper and Paper Products</v>
      </c>
      <c r="C4216" s="6">
        <v>309</v>
      </c>
      <c r="D4216" s="6" t="str">
        <f t="shared" si="131"/>
        <v>Total Final Demand</v>
      </c>
      <c r="E4216" s="6">
        <v>90839589</v>
      </c>
      <c r="F4216" s="6">
        <v>7456622</v>
      </c>
      <c r="G4216" s="6">
        <v>1366525</v>
      </c>
      <c r="H4216" s="6">
        <v>1254899</v>
      </c>
      <c r="I4216" s="6">
        <v>10584186</v>
      </c>
    </row>
    <row r="4217" spans="1:9">
      <c r="A4217" s="6">
        <v>26</v>
      </c>
      <c r="B4217" s="6" t="str">
        <f t="shared" si="130"/>
        <v>Printing and Publishing</v>
      </c>
      <c r="C4217" s="6">
        <v>309</v>
      </c>
      <c r="D4217" s="6" t="str">
        <f t="shared" si="131"/>
        <v>Total Final Demand</v>
      </c>
      <c r="E4217" s="6">
        <v>87303431</v>
      </c>
      <c r="F4217" s="6">
        <v>4490911</v>
      </c>
      <c r="G4217" s="6">
        <v>7531917</v>
      </c>
      <c r="H4217" s="6">
        <v>729348</v>
      </c>
      <c r="I4217" s="6">
        <v>31942505</v>
      </c>
    </row>
    <row r="4218" spans="1:9">
      <c r="A4218" s="6">
        <v>27</v>
      </c>
      <c r="B4218" s="6" t="str">
        <f t="shared" si="130"/>
        <v>Basic Chemical Products</v>
      </c>
      <c r="C4218" s="6">
        <v>309</v>
      </c>
      <c r="D4218" s="6" t="str">
        <f t="shared" si="131"/>
        <v>Total Final Demand</v>
      </c>
      <c r="E4218" s="6">
        <v>595502766</v>
      </c>
      <c r="F4218" s="6">
        <v>73824290</v>
      </c>
      <c r="G4218" s="6">
        <v>-4594394</v>
      </c>
      <c r="H4218" s="6">
        <v>6410313</v>
      </c>
      <c r="I4218" s="6">
        <v>141053</v>
      </c>
    </row>
    <row r="4219" spans="1:9">
      <c r="A4219" s="6">
        <v>28</v>
      </c>
      <c r="B4219" s="6" t="str">
        <f t="shared" si="130"/>
        <v>Fertilizer and Pesticides</v>
      </c>
      <c r="C4219" s="6">
        <v>309</v>
      </c>
      <c r="D4219" s="6" t="str">
        <f t="shared" si="131"/>
        <v>Total Final Demand</v>
      </c>
      <c r="E4219" s="6">
        <v>-20761590</v>
      </c>
      <c r="F4219" s="6">
        <v>601146</v>
      </c>
      <c r="G4219" s="6">
        <v>-1845300</v>
      </c>
      <c r="H4219" s="6">
        <v>-596983</v>
      </c>
      <c r="I4219" s="6">
        <v>1451241</v>
      </c>
    </row>
    <row r="4220" spans="1:9">
      <c r="A4220" s="6">
        <v>29</v>
      </c>
      <c r="B4220" s="6" t="str">
        <f t="shared" si="130"/>
        <v>Other Chemical Products</v>
      </c>
      <c r="C4220" s="6">
        <v>309</v>
      </c>
      <c r="D4220" s="6" t="str">
        <f t="shared" si="131"/>
        <v>Total Final Demand</v>
      </c>
      <c r="E4220" s="6">
        <v>452461974</v>
      </c>
      <c r="F4220" s="6">
        <v>56311130</v>
      </c>
      <c r="G4220" s="6">
        <v>52868708</v>
      </c>
      <c r="H4220" s="6">
        <v>4947238</v>
      </c>
      <c r="I4220" s="6">
        <v>128025187</v>
      </c>
    </row>
    <row r="4221" spans="1:9">
      <c r="A4221" s="6">
        <v>30</v>
      </c>
      <c r="B4221" s="6" t="str">
        <f t="shared" si="130"/>
        <v>Petroleum Refineries</v>
      </c>
      <c r="C4221" s="6">
        <v>309</v>
      </c>
      <c r="D4221" s="6" t="str">
        <f t="shared" si="131"/>
        <v>Total Final Demand</v>
      </c>
      <c r="E4221" s="6">
        <v>758129184</v>
      </c>
      <c r="F4221" s="6">
        <v>40571028</v>
      </c>
      <c r="G4221" s="6">
        <v>37341799</v>
      </c>
      <c r="H4221" s="6">
        <v>6575207</v>
      </c>
      <c r="I4221" s="6">
        <v>77395599</v>
      </c>
    </row>
    <row r="4222" spans="1:9">
      <c r="A4222" s="6">
        <v>31</v>
      </c>
      <c r="B4222" s="6" t="str">
        <f t="shared" si="130"/>
        <v>Rubber Products</v>
      </c>
      <c r="C4222" s="6">
        <v>309</v>
      </c>
      <c r="D4222" s="6" t="str">
        <f t="shared" si="131"/>
        <v>Total Final Demand</v>
      </c>
      <c r="E4222" s="6">
        <v>327823446</v>
      </c>
      <c r="F4222" s="6">
        <v>32199768</v>
      </c>
      <c r="G4222" s="6">
        <v>-10701</v>
      </c>
      <c r="H4222" s="6">
        <v>6112581</v>
      </c>
      <c r="I4222" s="6">
        <v>10700525</v>
      </c>
    </row>
    <row r="4223" spans="1:9">
      <c r="A4223" s="6">
        <v>32</v>
      </c>
      <c r="B4223" s="6" t="str">
        <f t="shared" si="130"/>
        <v>Plastic Wares</v>
      </c>
      <c r="C4223" s="6">
        <v>309</v>
      </c>
      <c r="D4223" s="6" t="str">
        <f t="shared" si="131"/>
        <v>Total Final Demand</v>
      </c>
      <c r="E4223" s="6">
        <v>329475943</v>
      </c>
      <c r="F4223" s="6">
        <v>16112725</v>
      </c>
      <c r="G4223" s="6">
        <v>6389956</v>
      </c>
      <c r="H4223" s="6">
        <v>1966994</v>
      </c>
      <c r="I4223" s="6">
        <v>23441426</v>
      </c>
    </row>
    <row r="4224" spans="1:9">
      <c r="A4224" s="6">
        <v>33</v>
      </c>
      <c r="B4224" s="6" t="str">
        <f t="shared" si="130"/>
        <v>Cement and Concrete Products</v>
      </c>
      <c r="C4224" s="6">
        <v>309</v>
      </c>
      <c r="D4224" s="6" t="str">
        <f t="shared" si="131"/>
        <v>Total Final Demand</v>
      </c>
      <c r="E4224" s="6">
        <v>-19165165</v>
      </c>
      <c r="F4224" s="6">
        <v>-924195</v>
      </c>
      <c r="G4224" s="6">
        <v>-508784</v>
      </c>
      <c r="H4224" s="6">
        <v>-277060</v>
      </c>
      <c r="I4224" s="6">
        <v>0</v>
      </c>
    </row>
    <row r="4225" spans="1:9">
      <c r="A4225" s="6">
        <v>34</v>
      </c>
      <c r="B4225" s="6" t="str">
        <f t="shared" si="130"/>
        <v>Other Non-metallic Products</v>
      </c>
      <c r="C4225" s="6">
        <v>309</v>
      </c>
      <c r="D4225" s="6" t="str">
        <f t="shared" si="131"/>
        <v>Total Final Demand</v>
      </c>
      <c r="E4225" s="6">
        <v>151651613</v>
      </c>
      <c r="F4225" s="6">
        <v>10307521</v>
      </c>
      <c r="G4225" s="6">
        <v>4708614</v>
      </c>
      <c r="H4225" s="6">
        <v>1958590</v>
      </c>
      <c r="I4225" s="6">
        <v>12410114</v>
      </c>
    </row>
    <row r="4226" spans="1:9">
      <c r="A4226" s="6">
        <v>35</v>
      </c>
      <c r="B4226" s="6" t="str">
        <f t="shared" si="130"/>
        <v>Iron and Steel</v>
      </c>
      <c r="C4226" s="6">
        <v>309</v>
      </c>
      <c r="D4226" s="6" t="str">
        <f t="shared" si="131"/>
        <v>Total Final Demand</v>
      </c>
      <c r="E4226" s="6">
        <v>-34198952</v>
      </c>
      <c r="F4226" s="6">
        <v>-104796</v>
      </c>
      <c r="G4226" s="6">
        <v>-8561549</v>
      </c>
      <c r="H4226" s="6">
        <v>-346466</v>
      </c>
      <c r="I4226" s="6">
        <v>0</v>
      </c>
    </row>
    <row r="4227" spans="1:9">
      <c r="A4227" s="6">
        <v>36</v>
      </c>
      <c r="B4227" s="6" t="str">
        <f t="shared" si="130"/>
        <v>Non-ferrous Metal</v>
      </c>
      <c r="C4227" s="6">
        <v>309</v>
      </c>
      <c r="D4227" s="6" t="str">
        <f t="shared" si="131"/>
        <v>Total Final Demand</v>
      </c>
      <c r="E4227" s="6">
        <v>244107519</v>
      </c>
      <c r="F4227" s="6">
        <v>7569458</v>
      </c>
      <c r="G4227" s="6">
        <v>576239</v>
      </c>
      <c r="H4227" s="6">
        <v>373308</v>
      </c>
      <c r="I4227" s="6">
        <v>189112070</v>
      </c>
    </row>
    <row r="4228" spans="1:9">
      <c r="A4228" s="6">
        <v>37</v>
      </c>
      <c r="B4228" s="6" t="str">
        <f t="shared" ref="B4228:B4291" si="132">VLOOKUP(A4228,R:S,2,0)</f>
        <v>Fabricated Metal Products</v>
      </c>
      <c r="C4228" s="6">
        <v>309</v>
      </c>
      <c r="D4228" s="6" t="str">
        <f t="shared" ref="D4228:D4291" si="133">VLOOKUP(C4228,R:S,2,0)</f>
        <v>Total Final Demand</v>
      </c>
      <c r="E4228" s="6">
        <v>591402122</v>
      </c>
      <c r="F4228" s="6">
        <v>14089831</v>
      </c>
      <c r="G4228" s="6">
        <v>14344553</v>
      </c>
      <c r="H4228" s="6">
        <v>2145458</v>
      </c>
      <c r="I4228" s="6">
        <v>118447755</v>
      </c>
    </row>
    <row r="4229" spans="1:9">
      <c r="A4229" s="6">
        <v>38</v>
      </c>
      <c r="B4229" s="6" t="str">
        <f t="shared" si="132"/>
        <v>Industrial Machinery</v>
      </c>
      <c r="C4229" s="6">
        <v>309</v>
      </c>
      <c r="D4229" s="6" t="str">
        <f t="shared" si="133"/>
        <v>Total Final Demand</v>
      </c>
      <c r="E4229" s="6">
        <v>818810716</v>
      </c>
      <c r="F4229" s="6">
        <v>67931258</v>
      </c>
      <c r="G4229" s="6">
        <v>26336923</v>
      </c>
      <c r="H4229" s="6">
        <v>8925046</v>
      </c>
      <c r="I4229" s="6">
        <v>316673476</v>
      </c>
    </row>
    <row r="4230" spans="1:9">
      <c r="A4230" s="6">
        <v>39</v>
      </c>
      <c r="B4230" s="6" t="str">
        <f t="shared" si="132"/>
        <v>Electrical Machinery and Apparatus</v>
      </c>
      <c r="C4230" s="6">
        <v>309</v>
      </c>
      <c r="D4230" s="6" t="str">
        <f t="shared" si="133"/>
        <v>Total Final Demand</v>
      </c>
      <c r="E4230" s="6">
        <v>3626675109</v>
      </c>
      <c r="F4230" s="6">
        <v>162821938</v>
      </c>
      <c r="G4230" s="6">
        <v>60784957</v>
      </c>
      <c r="H4230" s="6">
        <v>30879850</v>
      </c>
      <c r="I4230" s="6">
        <v>611374316</v>
      </c>
    </row>
    <row r="4231" spans="1:9">
      <c r="A4231" s="6">
        <v>40</v>
      </c>
      <c r="B4231" s="6" t="str">
        <f t="shared" si="132"/>
        <v>Motor Vehicles and Repairing</v>
      </c>
      <c r="C4231" s="6">
        <v>309</v>
      </c>
      <c r="D4231" s="6" t="str">
        <f t="shared" si="133"/>
        <v>Total Final Demand</v>
      </c>
      <c r="E4231" s="6">
        <v>2207509776</v>
      </c>
      <c r="F4231" s="6">
        <v>133180116</v>
      </c>
      <c r="G4231" s="6">
        <v>110436374</v>
      </c>
      <c r="H4231" s="6">
        <v>16076810</v>
      </c>
      <c r="I4231" s="6">
        <v>179565309</v>
      </c>
    </row>
    <row r="4232" spans="1:9">
      <c r="A4232" s="6">
        <v>41</v>
      </c>
      <c r="B4232" s="6" t="str">
        <f t="shared" si="132"/>
        <v>Other Transportation Equipment</v>
      </c>
      <c r="C4232" s="6">
        <v>309</v>
      </c>
      <c r="D4232" s="6" t="str">
        <f t="shared" si="133"/>
        <v>Total Final Demand</v>
      </c>
      <c r="E4232" s="6">
        <v>161332980</v>
      </c>
      <c r="F4232" s="6">
        <v>6134375</v>
      </c>
      <c r="G4232" s="6">
        <v>906130</v>
      </c>
      <c r="H4232" s="6">
        <v>807737</v>
      </c>
      <c r="I4232" s="6">
        <v>58294157</v>
      </c>
    </row>
    <row r="4233" spans="1:9">
      <c r="A4233" s="6">
        <v>42</v>
      </c>
      <c r="B4233" s="6" t="str">
        <f t="shared" si="132"/>
        <v>Leather Products</v>
      </c>
      <c r="C4233" s="6">
        <v>309</v>
      </c>
      <c r="D4233" s="6" t="str">
        <f t="shared" si="133"/>
        <v>Total Final Demand</v>
      </c>
      <c r="E4233" s="6">
        <v>136033493</v>
      </c>
      <c r="F4233" s="6">
        <v>7439912</v>
      </c>
      <c r="G4233" s="6">
        <v>7583785</v>
      </c>
      <c r="H4233" s="6">
        <v>752915</v>
      </c>
      <c r="I4233" s="6">
        <v>37134052</v>
      </c>
    </row>
    <row r="4234" spans="1:9">
      <c r="A4234" s="6">
        <v>43</v>
      </c>
      <c r="B4234" s="6" t="str">
        <f t="shared" si="132"/>
        <v>Saw Mills and Wood Products</v>
      </c>
      <c r="C4234" s="6">
        <v>309</v>
      </c>
      <c r="D4234" s="6" t="str">
        <f t="shared" si="133"/>
        <v>Total Final Demand</v>
      </c>
      <c r="E4234" s="6">
        <v>222881264</v>
      </c>
      <c r="F4234" s="6">
        <v>14294927</v>
      </c>
      <c r="G4234" s="6">
        <v>5892157</v>
      </c>
      <c r="H4234" s="6">
        <v>2090077</v>
      </c>
      <c r="I4234" s="6">
        <v>3730057</v>
      </c>
    </row>
    <row r="4235" spans="1:9">
      <c r="A4235" s="6">
        <v>44</v>
      </c>
      <c r="B4235" s="6" t="str">
        <f t="shared" si="132"/>
        <v>Other Manufacturing Products</v>
      </c>
      <c r="C4235" s="6">
        <v>309</v>
      </c>
      <c r="D4235" s="6" t="str">
        <f t="shared" si="133"/>
        <v>Total Final Demand</v>
      </c>
      <c r="E4235" s="6">
        <v>1217317774</v>
      </c>
      <c r="F4235" s="6">
        <v>56630693</v>
      </c>
      <c r="G4235" s="6">
        <v>37670403</v>
      </c>
      <c r="H4235" s="6">
        <v>4722019</v>
      </c>
      <c r="I4235" s="6">
        <v>151438890</v>
      </c>
    </row>
    <row r="4236" spans="1:9">
      <c r="A4236" s="6">
        <v>45</v>
      </c>
      <c r="B4236" s="6" t="str">
        <f t="shared" si="132"/>
        <v>Electricity and Gas</v>
      </c>
      <c r="C4236" s="6">
        <v>309</v>
      </c>
      <c r="D4236" s="6" t="str">
        <f t="shared" si="133"/>
        <v>Total Final Demand</v>
      </c>
      <c r="E4236" s="6">
        <v>415577590</v>
      </c>
      <c r="F4236" s="6">
        <v>846299</v>
      </c>
      <c r="G4236" s="6">
        <v>1169213</v>
      </c>
      <c r="H4236" s="6">
        <v>366081</v>
      </c>
      <c r="I4236" s="6">
        <v>0</v>
      </c>
    </row>
    <row r="4237" spans="1:9">
      <c r="A4237" s="6">
        <v>46</v>
      </c>
      <c r="B4237" s="6" t="str">
        <f t="shared" si="132"/>
        <v>Water Works and Supply</v>
      </c>
      <c r="C4237" s="6">
        <v>309</v>
      </c>
      <c r="D4237" s="6" t="str">
        <f t="shared" si="133"/>
        <v>Total Final Demand</v>
      </c>
      <c r="E4237" s="6">
        <v>44330883</v>
      </c>
      <c r="F4237" s="6">
        <v>0</v>
      </c>
      <c r="G4237" s="6">
        <v>0</v>
      </c>
      <c r="H4237" s="6">
        <v>0</v>
      </c>
      <c r="I4237" s="6">
        <v>0</v>
      </c>
    </row>
    <row r="4238" spans="1:9">
      <c r="A4238" s="6">
        <v>47</v>
      </c>
      <c r="B4238" s="6" t="str">
        <f t="shared" si="132"/>
        <v>Building Construction</v>
      </c>
      <c r="C4238" s="6">
        <v>309</v>
      </c>
      <c r="D4238" s="6" t="str">
        <f t="shared" si="133"/>
        <v>Total Final Demand</v>
      </c>
      <c r="E4238" s="6">
        <v>582724406</v>
      </c>
      <c r="F4238" s="6">
        <v>0</v>
      </c>
      <c r="G4238" s="6">
        <v>0</v>
      </c>
      <c r="H4238" s="6">
        <v>3674</v>
      </c>
      <c r="I4238" s="6">
        <v>0</v>
      </c>
    </row>
    <row r="4239" spans="1:9">
      <c r="A4239" s="6">
        <v>48</v>
      </c>
      <c r="B4239" s="6" t="str">
        <f t="shared" si="132"/>
        <v>Public Works and Other Construction</v>
      </c>
      <c r="C4239" s="6">
        <v>309</v>
      </c>
      <c r="D4239" s="6" t="str">
        <f t="shared" si="133"/>
        <v>Total Final Demand</v>
      </c>
      <c r="E4239" s="6">
        <v>758113275</v>
      </c>
      <c r="F4239" s="6">
        <v>0</v>
      </c>
      <c r="G4239" s="6">
        <v>0</v>
      </c>
      <c r="H4239" s="6">
        <v>0</v>
      </c>
      <c r="I4239" s="6">
        <v>0</v>
      </c>
    </row>
    <row r="4240" spans="1:9">
      <c r="A4240" s="6">
        <v>49</v>
      </c>
      <c r="B4240" s="6" t="str">
        <f t="shared" si="132"/>
        <v>Trade</v>
      </c>
      <c r="C4240" s="6">
        <v>309</v>
      </c>
      <c r="D4240" s="6" t="str">
        <f t="shared" si="133"/>
        <v>Total Final Demand</v>
      </c>
      <c r="E4240" s="6">
        <v>11026474</v>
      </c>
      <c r="F4240" s="6">
        <v>-1002233627</v>
      </c>
      <c r="G4240" s="6">
        <v>-651085719</v>
      </c>
      <c r="H4240" s="6">
        <v>0</v>
      </c>
      <c r="I4240" s="6">
        <v>0</v>
      </c>
    </row>
    <row r="4241" spans="1:9">
      <c r="A4241" s="6">
        <v>50</v>
      </c>
      <c r="B4241" s="6" t="str">
        <f t="shared" si="132"/>
        <v>Restaurants and Hotels</v>
      </c>
      <c r="C4241" s="6">
        <v>309</v>
      </c>
      <c r="D4241" s="6" t="str">
        <f t="shared" si="133"/>
        <v>Total Final Demand</v>
      </c>
      <c r="E4241" s="6">
        <v>1186369359</v>
      </c>
      <c r="F4241" s="6">
        <v>0</v>
      </c>
      <c r="G4241" s="6">
        <v>0</v>
      </c>
      <c r="H4241" s="6">
        <v>0</v>
      </c>
      <c r="I4241" s="6">
        <v>65700431</v>
      </c>
    </row>
    <row r="4242" spans="1:9">
      <c r="A4242" s="6">
        <v>51</v>
      </c>
      <c r="B4242" s="6" t="str">
        <f t="shared" si="132"/>
        <v>Transportation</v>
      </c>
      <c r="C4242" s="6">
        <v>309</v>
      </c>
      <c r="D4242" s="6" t="str">
        <f t="shared" si="133"/>
        <v>Total Final Demand</v>
      </c>
      <c r="E4242" s="6">
        <v>592590431</v>
      </c>
      <c r="F4242" s="6">
        <v>0</v>
      </c>
      <c r="G4242" s="6">
        <v>0</v>
      </c>
      <c r="H4242" s="6">
        <v>-138194879</v>
      </c>
      <c r="I4242" s="6">
        <v>75072113</v>
      </c>
    </row>
    <row r="4243" spans="1:9">
      <c r="A4243" s="6">
        <v>52</v>
      </c>
      <c r="B4243" s="6" t="str">
        <f t="shared" si="132"/>
        <v>Communication</v>
      </c>
      <c r="C4243" s="6">
        <v>309</v>
      </c>
      <c r="D4243" s="6" t="str">
        <f t="shared" si="133"/>
        <v>Total Final Demand</v>
      </c>
      <c r="E4243" s="6">
        <v>323485494</v>
      </c>
      <c r="F4243" s="6">
        <v>0</v>
      </c>
      <c r="G4243" s="6">
        <v>0</v>
      </c>
      <c r="H4243" s="6">
        <v>0</v>
      </c>
      <c r="I4243" s="6">
        <v>55188867</v>
      </c>
    </row>
    <row r="4244" spans="1:9">
      <c r="A4244" s="6">
        <v>53</v>
      </c>
      <c r="B4244" s="6" t="str">
        <f t="shared" si="132"/>
        <v>Banking and Insurance</v>
      </c>
      <c r="C4244" s="6">
        <v>309</v>
      </c>
      <c r="D4244" s="6" t="str">
        <f t="shared" si="133"/>
        <v>Total Final Demand</v>
      </c>
      <c r="E4244" s="6">
        <v>768572528</v>
      </c>
      <c r="F4244" s="6">
        <v>0</v>
      </c>
      <c r="G4244" s="6">
        <v>0</v>
      </c>
      <c r="H4244" s="6">
        <v>0</v>
      </c>
      <c r="I4244" s="6">
        <v>67215167</v>
      </c>
    </row>
    <row r="4245" spans="1:9">
      <c r="A4245" s="6">
        <v>54</v>
      </c>
      <c r="B4245" s="6" t="str">
        <f t="shared" si="132"/>
        <v>Real Estate</v>
      </c>
      <c r="C4245" s="6">
        <v>309</v>
      </c>
      <c r="D4245" s="6" t="str">
        <f t="shared" si="133"/>
        <v>Total Final Demand</v>
      </c>
      <c r="E4245" s="6">
        <v>653809393</v>
      </c>
      <c r="F4245" s="6">
        <v>0</v>
      </c>
      <c r="G4245" s="6">
        <v>0</v>
      </c>
      <c r="H4245" s="6">
        <v>0</v>
      </c>
      <c r="I4245" s="6">
        <v>101724443</v>
      </c>
    </row>
    <row r="4246" spans="1:9">
      <c r="A4246" s="6">
        <v>55</v>
      </c>
      <c r="B4246" s="6" t="str">
        <f t="shared" si="132"/>
        <v>Business Services</v>
      </c>
      <c r="C4246" s="6">
        <v>309</v>
      </c>
      <c r="D4246" s="6" t="str">
        <f t="shared" si="133"/>
        <v>Total Final Demand</v>
      </c>
      <c r="E4246" s="6">
        <v>501539515</v>
      </c>
      <c r="F4246" s="6">
        <v>0</v>
      </c>
      <c r="G4246" s="6">
        <v>0</v>
      </c>
      <c r="H4246" s="6">
        <v>0</v>
      </c>
      <c r="I4246" s="6">
        <v>128978367</v>
      </c>
    </row>
    <row r="4247" spans="1:9">
      <c r="A4247" s="6">
        <v>56</v>
      </c>
      <c r="B4247" s="6" t="str">
        <f t="shared" si="132"/>
        <v>Public Services</v>
      </c>
      <c r="C4247" s="6">
        <v>309</v>
      </c>
      <c r="D4247" s="6" t="str">
        <f t="shared" si="133"/>
        <v>Total Final Demand</v>
      </c>
      <c r="E4247" s="6">
        <v>2863068982</v>
      </c>
      <c r="F4247" s="6">
        <v>0</v>
      </c>
      <c r="G4247" s="6">
        <v>0</v>
      </c>
      <c r="H4247" s="6">
        <v>0</v>
      </c>
      <c r="I4247" s="6">
        <v>86220627</v>
      </c>
    </row>
    <row r="4248" spans="1:9">
      <c r="A4248" s="6">
        <v>57</v>
      </c>
      <c r="B4248" s="6" t="str">
        <f t="shared" si="132"/>
        <v>Other Services</v>
      </c>
      <c r="C4248" s="6">
        <v>309</v>
      </c>
      <c r="D4248" s="6" t="str">
        <f t="shared" si="133"/>
        <v>Total Final Demand</v>
      </c>
      <c r="E4248" s="6">
        <v>742401950</v>
      </c>
      <c r="F4248" s="6">
        <v>0</v>
      </c>
      <c r="G4248" s="6">
        <v>0</v>
      </c>
      <c r="H4248" s="6">
        <v>0</v>
      </c>
      <c r="I4248" s="6">
        <v>16876564</v>
      </c>
    </row>
    <row r="4249" spans="1:9">
      <c r="A4249" s="6">
        <v>58</v>
      </c>
      <c r="B4249" s="6" t="str">
        <f t="shared" si="132"/>
        <v>Unclassified</v>
      </c>
      <c r="C4249" s="6">
        <v>309</v>
      </c>
      <c r="D4249" s="6" t="str">
        <f t="shared" si="133"/>
        <v>Total Final Demand</v>
      </c>
      <c r="E4249" s="6">
        <v>139701239</v>
      </c>
      <c r="F4249" s="6">
        <v>0</v>
      </c>
      <c r="G4249" s="6">
        <v>0</v>
      </c>
      <c r="H4249" s="6">
        <v>0</v>
      </c>
      <c r="I4249" s="6">
        <v>6653397</v>
      </c>
    </row>
    <row r="4250" spans="1:9">
      <c r="A4250" s="6">
        <v>190</v>
      </c>
      <c r="B4250" s="6" t="str">
        <f t="shared" si="132"/>
        <v>Total Intermedite Transaction</v>
      </c>
      <c r="C4250" s="6">
        <v>309</v>
      </c>
      <c r="D4250" s="6" t="str">
        <f t="shared" si="133"/>
        <v>Total Final Demand</v>
      </c>
      <c r="E4250" s="6">
        <v>25783801443</v>
      </c>
      <c r="F4250" s="6">
        <v>0</v>
      </c>
      <c r="G4250" s="6">
        <v>0</v>
      </c>
      <c r="H4250" s="6">
        <v>0</v>
      </c>
      <c r="I4250" s="6">
        <v>2886780166</v>
      </c>
    </row>
    <row r="4251" spans="1:9">
      <c r="A4251" s="6">
        <v>1</v>
      </c>
      <c r="B4251" s="6" t="str">
        <f t="shared" si="132"/>
        <v>Paddy</v>
      </c>
      <c r="C4251" s="6">
        <v>310</v>
      </c>
      <c r="D4251" s="6" t="str">
        <f t="shared" si="133"/>
        <v>Total Demand</v>
      </c>
      <c r="E4251" s="6">
        <v>314114660</v>
      </c>
      <c r="F4251" s="6">
        <v>10756134</v>
      </c>
      <c r="G4251" s="6">
        <v>676903</v>
      </c>
      <c r="H4251" s="6">
        <v>1876161</v>
      </c>
      <c r="I4251" s="6">
        <v>5</v>
      </c>
    </row>
    <row r="4252" spans="1:9">
      <c r="A4252" s="6">
        <v>2</v>
      </c>
      <c r="B4252" s="6" t="str">
        <f t="shared" si="132"/>
        <v>Maize</v>
      </c>
      <c r="C4252" s="6">
        <v>310</v>
      </c>
      <c r="D4252" s="6" t="str">
        <f t="shared" si="133"/>
        <v>Total Demand</v>
      </c>
      <c r="E4252" s="6">
        <v>60227026</v>
      </c>
      <c r="F4252" s="6">
        <v>2251541</v>
      </c>
      <c r="G4252" s="6">
        <v>555919</v>
      </c>
      <c r="H4252" s="6">
        <v>480603</v>
      </c>
      <c r="I4252" s="6">
        <v>15030908</v>
      </c>
    </row>
    <row r="4253" spans="1:9">
      <c r="A4253" s="6">
        <v>3</v>
      </c>
      <c r="B4253" s="6" t="str">
        <f t="shared" si="132"/>
        <v>Cassava</v>
      </c>
      <c r="C4253" s="6">
        <v>310</v>
      </c>
      <c r="D4253" s="6" t="str">
        <f t="shared" si="133"/>
        <v>Total Demand</v>
      </c>
      <c r="E4253" s="6">
        <v>76818426</v>
      </c>
      <c r="F4253" s="6">
        <v>2122820</v>
      </c>
      <c r="G4253" s="6">
        <v>174398</v>
      </c>
      <c r="H4253" s="6">
        <v>520955</v>
      </c>
      <c r="I4253" s="6">
        <v>0</v>
      </c>
    </row>
    <row r="4254" spans="1:9">
      <c r="A4254" s="6">
        <v>4</v>
      </c>
      <c r="B4254" s="6" t="str">
        <f t="shared" si="132"/>
        <v>Beans and Nuts</v>
      </c>
      <c r="C4254" s="6">
        <v>310</v>
      </c>
      <c r="D4254" s="6" t="str">
        <f t="shared" si="133"/>
        <v>Total Demand</v>
      </c>
      <c r="E4254" s="6">
        <v>50605970</v>
      </c>
      <c r="F4254" s="6">
        <v>1122621</v>
      </c>
      <c r="G4254" s="6">
        <v>949787</v>
      </c>
      <c r="H4254" s="6">
        <v>76695</v>
      </c>
      <c r="I4254" s="6">
        <v>44074229</v>
      </c>
    </row>
    <row r="4255" spans="1:9">
      <c r="A4255" s="6">
        <v>5</v>
      </c>
      <c r="B4255" s="6" t="str">
        <f t="shared" si="132"/>
        <v>Vegetables and Fruits</v>
      </c>
      <c r="C4255" s="6">
        <v>310</v>
      </c>
      <c r="D4255" s="6" t="str">
        <f t="shared" si="133"/>
        <v>Total Demand</v>
      </c>
      <c r="E4255" s="6">
        <v>969181190</v>
      </c>
      <c r="F4255" s="6">
        <v>114494467</v>
      </c>
      <c r="G4255" s="6">
        <v>139827431</v>
      </c>
      <c r="H4255" s="6">
        <v>15436605</v>
      </c>
      <c r="I4255" s="6">
        <v>53783216</v>
      </c>
    </row>
    <row r="4256" spans="1:9">
      <c r="A4256" s="6">
        <v>6</v>
      </c>
      <c r="B4256" s="6" t="str">
        <f t="shared" si="132"/>
        <v>Sugarcane</v>
      </c>
      <c r="C4256" s="6">
        <v>310</v>
      </c>
      <c r="D4256" s="6" t="str">
        <f t="shared" si="133"/>
        <v>Total Demand</v>
      </c>
      <c r="E4256" s="6">
        <v>73397766</v>
      </c>
      <c r="F4256" s="6">
        <v>3338345</v>
      </c>
      <c r="G4256" s="6">
        <v>1849</v>
      </c>
      <c r="H4256" s="6">
        <v>2252169</v>
      </c>
      <c r="I4256" s="6">
        <v>2</v>
      </c>
    </row>
    <row r="4257" spans="1:9">
      <c r="A4257" s="6">
        <v>7</v>
      </c>
      <c r="B4257" s="6" t="str">
        <f t="shared" si="132"/>
        <v>Rubber (Latex)</v>
      </c>
      <c r="C4257" s="6">
        <v>310</v>
      </c>
      <c r="D4257" s="6" t="str">
        <f t="shared" si="133"/>
        <v>Total Demand</v>
      </c>
      <c r="E4257" s="6">
        <v>235773619</v>
      </c>
      <c r="F4257" s="6">
        <v>13165354</v>
      </c>
      <c r="G4257" s="6">
        <v>0</v>
      </c>
      <c r="H4257" s="6">
        <v>1416395</v>
      </c>
      <c r="I4257" s="6">
        <v>149467</v>
      </c>
    </row>
    <row r="4258" spans="1:9">
      <c r="A4258" s="6">
        <v>8</v>
      </c>
      <c r="B4258" s="6" t="str">
        <f t="shared" si="132"/>
        <v>Other Crops</v>
      </c>
      <c r="C4258" s="6">
        <v>310</v>
      </c>
      <c r="D4258" s="6" t="str">
        <f t="shared" si="133"/>
        <v>Total Demand</v>
      </c>
      <c r="E4258" s="6">
        <v>278736828</v>
      </c>
      <c r="F4258" s="6">
        <v>14993310</v>
      </c>
      <c r="G4258" s="6">
        <v>8180463</v>
      </c>
      <c r="H4258" s="6">
        <v>3058595</v>
      </c>
      <c r="I4258" s="6">
        <v>53774415</v>
      </c>
    </row>
    <row r="4259" spans="1:9">
      <c r="A4259" s="6">
        <v>9</v>
      </c>
      <c r="B4259" s="6" t="str">
        <f t="shared" si="132"/>
        <v>Livestock</v>
      </c>
      <c r="C4259" s="6">
        <v>310</v>
      </c>
      <c r="D4259" s="6" t="str">
        <f t="shared" si="133"/>
        <v>Total Demand</v>
      </c>
      <c r="E4259" s="6">
        <v>464109557</v>
      </c>
      <c r="F4259" s="6">
        <v>36985660</v>
      </c>
      <c r="G4259" s="6">
        <v>4414998</v>
      </c>
      <c r="H4259" s="6">
        <v>2394924</v>
      </c>
      <c r="I4259" s="6">
        <v>5733873</v>
      </c>
    </row>
    <row r="4260" spans="1:9">
      <c r="A4260" s="6">
        <v>10</v>
      </c>
      <c r="B4260" s="6" t="str">
        <f t="shared" si="132"/>
        <v>Forestry</v>
      </c>
      <c r="C4260" s="6">
        <v>310</v>
      </c>
      <c r="D4260" s="6" t="str">
        <f t="shared" si="133"/>
        <v>Total Demand</v>
      </c>
      <c r="E4260" s="6">
        <v>33164828</v>
      </c>
      <c r="F4260" s="6">
        <v>4021847</v>
      </c>
      <c r="G4260" s="6">
        <v>1697316</v>
      </c>
      <c r="H4260" s="6">
        <v>479105</v>
      </c>
      <c r="I4260" s="6">
        <v>2931772</v>
      </c>
    </row>
    <row r="4261" spans="1:9">
      <c r="A4261" s="6">
        <v>11</v>
      </c>
      <c r="B4261" s="6" t="str">
        <f t="shared" si="132"/>
        <v>Fishery</v>
      </c>
      <c r="C4261" s="6">
        <v>310</v>
      </c>
      <c r="D4261" s="6" t="str">
        <f t="shared" si="133"/>
        <v>Total Demand</v>
      </c>
      <c r="E4261" s="6">
        <v>279317969</v>
      </c>
      <c r="F4261" s="6">
        <v>31308028</v>
      </c>
      <c r="G4261" s="6">
        <v>31178009</v>
      </c>
      <c r="H4261" s="6">
        <v>5422074</v>
      </c>
      <c r="I4261" s="6">
        <v>11403238</v>
      </c>
    </row>
    <row r="4262" spans="1:9">
      <c r="A4262" s="6">
        <v>12</v>
      </c>
      <c r="B4262" s="6" t="str">
        <f t="shared" si="132"/>
        <v>Crude Oil and Coal</v>
      </c>
      <c r="C4262" s="6">
        <v>310</v>
      </c>
      <c r="D4262" s="6" t="str">
        <f t="shared" si="133"/>
        <v>Total Demand</v>
      </c>
      <c r="E4262" s="6">
        <v>1382442221</v>
      </c>
      <c r="F4262" s="6">
        <v>877229</v>
      </c>
      <c r="G4262" s="6">
        <v>0</v>
      </c>
      <c r="H4262" s="6">
        <v>819088</v>
      </c>
      <c r="I4262" s="6">
        <v>1014344238</v>
      </c>
    </row>
    <row r="4263" spans="1:9">
      <c r="A4263" s="6">
        <v>13</v>
      </c>
      <c r="B4263" s="6" t="str">
        <f t="shared" si="132"/>
        <v>Metal Ore</v>
      </c>
      <c r="C4263" s="6">
        <v>310</v>
      </c>
      <c r="D4263" s="6" t="str">
        <f t="shared" si="133"/>
        <v>Total Demand</v>
      </c>
      <c r="E4263" s="6">
        <v>21099117</v>
      </c>
      <c r="F4263" s="6">
        <v>1297161</v>
      </c>
      <c r="G4263" s="6">
        <v>0</v>
      </c>
      <c r="H4263" s="6">
        <v>543782</v>
      </c>
      <c r="I4263" s="6">
        <v>19069227</v>
      </c>
    </row>
    <row r="4264" spans="1:9">
      <c r="A4264" s="6">
        <v>14</v>
      </c>
      <c r="B4264" s="6" t="str">
        <f t="shared" si="132"/>
        <v>Non-Metal Ore</v>
      </c>
      <c r="C4264" s="6">
        <v>310</v>
      </c>
      <c r="D4264" s="6" t="str">
        <f t="shared" si="133"/>
        <v>Total Demand</v>
      </c>
      <c r="E4264" s="6">
        <v>171200786</v>
      </c>
      <c r="F4264" s="6">
        <v>9157107</v>
      </c>
      <c r="G4264" s="6">
        <v>1920783</v>
      </c>
      <c r="H4264" s="6">
        <v>20416045</v>
      </c>
      <c r="I4264" s="6">
        <v>11087069</v>
      </c>
    </row>
    <row r="4265" spans="1:9">
      <c r="A4265" s="6">
        <v>15</v>
      </c>
      <c r="B4265" s="6" t="str">
        <f t="shared" si="132"/>
        <v>Slaughtering</v>
      </c>
      <c r="C4265" s="6">
        <v>310</v>
      </c>
      <c r="D4265" s="6" t="str">
        <f t="shared" si="133"/>
        <v>Total Demand</v>
      </c>
      <c r="E4265" s="6">
        <v>565111080</v>
      </c>
      <c r="F4265" s="6">
        <v>13084995</v>
      </c>
      <c r="G4265" s="6">
        <v>21152829</v>
      </c>
      <c r="H4265" s="6">
        <v>1655254</v>
      </c>
      <c r="I4265" s="6">
        <v>509394</v>
      </c>
    </row>
    <row r="4266" spans="1:9">
      <c r="A4266" s="6">
        <v>16</v>
      </c>
      <c r="B4266" s="6" t="str">
        <f t="shared" si="132"/>
        <v>Processing and Presering of Foods</v>
      </c>
      <c r="C4266" s="6">
        <v>310</v>
      </c>
      <c r="D4266" s="6" t="str">
        <f t="shared" si="133"/>
        <v>Total Demand</v>
      </c>
      <c r="E4266" s="6">
        <v>1125490532</v>
      </c>
      <c r="F4266" s="6">
        <v>39816180</v>
      </c>
      <c r="G4266" s="6">
        <v>34044951</v>
      </c>
      <c r="H4266" s="6">
        <v>8879747</v>
      </c>
      <c r="I4266" s="6">
        <v>271840804</v>
      </c>
    </row>
    <row r="4267" spans="1:9">
      <c r="A4267" s="6">
        <v>17</v>
      </c>
      <c r="B4267" s="6" t="str">
        <f t="shared" si="132"/>
        <v>Rice and Other Grain Milling</v>
      </c>
      <c r="C4267" s="6">
        <v>310</v>
      </c>
      <c r="D4267" s="6" t="str">
        <f t="shared" si="133"/>
        <v>Total Demand</v>
      </c>
      <c r="E4267" s="6">
        <v>648884751</v>
      </c>
      <c r="F4267" s="6">
        <v>36096656</v>
      </c>
      <c r="G4267" s="6">
        <v>39116970</v>
      </c>
      <c r="H4267" s="6">
        <v>11495429</v>
      </c>
      <c r="I4267" s="6">
        <v>35342525</v>
      </c>
    </row>
    <row r="4268" spans="1:9">
      <c r="A4268" s="6">
        <v>18</v>
      </c>
      <c r="B4268" s="6" t="str">
        <f t="shared" si="132"/>
        <v>Sugar Refineries</v>
      </c>
      <c r="C4268" s="6">
        <v>310</v>
      </c>
      <c r="D4268" s="6" t="str">
        <f t="shared" si="133"/>
        <v>Total Demand</v>
      </c>
      <c r="E4268" s="6">
        <v>176821558</v>
      </c>
      <c r="F4268" s="6">
        <v>5296688</v>
      </c>
      <c r="G4268" s="6">
        <v>4788649</v>
      </c>
      <c r="H4268" s="6">
        <v>2408655</v>
      </c>
      <c r="I4268" s="6">
        <v>14196220</v>
      </c>
    </row>
    <row r="4269" spans="1:9">
      <c r="A4269" s="6">
        <v>19</v>
      </c>
      <c r="B4269" s="6" t="str">
        <f t="shared" si="132"/>
        <v>Other Foods</v>
      </c>
      <c r="C4269" s="6">
        <v>310</v>
      </c>
      <c r="D4269" s="6" t="str">
        <f t="shared" si="133"/>
        <v>Total Demand</v>
      </c>
      <c r="E4269" s="6">
        <v>449556715</v>
      </c>
      <c r="F4269" s="6">
        <v>25110643</v>
      </c>
      <c r="G4269" s="6">
        <v>24109300</v>
      </c>
      <c r="H4269" s="6">
        <v>6751606</v>
      </c>
      <c r="I4269" s="6">
        <v>89411754</v>
      </c>
    </row>
    <row r="4270" spans="1:9">
      <c r="A4270" s="6">
        <v>20</v>
      </c>
      <c r="B4270" s="6" t="str">
        <f t="shared" si="132"/>
        <v>Animal Food</v>
      </c>
      <c r="C4270" s="6">
        <v>310</v>
      </c>
      <c r="D4270" s="6" t="str">
        <f t="shared" si="133"/>
        <v>Total Demand</v>
      </c>
      <c r="E4270" s="6">
        <v>114752442</v>
      </c>
      <c r="F4270" s="6">
        <v>8690674</v>
      </c>
      <c r="G4270" s="6">
        <v>7305285</v>
      </c>
      <c r="H4270" s="6">
        <v>1073127</v>
      </c>
      <c r="I4270" s="6">
        <v>26374473</v>
      </c>
    </row>
    <row r="4271" spans="1:9">
      <c r="A4271" s="6">
        <v>21</v>
      </c>
      <c r="B4271" s="6" t="str">
        <f t="shared" si="132"/>
        <v>Beverages</v>
      </c>
      <c r="C4271" s="6">
        <v>310</v>
      </c>
      <c r="D4271" s="6" t="str">
        <f t="shared" si="133"/>
        <v>Total Demand</v>
      </c>
      <c r="E4271" s="6">
        <v>671594046</v>
      </c>
      <c r="F4271" s="6">
        <v>41800787</v>
      </c>
      <c r="G4271" s="6">
        <v>38776919</v>
      </c>
      <c r="H4271" s="6">
        <v>9290670</v>
      </c>
      <c r="I4271" s="6">
        <v>23779347</v>
      </c>
    </row>
    <row r="4272" spans="1:9">
      <c r="A4272" s="6">
        <v>22</v>
      </c>
      <c r="B4272" s="6" t="str">
        <f t="shared" si="132"/>
        <v>Tobacco Processing and Products</v>
      </c>
      <c r="C4272" s="6">
        <v>310</v>
      </c>
      <c r="D4272" s="6" t="str">
        <f t="shared" si="133"/>
        <v>Total Demand</v>
      </c>
      <c r="E4272" s="6">
        <v>78889014</v>
      </c>
      <c r="F4272" s="6">
        <v>4814026</v>
      </c>
      <c r="G4272" s="6">
        <v>5310511</v>
      </c>
      <c r="H4272" s="6">
        <v>700887</v>
      </c>
      <c r="I4272" s="6">
        <v>17947685</v>
      </c>
    </row>
    <row r="4273" spans="1:9">
      <c r="A4273" s="6">
        <v>23</v>
      </c>
      <c r="B4273" s="6" t="str">
        <f t="shared" si="132"/>
        <v>Spinning, Weaving and Bleaching</v>
      </c>
      <c r="C4273" s="6">
        <v>310</v>
      </c>
      <c r="D4273" s="6" t="str">
        <f t="shared" si="133"/>
        <v>Total Demand</v>
      </c>
      <c r="E4273" s="6">
        <v>310797091</v>
      </c>
      <c r="F4273" s="6">
        <v>27553924</v>
      </c>
      <c r="G4273" s="6">
        <v>13813345</v>
      </c>
      <c r="H4273" s="6">
        <v>2551180</v>
      </c>
      <c r="I4273" s="6">
        <v>79058399</v>
      </c>
    </row>
    <row r="4274" spans="1:9">
      <c r="A4274" s="6">
        <v>24</v>
      </c>
      <c r="B4274" s="6" t="str">
        <f t="shared" si="132"/>
        <v>Textile Products</v>
      </c>
      <c r="C4274" s="6">
        <v>310</v>
      </c>
      <c r="D4274" s="6" t="str">
        <f t="shared" si="133"/>
        <v>Total Demand</v>
      </c>
      <c r="E4274" s="6">
        <v>450664857</v>
      </c>
      <c r="F4274" s="6">
        <v>26922463</v>
      </c>
      <c r="G4274" s="6">
        <v>33332153</v>
      </c>
      <c r="H4274" s="6">
        <v>2338715</v>
      </c>
      <c r="I4274" s="6">
        <v>96241121</v>
      </c>
    </row>
    <row r="4275" spans="1:9">
      <c r="A4275" s="6">
        <v>25</v>
      </c>
      <c r="B4275" s="6" t="str">
        <f t="shared" si="132"/>
        <v>Paper and Paper Products</v>
      </c>
      <c r="C4275" s="6">
        <v>310</v>
      </c>
      <c r="D4275" s="6" t="str">
        <f t="shared" si="133"/>
        <v>Total Demand</v>
      </c>
      <c r="E4275" s="6">
        <v>363003408</v>
      </c>
      <c r="F4275" s="6">
        <v>30012818</v>
      </c>
      <c r="G4275" s="6">
        <v>17781873</v>
      </c>
      <c r="H4275" s="6">
        <v>5439285</v>
      </c>
      <c r="I4275" s="6">
        <v>109186861</v>
      </c>
    </row>
    <row r="4276" spans="1:9">
      <c r="A4276" s="6">
        <v>26</v>
      </c>
      <c r="B4276" s="6" t="str">
        <f t="shared" si="132"/>
        <v>Printing and Publishing</v>
      </c>
      <c r="C4276" s="6">
        <v>310</v>
      </c>
      <c r="D4276" s="6" t="str">
        <f t="shared" si="133"/>
        <v>Total Demand</v>
      </c>
      <c r="E4276" s="6">
        <v>167420709</v>
      </c>
      <c r="F4276" s="6">
        <v>9395166</v>
      </c>
      <c r="G4276" s="6">
        <v>15207647</v>
      </c>
      <c r="H4276" s="6">
        <v>1355216</v>
      </c>
      <c r="I4276" s="6">
        <v>63147360</v>
      </c>
    </row>
    <row r="4277" spans="1:9">
      <c r="A4277" s="6">
        <v>27</v>
      </c>
      <c r="B4277" s="6" t="str">
        <f t="shared" si="132"/>
        <v>Basic Chemical Products</v>
      </c>
      <c r="C4277" s="6">
        <v>310</v>
      </c>
      <c r="D4277" s="6" t="str">
        <f t="shared" si="133"/>
        <v>Total Demand</v>
      </c>
      <c r="E4277" s="6">
        <v>1676868384</v>
      </c>
      <c r="F4277" s="6">
        <v>160445953</v>
      </c>
      <c r="G4277" s="6">
        <v>39163725</v>
      </c>
      <c r="H4277" s="6">
        <v>20603146</v>
      </c>
      <c r="I4277" s="6">
        <v>621492716</v>
      </c>
    </row>
    <row r="4278" spans="1:9">
      <c r="A4278" s="6">
        <v>28</v>
      </c>
      <c r="B4278" s="6" t="str">
        <f t="shared" si="132"/>
        <v>Fertilizer and Pesticides</v>
      </c>
      <c r="C4278" s="6">
        <v>310</v>
      </c>
      <c r="D4278" s="6" t="str">
        <f t="shared" si="133"/>
        <v>Total Demand</v>
      </c>
      <c r="E4278" s="6">
        <v>227652074</v>
      </c>
      <c r="F4278" s="6">
        <v>25406707</v>
      </c>
      <c r="G4278" s="6">
        <v>21075109</v>
      </c>
      <c r="H4278" s="6">
        <v>8023767</v>
      </c>
      <c r="I4278" s="6">
        <v>102906459</v>
      </c>
    </row>
    <row r="4279" spans="1:9">
      <c r="A4279" s="6">
        <v>29</v>
      </c>
      <c r="B4279" s="6" t="str">
        <f t="shared" si="132"/>
        <v>Other Chemical Products</v>
      </c>
      <c r="C4279" s="6">
        <v>310</v>
      </c>
      <c r="D4279" s="6" t="str">
        <f t="shared" si="133"/>
        <v>Total Demand</v>
      </c>
      <c r="E4279" s="6">
        <v>1091115403</v>
      </c>
      <c r="F4279" s="6">
        <v>115310141</v>
      </c>
      <c r="G4279" s="6">
        <v>117133478</v>
      </c>
      <c r="H4279" s="6">
        <v>11180022</v>
      </c>
      <c r="I4279" s="6">
        <v>374734940</v>
      </c>
    </row>
    <row r="4280" spans="1:9">
      <c r="A4280" s="6">
        <v>30</v>
      </c>
      <c r="B4280" s="6" t="str">
        <f t="shared" si="132"/>
        <v>Petroleum Refineries</v>
      </c>
      <c r="C4280" s="6">
        <v>310</v>
      </c>
      <c r="D4280" s="6" t="str">
        <f t="shared" si="133"/>
        <v>Total Demand</v>
      </c>
      <c r="E4280" s="6">
        <v>1729939893</v>
      </c>
      <c r="F4280" s="6">
        <v>91155724</v>
      </c>
      <c r="G4280" s="6">
        <v>86904200</v>
      </c>
      <c r="H4280" s="6">
        <v>15207914</v>
      </c>
      <c r="I4280" s="6">
        <v>274197987</v>
      </c>
    </row>
    <row r="4281" spans="1:9">
      <c r="A4281" s="6">
        <v>31</v>
      </c>
      <c r="B4281" s="6" t="str">
        <f t="shared" si="132"/>
        <v>Rubber Products</v>
      </c>
      <c r="C4281" s="6">
        <v>310</v>
      </c>
      <c r="D4281" s="6" t="str">
        <f t="shared" si="133"/>
        <v>Total Demand</v>
      </c>
      <c r="E4281" s="6">
        <v>506144746</v>
      </c>
      <c r="F4281" s="6">
        <v>47807100</v>
      </c>
      <c r="G4281" s="6">
        <v>20352697</v>
      </c>
      <c r="H4281" s="6">
        <v>10175798</v>
      </c>
      <c r="I4281" s="6">
        <v>62448315</v>
      </c>
    </row>
    <row r="4282" spans="1:9">
      <c r="A4282" s="6">
        <v>32</v>
      </c>
      <c r="B4282" s="6" t="str">
        <f t="shared" si="132"/>
        <v>Plastic Wares</v>
      </c>
      <c r="C4282" s="6">
        <v>310</v>
      </c>
      <c r="D4282" s="6" t="str">
        <f t="shared" si="133"/>
        <v>Total Demand</v>
      </c>
      <c r="E4282" s="6">
        <v>727085374</v>
      </c>
      <c r="F4282" s="6">
        <v>29728449</v>
      </c>
      <c r="G4282" s="6">
        <v>24963693</v>
      </c>
      <c r="H4282" s="6">
        <v>5002813</v>
      </c>
      <c r="I4282" s="6">
        <v>166461222</v>
      </c>
    </row>
    <row r="4283" spans="1:9">
      <c r="A4283" s="6">
        <v>33</v>
      </c>
      <c r="B4283" s="6" t="str">
        <f t="shared" si="132"/>
        <v>Cement and Concrete Products</v>
      </c>
      <c r="C4283" s="6">
        <v>310</v>
      </c>
      <c r="D4283" s="6" t="str">
        <f t="shared" si="133"/>
        <v>Total Demand</v>
      </c>
      <c r="E4283" s="6">
        <v>237126133</v>
      </c>
      <c r="F4283" s="6">
        <v>13607989</v>
      </c>
      <c r="G4283" s="6">
        <v>11373117</v>
      </c>
      <c r="H4283" s="6">
        <v>3640001</v>
      </c>
      <c r="I4283" s="6">
        <v>2272390</v>
      </c>
    </row>
    <row r="4284" spans="1:9">
      <c r="A4284" s="6">
        <v>34</v>
      </c>
      <c r="B4284" s="6" t="str">
        <f t="shared" si="132"/>
        <v>Other Non-metallic Products</v>
      </c>
      <c r="C4284" s="6">
        <v>310</v>
      </c>
      <c r="D4284" s="6" t="str">
        <f t="shared" si="133"/>
        <v>Total Demand</v>
      </c>
      <c r="E4284" s="6">
        <v>412214399</v>
      </c>
      <c r="F4284" s="6">
        <v>27842213</v>
      </c>
      <c r="G4284" s="6">
        <v>20112761</v>
      </c>
      <c r="H4284" s="6">
        <v>5063986</v>
      </c>
      <c r="I4284" s="6">
        <v>77561476</v>
      </c>
    </row>
    <row r="4285" spans="1:9">
      <c r="A4285" s="6">
        <v>35</v>
      </c>
      <c r="B4285" s="6" t="str">
        <f t="shared" si="132"/>
        <v>Iron and Steel</v>
      </c>
      <c r="C4285" s="6">
        <v>310</v>
      </c>
      <c r="D4285" s="6" t="str">
        <f t="shared" si="133"/>
        <v>Total Demand</v>
      </c>
      <c r="E4285" s="6">
        <v>946395279</v>
      </c>
      <c r="F4285" s="6">
        <v>39355111</v>
      </c>
      <c r="G4285" s="6">
        <v>30488443</v>
      </c>
      <c r="H4285" s="6">
        <v>8720267</v>
      </c>
      <c r="I4285" s="6">
        <v>606077811</v>
      </c>
    </row>
    <row r="4286" spans="1:9">
      <c r="A4286" s="6">
        <v>36</v>
      </c>
      <c r="B4286" s="6" t="str">
        <f t="shared" si="132"/>
        <v>Non-ferrous Metal</v>
      </c>
      <c r="C4286" s="6">
        <v>310</v>
      </c>
      <c r="D4286" s="6" t="str">
        <f t="shared" si="133"/>
        <v>Total Demand</v>
      </c>
      <c r="E4286" s="6">
        <v>880644663</v>
      </c>
      <c r="F4286" s="6">
        <v>39762234</v>
      </c>
      <c r="G4286" s="6">
        <v>17618090</v>
      </c>
      <c r="H4286" s="6">
        <v>1384258</v>
      </c>
      <c r="I4286" s="6">
        <v>683456919</v>
      </c>
    </row>
    <row r="4287" spans="1:9">
      <c r="A4287" s="6">
        <v>37</v>
      </c>
      <c r="B4287" s="6" t="str">
        <f t="shared" si="132"/>
        <v>Fabricated Metal Products</v>
      </c>
      <c r="C4287" s="6">
        <v>310</v>
      </c>
      <c r="D4287" s="6" t="str">
        <f t="shared" si="133"/>
        <v>Total Demand</v>
      </c>
      <c r="E4287" s="6">
        <v>941671386</v>
      </c>
      <c r="F4287" s="6">
        <v>20892489</v>
      </c>
      <c r="G4287" s="6">
        <v>29468338</v>
      </c>
      <c r="H4287" s="6">
        <v>3033144</v>
      </c>
      <c r="I4287" s="6">
        <v>378158131</v>
      </c>
    </row>
    <row r="4288" spans="1:9">
      <c r="A4288" s="6">
        <v>38</v>
      </c>
      <c r="B4288" s="6" t="str">
        <f t="shared" si="132"/>
        <v>Industrial Machinery</v>
      </c>
      <c r="C4288" s="6">
        <v>310</v>
      </c>
      <c r="D4288" s="6" t="str">
        <f t="shared" si="133"/>
        <v>Total Demand</v>
      </c>
      <c r="E4288" s="6">
        <v>1305168018</v>
      </c>
      <c r="F4288" s="6">
        <v>102624075</v>
      </c>
      <c r="G4288" s="6">
        <v>37200798</v>
      </c>
      <c r="H4288" s="6">
        <v>12953748</v>
      </c>
      <c r="I4288" s="6">
        <v>577672991</v>
      </c>
    </row>
    <row r="4289" spans="1:9">
      <c r="A4289" s="6">
        <v>39</v>
      </c>
      <c r="B4289" s="6" t="str">
        <f t="shared" si="132"/>
        <v>Electrical Machinery and Apparatus</v>
      </c>
      <c r="C4289" s="6">
        <v>310</v>
      </c>
      <c r="D4289" s="6" t="str">
        <f t="shared" si="133"/>
        <v>Total Demand</v>
      </c>
      <c r="E4289" s="6">
        <v>6032701958</v>
      </c>
      <c r="F4289" s="6">
        <v>303621563</v>
      </c>
      <c r="G4289" s="6">
        <v>226256260</v>
      </c>
      <c r="H4289" s="6">
        <v>47314118</v>
      </c>
      <c r="I4289" s="6">
        <v>2048258372</v>
      </c>
    </row>
    <row r="4290" spans="1:9">
      <c r="A4290" s="6">
        <v>40</v>
      </c>
      <c r="B4290" s="6" t="str">
        <f t="shared" si="132"/>
        <v>Motor Vehicles and Repairing</v>
      </c>
      <c r="C4290" s="6">
        <v>310</v>
      </c>
      <c r="D4290" s="6" t="str">
        <f t="shared" si="133"/>
        <v>Total Demand</v>
      </c>
      <c r="E4290" s="6">
        <v>2977430413</v>
      </c>
      <c r="F4290" s="6">
        <v>160472892</v>
      </c>
      <c r="G4290" s="6">
        <v>157814937</v>
      </c>
      <c r="H4290" s="6">
        <v>20049789</v>
      </c>
      <c r="I4290" s="6">
        <v>455890940</v>
      </c>
    </row>
    <row r="4291" spans="1:9">
      <c r="A4291" s="6">
        <v>41</v>
      </c>
      <c r="B4291" s="6" t="str">
        <f t="shared" si="132"/>
        <v>Other Transportation Equipment</v>
      </c>
      <c r="C4291" s="6">
        <v>310</v>
      </c>
      <c r="D4291" s="6" t="str">
        <f t="shared" si="133"/>
        <v>Total Demand</v>
      </c>
      <c r="E4291" s="6">
        <v>192156038</v>
      </c>
      <c r="F4291" s="6">
        <v>7145384</v>
      </c>
      <c r="G4291" s="6">
        <v>990883</v>
      </c>
      <c r="H4291" s="6">
        <v>1164748</v>
      </c>
      <c r="I4291" s="6">
        <v>69828366</v>
      </c>
    </row>
    <row r="4292" spans="1:9">
      <c r="A4292" s="6">
        <v>42</v>
      </c>
      <c r="B4292" s="6" t="str">
        <f t="shared" ref="B4292:B4355" si="134">VLOOKUP(A4292,R:S,2,0)</f>
        <v>Leather Products</v>
      </c>
      <c r="C4292" s="6">
        <v>310</v>
      </c>
      <c r="D4292" s="6" t="str">
        <f t="shared" ref="D4292:D4355" si="135">VLOOKUP(C4292,R:S,2,0)</f>
        <v>Total Demand</v>
      </c>
      <c r="E4292" s="6">
        <v>172664285</v>
      </c>
      <c r="F4292" s="6">
        <v>10045245</v>
      </c>
      <c r="G4292" s="6">
        <v>9326243</v>
      </c>
      <c r="H4292" s="6">
        <v>941154</v>
      </c>
      <c r="I4292" s="6">
        <v>64863839</v>
      </c>
    </row>
    <row r="4293" spans="1:9">
      <c r="A4293" s="6">
        <v>43</v>
      </c>
      <c r="B4293" s="6" t="str">
        <f t="shared" si="134"/>
        <v>Saw Mills and Wood Products</v>
      </c>
      <c r="C4293" s="6">
        <v>310</v>
      </c>
      <c r="D4293" s="6" t="str">
        <f t="shared" si="135"/>
        <v>Total Demand</v>
      </c>
      <c r="E4293" s="6">
        <v>344259749</v>
      </c>
      <c r="F4293" s="6">
        <v>28799344</v>
      </c>
      <c r="G4293" s="6">
        <v>22976201</v>
      </c>
      <c r="H4293" s="6">
        <v>3114669</v>
      </c>
      <c r="I4293" s="6">
        <v>23122978</v>
      </c>
    </row>
    <row r="4294" spans="1:9">
      <c r="A4294" s="6">
        <v>44</v>
      </c>
      <c r="B4294" s="6" t="str">
        <f t="shared" si="134"/>
        <v>Other Manufacturing Products</v>
      </c>
      <c r="C4294" s="6">
        <v>310</v>
      </c>
      <c r="D4294" s="6" t="str">
        <f t="shared" si="135"/>
        <v>Total Demand</v>
      </c>
      <c r="E4294" s="6">
        <v>1899033406</v>
      </c>
      <c r="F4294" s="6">
        <v>96610091</v>
      </c>
      <c r="G4294" s="6">
        <v>109460565</v>
      </c>
      <c r="H4294" s="6">
        <v>7589209</v>
      </c>
      <c r="I4294" s="6">
        <v>391997376</v>
      </c>
    </row>
    <row r="4295" spans="1:9">
      <c r="A4295" s="6">
        <v>45</v>
      </c>
      <c r="B4295" s="6" t="str">
        <f t="shared" si="134"/>
        <v>Electricity and Gas</v>
      </c>
      <c r="C4295" s="6">
        <v>310</v>
      </c>
      <c r="D4295" s="6" t="str">
        <f t="shared" si="135"/>
        <v>Total Demand</v>
      </c>
      <c r="E4295" s="6">
        <v>1697164809</v>
      </c>
      <c r="F4295" s="6">
        <v>5223352</v>
      </c>
      <c r="G4295" s="6">
        <v>7959250</v>
      </c>
      <c r="H4295" s="6">
        <v>1341292</v>
      </c>
      <c r="I4295" s="6">
        <v>142248466</v>
      </c>
    </row>
    <row r="4296" spans="1:9">
      <c r="A4296" s="6">
        <v>46</v>
      </c>
      <c r="B4296" s="6" t="str">
        <f t="shared" si="134"/>
        <v>Water Works and Supply</v>
      </c>
      <c r="C4296" s="6">
        <v>310</v>
      </c>
      <c r="D4296" s="6" t="str">
        <f t="shared" si="135"/>
        <v>Total Demand</v>
      </c>
      <c r="E4296" s="6">
        <v>71263534</v>
      </c>
      <c r="F4296" s="6">
        <v>0</v>
      </c>
      <c r="G4296" s="6">
        <v>0</v>
      </c>
      <c r="H4296" s="6">
        <v>0</v>
      </c>
      <c r="I4296" s="6">
        <v>0</v>
      </c>
    </row>
    <row r="4297" spans="1:9">
      <c r="A4297" s="6">
        <v>47</v>
      </c>
      <c r="B4297" s="6" t="str">
        <f t="shared" si="134"/>
        <v>Building Construction</v>
      </c>
      <c r="C4297" s="6">
        <v>310</v>
      </c>
      <c r="D4297" s="6" t="str">
        <f t="shared" si="135"/>
        <v>Total Demand</v>
      </c>
      <c r="E4297" s="6">
        <v>612716974</v>
      </c>
      <c r="F4297" s="6">
        <v>0</v>
      </c>
      <c r="G4297" s="6">
        <v>0</v>
      </c>
      <c r="H4297" s="6">
        <v>3674</v>
      </c>
      <c r="I4297" s="6">
        <v>0</v>
      </c>
    </row>
    <row r="4298" spans="1:9">
      <c r="A4298" s="6">
        <v>48</v>
      </c>
      <c r="B4298" s="6" t="str">
        <f t="shared" si="134"/>
        <v>Public Works and Other Construction</v>
      </c>
      <c r="C4298" s="6">
        <v>310</v>
      </c>
      <c r="D4298" s="6" t="str">
        <f t="shared" si="135"/>
        <v>Total Demand</v>
      </c>
      <c r="E4298" s="6">
        <v>758113275</v>
      </c>
      <c r="F4298" s="6">
        <v>0</v>
      </c>
      <c r="G4298" s="6">
        <v>0</v>
      </c>
      <c r="H4298" s="6">
        <v>0</v>
      </c>
      <c r="I4298" s="6">
        <v>0</v>
      </c>
    </row>
    <row r="4299" spans="1:9">
      <c r="A4299" s="6">
        <v>49</v>
      </c>
      <c r="B4299" s="6" t="str">
        <f t="shared" si="134"/>
        <v>Trade</v>
      </c>
      <c r="C4299" s="6">
        <v>310</v>
      </c>
      <c r="D4299" s="6" t="str">
        <f t="shared" si="135"/>
        <v>Total Demand</v>
      </c>
      <c r="E4299" s="6">
        <v>11026474</v>
      </c>
      <c r="F4299" s="6">
        <v>-1840342700</v>
      </c>
      <c r="G4299" s="6">
        <v>-1434957076</v>
      </c>
      <c r="H4299" s="6">
        <v>0</v>
      </c>
      <c r="I4299" s="6">
        <v>0</v>
      </c>
    </row>
    <row r="4300" spans="1:9">
      <c r="A4300" s="6">
        <v>50</v>
      </c>
      <c r="B4300" s="6" t="str">
        <f t="shared" si="134"/>
        <v>Restaurants and Hotels</v>
      </c>
      <c r="C4300" s="6">
        <v>310</v>
      </c>
      <c r="D4300" s="6" t="str">
        <f t="shared" si="135"/>
        <v>Total Demand</v>
      </c>
      <c r="E4300" s="6">
        <v>1358333734</v>
      </c>
      <c r="F4300" s="6">
        <v>0</v>
      </c>
      <c r="G4300" s="6">
        <v>0</v>
      </c>
      <c r="H4300" s="6">
        <v>0</v>
      </c>
      <c r="I4300" s="6">
        <v>65700431</v>
      </c>
    </row>
    <row r="4301" spans="1:9">
      <c r="A4301" s="6">
        <v>51</v>
      </c>
      <c r="B4301" s="6" t="str">
        <f t="shared" si="134"/>
        <v>Transportation</v>
      </c>
      <c r="C4301" s="6">
        <v>310</v>
      </c>
      <c r="D4301" s="6" t="str">
        <f t="shared" si="135"/>
        <v>Total Demand</v>
      </c>
      <c r="E4301" s="6">
        <v>1029127687</v>
      </c>
      <c r="F4301" s="6">
        <v>0</v>
      </c>
      <c r="G4301" s="6">
        <v>0</v>
      </c>
      <c r="H4301" s="6">
        <v>-295640484</v>
      </c>
      <c r="I4301" s="6">
        <v>117143924</v>
      </c>
    </row>
    <row r="4302" spans="1:9">
      <c r="A4302" s="6">
        <v>52</v>
      </c>
      <c r="B4302" s="6" t="str">
        <f t="shared" si="134"/>
        <v>Communication</v>
      </c>
      <c r="C4302" s="6">
        <v>310</v>
      </c>
      <c r="D4302" s="6" t="str">
        <f t="shared" si="135"/>
        <v>Total Demand</v>
      </c>
      <c r="E4302" s="6">
        <v>638994895</v>
      </c>
      <c r="F4302" s="6">
        <v>0</v>
      </c>
      <c r="G4302" s="6">
        <v>0</v>
      </c>
      <c r="H4302" s="6">
        <v>0</v>
      </c>
      <c r="I4302" s="6">
        <v>55188867</v>
      </c>
    </row>
    <row r="4303" spans="1:9">
      <c r="A4303" s="6">
        <v>53</v>
      </c>
      <c r="B4303" s="6" t="str">
        <f t="shared" si="134"/>
        <v>Banking and Insurance</v>
      </c>
      <c r="C4303" s="6">
        <v>310</v>
      </c>
      <c r="D4303" s="6" t="str">
        <f t="shared" si="135"/>
        <v>Total Demand</v>
      </c>
      <c r="E4303" s="6">
        <v>1808671266</v>
      </c>
      <c r="F4303" s="6">
        <v>0</v>
      </c>
      <c r="G4303" s="6">
        <v>0</v>
      </c>
      <c r="H4303" s="6">
        <v>0</v>
      </c>
      <c r="I4303" s="6">
        <v>81709813</v>
      </c>
    </row>
    <row r="4304" spans="1:9">
      <c r="A4304" s="6">
        <v>54</v>
      </c>
      <c r="B4304" s="6" t="str">
        <f t="shared" si="134"/>
        <v>Real Estate</v>
      </c>
      <c r="C4304" s="6">
        <v>310</v>
      </c>
      <c r="D4304" s="6" t="str">
        <f t="shared" si="135"/>
        <v>Total Demand</v>
      </c>
      <c r="E4304" s="6">
        <v>753318923</v>
      </c>
      <c r="F4304" s="6">
        <v>0</v>
      </c>
      <c r="G4304" s="6">
        <v>0</v>
      </c>
      <c r="H4304" s="6">
        <v>0</v>
      </c>
      <c r="I4304" s="6">
        <v>101724443</v>
      </c>
    </row>
    <row r="4305" spans="1:9">
      <c r="A4305" s="6">
        <v>55</v>
      </c>
      <c r="B4305" s="6" t="str">
        <f t="shared" si="134"/>
        <v>Business Services</v>
      </c>
      <c r="C4305" s="6">
        <v>310</v>
      </c>
      <c r="D4305" s="6" t="str">
        <f t="shared" si="135"/>
        <v>Total Demand</v>
      </c>
      <c r="E4305" s="6">
        <v>1552222836</v>
      </c>
      <c r="F4305" s="6">
        <v>0</v>
      </c>
      <c r="G4305" s="6">
        <v>0</v>
      </c>
      <c r="H4305" s="6">
        <v>0</v>
      </c>
      <c r="I4305" s="6">
        <v>318173520</v>
      </c>
    </row>
    <row r="4306" spans="1:9">
      <c r="A4306" s="6">
        <v>56</v>
      </c>
      <c r="B4306" s="6" t="str">
        <f t="shared" si="134"/>
        <v>Public Services</v>
      </c>
      <c r="C4306" s="6">
        <v>310</v>
      </c>
      <c r="D4306" s="6" t="str">
        <f t="shared" si="135"/>
        <v>Total Demand</v>
      </c>
      <c r="E4306" s="6">
        <v>2930261796</v>
      </c>
      <c r="F4306" s="6">
        <v>0</v>
      </c>
      <c r="G4306" s="6">
        <v>0</v>
      </c>
      <c r="H4306" s="6">
        <v>0</v>
      </c>
      <c r="I4306" s="6">
        <v>86220627</v>
      </c>
    </row>
    <row r="4307" spans="1:9">
      <c r="A4307" s="6">
        <v>57</v>
      </c>
      <c r="B4307" s="6" t="str">
        <f t="shared" si="134"/>
        <v>Other Services</v>
      </c>
      <c r="C4307" s="6">
        <v>310</v>
      </c>
      <c r="D4307" s="6" t="str">
        <f t="shared" si="135"/>
        <v>Total Demand</v>
      </c>
      <c r="E4307" s="6">
        <v>999051935</v>
      </c>
      <c r="F4307" s="6">
        <v>0</v>
      </c>
      <c r="G4307" s="6">
        <v>0</v>
      </c>
      <c r="H4307" s="6">
        <v>0</v>
      </c>
      <c r="I4307" s="6">
        <v>16876564</v>
      </c>
    </row>
    <row r="4308" spans="1:9">
      <c r="A4308" s="6">
        <v>58</v>
      </c>
      <c r="B4308" s="6" t="str">
        <f t="shared" si="134"/>
        <v>Unclassified</v>
      </c>
      <c r="C4308" s="6">
        <v>310</v>
      </c>
      <c r="D4308" s="6" t="str">
        <f t="shared" si="135"/>
        <v>Total Demand</v>
      </c>
      <c r="E4308" s="6">
        <v>294303940</v>
      </c>
      <c r="F4308" s="6">
        <v>0</v>
      </c>
      <c r="G4308" s="6">
        <v>0</v>
      </c>
      <c r="H4308" s="6">
        <v>0</v>
      </c>
      <c r="I4308" s="6">
        <v>21911156</v>
      </c>
    </row>
    <row r="4309" spans="1:9">
      <c r="A4309" s="6">
        <v>190</v>
      </c>
      <c r="B4309" s="6" t="str">
        <f t="shared" si="134"/>
        <v>Total Intermedite Transaction</v>
      </c>
      <c r="C4309" s="6">
        <v>310</v>
      </c>
      <c r="D4309" s="6" t="str">
        <f t="shared" si="135"/>
        <v>Total Demand</v>
      </c>
      <c r="E4309" s="6">
        <v>46348019845</v>
      </c>
      <c r="F4309" s="6">
        <v>0</v>
      </c>
      <c r="G4309" s="6">
        <v>0</v>
      </c>
      <c r="H4309" s="6">
        <v>0</v>
      </c>
      <c r="I4309" s="6">
        <v>10046718641</v>
      </c>
    </row>
    <row r="4310" spans="1:9">
      <c r="A4310" s="6">
        <v>1</v>
      </c>
      <c r="B4310" s="6" t="str">
        <f t="shared" si="134"/>
        <v>Paddy</v>
      </c>
      <c r="C4310" s="6">
        <v>401</v>
      </c>
      <c r="D4310" s="6" t="str">
        <f t="shared" si="135"/>
        <v>Imports (C.I.F.)</v>
      </c>
      <c r="E4310" s="6">
        <v>-5</v>
      </c>
      <c r="F4310" s="6">
        <v>0</v>
      </c>
      <c r="G4310" s="6">
        <v>0</v>
      </c>
      <c r="H4310" s="6">
        <v>0</v>
      </c>
      <c r="I4310" s="6">
        <v>-5</v>
      </c>
    </row>
    <row r="4311" spans="1:9">
      <c r="A4311" s="6">
        <v>2</v>
      </c>
      <c r="B4311" s="6" t="str">
        <f t="shared" si="134"/>
        <v>Maize</v>
      </c>
      <c r="C4311" s="6">
        <v>401</v>
      </c>
      <c r="D4311" s="6" t="str">
        <f t="shared" si="135"/>
        <v>Imports (C.I.F.)</v>
      </c>
      <c r="E4311" s="6">
        <v>-13906462</v>
      </c>
      <c r="F4311" s="6">
        <v>0</v>
      </c>
      <c r="G4311" s="6">
        <v>0</v>
      </c>
      <c r="H4311" s="6">
        <v>0</v>
      </c>
      <c r="I4311" s="6">
        <v>-13906462</v>
      </c>
    </row>
    <row r="4312" spans="1:9">
      <c r="A4312" s="6">
        <v>3</v>
      </c>
      <c r="B4312" s="6" t="str">
        <f t="shared" si="134"/>
        <v>Cassava</v>
      </c>
      <c r="C4312" s="6">
        <v>401</v>
      </c>
      <c r="D4312" s="6" t="str">
        <f t="shared" si="135"/>
        <v>Imports (C.I.F.)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</row>
    <row r="4313" spans="1:9">
      <c r="A4313" s="6">
        <v>4</v>
      </c>
      <c r="B4313" s="6" t="str">
        <f t="shared" si="134"/>
        <v>Beans and Nuts</v>
      </c>
      <c r="C4313" s="6">
        <v>401</v>
      </c>
      <c r="D4313" s="6" t="str">
        <f t="shared" si="135"/>
        <v>Imports (C.I.F.)</v>
      </c>
      <c r="E4313" s="6">
        <v>-43130296</v>
      </c>
      <c r="F4313" s="6">
        <v>0</v>
      </c>
      <c r="G4313" s="6">
        <v>0</v>
      </c>
      <c r="H4313" s="6">
        <v>0</v>
      </c>
      <c r="I4313" s="6">
        <v>-43130296</v>
      </c>
    </row>
    <row r="4314" spans="1:9">
      <c r="A4314" s="6">
        <v>5</v>
      </c>
      <c r="B4314" s="6" t="str">
        <f t="shared" si="134"/>
        <v>Vegetables and Fruits</v>
      </c>
      <c r="C4314" s="6">
        <v>401</v>
      </c>
      <c r="D4314" s="6" t="str">
        <f t="shared" si="135"/>
        <v>Imports (C.I.F.)</v>
      </c>
      <c r="E4314" s="6">
        <v>-48485134</v>
      </c>
      <c r="F4314" s="6">
        <v>0</v>
      </c>
      <c r="G4314" s="6">
        <v>0</v>
      </c>
      <c r="H4314" s="6">
        <v>0</v>
      </c>
      <c r="I4314" s="6">
        <v>-48485134</v>
      </c>
    </row>
    <row r="4315" spans="1:9">
      <c r="A4315" s="6">
        <v>6</v>
      </c>
      <c r="B4315" s="6" t="str">
        <f t="shared" si="134"/>
        <v>Sugarcane</v>
      </c>
      <c r="C4315" s="6">
        <v>401</v>
      </c>
      <c r="D4315" s="6" t="str">
        <f t="shared" si="135"/>
        <v>Imports (C.I.F.)</v>
      </c>
      <c r="E4315" s="6">
        <v>-2</v>
      </c>
      <c r="F4315" s="6">
        <v>0</v>
      </c>
      <c r="G4315" s="6">
        <v>0</v>
      </c>
      <c r="H4315" s="6">
        <v>0</v>
      </c>
      <c r="I4315" s="6">
        <v>-2</v>
      </c>
    </row>
    <row r="4316" spans="1:9">
      <c r="A4316" s="6">
        <v>7</v>
      </c>
      <c r="B4316" s="6" t="str">
        <f t="shared" si="134"/>
        <v>Rubber (Latex)</v>
      </c>
      <c r="C4316" s="6">
        <v>401</v>
      </c>
      <c r="D4316" s="6" t="str">
        <f t="shared" si="135"/>
        <v>Imports (C.I.F.)</v>
      </c>
      <c r="E4316" s="6">
        <v>-140664</v>
      </c>
      <c r="F4316" s="6">
        <v>0</v>
      </c>
      <c r="G4316" s="6">
        <v>0</v>
      </c>
      <c r="H4316" s="6">
        <v>0</v>
      </c>
      <c r="I4316" s="6">
        <v>-140664</v>
      </c>
    </row>
    <row r="4317" spans="1:9">
      <c r="A4317" s="6">
        <v>8</v>
      </c>
      <c r="B4317" s="6" t="str">
        <f t="shared" si="134"/>
        <v>Other Crops</v>
      </c>
      <c r="C4317" s="6">
        <v>401</v>
      </c>
      <c r="D4317" s="6" t="str">
        <f t="shared" si="135"/>
        <v>Imports (C.I.F.)</v>
      </c>
      <c r="E4317" s="6">
        <v>-51624855</v>
      </c>
      <c r="F4317" s="6">
        <v>0</v>
      </c>
      <c r="G4317" s="6">
        <v>0</v>
      </c>
      <c r="H4317" s="6">
        <v>0</v>
      </c>
      <c r="I4317" s="6">
        <v>-51624855</v>
      </c>
    </row>
    <row r="4318" spans="1:9">
      <c r="A4318" s="6">
        <v>9</v>
      </c>
      <c r="B4318" s="6" t="str">
        <f t="shared" si="134"/>
        <v>Livestock</v>
      </c>
      <c r="C4318" s="6">
        <v>401</v>
      </c>
      <c r="D4318" s="6" t="str">
        <f t="shared" si="135"/>
        <v>Imports (C.I.F.)</v>
      </c>
      <c r="E4318" s="6">
        <v>-5602028</v>
      </c>
      <c r="F4318" s="6">
        <v>0</v>
      </c>
      <c r="G4318" s="6">
        <v>0</v>
      </c>
      <c r="H4318" s="6">
        <v>0</v>
      </c>
      <c r="I4318" s="6">
        <v>-5602028</v>
      </c>
    </row>
    <row r="4319" spans="1:9">
      <c r="A4319" s="6">
        <v>10</v>
      </c>
      <c r="B4319" s="6" t="str">
        <f t="shared" si="134"/>
        <v>Forestry</v>
      </c>
      <c r="C4319" s="6">
        <v>401</v>
      </c>
      <c r="D4319" s="6" t="str">
        <f t="shared" si="135"/>
        <v>Imports (C.I.F.)</v>
      </c>
      <c r="E4319" s="6">
        <v>-2716606</v>
      </c>
      <c r="F4319" s="6">
        <v>0</v>
      </c>
      <c r="G4319" s="6">
        <v>0</v>
      </c>
      <c r="H4319" s="6">
        <v>0</v>
      </c>
      <c r="I4319" s="6">
        <v>-2716606</v>
      </c>
    </row>
    <row r="4320" spans="1:9">
      <c r="A4320" s="6">
        <v>11</v>
      </c>
      <c r="B4320" s="6" t="str">
        <f t="shared" si="134"/>
        <v>Fishery</v>
      </c>
      <c r="C4320" s="6">
        <v>401</v>
      </c>
      <c r="D4320" s="6" t="str">
        <f t="shared" si="135"/>
        <v>Imports (C.I.F.)</v>
      </c>
      <c r="E4320" s="6">
        <v>-11276066</v>
      </c>
      <c r="F4320" s="6">
        <v>0</v>
      </c>
      <c r="G4320" s="6">
        <v>0</v>
      </c>
      <c r="H4320" s="6">
        <v>0</v>
      </c>
      <c r="I4320" s="6">
        <v>-11276066</v>
      </c>
    </row>
    <row r="4321" spans="1:9">
      <c r="A4321" s="6">
        <v>12</v>
      </c>
      <c r="B4321" s="6" t="str">
        <f t="shared" si="134"/>
        <v>Crude Oil and Coal</v>
      </c>
      <c r="C4321" s="6">
        <v>401</v>
      </c>
      <c r="D4321" s="6" t="str">
        <f t="shared" si="135"/>
        <v>Imports (C.I.F.)</v>
      </c>
      <c r="E4321" s="6">
        <v>-935241246</v>
      </c>
      <c r="F4321" s="6">
        <v>0</v>
      </c>
      <c r="G4321" s="6">
        <v>0</v>
      </c>
      <c r="H4321" s="6">
        <v>0</v>
      </c>
      <c r="I4321" s="6">
        <v>-935241246</v>
      </c>
    </row>
    <row r="4322" spans="1:9">
      <c r="A4322" s="6">
        <v>13</v>
      </c>
      <c r="B4322" s="6" t="str">
        <f t="shared" si="134"/>
        <v>Metal Ore</v>
      </c>
      <c r="C4322" s="6">
        <v>401</v>
      </c>
      <c r="D4322" s="6" t="str">
        <f t="shared" si="135"/>
        <v>Imports (C.I.F.)</v>
      </c>
      <c r="E4322" s="6">
        <v>-18036490</v>
      </c>
      <c r="F4322" s="6">
        <v>0</v>
      </c>
      <c r="G4322" s="6">
        <v>0</v>
      </c>
      <c r="H4322" s="6">
        <v>0</v>
      </c>
      <c r="I4322" s="6">
        <v>-18036490</v>
      </c>
    </row>
    <row r="4323" spans="1:9">
      <c r="A4323" s="6">
        <v>14</v>
      </c>
      <c r="B4323" s="6" t="str">
        <f t="shared" si="134"/>
        <v>Non-Metal Ore</v>
      </c>
      <c r="C4323" s="6">
        <v>401</v>
      </c>
      <c r="D4323" s="6" t="str">
        <f t="shared" si="135"/>
        <v>Imports (C.I.F.)</v>
      </c>
      <c r="E4323" s="6">
        <v>-10363439</v>
      </c>
      <c r="F4323" s="6">
        <v>0</v>
      </c>
      <c r="G4323" s="6">
        <v>0</v>
      </c>
      <c r="H4323" s="6">
        <v>0</v>
      </c>
      <c r="I4323" s="6">
        <v>-10363439</v>
      </c>
    </row>
    <row r="4324" spans="1:9">
      <c r="A4324" s="6">
        <v>15</v>
      </c>
      <c r="B4324" s="6" t="str">
        <f t="shared" si="134"/>
        <v>Slaughtering</v>
      </c>
      <c r="C4324" s="6">
        <v>401</v>
      </c>
      <c r="D4324" s="6" t="str">
        <f t="shared" si="135"/>
        <v>Imports (C.I.F.)</v>
      </c>
      <c r="E4324" s="6">
        <v>-482092</v>
      </c>
      <c r="F4324" s="6">
        <v>0</v>
      </c>
      <c r="G4324" s="6">
        <v>0</v>
      </c>
      <c r="H4324" s="6">
        <v>0</v>
      </c>
      <c r="I4324" s="6">
        <v>-482092</v>
      </c>
    </row>
    <row r="4325" spans="1:9">
      <c r="A4325" s="6">
        <v>16</v>
      </c>
      <c r="B4325" s="6" t="str">
        <f t="shared" si="134"/>
        <v>Processing and Presering of Foods</v>
      </c>
      <c r="C4325" s="6">
        <v>401</v>
      </c>
      <c r="D4325" s="6" t="str">
        <f t="shared" si="135"/>
        <v>Imports (C.I.F.)</v>
      </c>
      <c r="E4325" s="6">
        <v>-254790929</v>
      </c>
      <c r="F4325" s="6">
        <v>0</v>
      </c>
      <c r="G4325" s="6">
        <v>0</v>
      </c>
      <c r="H4325" s="6">
        <v>0</v>
      </c>
      <c r="I4325" s="6">
        <v>-254790929</v>
      </c>
    </row>
    <row r="4326" spans="1:9">
      <c r="A4326" s="6">
        <v>17</v>
      </c>
      <c r="B4326" s="6" t="str">
        <f t="shared" si="134"/>
        <v>Rice and Other Grain Milling</v>
      </c>
      <c r="C4326" s="6">
        <v>401</v>
      </c>
      <c r="D4326" s="6" t="str">
        <f t="shared" si="135"/>
        <v>Imports (C.I.F.)</v>
      </c>
      <c r="E4326" s="6">
        <v>-32743287</v>
      </c>
      <c r="F4326" s="6">
        <v>0</v>
      </c>
      <c r="G4326" s="6">
        <v>0</v>
      </c>
      <c r="H4326" s="6">
        <v>0</v>
      </c>
      <c r="I4326" s="6">
        <v>-32743287</v>
      </c>
    </row>
    <row r="4327" spans="1:9">
      <c r="A4327" s="6">
        <v>18</v>
      </c>
      <c r="B4327" s="6" t="str">
        <f t="shared" si="134"/>
        <v>Sugar Refineries</v>
      </c>
      <c r="C4327" s="6">
        <v>401</v>
      </c>
      <c r="D4327" s="6" t="str">
        <f t="shared" si="135"/>
        <v>Imports (C.I.F.)</v>
      </c>
      <c r="E4327" s="6">
        <v>-12872471</v>
      </c>
      <c r="F4327" s="6">
        <v>0</v>
      </c>
      <c r="G4327" s="6">
        <v>0</v>
      </c>
      <c r="H4327" s="6">
        <v>0</v>
      </c>
      <c r="I4327" s="6">
        <v>-12872471</v>
      </c>
    </row>
    <row r="4328" spans="1:9">
      <c r="A4328" s="6">
        <v>19</v>
      </c>
      <c r="B4328" s="6" t="str">
        <f t="shared" si="134"/>
        <v>Other Foods</v>
      </c>
      <c r="C4328" s="6">
        <v>401</v>
      </c>
      <c r="D4328" s="6" t="str">
        <f t="shared" si="135"/>
        <v>Imports (C.I.F.)</v>
      </c>
      <c r="E4328" s="6">
        <v>-80824919</v>
      </c>
      <c r="F4328" s="6">
        <v>0</v>
      </c>
      <c r="G4328" s="6">
        <v>0</v>
      </c>
      <c r="H4328" s="6">
        <v>0</v>
      </c>
      <c r="I4328" s="6">
        <v>-80824919</v>
      </c>
    </row>
    <row r="4329" spans="1:9">
      <c r="A4329" s="6">
        <v>20</v>
      </c>
      <c r="B4329" s="6" t="str">
        <f t="shared" si="134"/>
        <v>Animal Food</v>
      </c>
      <c r="C4329" s="6">
        <v>401</v>
      </c>
      <c r="D4329" s="6" t="str">
        <f t="shared" si="135"/>
        <v>Imports (C.I.F.)</v>
      </c>
      <c r="E4329" s="6">
        <v>-25943065</v>
      </c>
      <c r="F4329" s="6">
        <v>0</v>
      </c>
      <c r="G4329" s="6">
        <v>0</v>
      </c>
      <c r="H4329" s="6">
        <v>0</v>
      </c>
      <c r="I4329" s="6">
        <v>-25943065</v>
      </c>
    </row>
    <row r="4330" spans="1:9">
      <c r="A4330" s="6">
        <v>21</v>
      </c>
      <c r="B4330" s="6" t="str">
        <f t="shared" si="134"/>
        <v>Beverages</v>
      </c>
      <c r="C4330" s="6">
        <v>401</v>
      </c>
      <c r="D4330" s="6" t="str">
        <f t="shared" si="135"/>
        <v>Imports (C.I.F.)</v>
      </c>
      <c r="E4330" s="6">
        <v>-12962302</v>
      </c>
      <c r="F4330" s="6">
        <v>0</v>
      </c>
      <c r="G4330" s="6">
        <v>0</v>
      </c>
      <c r="H4330" s="6">
        <v>0</v>
      </c>
      <c r="I4330" s="6">
        <v>-12962302</v>
      </c>
    </row>
    <row r="4331" spans="1:9">
      <c r="A4331" s="6">
        <v>22</v>
      </c>
      <c r="B4331" s="6" t="str">
        <f t="shared" si="134"/>
        <v>Tobacco Processing and Products</v>
      </c>
      <c r="C4331" s="6">
        <v>401</v>
      </c>
      <c r="D4331" s="6" t="str">
        <f t="shared" si="135"/>
        <v>Imports (C.I.F.)</v>
      </c>
      <c r="E4331" s="6">
        <v>-9290534</v>
      </c>
      <c r="F4331" s="6">
        <v>0</v>
      </c>
      <c r="G4331" s="6">
        <v>0</v>
      </c>
      <c r="H4331" s="6">
        <v>0</v>
      </c>
      <c r="I4331" s="6">
        <v>-9290534</v>
      </c>
    </row>
    <row r="4332" spans="1:9">
      <c r="A4332" s="6">
        <v>23</v>
      </c>
      <c r="B4332" s="6" t="str">
        <f t="shared" si="134"/>
        <v>Spinning, Weaving and Bleaching</v>
      </c>
      <c r="C4332" s="6">
        <v>401</v>
      </c>
      <c r="D4332" s="6" t="str">
        <f t="shared" si="135"/>
        <v>Imports (C.I.F.)</v>
      </c>
      <c r="E4332" s="6">
        <v>-75153585</v>
      </c>
      <c r="F4332" s="6">
        <v>0</v>
      </c>
      <c r="G4332" s="6">
        <v>0</v>
      </c>
      <c r="H4332" s="6">
        <v>0</v>
      </c>
      <c r="I4332" s="6">
        <v>-75153585</v>
      </c>
    </row>
    <row r="4333" spans="1:9">
      <c r="A4333" s="6">
        <v>24</v>
      </c>
      <c r="B4333" s="6" t="str">
        <f t="shared" si="134"/>
        <v>Textile Products</v>
      </c>
      <c r="C4333" s="6">
        <v>401</v>
      </c>
      <c r="D4333" s="6" t="str">
        <f t="shared" si="135"/>
        <v>Imports (C.I.F.)</v>
      </c>
      <c r="E4333" s="6">
        <v>-79834315</v>
      </c>
      <c r="F4333" s="6">
        <v>0</v>
      </c>
      <c r="G4333" s="6">
        <v>0</v>
      </c>
      <c r="H4333" s="6">
        <v>0</v>
      </c>
      <c r="I4333" s="6">
        <v>-79834315</v>
      </c>
    </row>
    <row r="4334" spans="1:9">
      <c r="A4334" s="6">
        <v>25</v>
      </c>
      <c r="B4334" s="6" t="str">
        <f t="shared" si="134"/>
        <v>Paper and Paper Products</v>
      </c>
      <c r="C4334" s="6">
        <v>401</v>
      </c>
      <c r="D4334" s="6" t="str">
        <f t="shared" si="135"/>
        <v>Imports (C.I.F.)</v>
      </c>
      <c r="E4334" s="6">
        <v>-102164013</v>
      </c>
      <c r="F4334" s="6">
        <v>0</v>
      </c>
      <c r="G4334" s="6">
        <v>0</v>
      </c>
      <c r="H4334" s="6">
        <v>0</v>
      </c>
      <c r="I4334" s="6">
        <v>-102164013</v>
      </c>
    </row>
    <row r="4335" spans="1:9">
      <c r="A4335" s="6">
        <v>26</v>
      </c>
      <c r="B4335" s="6" t="str">
        <f t="shared" si="134"/>
        <v>Printing and Publishing</v>
      </c>
      <c r="C4335" s="6">
        <v>401</v>
      </c>
      <c r="D4335" s="6" t="str">
        <f t="shared" si="135"/>
        <v>Imports (C.I.F.)</v>
      </c>
      <c r="E4335" s="6">
        <v>-8490858</v>
      </c>
      <c r="F4335" s="6">
        <v>0</v>
      </c>
      <c r="G4335" s="6">
        <v>0</v>
      </c>
      <c r="H4335" s="6">
        <v>0</v>
      </c>
      <c r="I4335" s="6">
        <v>-8490858</v>
      </c>
    </row>
    <row r="4336" spans="1:9">
      <c r="A4336" s="6">
        <v>27</v>
      </c>
      <c r="B4336" s="6" t="str">
        <f t="shared" si="134"/>
        <v>Basic Chemical Products</v>
      </c>
      <c r="C4336" s="6">
        <v>401</v>
      </c>
      <c r="D4336" s="6" t="str">
        <f t="shared" si="135"/>
        <v>Imports (C.I.F.)</v>
      </c>
      <c r="E4336" s="6">
        <v>-593269412</v>
      </c>
      <c r="F4336" s="6">
        <v>0</v>
      </c>
      <c r="G4336" s="6">
        <v>0</v>
      </c>
      <c r="H4336" s="6">
        <v>0</v>
      </c>
      <c r="I4336" s="6">
        <v>-593269412</v>
      </c>
    </row>
    <row r="4337" spans="1:9">
      <c r="A4337" s="6">
        <v>28</v>
      </c>
      <c r="B4337" s="6" t="str">
        <f t="shared" si="134"/>
        <v>Fertilizer and Pesticides</v>
      </c>
      <c r="C4337" s="6">
        <v>401</v>
      </c>
      <c r="D4337" s="6" t="str">
        <f t="shared" si="135"/>
        <v>Imports (C.I.F.)</v>
      </c>
      <c r="E4337" s="6">
        <v>-102136987</v>
      </c>
      <c r="F4337" s="6">
        <v>0</v>
      </c>
      <c r="G4337" s="6">
        <v>0</v>
      </c>
      <c r="H4337" s="6">
        <v>0</v>
      </c>
      <c r="I4337" s="6">
        <v>-102136987</v>
      </c>
    </row>
    <row r="4338" spans="1:9">
      <c r="A4338" s="6">
        <v>29</v>
      </c>
      <c r="B4338" s="6" t="str">
        <f t="shared" si="134"/>
        <v>Other Chemical Products</v>
      </c>
      <c r="C4338" s="6">
        <v>401</v>
      </c>
      <c r="D4338" s="6" t="str">
        <f t="shared" si="135"/>
        <v>Imports (C.I.F.)</v>
      </c>
      <c r="E4338" s="6">
        <v>-348900139</v>
      </c>
      <c r="F4338" s="6">
        <v>0</v>
      </c>
      <c r="G4338" s="6">
        <v>0</v>
      </c>
      <c r="H4338" s="6">
        <v>0</v>
      </c>
      <c r="I4338" s="6">
        <v>-348900139</v>
      </c>
    </row>
    <row r="4339" spans="1:9">
      <c r="A4339" s="6">
        <v>30</v>
      </c>
      <c r="B4339" s="6" t="str">
        <f t="shared" si="134"/>
        <v>Petroleum Refineries</v>
      </c>
      <c r="C4339" s="6">
        <v>401</v>
      </c>
      <c r="D4339" s="6" t="str">
        <f t="shared" si="135"/>
        <v>Imports (C.I.F.)</v>
      </c>
      <c r="E4339" s="6">
        <v>-188138394</v>
      </c>
      <c r="F4339" s="6">
        <v>0</v>
      </c>
      <c r="G4339" s="6">
        <v>0</v>
      </c>
      <c r="H4339" s="6">
        <v>0</v>
      </c>
      <c r="I4339" s="6">
        <v>-188138394</v>
      </c>
    </row>
    <row r="4340" spans="1:9">
      <c r="A4340" s="6">
        <v>31</v>
      </c>
      <c r="B4340" s="6" t="str">
        <f t="shared" si="134"/>
        <v>Rubber Products</v>
      </c>
      <c r="C4340" s="6">
        <v>401</v>
      </c>
      <c r="D4340" s="6" t="str">
        <f t="shared" si="135"/>
        <v>Imports (C.I.F.)</v>
      </c>
      <c r="E4340" s="6">
        <v>-58387485</v>
      </c>
      <c r="F4340" s="6">
        <v>0</v>
      </c>
      <c r="G4340" s="6">
        <v>0</v>
      </c>
      <c r="H4340" s="6">
        <v>0</v>
      </c>
      <c r="I4340" s="6">
        <v>-58387485</v>
      </c>
    </row>
    <row r="4341" spans="1:9">
      <c r="A4341" s="6">
        <v>32</v>
      </c>
      <c r="B4341" s="6" t="str">
        <f t="shared" si="134"/>
        <v>Plastic Wares</v>
      </c>
      <c r="C4341" s="6">
        <v>401</v>
      </c>
      <c r="D4341" s="6" t="str">
        <f t="shared" si="135"/>
        <v>Imports (C.I.F.)</v>
      </c>
      <c r="E4341" s="6">
        <v>-158537682</v>
      </c>
      <c r="F4341" s="6">
        <v>0</v>
      </c>
      <c r="G4341" s="6">
        <v>0</v>
      </c>
      <c r="H4341" s="6">
        <v>0</v>
      </c>
      <c r="I4341" s="6">
        <v>-158537682</v>
      </c>
    </row>
    <row r="4342" spans="1:9">
      <c r="A4342" s="6">
        <v>33</v>
      </c>
      <c r="B4342" s="6" t="str">
        <f t="shared" si="134"/>
        <v>Cement and Concrete Products</v>
      </c>
      <c r="C4342" s="6">
        <v>401</v>
      </c>
      <c r="D4342" s="6" t="str">
        <f t="shared" si="135"/>
        <v>Imports (C.I.F.)</v>
      </c>
      <c r="E4342" s="6">
        <v>-2075810</v>
      </c>
      <c r="F4342" s="6">
        <v>0</v>
      </c>
      <c r="G4342" s="6">
        <v>0</v>
      </c>
      <c r="H4342" s="6">
        <v>0</v>
      </c>
      <c r="I4342" s="6">
        <v>-2075810</v>
      </c>
    </row>
    <row r="4343" spans="1:9">
      <c r="A4343" s="6">
        <v>34</v>
      </c>
      <c r="B4343" s="6" t="str">
        <f t="shared" si="134"/>
        <v>Other Non-metallic Products</v>
      </c>
      <c r="C4343" s="6">
        <v>401</v>
      </c>
      <c r="D4343" s="6" t="str">
        <f t="shared" si="135"/>
        <v>Imports (C.I.F.)</v>
      </c>
      <c r="E4343" s="6">
        <v>-72575949</v>
      </c>
      <c r="F4343" s="6">
        <v>0</v>
      </c>
      <c r="G4343" s="6">
        <v>0</v>
      </c>
      <c r="H4343" s="6">
        <v>0</v>
      </c>
      <c r="I4343" s="6">
        <v>-72575949</v>
      </c>
    </row>
    <row r="4344" spans="1:9">
      <c r="A4344" s="6">
        <v>35</v>
      </c>
      <c r="B4344" s="6" t="str">
        <f t="shared" si="134"/>
        <v>Iron and Steel</v>
      </c>
      <c r="C4344" s="6">
        <v>401</v>
      </c>
      <c r="D4344" s="6" t="str">
        <f t="shared" si="135"/>
        <v>Imports (C.I.F.)</v>
      </c>
      <c r="E4344" s="6">
        <v>-577226627</v>
      </c>
      <c r="F4344" s="6">
        <v>0</v>
      </c>
      <c r="G4344" s="6">
        <v>0</v>
      </c>
      <c r="H4344" s="6">
        <v>0</v>
      </c>
      <c r="I4344" s="6">
        <v>-577226627</v>
      </c>
    </row>
    <row r="4345" spans="1:9">
      <c r="A4345" s="6">
        <v>36</v>
      </c>
      <c r="B4345" s="6" t="str">
        <f t="shared" si="134"/>
        <v>Non-ferrous Metal</v>
      </c>
      <c r="C4345" s="6">
        <v>401</v>
      </c>
      <c r="D4345" s="6" t="str">
        <f t="shared" si="135"/>
        <v>Imports (C.I.F.)</v>
      </c>
      <c r="E4345" s="6">
        <v>-656503565</v>
      </c>
      <c r="F4345" s="6">
        <v>0</v>
      </c>
      <c r="G4345" s="6">
        <v>0</v>
      </c>
      <c r="H4345" s="6">
        <v>0</v>
      </c>
      <c r="I4345" s="6">
        <v>-656503565</v>
      </c>
    </row>
    <row r="4346" spans="1:9">
      <c r="A4346" s="6">
        <v>37</v>
      </c>
      <c r="B4346" s="6" t="str">
        <f t="shared" si="134"/>
        <v>Fabricated Metal Products</v>
      </c>
      <c r="C4346" s="6">
        <v>401</v>
      </c>
      <c r="D4346" s="6" t="str">
        <f t="shared" si="135"/>
        <v>Imports (C.I.F.)</v>
      </c>
      <c r="E4346" s="6">
        <v>-359829221</v>
      </c>
      <c r="F4346" s="6">
        <v>0</v>
      </c>
      <c r="G4346" s="6">
        <v>0</v>
      </c>
      <c r="H4346" s="6">
        <v>0</v>
      </c>
      <c r="I4346" s="6">
        <v>-359829221</v>
      </c>
    </row>
    <row r="4347" spans="1:9">
      <c r="A4347" s="6">
        <v>38</v>
      </c>
      <c r="B4347" s="6" t="str">
        <f t="shared" si="134"/>
        <v>Industrial Machinery</v>
      </c>
      <c r="C4347" s="6">
        <v>401</v>
      </c>
      <c r="D4347" s="6" t="str">
        <f t="shared" si="135"/>
        <v>Imports (C.I.F.)</v>
      </c>
      <c r="E4347" s="6">
        <v>-549904371</v>
      </c>
      <c r="F4347" s="6">
        <v>0</v>
      </c>
      <c r="G4347" s="6">
        <v>0</v>
      </c>
      <c r="H4347" s="6">
        <v>0</v>
      </c>
      <c r="I4347" s="6">
        <v>-549904371</v>
      </c>
    </row>
    <row r="4348" spans="1:9">
      <c r="A4348" s="6">
        <v>39</v>
      </c>
      <c r="B4348" s="6" t="str">
        <f t="shared" si="134"/>
        <v>Electrical Machinery and Apparatus</v>
      </c>
      <c r="C4348" s="6">
        <v>401</v>
      </c>
      <c r="D4348" s="6" t="str">
        <f t="shared" si="135"/>
        <v>Imports (C.I.F.)</v>
      </c>
      <c r="E4348" s="6">
        <v>-1993006357</v>
      </c>
      <c r="F4348" s="6">
        <v>0</v>
      </c>
      <c r="G4348" s="6">
        <v>0</v>
      </c>
      <c r="H4348" s="6">
        <v>0</v>
      </c>
      <c r="I4348" s="6">
        <v>-1993006357</v>
      </c>
    </row>
    <row r="4349" spans="1:9">
      <c r="A4349" s="6">
        <v>40</v>
      </c>
      <c r="B4349" s="6" t="str">
        <f t="shared" si="134"/>
        <v>Motor Vehicles and Repairing</v>
      </c>
      <c r="C4349" s="6">
        <v>401</v>
      </c>
      <c r="D4349" s="6" t="str">
        <f t="shared" si="135"/>
        <v>Imports (C.I.F.)</v>
      </c>
      <c r="E4349" s="6">
        <v>-382559680</v>
      </c>
      <c r="F4349" s="6">
        <v>0</v>
      </c>
      <c r="G4349" s="6">
        <v>0</v>
      </c>
      <c r="H4349" s="6">
        <v>0</v>
      </c>
      <c r="I4349" s="6">
        <v>-382559680</v>
      </c>
    </row>
    <row r="4350" spans="1:9">
      <c r="A4350" s="6">
        <v>41</v>
      </c>
      <c r="B4350" s="6" t="str">
        <f t="shared" si="134"/>
        <v>Other Transportation Equipment</v>
      </c>
      <c r="C4350" s="6">
        <v>401</v>
      </c>
      <c r="D4350" s="6" t="str">
        <f t="shared" si="135"/>
        <v>Imports (C.I.F.)</v>
      </c>
      <c r="E4350" s="6">
        <v>-67945117</v>
      </c>
      <c r="F4350" s="6">
        <v>0</v>
      </c>
      <c r="G4350" s="6">
        <v>0</v>
      </c>
      <c r="H4350" s="6">
        <v>0</v>
      </c>
      <c r="I4350" s="6">
        <v>-67945117</v>
      </c>
    </row>
    <row r="4351" spans="1:9">
      <c r="A4351" s="6">
        <v>42</v>
      </c>
      <c r="B4351" s="6" t="str">
        <f t="shared" si="134"/>
        <v>Leather Products</v>
      </c>
      <c r="C4351" s="6">
        <v>401</v>
      </c>
      <c r="D4351" s="6" t="str">
        <f t="shared" si="135"/>
        <v>Imports (C.I.F.)</v>
      </c>
      <c r="E4351" s="6">
        <v>-60167939</v>
      </c>
      <c r="F4351" s="6">
        <v>0</v>
      </c>
      <c r="G4351" s="6">
        <v>0</v>
      </c>
      <c r="H4351" s="6">
        <v>0</v>
      </c>
      <c r="I4351" s="6">
        <v>-60167939</v>
      </c>
    </row>
    <row r="4352" spans="1:9">
      <c r="A4352" s="6">
        <v>43</v>
      </c>
      <c r="B4352" s="6" t="str">
        <f t="shared" si="134"/>
        <v>Saw Mills and Wood Products</v>
      </c>
      <c r="C4352" s="6">
        <v>401</v>
      </c>
      <c r="D4352" s="6" t="str">
        <f t="shared" si="135"/>
        <v>Imports (C.I.F.)</v>
      </c>
      <c r="E4352" s="6">
        <v>-21342735</v>
      </c>
      <c r="F4352" s="6">
        <v>0</v>
      </c>
      <c r="G4352" s="6">
        <v>0</v>
      </c>
      <c r="H4352" s="6">
        <v>0</v>
      </c>
      <c r="I4352" s="6">
        <v>-21342735</v>
      </c>
    </row>
    <row r="4353" spans="1:9">
      <c r="A4353" s="6">
        <v>44</v>
      </c>
      <c r="B4353" s="6" t="str">
        <f t="shared" si="134"/>
        <v>Other Manufacturing Products</v>
      </c>
      <c r="C4353" s="6">
        <v>401</v>
      </c>
      <c r="D4353" s="6" t="str">
        <f t="shared" si="135"/>
        <v>Imports (C.I.F.)</v>
      </c>
      <c r="E4353" s="6">
        <v>-364884998</v>
      </c>
      <c r="F4353" s="6">
        <v>0</v>
      </c>
      <c r="G4353" s="6">
        <v>0</v>
      </c>
      <c r="H4353" s="6">
        <v>0</v>
      </c>
      <c r="I4353" s="6">
        <v>-364884998</v>
      </c>
    </row>
    <row r="4354" spans="1:9">
      <c r="A4354" s="6">
        <v>45</v>
      </c>
      <c r="B4354" s="6" t="str">
        <f t="shared" si="134"/>
        <v>Electricity and Gas</v>
      </c>
      <c r="C4354" s="6">
        <v>401</v>
      </c>
      <c r="D4354" s="6" t="str">
        <f t="shared" si="135"/>
        <v>Imports (C.I.F.)</v>
      </c>
      <c r="E4354" s="6">
        <v>-132116469</v>
      </c>
      <c r="F4354" s="6">
        <v>0</v>
      </c>
      <c r="G4354" s="6">
        <v>0</v>
      </c>
      <c r="H4354" s="6">
        <v>0</v>
      </c>
      <c r="I4354" s="6">
        <v>-132116469</v>
      </c>
    </row>
    <row r="4355" spans="1:9">
      <c r="A4355" s="6">
        <v>46</v>
      </c>
      <c r="B4355" s="6" t="str">
        <f t="shared" si="134"/>
        <v>Water Works and Supply</v>
      </c>
      <c r="C4355" s="6">
        <v>401</v>
      </c>
      <c r="D4355" s="6" t="str">
        <f t="shared" si="135"/>
        <v>Imports (C.I.F.)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</row>
    <row r="4356" spans="1:9">
      <c r="A4356" s="6">
        <v>47</v>
      </c>
      <c r="B4356" s="6" t="str">
        <f t="shared" ref="B4356:B4419" si="136">VLOOKUP(A4356,R:S,2,0)</f>
        <v>Building Construction</v>
      </c>
      <c r="C4356" s="6">
        <v>401</v>
      </c>
      <c r="D4356" s="6" t="str">
        <f t="shared" ref="D4356:D4419" si="137">VLOOKUP(C4356,R:S,2,0)</f>
        <v>Imports (C.I.F.)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</row>
    <row r="4357" spans="1:9">
      <c r="A4357" s="6">
        <v>48</v>
      </c>
      <c r="B4357" s="6" t="str">
        <f t="shared" si="136"/>
        <v>Public Works and Other Construction</v>
      </c>
      <c r="C4357" s="6">
        <v>401</v>
      </c>
      <c r="D4357" s="6" t="str">
        <f t="shared" si="137"/>
        <v>Imports (C.I.F.)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</row>
    <row r="4358" spans="1:9">
      <c r="A4358" s="6">
        <v>49</v>
      </c>
      <c r="B4358" s="6" t="str">
        <f t="shared" si="136"/>
        <v>Trade</v>
      </c>
      <c r="C4358" s="6">
        <v>401</v>
      </c>
      <c r="D4358" s="6" t="str">
        <f t="shared" si="137"/>
        <v>Imports (C.I.F.)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</row>
    <row r="4359" spans="1:9">
      <c r="A4359" s="6">
        <v>50</v>
      </c>
      <c r="B4359" s="6" t="str">
        <f t="shared" si="136"/>
        <v>Restaurants and Hotels</v>
      </c>
      <c r="C4359" s="6">
        <v>401</v>
      </c>
      <c r="D4359" s="6" t="str">
        <f t="shared" si="137"/>
        <v>Imports (C.I.F.)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</row>
    <row r="4360" spans="1:9">
      <c r="A4360" s="6">
        <v>51</v>
      </c>
      <c r="B4360" s="6" t="str">
        <f t="shared" si="136"/>
        <v>Transportation</v>
      </c>
      <c r="C4360" s="6">
        <v>401</v>
      </c>
      <c r="D4360" s="6" t="str">
        <f t="shared" si="137"/>
        <v>Imports (C.I.F.)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</row>
    <row r="4361" spans="1:9">
      <c r="A4361" s="6">
        <v>52</v>
      </c>
      <c r="B4361" s="6" t="str">
        <f t="shared" si="136"/>
        <v>Communication</v>
      </c>
      <c r="C4361" s="6">
        <v>401</v>
      </c>
      <c r="D4361" s="6" t="str">
        <f t="shared" si="137"/>
        <v>Imports (C.I.F.)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</row>
    <row r="4362" spans="1:9">
      <c r="A4362" s="6">
        <v>53</v>
      </c>
      <c r="B4362" s="6" t="str">
        <f t="shared" si="136"/>
        <v>Banking and Insurance</v>
      </c>
      <c r="C4362" s="6">
        <v>401</v>
      </c>
      <c r="D4362" s="6" t="str">
        <f t="shared" si="137"/>
        <v>Imports (C.I.F.)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</row>
    <row r="4363" spans="1:9">
      <c r="A4363" s="6">
        <v>54</v>
      </c>
      <c r="B4363" s="6" t="str">
        <f t="shared" si="136"/>
        <v>Real Estate</v>
      </c>
      <c r="C4363" s="6">
        <v>401</v>
      </c>
      <c r="D4363" s="6" t="str">
        <f t="shared" si="137"/>
        <v>Imports (C.I.F.)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</row>
    <row r="4364" spans="1:9">
      <c r="A4364" s="6">
        <v>55</v>
      </c>
      <c r="B4364" s="6" t="str">
        <f t="shared" si="136"/>
        <v>Business Services</v>
      </c>
      <c r="C4364" s="6">
        <v>401</v>
      </c>
      <c r="D4364" s="6" t="str">
        <f t="shared" si="137"/>
        <v>Imports (C.I.F.)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</row>
    <row r="4365" spans="1:9">
      <c r="A4365" s="6">
        <v>56</v>
      </c>
      <c r="B4365" s="6" t="str">
        <f t="shared" si="136"/>
        <v>Public Services</v>
      </c>
      <c r="C4365" s="6">
        <v>401</v>
      </c>
      <c r="D4365" s="6" t="str">
        <f t="shared" si="137"/>
        <v>Imports (C.I.F.)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</row>
    <row r="4366" spans="1:9">
      <c r="A4366" s="6">
        <v>57</v>
      </c>
      <c r="B4366" s="6" t="str">
        <f t="shared" si="136"/>
        <v>Other Services</v>
      </c>
      <c r="C4366" s="6">
        <v>401</v>
      </c>
      <c r="D4366" s="6" t="str">
        <f t="shared" si="137"/>
        <v>Imports (C.I.F.)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</row>
    <row r="4367" spans="1:9">
      <c r="A4367" s="6">
        <v>58</v>
      </c>
      <c r="B4367" s="6" t="str">
        <f t="shared" si="136"/>
        <v>Unclassified</v>
      </c>
      <c r="C4367" s="6">
        <v>401</v>
      </c>
      <c r="D4367" s="6" t="str">
        <f t="shared" si="137"/>
        <v>Imports (C.I.F.)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</row>
    <row r="4368" spans="1:9">
      <c r="A4368" s="6">
        <v>190</v>
      </c>
      <c r="B4368" s="6" t="str">
        <f t="shared" si="136"/>
        <v>Total Intermedite Transaction</v>
      </c>
      <c r="C4368" s="6">
        <v>401</v>
      </c>
      <c r="D4368" s="6" t="str">
        <f t="shared" si="137"/>
        <v>Imports (C.I.F.)</v>
      </c>
      <c r="E4368" s="6">
        <v>-8525584600</v>
      </c>
      <c r="F4368" s="6">
        <v>0</v>
      </c>
      <c r="G4368" s="6">
        <v>0</v>
      </c>
      <c r="H4368" s="6">
        <v>0</v>
      </c>
      <c r="I4368" s="6">
        <v>-8525584600</v>
      </c>
    </row>
    <row r="4369" spans="1:9">
      <c r="A4369" s="6">
        <v>1</v>
      </c>
      <c r="B4369" s="6" t="str">
        <f t="shared" si="136"/>
        <v>Paddy</v>
      </c>
      <c r="C4369" s="6">
        <v>402</v>
      </c>
      <c r="D4369" s="6" t="str">
        <f t="shared" si="137"/>
        <v>Import Duty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</row>
    <row r="4370" spans="1:9">
      <c r="A4370" s="6">
        <v>2</v>
      </c>
      <c r="B4370" s="6" t="str">
        <f t="shared" si="136"/>
        <v>Maize</v>
      </c>
      <c r="C4370" s="6">
        <v>402</v>
      </c>
      <c r="D4370" s="6" t="str">
        <f t="shared" si="137"/>
        <v>Import Duty</v>
      </c>
      <c r="E4370" s="6">
        <v>-1124378</v>
      </c>
      <c r="F4370" s="6">
        <v>0</v>
      </c>
      <c r="G4370" s="6">
        <v>0</v>
      </c>
      <c r="H4370" s="6">
        <v>0</v>
      </c>
      <c r="I4370" s="6">
        <v>-1124378</v>
      </c>
    </row>
    <row r="4371" spans="1:9">
      <c r="A4371" s="6">
        <v>3</v>
      </c>
      <c r="B4371" s="6" t="str">
        <f t="shared" si="136"/>
        <v>Cassava</v>
      </c>
      <c r="C4371" s="6">
        <v>402</v>
      </c>
      <c r="D4371" s="6" t="str">
        <f t="shared" si="137"/>
        <v>Import Duty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</row>
    <row r="4372" spans="1:9">
      <c r="A4372" s="6">
        <v>4</v>
      </c>
      <c r="B4372" s="6" t="str">
        <f t="shared" si="136"/>
        <v>Beans and Nuts</v>
      </c>
      <c r="C4372" s="6">
        <v>402</v>
      </c>
      <c r="D4372" s="6" t="str">
        <f t="shared" si="137"/>
        <v>Import Duty</v>
      </c>
      <c r="E4372" s="6">
        <v>-928667</v>
      </c>
      <c r="F4372" s="6">
        <v>0</v>
      </c>
      <c r="G4372" s="6">
        <v>0</v>
      </c>
      <c r="H4372" s="6">
        <v>0</v>
      </c>
      <c r="I4372" s="6">
        <v>-928667</v>
      </c>
    </row>
    <row r="4373" spans="1:9">
      <c r="A4373" s="6">
        <v>5</v>
      </c>
      <c r="B4373" s="6" t="str">
        <f t="shared" si="136"/>
        <v>Vegetables and Fruits</v>
      </c>
      <c r="C4373" s="6">
        <v>402</v>
      </c>
      <c r="D4373" s="6" t="str">
        <f t="shared" si="137"/>
        <v>Import Duty</v>
      </c>
      <c r="E4373" s="6">
        <v>-3764461</v>
      </c>
      <c r="F4373" s="6">
        <v>0</v>
      </c>
      <c r="G4373" s="6">
        <v>0</v>
      </c>
      <c r="H4373" s="6">
        <v>0</v>
      </c>
      <c r="I4373" s="6">
        <v>-3764461</v>
      </c>
    </row>
    <row r="4374" spans="1:9">
      <c r="A4374" s="6">
        <v>6</v>
      </c>
      <c r="B4374" s="6" t="str">
        <f t="shared" si="136"/>
        <v>Sugarcane</v>
      </c>
      <c r="C4374" s="6">
        <v>402</v>
      </c>
      <c r="D4374" s="6" t="str">
        <f t="shared" si="137"/>
        <v>Import Duty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</row>
    <row r="4375" spans="1:9">
      <c r="A4375" s="6">
        <v>7</v>
      </c>
      <c r="B4375" s="6" t="str">
        <f t="shared" si="136"/>
        <v>Rubber (Latex)</v>
      </c>
      <c r="C4375" s="6">
        <v>402</v>
      </c>
      <c r="D4375" s="6" t="str">
        <f t="shared" si="137"/>
        <v>Import Duty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</row>
    <row r="4376" spans="1:9">
      <c r="A4376" s="6">
        <v>8</v>
      </c>
      <c r="B4376" s="6" t="str">
        <f t="shared" si="136"/>
        <v>Other Crops</v>
      </c>
      <c r="C4376" s="6">
        <v>402</v>
      </c>
      <c r="D4376" s="6" t="str">
        <f t="shared" si="137"/>
        <v>Import Duty</v>
      </c>
      <c r="E4376" s="6">
        <v>-1700242</v>
      </c>
      <c r="F4376" s="6">
        <v>0</v>
      </c>
      <c r="G4376" s="6">
        <v>0</v>
      </c>
      <c r="H4376" s="6">
        <v>0</v>
      </c>
      <c r="I4376" s="6">
        <v>-1700242</v>
      </c>
    </row>
    <row r="4377" spans="1:9">
      <c r="A4377" s="6">
        <v>9</v>
      </c>
      <c r="B4377" s="6" t="str">
        <f t="shared" si="136"/>
        <v>Livestock</v>
      </c>
      <c r="C4377" s="6">
        <v>402</v>
      </c>
      <c r="D4377" s="6" t="str">
        <f t="shared" si="137"/>
        <v>Import Duty</v>
      </c>
      <c r="E4377" s="6">
        <v>-3501</v>
      </c>
      <c r="F4377" s="6">
        <v>0</v>
      </c>
      <c r="G4377" s="6">
        <v>0</v>
      </c>
      <c r="H4377" s="6">
        <v>0</v>
      </c>
      <c r="I4377" s="6">
        <v>-3501</v>
      </c>
    </row>
    <row r="4378" spans="1:9">
      <c r="A4378" s="6">
        <v>10</v>
      </c>
      <c r="B4378" s="6" t="str">
        <f t="shared" si="136"/>
        <v>Forestry</v>
      </c>
      <c r="C4378" s="6">
        <v>402</v>
      </c>
      <c r="D4378" s="6" t="str">
        <f t="shared" si="137"/>
        <v>Import Duty</v>
      </c>
      <c r="E4378" s="6">
        <v>-12523</v>
      </c>
      <c r="F4378" s="6">
        <v>0</v>
      </c>
      <c r="G4378" s="6">
        <v>0</v>
      </c>
      <c r="H4378" s="6">
        <v>0</v>
      </c>
      <c r="I4378" s="6">
        <v>-12523</v>
      </c>
    </row>
    <row r="4379" spans="1:9">
      <c r="A4379" s="6">
        <v>11</v>
      </c>
      <c r="B4379" s="6" t="str">
        <f t="shared" si="136"/>
        <v>Fishery</v>
      </c>
      <c r="C4379" s="6">
        <v>402</v>
      </c>
      <c r="D4379" s="6" t="str">
        <f t="shared" si="137"/>
        <v>Import Duty</v>
      </c>
      <c r="E4379" s="6">
        <v>-108065</v>
      </c>
      <c r="F4379" s="6">
        <v>0</v>
      </c>
      <c r="G4379" s="6">
        <v>0</v>
      </c>
      <c r="H4379" s="6">
        <v>0</v>
      </c>
      <c r="I4379" s="6">
        <v>-108065</v>
      </c>
    </row>
    <row r="4380" spans="1:9">
      <c r="A4380" s="6">
        <v>12</v>
      </c>
      <c r="B4380" s="6" t="str">
        <f t="shared" si="136"/>
        <v>Crude Oil and Coal</v>
      </c>
      <c r="C4380" s="6">
        <v>402</v>
      </c>
      <c r="D4380" s="6" t="str">
        <f t="shared" si="137"/>
        <v>Import Duty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</row>
    <row r="4381" spans="1:9">
      <c r="A4381" s="6">
        <v>13</v>
      </c>
      <c r="B4381" s="6" t="str">
        <f t="shared" si="136"/>
        <v>Metal Ore</v>
      </c>
      <c r="C4381" s="6">
        <v>402</v>
      </c>
      <c r="D4381" s="6" t="str">
        <f t="shared" si="137"/>
        <v>Import Duty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</row>
    <row r="4382" spans="1:9">
      <c r="A4382" s="6">
        <v>14</v>
      </c>
      <c r="B4382" s="6" t="str">
        <f t="shared" si="136"/>
        <v>Non-Metal Ore</v>
      </c>
      <c r="C4382" s="6">
        <v>402</v>
      </c>
      <c r="D4382" s="6" t="str">
        <f t="shared" si="137"/>
        <v>Import Duty</v>
      </c>
      <c r="E4382" s="6">
        <v>-19442</v>
      </c>
      <c r="F4382" s="6">
        <v>0</v>
      </c>
      <c r="G4382" s="6">
        <v>0</v>
      </c>
      <c r="H4382" s="6">
        <v>0</v>
      </c>
      <c r="I4382" s="6">
        <v>-19442</v>
      </c>
    </row>
    <row r="4383" spans="1:9">
      <c r="A4383" s="6">
        <v>15</v>
      </c>
      <c r="B4383" s="6" t="str">
        <f t="shared" si="136"/>
        <v>Slaughtering</v>
      </c>
      <c r="C4383" s="6">
        <v>402</v>
      </c>
      <c r="D4383" s="6" t="str">
        <f t="shared" si="137"/>
        <v>Import Duty</v>
      </c>
      <c r="E4383" s="6">
        <v>-18484</v>
      </c>
      <c r="F4383" s="6">
        <v>0</v>
      </c>
      <c r="G4383" s="6">
        <v>0</v>
      </c>
      <c r="H4383" s="6">
        <v>0</v>
      </c>
      <c r="I4383" s="6">
        <v>-18484</v>
      </c>
    </row>
    <row r="4384" spans="1:9">
      <c r="A4384" s="6">
        <v>16</v>
      </c>
      <c r="B4384" s="6" t="str">
        <f t="shared" si="136"/>
        <v>Processing and Presering of Foods</v>
      </c>
      <c r="C4384" s="6">
        <v>402</v>
      </c>
      <c r="D4384" s="6" t="str">
        <f t="shared" si="137"/>
        <v>Import Duty</v>
      </c>
      <c r="E4384" s="6">
        <v>-6056811</v>
      </c>
      <c r="F4384" s="6">
        <v>0</v>
      </c>
      <c r="G4384" s="6">
        <v>0</v>
      </c>
      <c r="H4384" s="6">
        <v>0</v>
      </c>
      <c r="I4384" s="6">
        <v>-6056811</v>
      </c>
    </row>
    <row r="4385" spans="1:9">
      <c r="A4385" s="6">
        <v>17</v>
      </c>
      <c r="B4385" s="6" t="str">
        <f t="shared" si="136"/>
        <v>Rice and Other Grain Milling</v>
      </c>
      <c r="C4385" s="6">
        <v>402</v>
      </c>
      <c r="D4385" s="6" t="str">
        <f t="shared" si="137"/>
        <v>Import Duty</v>
      </c>
      <c r="E4385" s="6">
        <v>-1390266</v>
      </c>
      <c r="F4385" s="6">
        <v>0</v>
      </c>
      <c r="G4385" s="6">
        <v>0</v>
      </c>
      <c r="H4385" s="6">
        <v>0</v>
      </c>
      <c r="I4385" s="6">
        <v>-1390266</v>
      </c>
    </row>
    <row r="4386" spans="1:9">
      <c r="A4386" s="6">
        <v>18</v>
      </c>
      <c r="B4386" s="6" t="str">
        <f t="shared" si="136"/>
        <v>Sugar Refineries</v>
      </c>
      <c r="C4386" s="6">
        <v>402</v>
      </c>
      <c r="D4386" s="6" t="str">
        <f t="shared" si="137"/>
        <v>Import Duty</v>
      </c>
      <c r="E4386" s="6">
        <v>-254227</v>
      </c>
      <c r="F4386" s="6">
        <v>0</v>
      </c>
      <c r="G4386" s="6">
        <v>0</v>
      </c>
      <c r="H4386" s="6">
        <v>0</v>
      </c>
      <c r="I4386" s="6">
        <v>-254227</v>
      </c>
    </row>
    <row r="4387" spans="1:9">
      <c r="A4387" s="6">
        <v>19</v>
      </c>
      <c r="B4387" s="6" t="str">
        <f t="shared" si="136"/>
        <v>Other Foods</v>
      </c>
      <c r="C4387" s="6">
        <v>402</v>
      </c>
      <c r="D4387" s="6" t="str">
        <f t="shared" si="137"/>
        <v>Import Duty</v>
      </c>
      <c r="E4387" s="6">
        <v>-2564895</v>
      </c>
      <c r="F4387" s="6">
        <v>0</v>
      </c>
      <c r="G4387" s="6">
        <v>0</v>
      </c>
      <c r="H4387" s="6">
        <v>0</v>
      </c>
      <c r="I4387" s="6">
        <v>-2564895</v>
      </c>
    </row>
    <row r="4388" spans="1:9">
      <c r="A4388" s="6">
        <v>20</v>
      </c>
      <c r="B4388" s="6" t="str">
        <f t="shared" si="136"/>
        <v>Animal Food</v>
      </c>
      <c r="C4388" s="6">
        <v>402</v>
      </c>
      <c r="D4388" s="6" t="str">
        <f t="shared" si="137"/>
        <v>Import Duty</v>
      </c>
      <c r="E4388" s="6">
        <v>-408342</v>
      </c>
      <c r="F4388" s="6">
        <v>0</v>
      </c>
      <c r="G4388" s="6">
        <v>0</v>
      </c>
      <c r="H4388" s="6">
        <v>0</v>
      </c>
      <c r="I4388" s="6">
        <v>-408342</v>
      </c>
    </row>
    <row r="4389" spans="1:9">
      <c r="A4389" s="6">
        <v>21</v>
      </c>
      <c r="B4389" s="6" t="str">
        <f t="shared" si="136"/>
        <v>Beverages</v>
      </c>
      <c r="C4389" s="6">
        <v>402</v>
      </c>
      <c r="D4389" s="6" t="str">
        <f t="shared" si="137"/>
        <v>Import Duty</v>
      </c>
      <c r="E4389" s="6">
        <v>-1196297</v>
      </c>
      <c r="F4389" s="6">
        <v>0</v>
      </c>
      <c r="G4389" s="6">
        <v>0</v>
      </c>
      <c r="H4389" s="6">
        <v>0</v>
      </c>
      <c r="I4389" s="6">
        <v>-1196297</v>
      </c>
    </row>
    <row r="4390" spans="1:9">
      <c r="A4390" s="6">
        <v>22</v>
      </c>
      <c r="B4390" s="6" t="str">
        <f t="shared" si="136"/>
        <v>Tobacco Processing and Products</v>
      </c>
      <c r="C4390" s="6">
        <v>402</v>
      </c>
      <c r="D4390" s="6" t="str">
        <f t="shared" si="137"/>
        <v>Import Duty</v>
      </c>
      <c r="E4390" s="6">
        <v>-1188020</v>
      </c>
      <c r="F4390" s="6">
        <v>0</v>
      </c>
      <c r="G4390" s="6">
        <v>0</v>
      </c>
      <c r="H4390" s="6">
        <v>0</v>
      </c>
      <c r="I4390" s="6">
        <v>-1188020</v>
      </c>
    </row>
    <row r="4391" spans="1:9">
      <c r="A4391" s="6">
        <v>23</v>
      </c>
      <c r="B4391" s="6" t="str">
        <f t="shared" si="136"/>
        <v>Spinning, Weaving and Bleaching</v>
      </c>
      <c r="C4391" s="6">
        <v>402</v>
      </c>
      <c r="D4391" s="6" t="str">
        <f t="shared" si="137"/>
        <v>Import Duty</v>
      </c>
      <c r="E4391" s="6">
        <v>-730071</v>
      </c>
      <c r="F4391" s="6">
        <v>0</v>
      </c>
      <c r="G4391" s="6">
        <v>0</v>
      </c>
      <c r="H4391" s="6">
        <v>0</v>
      </c>
      <c r="I4391" s="6">
        <v>-730071</v>
      </c>
    </row>
    <row r="4392" spans="1:9">
      <c r="A4392" s="6">
        <v>24</v>
      </c>
      <c r="B4392" s="6" t="str">
        <f t="shared" si="136"/>
        <v>Textile Products</v>
      </c>
      <c r="C4392" s="6">
        <v>402</v>
      </c>
      <c r="D4392" s="6" t="str">
        <f t="shared" si="137"/>
        <v>Import Duty</v>
      </c>
      <c r="E4392" s="6">
        <v>-3163301</v>
      </c>
      <c r="F4392" s="6">
        <v>0</v>
      </c>
      <c r="G4392" s="6">
        <v>0</v>
      </c>
      <c r="H4392" s="6">
        <v>0</v>
      </c>
      <c r="I4392" s="6">
        <v>-3163301</v>
      </c>
    </row>
    <row r="4393" spans="1:9">
      <c r="A4393" s="6">
        <v>25</v>
      </c>
      <c r="B4393" s="6" t="str">
        <f t="shared" si="136"/>
        <v>Paper and Paper Products</v>
      </c>
      <c r="C4393" s="6">
        <v>402</v>
      </c>
      <c r="D4393" s="6" t="str">
        <f t="shared" si="137"/>
        <v>Import Duty</v>
      </c>
      <c r="E4393" s="6">
        <v>-663596</v>
      </c>
      <c r="F4393" s="6">
        <v>0</v>
      </c>
      <c r="G4393" s="6">
        <v>0</v>
      </c>
      <c r="H4393" s="6">
        <v>0</v>
      </c>
      <c r="I4393" s="6">
        <v>-663596</v>
      </c>
    </row>
    <row r="4394" spans="1:9">
      <c r="A4394" s="6">
        <v>26</v>
      </c>
      <c r="B4394" s="6" t="str">
        <f t="shared" si="136"/>
        <v>Printing and Publishing</v>
      </c>
      <c r="C4394" s="6">
        <v>402</v>
      </c>
      <c r="D4394" s="6" t="str">
        <f t="shared" si="137"/>
        <v>Import Duty</v>
      </c>
      <c r="E4394" s="6">
        <v>-125726</v>
      </c>
      <c r="F4394" s="6">
        <v>0</v>
      </c>
      <c r="G4394" s="6">
        <v>0</v>
      </c>
      <c r="H4394" s="6">
        <v>0</v>
      </c>
      <c r="I4394" s="6">
        <v>-125726</v>
      </c>
    </row>
    <row r="4395" spans="1:9">
      <c r="A4395" s="6">
        <v>27</v>
      </c>
      <c r="B4395" s="6" t="str">
        <f t="shared" si="136"/>
        <v>Basic Chemical Products</v>
      </c>
      <c r="C4395" s="6">
        <v>402</v>
      </c>
      <c r="D4395" s="6" t="str">
        <f t="shared" si="137"/>
        <v>Import Duty</v>
      </c>
      <c r="E4395" s="6">
        <v>-2665585</v>
      </c>
      <c r="F4395" s="6">
        <v>0</v>
      </c>
      <c r="G4395" s="6">
        <v>0</v>
      </c>
      <c r="H4395" s="6">
        <v>0</v>
      </c>
      <c r="I4395" s="6">
        <v>-2665585</v>
      </c>
    </row>
    <row r="4396" spans="1:9">
      <c r="A4396" s="6">
        <v>28</v>
      </c>
      <c r="B4396" s="6" t="str">
        <f t="shared" si="136"/>
        <v>Fertilizer and Pesticides</v>
      </c>
      <c r="C4396" s="6">
        <v>402</v>
      </c>
      <c r="D4396" s="6" t="str">
        <f t="shared" si="137"/>
        <v>Import Duty</v>
      </c>
      <c r="E4396" s="6">
        <v>-436584</v>
      </c>
      <c r="F4396" s="6">
        <v>0</v>
      </c>
      <c r="G4396" s="6">
        <v>0</v>
      </c>
      <c r="H4396" s="6">
        <v>0</v>
      </c>
      <c r="I4396" s="6">
        <v>-436584</v>
      </c>
    </row>
    <row r="4397" spans="1:9">
      <c r="A4397" s="6">
        <v>29</v>
      </c>
      <c r="B4397" s="6" t="str">
        <f t="shared" si="136"/>
        <v>Other Chemical Products</v>
      </c>
      <c r="C4397" s="6">
        <v>402</v>
      </c>
      <c r="D4397" s="6" t="str">
        <f t="shared" si="137"/>
        <v>Import Duty</v>
      </c>
      <c r="E4397" s="6">
        <v>-4554188</v>
      </c>
      <c r="F4397" s="6">
        <v>0</v>
      </c>
      <c r="G4397" s="6">
        <v>0</v>
      </c>
      <c r="H4397" s="6">
        <v>0</v>
      </c>
      <c r="I4397" s="6">
        <v>-4554188</v>
      </c>
    </row>
    <row r="4398" spans="1:9">
      <c r="A4398" s="6">
        <v>30</v>
      </c>
      <c r="B4398" s="6" t="str">
        <f t="shared" si="136"/>
        <v>Petroleum Refineries</v>
      </c>
      <c r="C4398" s="6">
        <v>402</v>
      </c>
      <c r="D4398" s="6" t="str">
        <f t="shared" si="137"/>
        <v>Import Duty</v>
      </c>
      <c r="E4398" s="6">
        <v>-2236282</v>
      </c>
      <c r="F4398" s="6">
        <v>0</v>
      </c>
      <c r="G4398" s="6">
        <v>0</v>
      </c>
      <c r="H4398" s="6">
        <v>0</v>
      </c>
      <c r="I4398" s="6">
        <v>-2236282</v>
      </c>
    </row>
    <row r="4399" spans="1:9">
      <c r="A4399" s="6">
        <v>31</v>
      </c>
      <c r="B4399" s="6" t="str">
        <f t="shared" si="136"/>
        <v>Rubber Products</v>
      </c>
      <c r="C4399" s="6">
        <v>402</v>
      </c>
      <c r="D4399" s="6" t="str">
        <f t="shared" si="137"/>
        <v>Import Duty</v>
      </c>
      <c r="E4399" s="6">
        <v>-1122417</v>
      </c>
      <c r="F4399" s="6">
        <v>0</v>
      </c>
      <c r="G4399" s="6">
        <v>0</v>
      </c>
      <c r="H4399" s="6">
        <v>0</v>
      </c>
      <c r="I4399" s="6">
        <v>-1122417</v>
      </c>
    </row>
    <row r="4400" spans="1:9">
      <c r="A4400" s="6">
        <v>32</v>
      </c>
      <c r="B4400" s="6" t="str">
        <f t="shared" si="136"/>
        <v>Plastic Wares</v>
      </c>
      <c r="C4400" s="6">
        <v>402</v>
      </c>
      <c r="D4400" s="6" t="str">
        <f t="shared" si="137"/>
        <v>Import Duty</v>
      </c>
      <c r="E4400" s="6">
        <v>-3382920</v>
      </c>
      <c r="F4400" s="6">
        <v>0</v>
      </c>
      <c r="G4400" s="6">
        <v>0</v>
      </c>
      <c r="H4400" s="6">
        <v>0</v>
      </c>
      <c r="I4400" s="6">
        <v>-3382920</v>
      </c>
    </row>
    <row r="4401" spans="1:9">
      <c r="A4401" s="6">
        <v>33</v>
      </c>
      <c r="B4401" s="6" t="str">
        <f t="shared" si="136"/>
        <v>Cement and Concrete Products</v>
      </c>
      <c r="C4401" s="6">
        <v>402</v>
      </c>
      <c r="D4401" s="6" t="str">
        <f t="shared" si="137"/>
        <v>Import Duty</v>
      </c>
      <c r="E4401" s="6">
        <v>-41829</v>
      </c>
      <c r="F4401" s="6">
        <v>0</v>
      </c>
      <c r="G4401" s="6">
        <v>0</v>
      </c>
      <c r="H4401" s="6">
        <v>0</v>
      </c>
      <c r="I4401" s="6">
        <v>-41829</v>
      </c>
    </row>
    <row r="4402" spans="1:9">
      <c r="A4402" s="6">
        <v>34</v>
      </c>
      <c r="B4402" s="6" t="str">
        <f t="shared" si="136"/>
        <v>Other Non-metallic Products</v>
      </c>
      <c r="C4402" s="6">
        <v>402</v>
      </c>
      <c r="D4402" s="6" t="str">
        <f t="shared" si="137"/>
        <v>Import Duty</v>
      </c>
      <c r="E4402" s="6">
        <v>-1816603</v>
      </c>
      <c r="F4402" s="6">
        <v>0</v>
      </c>
      <c r="G4402" s="6">
        <v>0</v>
      </c>
      <c r="H4402" s="6">
        <v>0</v>
      </c>
      <c r="I4402" s="6">
        <v>-1816603</v>
      </c>
    </row>
    <row r="4403" spans="1:9">
      <c r="A4403" s="6">
        <v>35</v>
      </c>
      <c r="B4403" s="6" t="str">
        <f t="shared" si="136"/>
        <v>Iron and Steel</v>
      </c>
      <c r="C4403" s="6">
        <v>402</v>
      </c>
      <c r="D4403" s="6" t="str">
        <f t="shared" si="137"/>
        <v>Import Duty</v>
      </c>
      <c r="E4403" s="6">
        <v>-4899726</v>
      </c>
      <c r="F4403" s="6">
        <v>0</v>
      </c>
      <c r="G4403" s="6">
        <v>0</v>
      </c>
      <c r="H4403" s="6">
        <v>0</v>
      </c>
      <c r="I4403" s="6">
        <v>-4899726</v>
      </c>
    </row>
    <row r="4404" spans="1:9">
      <c r="A4404" s="6">
        <v>36</v>
      </c>
      <c r="B4404" s="6" t="str">
        <f t="shared" si="136"/>
        <v>Non-ferrous Metal</v>
      </c>
      <c r="C4404" s="6">
        <v>402</v>
      </c>
      <c r="D4404" s="6" t="str">
        <f t="shared" si="137"/>
        <v>Import Duty</v>
      </c>
      <c r="E4404" s="6">
        <v>-669420</v>
      </c>
      <c r="F4404" s="6">
        <v>0</v>
      </c>
      <c r="G4404" s="6">
        <v>0</v>
      </c>
      <c r="H4404" s="6">
        <v>0</v>
      </c>
      <c r="I4404" s="6">
        <v>-669420</v>
      </c>
    </row>
    <row r="4405" spans="1:9">
      <c r="A4405" s="6">
        <v>37</v>
      </c>
      <c r="B4405" s="6" t="str">
        <f t="shared" si="136"/>
        <v>Fabricated Metal Products</v>
      </c>
      <c r="C4405" s="6">
        <v>402</v>
      </c>
      <c r="D4405" s="6" t="str">
        <f t="shared" si="137"/>
        <v>Import Duty</v>
      </c>
      <c r="E4405" s="6">
        <v>-6704091</v>
      </c>
      <c r="F4405" s="6">
        <v>0</v>
      </c>
      <c r="G4405" s="6">
        <v>0</v>
      </c>
      <c r="H4405" s="6">
        <v>0</v>
      </c>
      <c r="I4405" s="6">
        <v>-6704091</v>
      </c>
    </row>
    <row r="4406" spans="1:9">
      <c r="A4406" s="6">
        <v>38</v>
      </c>
      <c r="B4406" s="6" t="str">
        <f t="shared" si="136"/>
        <v>Industrial Machinery</v>
      </c>
      <c r="C4406" s="6">
        <v>402</v>
      </c>
      <c r="D4406" s="6" t="str">
        <f t="shared" si="137"/>
        <v>Import Duty</v>
      </c>
      <c r="E4406" s="6">
        <v>-4788506</v>
      </c>
      <c r="F4406" s="6">
        <v>0</v>
      </c>
      <c r="G4406" s="6">
        <v>0</v>
      </c>
      <c r="H4406" s="6">
        <v>0</v>
      </c>
      <c r="I4406" s="6">
        <v>-4788506</v>
      </c>
    </row>
    <row r="4407" spans="1:9">
      <c r="A4407" s="6">
        <v>39</v>
      </c>
      <c r="B4407" s="6" t="str">
        <f t="shared" si="136"/>
        <v>Electrical Machinery and Apparatus</v>
      </c>
      <c r="C4407" s="6">
        <v>402</v>
      </c>
      <c r="D4407" s="6" t="str">
        <f t="shared" si="137"/>
        <v>Import Duty</v>
      </c>
      <c r="E4407" s="6">
        <v>-15307320</v>
      </c>
      <c r="F4407" s="6">
        <v>0</v>
      </c>
      <c r="G4407" s="6">
        <v>0</v>
      </c>
      <c r="H4407" s="6">
        <v>0</v>
      </c>
      <c r="I4407" s="6">
        <v>-15307320</v>
      </c>
    </row>
    <row r="4408" spans="1:9">
      <c r="A4408" s="6">
        <v>40</v>
      </c>
      <c r="B4408" s="6" t="str">
        <f t="shared" si="136"/>
        <v>Motor Vehicles and Repairing</v>
      </c>
      <c r="C4408" s="6">
        <v>402</v>
      </c>
      <c r="D4408" s="6" t="str">
        <f t="shared" si="137"/>
        <v>Import Duty</v>
      </c>
      <c r="E4408" s="6">
        <v>-22378296</v>
      </c>
      <c r="F4408" s="6">
        <v>0</v>
      </c>
      <c r="G4408" s="6">
        <v>0</v>
      </c>
      <c r="H4408" s="6">
        <v>0</v>
      </c>
      <c r="I4408" s="6">
        <v>-22378296</v>
      </c>
    </row>
    <row r="4409" spans="1:9">
      <c r="A4409" s="6">
        <v>41</v>
      </c>
      <c r="B4409" s="6" t="str">
        <f t="shared" si="136"/>
        <v>Other Transportation Equipment</v>
      </c>
      <c r="C4409" s="6">
        <v>402</v>
      </c>
      <c r="D4409" s="6" t="str">
        <f t="shared" si="137"/>
        <v>Import Duty</v>
      </c>
      <c r="E4409" s="6">
        <v>-562370</v>
      </c>
      <c r="F4409" s="6">
        <v>0</v>
      </c>
      <c r="G4409" s="6">
        <v>0</v>
      </c>
      <c r="H4409" s="6">
        <v>0</v>
      </c>
      <c r="I4409" s="6">
        <v>-562370</v>
      </c>
    </row>
    <row r="4410" spans="1:9">
      <c r="A4410" s="6">
        <v>42</v>
      </c>
      <c r="B4410" s="6" t="str">
        <f t="shared" si="136"/>
        <v>Leather Products</v>
      </c>
      <c r="C4410" s="6">
        <v>402</v>
      </c>
      <c r="D4410" s="6" t="str">
        <f t="shared" si="137"/>
        <v>Import Duty</v>
      </c>
      <c r="E4410" s="6">
        <v>-1882149</v>
      </c>
      <c r="F4410" s="6">
        <v>0</v>
      </c>
      <c r="G4410" s="6">
        <v>0</v>
      </c>
      <c r="H4410" s="6">
        <v>0</v>
      </c>
      <c r="I4410" s="6">
        <v>-1882149</v>
      </c>
    </row>
    <row r="4411" spans="1:9">
      <c r="A4411" s="6">
        <v>43</v>
      </c>
      <c r="B4411" s="6" t="str">
        <f t="shared" si="136"/>
        <v>Saw Mills and Wood Products</v>
      </c>
      <c r="C4411" s="6">
        <v>402</v>
      </c>
      <c r="D4411" s="6" t="str">
        <f t="shared" si="137"/>
        <v>Import Duty</v>
      </c>
      <c r="E4411" s="6">
        <v>-343084</v>
      </c>
      <c r="F4411" s="6">
        <v>0</v>
      </c>
      <c r="G4411" s="6">
        <v>0</v>
      </c>
      <c r="H4411" s="6">
        <v>0</v>
      </c>
      <c r="I4411" s="6">
        <v>-343084</v>
      </c>
    </row>
    <row r="4412" spans="1:9">
      <c r="A4412" s="6">
        <v>44</v>
      </c>
      <c r="B4412" s="6" t="str">
        <f t="shared" si="136"/>
        <v>Other Manufacturing Products</v>
      </c>
      <c r="C4412" s="6">
        <v>402</v>
      </c>
      <c r="D4412" s="6" t="str">
        <f t="shared" si="137"/>
        <v>Import Duty</v>
      </c>
      <c r="E4412" s="6">
        <v>-2854316</v>
      </c>
      <c r="F4412" s="6">
        <v>0</v>
      </c>
      <c r="G4412" s="6">
        <v>0</v>
      </c>
      <c r="H4412" s="6">
        <v>0</v>
      </c>
      <c r="I4412" s="6">
        <v>-2854316</v>
      </c>
    </row>
    <row r="4413" spans="1:9">
      <c r="A4413" s="6">
        <v>45</v>
      </c>
      <c r="B4413" s="6" t="str">
        <f t="shared" si="136"/>
        <v>Electricity and Gas</v>
      </c>
      <c r="C4413" s="6">
        <v>402</v>
      </c>
      <c r="D4413" s="6" t="str">
        <f t="shared" si="137"/>
        <v>Import Duty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</row>
    <row r="4414" spans="1:9">
      <c r="A4414" s="6">
        <v>46</v>
      </c>
      <c r="B4414" s="6" t="str">
        <f t="shared" si="136"/>
        <v>Water Works and Supply</v>
      </c>
      <c r="C4414" s="6">
        <v>402</v>
      </c>
      <c r="D4414" s="6" t="str">
        <f t="shared" si="137"/>
        <v>Import Duty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</row>
    <row r="4415" spans="1:9">
      <c r="A4415" s="6">
        <v>47</v>
      </c>
      <c r="B4415" s="6" t="str">
        <f t="shared" si="136"/>
        <v>Building Construction</v>
      </c>
      <c r="C4415" s="6">
        <v>402</v>
      </c>
      <c r="D4415" s="6" t="str">
        <f t="shared" si="137"/>
        <v>Import Duty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</row>
    <row r="4416" spans="1:9">
      <c r="A4416" s="6">
        <v>48</v>
      </c>
      <c r="B4416" s="6" t="str">
        <f t="shared" si="136"/>
        <v>Public Works and Other Construction</v>
      </c>
      <c r="C4416" s="6">
        <v>402</v>
      </c>
      <c r="D4416" s="6" t="str">
        <f t="shared" si="137"/>
        <v>Import Duty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</row>
    <row r="4417" spans="1:9">
      <c r="A4417" s="6">
        <v>49</v>
      </c>
      <c r="B4417" s="6" t="str">
        <f t="shared" si="136"/>
        <v>Trade</v>
      </c>
      <c r="C4417" s="6">
        <v>402</v>
      </c>
      <c r="D4417" s="6" t="str">
        <f t="shared" si="137"/>
        <v>Import Duty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</row>
    <row r="4418" spans="1:9">
      <c r="A4418" s="6">
        <v>50</v>
      </c>
      <c r="B4418" s="6" t="str">
        <f t="shared" si="136"/>
        <v>Restaurants and Hotels</v>
      </c>
      <c r="C4418" s="6">
        <v>402</v>
      </c>
      <c r="D4418" s="6" t="str">
        <f t="shared" si="137"/>
        <v>Import Duty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</row>
    <row r="4419" spans="1:9">
      <c r="A4419" s="6">
        <v>51</v>
      </c>
      <c r="B4419" s="6" t="str">
        <f t="shared" si="136"/>
        <v>Transportation</v>
      </c>
      <c r="C4419" s="6">
        <v>402</v>
      </c>
      <c r="D4419" s="6" t="str">
        <f t="shared" si="137"/>
        <v>Import Duty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</row>
    <row r="4420" spans="1:9">
      <c r="A4420" s="6">
        <v>52</v>
      </c>
      <c r="B4420" s="6" t="str">
        <f t="shared" ref="B4420:B4483" si="138">VLOOKUP(A4420,R:S,2,0)</f>
        <v>Communication</v>
      </c>
      <c r="C4420" s="6">
        <v>402</v>
      </c>
      <c r="D4420" s="6" t="str">
        <f t="shared" ref="D4420:D4483" si="139">VLOOKUP(C4420,R:S,2,0)</f>
        <v>Import Duty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</row>
    <row r="4421" spans="1:9">
      <c r="A4421" s="6">
        <v>53</v>
      </c>
      <c r="B4421" s="6" t="str">
        <f t="shared" si="138"/>
        <v>Banking and Insurance</v>
      </c>
      <c r="C4421" s="6">
        <v>402</v>
      </c>
      <c r="D4421" s="6" t="str">
        <f t="shared" si="139"/>
        <v>Import Duty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</row>
    <row r="4422" spans="1:9">
      <c r="A4422" s="6">
        <v>54</v>
      </c>
      <c r="B4422" s="6" t="str">
        <f t="shared" si="138"/>
        <v>Real Estate</v>
      </c>
      <c r="C4422" s="6">
        <v>402</v>
      </c>
      <c r="D4422" s="6" t="str">
        <f t="shared" si="139"/>
        <v>Import Duty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</row>
    <row r="4423" spans="1:9">
      <c r="A4423" s="6">
        <v>55</v>
      </c>
      <c r="B4423" s="6" t="str">
        <f t="shared" si="138"/>
        <v>Business Services</v>
      </c>
      <c r="C4423" s="6">
        <v>402</v>
      </c>
      <c r="D4423" s="6" t="str">
        <f t="shared" si="139"/>
        <v>Import Duty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</row>
    <row r="4424" spans="1:9">
      <c r="A4424" s="6">
        <v>56</v>
      </c>
      <c r="B4424" s="6" t="str">
        <f t="shared" si="138"/>
        <v>Public Services</v>
      </c>
      <c r="C4424" s="6">
        <v>402</v>
      </c>
      <c r="D4424" s="6" t="str">
        <f t="shared" si="139"/>
        <v>Import Duty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</row>
    <row r="4425" spans="1:9">
      <c r="A4425" s="6">
        <v>57</v>
      </c>
      <c r="B4425" s="6" t="str">
        <f t="shared" si="138"/>
        <v>Other Services</v>
      </c>
      <c r="C4425" s="6">
        <v>402</v>
      </c>
      <c r="D4425" s="6" t="str">
        <f t="shared" si="139"/>
        <v>Import Duty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</row>
    <row r="4426" spans="1:9">
      <c r="A4426" s="6">
        <v>58</v>
      </c>
      <c r="B4426" s="6" t="str">
        <f t="shared" si="138"/>
        <v>Unclassified</v>
      </c>
      <c r="C4426" s="6">
        <v>402</v>
      </c>
      <c r="D4426" s="6" t="str">
        <f t="shared" si="139"/>
        <v>Import Duty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</row>
    <row r="4427" spans="1:9">
      <c r="A4427" s="6">
        <v>190</v>
      </c>
      <c r="B4427" s="6" t="str">
        <f t="shared" si="138"/>
        <v>Total Intermedite Transaction</v>
      </c>
      <c r="C4427" s="6">
        <v>402</v>
      </c>
      <c r="D4427" s="6" t="str">
        <f t="shared" si="139"/>
        <v>Import Duty</v>
      </c>
      <c r="E4427" s="6">
        <v>-102067001</v>
      </c>
      <c r="F4427" s="6">
        <v>0</v>
      </c>
      <c r="G4427" s="6">
        <v>0</v>
      </c>
      <c r="H4427" s="6">
        <v>0</v>
      </c>
      <c r="I4427" s="6">
        <v>-102067001</v>
      </c>
    </row>
    <row r="4428" spans="1:9">
      <c r="A4428" s="6">
        <v>1</v>
      </c>
      <c r="B4428" s="6" t="str">
        <f t="shared" si="138"/>
        <v>Paddy</v>
      </c>
      <c r="C4428" s="6">
        <v>403</v>
      </c>
      <c r="D4428" s="6" t="str">
        <f t="shared" si="139"/>
        <v>Import Tax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</row>
    <row r="4429" spans="1:9">
      <c r="A4429" s="6">
        <v>2</v>
      </c>
      <c r="B4429" s="6" t="str">
        <f t="shared" si="138"/>
        <v>Maize</v>
      </c>
      <c r="C4429" s="6">
        <v>403</v>
      </c>
      <c r="D4429" s="6" t="str">
        <f t="shared" si="139"/>
        <v>Import Tax</v>
      </c>
      <c r="E4429" s="6">
        <v>-68</v>
      </c>
      <c r="F4429" s="6">
        <v>0</v>
      </c>
      <c r="G4429" s="6">
        <v>0</v>
      </c>
      <c r="H4429" s="6">
        <v>0</v>
      </c>
      <c r="I4429" s="6">
        <v>-68</v>
      </c>
    </row>
    <row r="4430" spans="1:9">
      <c r="A4430" s="6">
        <v>3</v>
      </c>
      <c r="B4430" s="6" t="str">
        <f t="shared" si="138"/>
        <v>Cassava</v>
      </c>
      <c r="C4430" s="6">
        <v>403</v>
      </c>
      <c r="D4430" s="6" t="str">
        <f t="shared" si="139"/>
        <v>Import Tax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</row>
    <row r="4431" spans="1:9">
      <c r="A4431" s="6">
        <v>4</v>
      </c>
      <c r="B4431" s="6" t="str">
        <f t="shared" si="138"/>
        <v>Beans and Nuts</v>
      </c>
      <c r="C4431" s="6">
        <v>403</v>
      </c>
      <c r="D4431" s="6" t="str">
        <f t="shared" si="139"/>
        <v>Import Tax</v>
      </c>
      <c r="E4431" s="6">
        <v>-15266</v>
      </c>
      <c r="F4431" s="6">
        <v>0</v>
      </c>
      <c r="G4431" s="6">
        <v>0</v>
      </c>
      <c r="H4431" s="6">
        <v>0</v>
      </c>
      <c r="I4431" s="6">
        <v>-15266</v>
      </c>
    </row>
    <row r="4432" spans="1:9">
      <c r="A4432" s="6">
        <v>5</v>
      </c>
      <c r="B4432" s="6" t="str">
        <f t="shared" si="138"/>
        <v>Vegetables and Fruits</v>
      </c>
      <c r="C4432" s="6">
        <v>403</v>
      </c>
      <c r="D4432" s="6" t="str">
        <f t="shared" si="139"/>
        <v>Import Tax</v>
      </c>
      <c r="E4432" s="6">
        <v>-96691</v>
      </c>
      <c r="F4432" s="6">
        <v>0</v>
      </c>
      <c r="G4432" s="6">
        <v>0</v>
      </c>
      <c r="H4432" s="6">
        <v>0</v>
      </c>
      <c r="I4432" s="6">
        <v>-96691</v>
      </c>
    </row>
    <row r="4433" spans="1:9">
      <c r="A4433" s="6">
        <v>6</v>
      </c>
      <c r="B4433" s="6" t="str">
        <f t="shared" si="138"/>
        <v>Sugarcane</v>
      </c>
      <c r="C4433" s="6">
        <v>403</v>
      </c>
      <c r="D4433" s="6" t="str">
        <f t="shared" si="139"/>
        <v>Import Tax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</row>
    <row r="4434" spans="1:9">
      <c r="A4434" s="6">
        <v>7</v>
      </c>
      <c r="B4434" s="6" t="str">
        <f t="shared" si="138"/>
        <v>Rubber (Latex)</v>
      </c>
      <c r="C4434" s="6">
        <v>403</v>
      </c>
      <c r="D4434" s="6" t="str">
        <f t="shared" si="139"/>
        <v>Import Tax</v>
      </c>
      <c r="E4434" s="6">
        <v>-8803</v>
      </c>
      <c r="F4434" s="6">
        <v>0</v>
      </c>
      <c r="G4434" s="6">
        <v>0</v>
      </c>
      <c r="H4434" s="6">
        <v>0</v>
      </c>
      <c r="I4434" s="6">
        <v>-8803</v>
      </c>
    </row>
    <row r="4435" spans="1:9">
      <c r="A4435" s="6">
        <v>8</v>
      </c>
      <c r="B4435" s="6" t="str">
        <f t="shared" si="138"/>
        <v>Other Crops</v>
      </c>
      <c r="C4435" s="6">
        <v>403</v>
      </c>
      <c r="D4435" s="6" t="str">
        <f t="shared" si="139"/>
        <v>Import Tax</v>
      </c>
      <c r="E4435" s="6">
        <v>-444317</v>
      </c>
      <c r="F4435" s="6">
        <v>0</v>
      </c>
      <c r="G4435" s="6">
        <v>0</v>
      </c>
      <c r="H4435" s="6">
        <v>0</v>
      </c>
      <c r="I4435" s="6">
        <v>-444317</v>
      </c>
    </row>
    <row r="4436" spans="1:9">
      <c r="A4436" s="6">
        <v>9</v>
      </c>
      <c r="B4436" s="6" t="str">
        <f t="shared" si="138"/>
        <v>Livestock</v>
      </c>
      <c r="C4436" s="6">
        <v>403</v>
      </c>
      <c r="D4436" s="6" t="str">
        <f t="shared" si="139"/>
        <v>Import Tax</v>
      </c>
      <c r="E4436" s="6">
        <v>-128344</v>
      </c>
      <c r="F4436" s="6">
        <v>0</v>
      </c>
      <c r="G4436" s="6">
        <v>0</v>
      </c>
      <c r="H4436" s="6">
        <v>0</v>
      </c>
      <c r="I4436" s="6">
        <v>-128344</v>
      </c>
    </row>
    <row r="4437" spans="1:9">
      <c r="A4437" s="6">
        <v>10</v>
      </c>
      <c r="B4437" s="6" t="str">
        <f t="shared" si="138"/>
        <v>Forestry</v>
      </c>
      <c r="C4437" s="6">
        <v>403</v>
      </c>
      <c r="D4437" s="6" t="str">
        <f t="shared" si="139"/>
        <v>Import Tax</v>
      </c>
      <c r="E4437" s="6">
        <v>-202643</v>
      </c>
      <c r="F4437" s="6">
        <v>0</v>
      </c>
      <c r="G4437" s="6">
        <v>0</v>
      </c>
      <c r="H4437" s="6">
        <v>0</v>
      </c>
      <c r="I4437" s="6">
        <v>-202643</v>
      </c>
    </row>
    <row r="4438" spans="1:9">
      <c r="A4438" s="6">
        <v>11</v>
      </c>
      <c r="B4438" s="6" t="str">
        <f t="shared" si="138"/>
        <v>Fishery</v>
      </c>
      <c r="C4438" s="6">
        <v>403</v>
      </c>
      <c r="D4438" s="6" t="str">
        <f t="shared" si="139"/>
        <v>Import Tax</v>
      </c>
      <c r="E4438" s="6">
        <v>-19107</v>
      </c>
      <c r="F4438" s="6">
        <v>0</v>
      </c>
      <c r="G4438" s="6">
        <v>0</v>
      </c>
      <c r="H4438" s="6">
        <v>0</v>
      </c>
      <c r="I4438" s="6">
        <v>-19107</v>
      </c>
    </row>
    <row r="4439" spans="1:9">
      <c r="A4439" s="6">
        <v>12</v>
      </c>
      <c r="B4439" s="6" t="str">
        <f t="shared" si="138"/>
        <v>Crude Oil and Coal</v>
      </c>
      <c r="C4439" s="6">
        <v>403</v>
      </c>
      <c r="D4439" s="6" t="str">
        <f t="shared" si="139"/>
        <v>Import Tax</v>
      </c>
      <c r="E4439" s="6">
        <v>-79102992</v>
      </c>
      <c r="F4439" s="6">
        <v>0</v>
      </c>
      <c r="G4439" s="6">
        <v>0</v>
      </c>
      <c r="H4439" s="6">
        <v>0</v>
      </c>
      <c r="I4439" s="6">
        <v>-79102992</v>
      </c>
    </row>
    <row r="4440" spans="1:9">
      <c r="A4440" s="6">
        <v>13</v>
      </c>
      <c r="B4440" s="6" t="str">
        <f t="shared" si="138"/>
        <v>Metal Ore</v>
      </c>
      <c r="C4440" s="6">
        <v>403</v>
      </c>
      <c r="D4440" s="6" t="str">
        <f t="shared" si="139"/>
        <v>Import Tax</v>
      </c>
      <c r="E4440" s="6">
        <v>-1032737</v>
      </c>
      <c r="F4440" s="6">
        <v>0</v>
      </c>
      <c r="G4440" s="6">
        <v>0</v>
      </c>
      <c r="H4440" s="6">
        <v>0</v>
      </c>
      <c r="I4440" s="6">
        <v>-1032737</v>
      </c>
    </row>
    <row r="4441" spans="1:9">
      <c r="A4441" s="6">
        <v>14</v>
      </c>
      <c r="B4441" s="6" t="str">
        <f t="shared" si="138"/>
        <v>Non-Metal Ore</v>
      </c>
      <c r="C4441" s="6">
        <v>403</v>
      </c>
      <c r="D4441" s="6" t="str">
        <f t="shared" si="139"/>
        <v>Import Tax</v>
      </c>
      <c r="E4441" s="6">
        <v>-704188</v>
      </c>
      <c r="F4441" s="6">
        <v>0</v>
      </c>
      <c r="G4441" s="6">
        <v>0</v>
      </c>
      <c r="H4441" s="6">
        <v>0</v>
      </c>
      <c r="I4441" s="6">
        <v>-704188</v>
      </c>
    </row>
    <row r="4442" spans="1:9">
      <c r="A4442" s="6">
        <v>15</v>
      </c>
      <c r="B4442" s="6" t="str">
        <f t="shared" si="138"/>
        <v>Slaughtering</v>
      </c>
      <c r="C4442" s="6">
        <v>403</v>
      </c>
      <c r="D4442" s="6" t="str">
        <f t="shared" si="139"/>
        <v>Import Tax</v>
      </c>
      <c r="E4442" s="6">
        <v>-8818</v>
      </c>
      <c r="F4442" s="6">
        <v>0</v>
      </c>
      <c r="G4442" s="6">
        <v>0</v>
      </c>
      <c r="H4442" s="6">
        <v>0</v>
      </c>
      <c r="I4442" s="6">
        <v>-8818</v>
      </c>
    </row>
    <row r="4443" spans="1:9">
      <c r="A4443" s="6">
        <v>16</v>
      </c>
      <c r="B4443" s="6" t="str">
        <f t="shared" si="138"/>
        <v>Processing and Presering of Foods</v>
      </c>
      <c r="C4443" s="6">
        <v>403</v>
      </c>
      <c r="D4443" s="6" t="str">
        <f t="shared" si="139"/>
        <v>Import Tax</v>
      </c>
      <c r="E4443" s="6">
        <v>-10067923</v>
      </c>
      <c r="F4443" s="6">
        <v>0</v>
      </c>
      <c r="G4443" s="6">
        <v>0</v>
      </c>
      <c r="H4443" s="6">
        <v>0</v>
      </c>
      <c r="I4443" s="6">
        <v>-10067923</v>
      </c>
    </row>
    <row r="4444" spans="1:9">
      <c r="A4444" s="6">
        <v>17</v>
      </c>
      <c r="B4444" s="6" t="str">
        <f t="shared" si="138"/>
        <v>Rice and Other Grain Milling</v>
      </c>
      <c r="C4444" s="6">
        <v>403</v>
      </c>
      <c r="D4444" s="6" t="str">
        <f t="shared" si="139"/>
        <v>Import Tax</v>
      </c>
      <c r="E4444" s="6">
        <v>-1208972</v>
      </c>
      <c r="F4444" s="6">
        <v>0</v>
      </c>
      <c r="G4444" s="6">
        <v>0</v>
      </c>
      <c r="H4444" s="6">
        <v>0</v>
      </c>
      <c r="I4444" s="6">
        <v>-1208972</v>
      </c>
    </row>
    <row r="4445" spans="1:9">
      <c r="A4445" s="6">
        <v>18</v>
      </c>
      <c r="B4445" s="6" t="str">
        <f t="shared" si="138"/>
        <v>Sugar Refineries</v>
      </c>
      <c r="C4445" s="6">
        <v>403</v>
      </c>
      <c r="D4445" s="6" t="str">
        <f t="shared" si="139"/>
        <v>Import Tax</v>
      </c>
      <c r="E4445" s="6">
        <v>-1069522</v>
      </c>
      <c r="F4445" s="6">
        <v>0</v>
      </c>
      <c r="G4445" s="6">
        <v>0</v>
      </c>
      <c r="H4445" s="6">
        <v>0</v>
      </c>
      <c r="I4445" s="6">
        <v>-1069522</v>
      </c>
    </row>
    <row r="4446" spans="1:9">
      <c r="A4446" s="6">
        <v>19</v>
      </c>
      <c r="B4446" s="6" t="str">
        <f t="shared" si="138"/>
        <v>Other Foods</v>
      </c>
      <c r="C4446" s="6">
        <v>403</v>
      </c>
      <c r="D4446" s="6" t="str">
        <f t="shared" si="139"/>
        <v>Import Tax</v>
      </c>
      <c r="E4446" s="6">
        <v>-5876886</v>
      </c>
      <c r="F4446" s="6">
        <v>0</v>
      </c>
      <c r="G4446" s="6">
        <v>0</v>
      </c>
      <c r="H4446" s="6">
        <v>0</v>
      </c>
      <c r="I4446" s="6">
        <v>-5876886</v>
      </c>
    </row>
    <row r="4447" spans="1:9">
      <c r="A4447" s="6">
        <v>20</v>
      </c>
      <c r="B4447" s="6" t="str">
        <f t="shared" si="138"/>
        <v>Animal Food</v>
      </c>
      <c r="C4447" s="6">
        <v>403</v>
      </c>
      <c r="D4447" s="6" t="str">
        <f t="shared" si="139"/>
        <v>Import Tax</v>
      </c>
      <c r="E4447" s="6">
        <v>-23066</v>
      </c>
      <c r="F4447" s="6">
        <v>0</v>
      </c>
      <c r="G4447" s="6">
        <v>0</v>
      </c>
      <c r="H4447" s="6">
        <v>0</v>
      </c>
      <c r="I4447" s="6">
        <v>-23066</v>
      </c>
    </row>
    <row r="4448" spans="1:9">
      <c r="A4448" s="6">
        <v>21</v>
      </c>
      <c r="B4448" s="6" t="str">
        <f t="shared" si="138"/>
        <v>Beverages</v>
      </c>
      <c r="C4448" s="6">
        <v>403</v>
      </c>
      <c r="D4448" s="6" t="str">
        <f t="shared" si="139"/>
        <v>Import Tax</v>
      </c>
      <c r="E4448" s="6">
        <v>-6040042</v>
      </c>
      <c r="F4448" s="6">
        <v>0</v>
      </c>
      <c r="G4448" s="6">
        <v>0</v>
      </c>
      <c r="H4448" s="6">
        <v>0</v>
      </c>
      <c r="I4448" s="6">
        <v>-6040042</v>
      </c>
    </row>
    <row r="4449" spans="1:9">
      <c r="A4449" s="6">
        <v>22</v>
      </c>
      <c r="B4449" s="6" t="str">
        <f t="shared" si="138"/>
        <v>Tobacco Processing and Products</v>
      </c>
      <c r="C4449" s="6">
        <v>403</v>
      </c>
      <c r="D4449" s="6" t="str">
        <f t="shared" si="139"/>
        <v>Import Tax</v>
      </c>
      <c r="E4449" s="6">
        <v>-7347184</v>
      </c>
      <c r="F4449" s="6">
        <v>0</v>
      </c>
      <c r="G4449" s="6">
        <v>0</v>
      </c>
      <c r="H4449" s="6">
        <v>0</v>
      </c>
      <c r="I4449" s="6">
        <v>-7347184</v>
      </c>
    </row>
    <row r="4450" spans="1:9">
      <c r="A4450" s="6">
        <v>23</v>
      </c>
      <c r="B4450" s="6" t="str">
        <f t="shared" si="138"/>
        <v>Spinning, Weaving and Bleaching</v>
      </c>
      <c r="C4450" s="6">
        <v>403</v>
      </c>
      <c r="D4450" s="6" t="str">
        <f t="shared" si="139"/>
        <v>Import Tax</v>
      </c>
      <c r="E4450" s="6">
        <v>-3174697</v>
      </c>
      <c r="F4450" s="6">
        <v>0</v>
      </c>
      <c r="G4450" s="6">
        <v>0</v>
      </c>
      <c r="H4450" s="6">
        <v>0</v>
      </c>
      <c r="I4450" s="6">
        <v>-3174697</v>
      </c>
    </row>
    <row r="4451" spans="1:9">
      <c r="A4451" s="6">
        <v>24</v>
      </c>
      <c r="B4451" s="6" t="str">
        <f t="shared" si="138"/>
        <v>Textile Products</v>
      </c>
      <c r="C4451" s="6">
        <v>403</v>
      </c>
      <c r="D4451" s="6" t="str">
        <f t="shared" si="139"/>
        <v>Import Tax</v>
      </c>
      <c r="E4451" s="6">
        <v>-3484287</v>
      </c>
      <c r="F4451" s="6">
        <v>0</v>
      </c>
      <c r="G4451" s="6">
        <v>0</v>
      </c>
      <c r="H4451" s="6">
        <v>0</v>
      </c>
      <c r="I4451" s="6">
        <v>-3484287</v>
      </c>
    </row>
    <row r="4452" spans="1:9">
      <c r="A4452" s="6">
        <v>25</v>
      </c>
      <c r="B4452" s="6" t="str">
        <f t="shared" si="138"/>
        <v>Paper and Paper Products</v>
      </c>
      <c r="C4452" s="6">
        <v>403</v>
      </c>
      <c r="D4452" s="6" t="str">
        <f t="shared" si="139"/>
        <v>Import Tax</v>
      </c>
      <c r="E4452" s="6">
        <v>-6359252</v>
      </c>
      <c r="F4452" s="6">
        <v>0</v>
      </c>
      <c r="G4452" s="6">
        <v>0</v>
      </c>
      <c r="H4452" s="6">
        <v>0</v>
      </c>
      <c r="I4452" s="6">
        <v>-6359252</v>
      </c>
    </row>
    <row r="4453" spans="1:9">
      <c r="A4453" s="6">
        <v>26</v>
      </c>
      <c r="B4453" s="6" t="str">
        <f t="shared" si="138"/>
        <v>Printing and Publishing</v>
      </c>
      <c r="C4453" s="6">
        <v>403</v>
      </c>
      <c r="D4453" s="6" t="str">
        <f t="shared" si="139"/>
        <v>Import Tax</v>
      </c>
      <c r="E4453" s="6">
        <v>-242828</v>
      </c>
      <c r="F4453" s="6">
        <v>0</v>
      </c>
      <c r="G4453" s="6">
        <v>0</v>
      </c>
      <c r="H4453" s="6">
        <v>0</v>
      </c>
      <c r="I4453" s="6">
        <v>-242828</v>
      </c>
    </row>
    <row r="4454" spans="1:9">
      <c r="A4454" s="6">
        <v>27</v>
      </c>
      <c r="B4454" s="6" t="str">
        <f t="shared" si="138"/>
        <v>Basic Chemical Products</v>
      </c>
      <c r="C4454" s="6">
        <v>403</v>
      </c>
      <c r="D4454" s="6" t="str">
        <f t="shared" si="139"/>
        <v>Import Tax</v>
      </c>
      <c r="E4454" s="6">
        <v>-25557719</v>
      </c>
      <c r="F4454" s="6">
        <v>0</v>
      </c>
      <c r="G4454" s="6">
        <v>0</v>
      </c>
      <c r="H4454" s="6">
        <v>0</v>
      </c>
      <c r="I4454" s="6">
        <v>-25557719</v>
      </c>
    </row>
    <row r="4455" spans="1:9">
      <c r="A4455" s="6">
        <v>28</v>
      </c>
      <c r="B4455" s="6" t="str">
        <f t="shared" si="138"/>
        <v>Fertilizer and Pesticides</v>
      </c>
      <c r="C4455" s="6">
        <v>403</v>
      </c>
      <c r="D4455" s="6" t="str">
        <f t="shared" si="139"/>
        <v>Import Tax</v>
      </c>
      <c r="E4455" s="6">
        <v>-332888</v>
      </c>
      <c r="F4455" s="6">
        <v>0</v>
      </c>
      <c r="G4455" s="6">
        <v>0</v>
      </c>
      <c r="H4455" s="6">
        <v>0</v>
      </c>
      <c r="I4455" s="6">
        <v>-332888</v>
      </c>
    </row>
    <row r="4456" spans="1:9">
      <c r="A4456" s="6">
        <v>29</v>
      </c>
      <c r="B4456" s="6" t="str">
        <f t="shared" si="138"/>
        <v>Other Chemical Products</v>
      </c>
      <c r="C4456" s="6">
        <v>403</v>
      </c>
      <c r="D4456" s="6" t="str">
        <f t="shared" si="139"/>
        <v>Import Tax</v>
      </c>
      <c r="E4456" s="6">
        <v>-18623034</v>
      </c>
      <c r="F4456" s="6">
        <v>0</v>
      </c>
      <c r="G4456" s="6">
        <v>0</v>
      </c>
      <c r="H4456" s="6">
        <v>0</v>
      </c>
      <c r="I4456" s="6">
        <v>-18623034</v>
      </c>
    </row>
    <row r="4457" spans="1:9">
      <c r="A4457" s="6">
        <v>30</v>
      </c>
      <c r="B4457" s="6" t="str">
        <f t="shared" si="138"/>
        <v>Petroleum Refineries</v>
      </c>
      <c r="C4457" s="6">
        <v>403</v>
      </c>
      <c r="D4457" s="6" t="str">
        <f t="shared" si="139"/>
        <v>Import Tax</v>
      </c>
      <c r="E4457" s="6">
        <v>-24633562</v>
      </c>
      <c r="F4457" s="6">
        <v>0</v>
      </c>
      <c r="G4457" s="6">
        <v>0</v>
      </c>
      <c r="H4457" s="6">
        <v>0</v>
      </c>
      <c r="I4457" s="6">
        <v>-24633562</v>
      </c>
    </row>
    <row r="4458" spans="1:9">
      <c r="A4458" s="6">
        <v>31</v>
      </c>
      <c r="B4458" s="6" t="str">
        <f t="shared" si="138"/>
        <v>Rubber Products</v>
      </c>
      <c r="C4458" s="6">
        <v>403</v>
      </c>
      <c r="D4458" s="6" t="str">
        <f t="shared" si="139"/>
        <v>Import Tax</v>
      </c>
      <c r="E4458" s="6">
        <v>-2938413</v>
      </c>
      <c r="F4458" s="6">
        <v>0</v>
      </c>
      <c r="G4458" s="6">
        <v>0</v>
      </c>
      <c r="H4458" s="6">
        <v>0</v>
      </c>
      <c r="I4458" s="6">
        <v>-2938413</v>
      </c>
    </row>
    <row r="4459" spans="1:9">
      <c r="A4459" s="6">
        <v>32</v>
      </c>
      <c r="B4459" s="6" t="str">
        <f t="shared" si="138"/>
        <v>Plastic Wares</v>
      </c>
      <c r="C4459" s="6">
        <v>403</v>
      </c>
      <c r="D4459" s="6" t="str">
        <f t="shared" si="139"/>
        <v>Import Tax</v>
      </c>
      <c r="E4459" s="6">
        <v>-4540620</v>
      </c>
      <c r="F4459" s="6">
        <v>0</v>
      </c>
      <c r="G4459" s="6">
        <v>0</v>
      </c>
      <c r="H4459" s="6">
        <v>0</v>
      </c>
      <c r="I4459" s="6">
        <v>-4540620</v>
      </c>
    </row>
    <row r="4460" spans="1:9">
      <c r="A4460" s="6">
        <v>33</v>
      </c>
      <c r="B4460" s="6" t="str">
        <f t="shared" si="138"/>
        <v>Cement and Concrete Products</v>
      </c>
      <c r="C4460" s="6">
        <v>403</v>
      </c>
      <c r="D4460" s="6" t="str">
        <f t="shared" si="139"/>
        <v>Import Tax</v>
      </c>
      <c r="E4460" s="6">
        <v>-154751</v>
      </c>
      <c r="F4460" s="6">
        <v>0</v>
      </c>
      <c r="G4460" s="6">
        <v>0</v>
      </c>
      <c r="H4460" s="6">
        <v>0</v>
      </c>
      <c r="I4460" s="6">
        <v>-154751</v>
      </c>
    </row>
    <row r="4461" spans="1:9">
      <c r="A4461" s="6">
        <v>34</v>
      </c>
      <c r="B4461" s="6" t="str">
        <f t="shared" si="138"/>
        <v>Other Non-metallic Products</v>
      </c>
      <c r="C4461" s="6">
        <v>403</v>
      </c>
      <c r="D4461" s="6" t="str">
        <f t="shared" si="139"/>
        <v>Import Tax</v>
      </c>
      <c r="E4461" s="6">
        <v>-2359786</v>
      </c>
      <c r="F4461" s="6">
        <v>0</v>
      </c>
      <c r="G4461" s="6">
        <v>0</v>
      </c>
      <c r="H4461" s="6">
        <v>0</v>
      </c>
      <c r="I4461" s="6">
        <v>-2359786</v>
      </c>
    </row>
    <row r="4462" spans="1:9">
      <c r="A4462" s="6">
        <v>35</v>
      </c>
      <c r="B4462" s="6" t="str">
        <f t="shared" si="138"/>
        <v>Iron and Steel</v>
      </c>
      <c r="C4462" s="6">
        <v>403</v>
      </c>
      <c r="D4462" s="6" t="str">
        <f t="shared" si="139"/>
        <v>Import Tax</v>
      </c>
      <c r="E4462" s="6">
        <v>-23951458</v>
      </c>
      <c r="F4462" s="6">
        <v>0</v>
      </c>
      <c r="G4462" s="6">
        <v>0</v>
      </c>
      <c r="H4462" s="6">
        <v>0</v>
      </c>
      <c r="I4462" s="6">
        <v>-23951458</v>
      </c>
    </row>
    <row r="4463" spans="1:9">
      <c r="A4463" s="6">
        <v>36</v>
      </c>
      <c r="B4463" s="6" t="str">
        <f t="shared" si="138"/>
        <v>Non-ferrous Metal</v>
      </c>
      <c r="C4463" s="6">
        <v>403</v>
      </c>
      <c r="D4463" s="6" t="str">
        <f t="shared" si="139"/>
        <v>Import Tax</v>
      </c>
      <c r="E4463" s="6">
        <v>-26283934</v>
      </c>
      <c r="F4463" s="6">
        <v>0</v>
      </c>
      <c r="G4463" s="6">
        <v>0</v>
      </c>
      <c r="H4463" s="6">
        <v>0</v>
      </c>
      <c r="I4463" s="6">
        <v>-26283934</v>
      </c>
    </row>
    <row r="4464" spans="1:9">
      <c r="A4464" s="6">
        <v>37</v>
      </c>
      <c r="B4464" s="6" t="str">
        <f t="shared" si="138"/>
        <v>Fabricated Metal Products</v>
      </c>
      <c r="C4464" s="6">
        <v>403</v>
      </c>
      <c r="D4464" s="6" t="str">
        <f t="shared" si="139"/>
        <v>Import Tax</v>
      </c>
      <c r="E4464" s="6">
        <v>-11624819</v>
      </c>
      <c r="F4464" s="6">
        <v>0</v>
      </c>
      <c r="G4464" s="6">
        <v>0</v>
      </c>
      <c r="H4464" s="6">
        <v>0</v>
      </c>
      <c r="I4464" s="6">
        <v>-11624819</v>
      </c>
    </row>
    <row r="4465" spans="1:9">
      <c r="A4465" s="6">
        <v>38</v>
      </c>
      <c r="B4465" s="6" t="str">
        <f t="shared" si="138"/>
        <v>Industrial Machinery</v>
      </c>
      <c r="C4465" s="6">
        <v>403</v>
      </c>
      <c r="D4465" s="6" t="str">
        <f t="shared" si="139"/>
        <v>Import Tax</v>
      </c>
      <c r="E4465" s="6">
        <v>-22980114</v>
      </c>
      <c r="F4465" s="6">
        <v>0</v>
      </c>
      <c r="G4465" s="6">
        <v>0</v>
      </c>
      <c r="H4465" s="6">
        <v>0</v>
      </c>
      <c r="I4465" s="6">
        <v>-22980114</v>
      </c>
    </row>
    <row r="4466" spans="1:9">
      <c r="A4466" s="6">
        <v>39</v>
      </c>
      <c r="B4466" s="6" t="str">
        <f t="shared" si="138"/>
        <v>Electrical Machinery and Apparatus</v>
      </c>
      <c r="C4466" s="6">
        <v>403</v>
      </c>
      <c r="D4466" s="6" t="str">
        <f t="shared" si="139"/>
        <v>Import Tax</v>
      </c>
      <c r="E4466" s="6">
        <v>-37966412</v>
      </c>
      <c r="F4466" s="6">
        <v>0</v>
      </c>
      <c r="G4466" s="6">
        <v>0</v>
      </c>
      <c r="H4466" s="6">
        <v>0</v>
      </c>
      <c r="I4466" s="6">
        <v>-37966412</v>
      </c>
    </row>
    <row r="4467" spans="1:9">
      <c r="A4467" s="6">
        <v>40</v>
      </c>
      <c r="B4467" s="6" t="str">
        <f t="shared" si="138"/>
        <v>Motor Vehicles and Repairing</v>
      </c>
      <c r="C4467" s="6">
        <v>403</v>
      </c>
      <c r="D4467" s="6" t="str">
        <f t="shared" si="139"/>
        <v>Import Tax</v>
      </c>
      <c r="E4467" s="6">
        <v>-50952964</v>
      </c>
      <c r="F4467" s="6">
        <v>0</v>
      </c>
      <c r="G4467" s="6">
        <v>0</v>
      </c>
      <c r="H4467" s="6">
        <v>0</v>
      </c>
      <c r="I4467" s="6">
        <v>-50952964</v>
      </c>
    </row>
    <row r="4468" spans="1:9">
      <c r="A4468" s="6">
        <v>41</v>
      </c>
      <c r="B4468" s="6" t="str">
        <f t="shared" si="138"/>
        <v>Other Transportation Equipment</v>
      </c>
      <c r="C4468" s="6">
        <v>403</v>
      </c>
      <c r="D4468" s="6" t="str">
        <f t="shared" si="139"/>
        <v>Import Tax</v>
      </c>
      <c r="E4468" s="6">
        <v>-1320879</v>
      </c>
      <c r="F4468" s="6">
        <v>0</v>
      </c>
      <c r="G4468" s="6">
        <v>0</v>
      </c>
      <c r="H4468" s="6">
        <v>0</v>
      </c>
      <c r="I4468" s="6">
        <v>-1320879</v>
      </c>
    </row>
    <row r="4469" spans="1:9">
      <c r="A4469" s="6">
        <v>42</v>
      </c>
      <c r="B4469" s="6" t="str">
        <f t="shared" si="138"/>
        <v>Leather Products</v>
      </c>
      <c r="C4469" s="6">
        <v>403</v>
      </c>
      <c r="D4469" s="6" t="str">
        <f t="shared" si="139"/>
        <v>Import Tax</v>
      </c>
      <c r="E4469" s="6">
        <v>-2225741</v>
      </c>
      <c r="F4469" s="6">
        <v>0</v>
      </c>
      <c r="G4469" s="6">
        <v>0</v>
      </c>
      <c r="H4469" s="6">
        <v>0</v>
      </c>
      <c r="I4469" s="6">
        <v>-2225741</v>
      </c>
    </row>
    <row r="4470" spans="1:9">
      <c r="A4470" s="6">
        <v>43</v>
      </c>
      <c r="B4470" s="6" t="str">
        <f t="shared" si="138"/>
        <v>Saw Mills and Wood Products</v>
      </c>
      <c r="C4470" s="6">
        <v>403</v>
      </c>
      <c r="D4470" s="6" t="str">
        <f t="shared" si="139"/>
        <v>Import Tax</v>
      </c>
      <c r="E4470" s="6">
        <v>-1436560</v>
      </c>
      <c r="F4470" s="6">
        <v>0</v>
      </c>
      <c r="G4470" s="6">
        <v>0</v>
      </c>
      <c r="H4470" s="6">
        <v>0</v>
      </c>
      <c r="I4470" s="6">
        <v>-1436560</v>
      </c>
    </row>
    <row r="4471" spans="1:9">
      <c r="A4471" s="6">
        <v>44</v>
      </c>
      <c r="B4471" s="6" t="str">
        <f t="shared" si="138"/>
        <v>Other Manufacturing Products</v>
      </c>
      <c r="C4471" s="6">
        <v>403</v>
      </c>
      <c r="D4471" s="6" t="str">
        <f t="shared" si="139"/>
        <v>Import Tax</v>
      </c>
      <c r="E4471" s="6">
        <v>-17835771</v>
      </c>
      <c r="F4471" s="6">
        <v>0</v>
      </c>
      <c r="G4471" s="6">
        <v>0</v>
      </c>
      <c r="H4471" s="6">
        <v>0</v>
      </c>
      <c r="I4471" s="6">
        <v>-17835771</v>
      </c>
    </row>
    <row r="4472" spans="1:9">
      <c r="A4472" s="6">
        <v>45</v>
      </c>
      <c r="B4472" s="6" t="str">
        <f t="shared" si="138"/>
        <v>Electricity and Gas</v>
      </c>
      <c r="C4472" s="6">
        <v>403</v>
      </c>
      <c r="D4472" s="6" t="str">
        <f t="shared" si="139"/>
        <v>Import Tax</v>
      </c>
      <c r="E4472" s="6">
        <v>-10131237</v>
      </c>
      <c r="F4472" s="6">
        <v>0</v>
      </c>
      <c r="G4472" s="6">
        <v>0</v>
      </c>
      <c r="H4472" s="6">
        <v>0</v>
      </c>
      <c r="I4472" s="6">
        <v>-10131237</v>
      </c>
    </row>
    <row r="4473" spans="1:9">
      <c r="A4473" s="6">
        <v>46</v>
      </c>
      <c r="B4473" s="6" t="str">
        <f t="shared" si="138"/>
        <v>Water Works and Supply</v>
      </c>
      <c r="C4473" s="6">
        <v>403</v>
      </c>
      <c r="D4473" s="6" t="str">
        <f t="shared" si="139"/>
        <v>Import Tax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</row>
    <row r="4474" spans="1:9">
      <c r="A4474" s="6">
        <v>47</v>
      </c>
      <c r="B4474" s="6" t="str">
        <f t="shared" si="138"/>
        <v>Building Construction</v>
      </c>
      <c r="C4474" s="6">
        <v>403</v>
      </c>
      <c r="D4474" s="6" t="str">
        <f t="shared" si="139"/>
        <v>Import Tax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</row>
    <row r="4475" spans="1:9">
      <c r="A4475" s="6">
        <v>48</v>
      </c>
      <c r="B4475" s="6" t="str">
        <f t="shared" si="138"/>
        <v>Public Works and Other Construction</v>
      </c>
      <c r="C4475" s="6">
        <v>403</v>
      </c>
      <c r="D4475" s="6" t="str">
        <f t="shared" si="139"/>
        <v>Import Tax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</row>
    <row r="4476" spans="1:9">
      <c r="A4476" s="6">
        <v>49</v>
      </c>
      <c r="B4476" s="6" t="str">
        <f t="shared" si="138"/>
        <v>Trade</v>
      </c>
      <c r="C4476" s="6">
        <v>403</v>
      </c>
      <c r="D4476" s="6" t="str">
        <f t="shared" si="139"/>
        <v>Import Tax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</row>
    <row r="4477" spans="1:9">
      <c r="A4477" s="6">
        <v>50</v>
      </c>
      <c r="B4477" s="6" t="str">
        <f t="shared" si="138"/>
        <v>Restaurants and Hotels</v>
      </c>
      <c r="C4477" s="6">
        <v>403</v>
      </c>
      <c r="D4477" s="6" t="str">
        <f t="shared" si="139"/>
        <v>Import Tax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</row>
    <row r="4478" spans="1:9">
      <c r="A4478" s="6">
        <v>51</v>
      </c>
      <c r="B4478" s="6" t="str">
        <f t="shared" si="138"/>
        <v>Transportation</v>
      </c>
      <c r="C4478" s="6">
        <v>403</v>
      </c>
      <c r="D4478" s="6" t="str">
        <f t="shared" si="139"/>
        <v>Import Tax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</row>
    <row r="4479" spans="1:9">
      <c r="A4479" s="6">
        <v>52</v>
      </c>
      <c r="B4479" s="6" t="str">
        <f t="shared" si="138"/>
        <v>Communication</v>
      </c>
      <c r="C4479" s="6">
        <v>403</v>
      </c>
      <c r="D4479" s="6" t="str">
        <f t="shared" si="139"/>
        <v>Import Tax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</row>
    <row r="4480" spans="1:9">
      <c r="A4480" s="6">
        <v>53</v>
      </c>
      <c r="B4480" s="6" t="str">
        <f t="shared" si="138"/>
        <v>Banking and Insurance</v>
      </c>
      <c r="C4480" s="6">
        <v>403</v>
      </c>
      <c r="D4480" s="6" t="str">
        <f t="shared" si="139"/>
        <v>Import Tax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</row>
    <row r="4481" spans="1:9">
      <c r="A4481" s="6">
        <v>54</v>
      </c>
      <c r="B4481" s="6" t="str">
        <f t="shared" si="138"/>
        <v>Real Estate</v>
      </c>
      <c r="C4481" s="6">
        <v>403</v>
      </c>
      <c r="D4481" s="6" t="str">
        <f t="shared" si="139"/>
        <v>Import Tax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</row>
    <row r="4482" spans="1:9">
      <c r="A4482" s="6">
        <v>55</v>
      </c>
      <c r="B4482" s="6" t="str">
        <f t="shared" si="138"/>
        <v>Business Services</v>
      </c>
      <c r="C4482" s="6">
        <v>403</v>
      </c>
      <c r="D4482" s="6" t="str">
        <f t="shared" si="139"/>
        <v>Import Tax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</row>
    <row r="4483" spans="1:9">
      <c r="A4483" s="6">
        <v>56</v>
      </c>
      <c r="B4483" s="6" t="str">
        <f t="shared" si="138"/>
        <v>Public Services</v>
      </c>
      <c r="C4483" s="6">
        <v>403</v>
      </c>
      <c r="D4483" s="6" t="str">
        <f t="shared" si="139"/>
        <v>Import Tax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</row>
    <row r="4484" spans="1:9">
      <c r="A4484" s="6">
        <v>57</v>
      </c>
      <c r="B4484" s="6" t="str">
        <f t="shared" ref="B4484:B4547" si="140">VLOOKUP(A4484,R:S,2,0)</f>
        <v>Other Services</v>
      </c>
      <c r="C4484" s="6">
        <v>403</v>
      </c>
      <c r="D4484" s="6" t="str">
        <f t="shared" ref="D4484:D4547" si="141">VLOOKUP(C4484,R:S,2,0)</f>
        <v>Import Tax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</row>
    <row r="4485" spans="1:9">
      <c r="A4485" s="6">
        <v>58</v>
      </c>
      <c r="B4485" s="6" t="str">
        <f t="shared" si="140"/>
        <v>Unclassified</v>
      </c>
      <c r="C4485" s="6">
        <v>403</v>
      </c>
      <c r="D4485" s="6" t="str">
        <f t="shared" si="141"/>
        <v>Import Tax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</row>
    <row r="4486" spans="1:9">
      <c r="A4486" s="6">
        <v>190</v>
      </c>
      <c r="B4486" s="6" t="str">
        <f t="shared" si="140"/>
        <v>Total Intermedite Transaction</v>
      </c>
      <c r="C4486" s="6">
        <v>403</v>
      </c>
      <c r="D4486" s="6" t="str">
        <f t="shared" si="141"/>
        <v>Import Tax</v>
      </c>
      <c r="E4486" s="6">
        <v>-412509295</v>
      </c>
      <c r="F4486" s="6">
        <v>0</v>
      </c>
      <c r="G4486" s="6">
        <v>0</v>
      </c>
      <c r="H4486" s="6">
        <v>0</v>
      </c>
      <c r="I4486" s="6">
        <v>-412509295</v>
      </c>
    </row>
    <row r="4487" spans="1:9">
      <c r="A4487" s="6">
        <v>1</v>
      </c>
      <c r="B4487" s="6" t="str">
        <f t="shared" si="140"/>
        <v>Paddy</v>
      </c>
      <c r="C4487" s="6">
        <v>404</v>
      </c>
      <c r="D4487" s="6" t="str">
        <f t="shared" si="141"/>
        <v>Special Imports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</row>
    <row r="4488" spans="1:9">
      <c r="A4488" s="6">
        <v>2</v>
      </c>
      <c r="B4488" s="6" t="str">
        <f t="shared" si="140"/>
        <v>Maize</v>
      </c>
      <c r="C4488" s="6">
        <v>404</v>
      </c>
      <c r="D4488" s="6" t="str">
        <f t="shared" si="141"/>
        <v>Special Imports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</row>
    <row r="4489" spans="1:9">
      <c r="A4489" s="6">
        <v>3</v>
      </c>
      <c r="B4489" s="6" t="str">
        <f t="shared" si="140"/>
        <v>Cassava</v>
      </c>
      <c r="C4489" s="6">
        <v>404</v>
      </c>
      <c r="D4489" s="6" t="str">
        <f t="shared" si="141"/>
        <v>Special Imports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</row>
    <row r="4490" spans="1:9">
      <c r="A4490" s="6">
        <v>4</v>
      </c>
      <c r="B4490" s="6" t="str">
        <f t="shared" si="140"/>
        <v>Beans and Nuts</v>
      </c>
      <c r="C4490" s="6">
        <v>404</v>
      </c>
      <c r="D4490" s="6" t="str">
        <f t="shared" si="141"/>
        <v>Special Imports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</row>
    <row r="4491" spans="1:9">
      <c r="A4491" s="6">
        <v>5</v>
      </c>
      <c r="B4491" s="6" t="str">
        <f t="shared" si="140"/>
        <v>Vegetables and Fruits</v>
      </c>
      <c r="C4491" s="6">
        <v>404</v>
      </c>
      <c r="D4491" s="6" t="str">
        <f t="shared" si="141"/>
        <v>Special Imports</v>
      </c>
      <c r="E4491" s="6">
        <v>-1436930</v>
      </c>
      <c r="F4491" s="6">
        <v>0</v>
      </c>
      <c r="G4491" s="6">
        <v>0</v>
      </c>
      <c r="H4491" s="6">
        <v>0</v>
      </c>
      <c r="I4491" s="6">
        <v>-1436930</v>
      </c>
    </row>
    <row r="4492" spans="1:9">
      <c r="A4492" s="6">
        <v>6</v>
      </c>
      <c r="B4492" s="6" t="str">
        <f t="shared" si="140"/>
        <v>Sugarcane</v>
      </c>
      <c r="C4492" s="6">
        <v>404</v>
      </c>
      <c r="D4492" s="6" t="str">
        <f t="shared" si="141"/>
        <v>Special Imports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</row>
    <row r="4493" spans="1:9">
      <c r="A4493" s="6">
        <v>7</v>
      </c>
      <c r="B4493" s="6" t="str">
        <f t="shared" si="140"/>
        <v>Rubber (Latex)</v>
      </c>
      <c r="C4493" s="6">
        <v>404</v>
      </c>
      <c r="D4493" s="6" t="str">
        <f t="shared" si="141"/>
        <v>Special Imports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</row>
    <row r="4494" spans="1:9">
      <c r="A4494" s="6">
        <v>8</v>
      </c>
      <c r="B4494" s="6" t="str">
        <f t="shared" si="140"/>
        <v>Other Crops</v>
      </c>
      <c r="C4494" s="6">
        <v>404</v>
      </c>
      <c r="D4494" s="6" t="str">
        <f t="shared" si="141"/>
        <v>Special Imports</v>
      </c>
      <c r="E4494" s="6">
        <v>-5001</v>
      </c>
      <c r="F4494" s="6">
        <v>0</v>
      </c>
      <c r="G4494" s="6">
        <v>0</v>
      </c>
      <c r="H4494" s="6">
        <v>0</v>
      </c>
      <c r="I4494" s="6">
        <v>-5001</v>
      </c>
    </row>
    <row r="4495" spans="1:9">
      <c r="A4495" s="6">
        <v>9</v>
      </c>
      <c r="B4495" s="6" t="str">
        <f t="shared" si="140"/>
        <v>Livestock</v>
      </c>
      <c r="C4495" s="6">
        <v>404</v>
      </c>
      <c r="D4495" s="6" t="str">
        <f t="shared" si="141"/>
        <v>Special Imports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</row>
    <row r="4496" spans="1:9">
      <c r="A4496" s="6">
        <v>10</v>
      </c>
      <c r="B4496" s="6" t="str">
        <f t="shared" si="140"/>
        <v>Forestry</v>
      </c>
      <c r="C4496" s="6">
        <v>404</v>
      </c>
      <c r="D4496" s="6" t="str">
        <f t="shared" si="141"/>
        <v>Special Imports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</row>
    <row r="4497" spans="1:9">
      <c r="A4497" s="6">
        <v>11</v>
      </c>
      <c r="B4497" s="6" t="str">
        <f t="shared" si="140"/>
        <v>Fishery</v>
      </c>
      <c r="C4497" s="6">
        <v>404</v>
      </c>
      <c r="D4497" s="6" t="str">
        <f t="shared" si="141"/>
        <v>Special Imports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</row>
    <row r="4498" spans="1:9">
      <c r="A4498" s="6">
        <v>12</v>
      </c>
      <c r="B4498" s="6" t="str">
        <f t="shared" si="140"/>
        <v>Crude Oil and Coal</v>
      </c>
      <c r="C4498" s="6">
        <v>404</v>
      </c>
      <c r="D4498" s="6" t="str">
        <f t="shared" si="141"/>
        <v>Special Imports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</row>
    <row r="4499" spans="1:9">
      <c r="A4499" s="6">
        <v>13</v>
      </c>
      <c r="B4499" s="6" t="str">
        <f t="shared" si="140"/>
        <v>Metal Ore</v>
      </c>
      <c r="C4499" s="6">
        <v>404</v>
      </c>
      <c r="D4499" s="6" t="str">
        <f t="shared" si="141"/>
        <v>Special Imports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</row>
    <row r="4500" spans="1:9">
      <c r="A4500" s="6">
        <v>14</v>
      </c>
      <c r="B4500" s="6" t="str">
        <f t="shared" si="140"/>
        <v>Non-Metal Ore</v>
      </c>
      <c r="C4500" s="6">
        <v>404</v>
      </c>
      <c r="D4500" s="6" t="str">
        <f t="shared" si="141"/>
        <v>Special Imports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</row>
    <row r="4501" spans="1:9">
      <c r="A4501" s="6">
        <v>15</v>
      </c>
      <c r="B4501" s="6" t="str">
        <f t="shared" si="140"/>
        <v>Slaughtering</v>
      </c>
      <c r="C4501" s="6">
        <v>404</v>
      </c>
      <c r="D4501" s="6" t="str">
        <f t="shared" si="141"/>
        <v>Special Imports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</row>
    <row r="4502" spans="1:9">
      <c r="A4502" s="6">
        <v>16</v>
      </c>
      <c r="B4502" s="6" t="str">
        <f t="shared" si="140"/>
        <v>Processing and Presering of Foods</v>
      </c>
      <c r="C4502" s="6">
        <v>404</v>
      </c>
      <c r="D4502" s="6" t="str">
        <f t="shared" si="141"/>
        <v>Special Imports</v>
      </c>
      <c r="E4502" s="6">
        <v>-925141</v>
      </c>
      <c r="F4502" s="6">
        <v>0</v>
      </c>
      <c r="G4502" s="6">
        <v>0</v>
      </c>
      <c r="H4502" s="6">
        <v>0</v>
      </c>
      <c r="I4502" s="6">
        <v>-925141</v>
      </c>
    </row>
    <row r="4503" spans="1:9">
      <c r="A4503" s="6">
        <v>17</v>
      </c>
      <c r="B4503" s="6" t="str">
        <f t="shared" si="140"/>
        <v>Rice and Other Grain Milling</v>
      </c>
      <c r="C4503" s="6">
        <v>404</v>
      </c>
      <c r="D4503" s="6" t="str">
        <f t="shared" si="141"/>
        <v>Special Imports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</row>
    <row r="4504" spans="1:9">
      <c r="A4504" s="6">
        <v>18</v>
      </c>
      <c r="B4504" s="6" t="str">
        <f t="shared" si="140"/>
        <v>Sugar Refineries</v>
      </c>
      <c r="C4504" s="6">
        <v>404</v>
      </c>
      <c r="D4504" s="6" t="str">
        <f t="shared" si="141"/>
        <v>Special Imports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</row>
    <row r="4505" spans="1:9">
      <c r="A4505" s="6">
        <v>19</v>
      </c>
      <c r="B4505" s="6" t="str">
        <f t="shared" si="140"/>
        <v>Other Foods</v>
      </c>
      <c r="C4505" s="6">
        <v>404</v>
      </c>
      <c r="D4505" s="6" t="str">
        <f t="shared" si="141"/>
        <v>Special Imports</v>
      </c>
      <c r="E4505" s="6">
        <v>-145054</v>
      </c>
      <c r="F4505" s="6">
        <v>0</v>
      </c>
      <c r="G4505" s="6">
        <v>0</v>
      </c>
      <c r="H4505" s="6">
        <v>0</v>
      </c>
      <c r="I4505" s="6">
        <v>-145054</v>
      </c>
    </row>
    <row r="4506" spans="1:9">
      <c r="A4506" s="6">
        <v>20</v>
      </c>
      <c r="B4506" s="6" t="str">
        <f t="shared" si="140"/>
        <v>Animal Food</v>
      </c>
      <c r="C4506" s="6">
        <v>404</v>
      </c>
      <c r="D4506" s="6" t="str">
        <f t="shared" si="141"/>
        <v>Special Imports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</row>
    <row r="4507" spans="1:9">
      <c r="A4507" s="6">
        <v>21</v>
      </c>
      <c r="B4507" s="6" t="str">
        <f t="shared" si="140"/>
        <v>Beverages</v>
      </c>
      <c r="C4507" s="6">
        <v>404</v>
      </c>
      <c r="D4507" s="6" t="str">
        <f t="shared" si="141"/>
        <v>Special Imports</v>
      </c>
      <c r="E4507" s="6">
        <v>-3580706</v>
      </c>
      <c r="F4507" s="6">
        <v>0</v>
      </c>
      <c r="G4507" s="6">
        <v>0</v>
      </c>
      <c r="H4507" s="6">
        <v>0</v>
      </c>
      <c r="I4507" s="6">
        <v>-3580706</v>
      </c>
    </row>
    <row r="4508" spans="1:9">
      <c r="A4508" s="6">
        <v>22</v>
      </c>
      <c r="B4508" s="6" t="str">
        <f t="shared" si="140"/>
        <v>Tobacco Processing and Products</v>
      </c>
      <c r="C4508" s="6">
        <v>404</v>
      </c>
      <c r="D4508" s="6" t="str">
        <f t="shared" si="141"/>
        <v>Special Imports</v>
      </c>
      <c r="E4508" s="6">
        <v>-121947</v>
      </c>
      <c r="F4508" s="6">
        <v>0</v>
      </c>
      <c r="G4508" s="6">
        <v>0</v>
      </c>
      <c r="H4508" s="6">
        <v>0</v>
      </c>
      <c r="I4508" s="6">
        <v>-121947</v>
      </c>
    </row>
    <row r="4509" spans="1:9">
      <c r="A4509" s="6">
        <v>23</v>
      </c>
      <c r="B4509" s="6" t="str">
        <f t="shared" si="140"/>
        <v>Spinning, Weaving and Bleaching</v>
      </c>
      <c r="C4509" s="6">
        <v>404</v>
      </c>
      <c r="D4509" s="6" t="str">
        <f t="shared" si="141"/>
        <v>Special Imports</v>
      </c>
      <c r="E4509" s="6">
        <v>-46</v>
      </c>
      <c r="F4509" s="6">
        <v>0</v>
      </c>
      <c r="G4509" s="6">
        <v>0</v>
      </c>
      <c r="H4509" s="6">
        <v>0</v>
      </c>
      <c r="I4509" s="6">
        <v>-46</v>
      </c>
    </row>
    <row r="4510" spans="1:9">
      <c r="A4510" s="6">
        <v>24</v>
      </c>
      <c r="B4510" s="6" t="str">
        <f t="shared" si="140"/>
        <v>Textile Products</v>
      </c>
      <c r="C4510" s="6">
        <v>404</v>
      </c>
      <c r="D4510" s="6" t="str">
        <f t="shared" si="141"/>
        <v>Special Imports</v>
      </c>
      <c r="E4510" s="6">
        <v>-9759218</v>
      </c>
      <c r="F4510" s="6">
        <v>0</v>
      </c>
      <c r="G4510" s="6">
        <v>0</v>
      </c>
      <c r="H4510" s="6">
        <v>0</v>
      </c>
      <c r="I4510" s="6">
        <v>-9759218</v>
      </c>
    </row>
    <row r="4511" spans="1:9">
      <c r="A4511" s="6">
        <v>25</v>
      </c>
      <c r="B4511" s="6" t="str">
        <f t="shared" si="140"/>
        <v>Paper and Paper Products</v>
      </c>
      <c r="C4511" s="6">
        <v>404</v>
      </c>
      <c r="D4511" s="6" t="str">
        <f t="shared" si="141"/>
        <v>Special Imports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</row>
    <row r="4512" spans="1:9">
      <c r="A4512" s="6">
        <v>26</v>
      </c>
      <c r="B4512" s="6" t="str">
        <f t="shared" si="140"/>
        <v>Printing and Publishing</v>
      </c>
      <c r="C4512" s="6">
        <v>404</v>
      </c>
      <c r="D4512" s="6" t="str">
        <f t="shared" si="141"/>
        <v>Special Imports</v>
      </c>
      <c r="E4512" s="6">
        <v>-54287948</v>
      </c>
      <c r="F4512" s="6">
        <v>0</v>
      </c>
      <c r="G4512" s="6">
        <v>0</v>
      </c>
      <c r="H4512" s="6">
        <v>0</v>
      </c>
      <c r="I4512" s="6">
        <v>-54287948</v>
      </c>
    </row>
    <row r="4513" spans="1:9">
      <c r="A4513" s="6">
        <v>27</v>
      </c>
      <c r="B4513" s="6" t="str">
        <f t="shared" si="140"/>
        <v>Basic Chemical Products</v>
      </c>
      <c r="C4513" s="6">
        <v>404</v>
      </c>
      <c r="D4513" s="6" t="str">
        <f t="shared" si="141"/>
        <v>Special Imports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</row>
    <row r="4514" spans="1:9">
      <c r="A4514" s="6">
        <v>28</v>
      </c>
      <c r="B4514" s="6" t="str">
        <f t="shared" si="140"/>
        <v>Fertilizer and Pesticides</v>
      </c>
      <c r="C4514" s="6">
        <v>404</v>
      </c>
      <c r="D4514" s="6" t="str">
        <f t="shared" si="141"/>
        <v>Special Imports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</row>
    <row r="4515" spans="1:9">
      <c r="A4515" s="6">
        <v>29</v>
      </c>
      <c r="B4515" s="6" t="str">
        <f t="shared" si="140"/>
        <v>Other Chemical Products</v>
      </c>
      <c r="C4515" s="6">
        <v>404</v>
      </c>
      <c r="D4515" s="6" t="str">
        <f t="shared" si="141"/>
        <v>Special Imports</v>
      </c>
      <c r="E4515" s="6">
        <v>-2657579</v>
      </c>
      <c r="F4515" s="6">
        <v>0</v>
      </c>
      <c r="G4515" s="6">
        <v>0</v>
      </c>
      <c r="H4515" s="6">
        <v>0</v>
      </c>
      <c r="I4515" s="6">
        <v>-2657579</v>
      </c>
    </row>
    <row r="4516" spans="1:9">
      <c r="A4516" s="6">
        <v>30</v>
      </c>
      <c r="B4516" s="6" t="str">
        <f t="shared" si="140"/>
        <v>Petroleum Refineries</v>
      </c>
      <c r="C4516" s="6">
        <v>404</v>
      </c>
      <c r="D4516" s="6" t="str">
        <f t="shared" si="141"/>
        <v>Special Imports</v>
      </c>
      <c r="E4516" s="6">
        <v>-59189749</v>
      </c>
      <c r="F4516" s="6">
        <v>0</v>
      </c>
      <c r="G4516" s="6">
        <v>0</v>
      </c>
      <c r="H4516" s="6">
        <v>0</v>
      </c>
      <c r="I4516" s="6">
        <v>-59189749</v>
      </c>
    </row>
    <row r="4517" spans="1:9">
      <c r="A4517" s="6">
        <v>31</v>
      </c>
      <c r="B4517" s="6" t="str">
        <f t="shared" si="140"/>
        <v>Rubber Products</v>
      </c>
      <c r="C4517" s="6">
        <v>404</v>
      </c>
      <c r="D4517" s="6" t="str">
        <f t="shared" si="141"/>
        <v>Special Imports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</row>
    <row r="4518" spans="1:9">
      <c r="A4518" s="6">
        <v>32</v>
      </c>
      <c r="B4518" s="6" t="str">
        <f t="shared" si="140"/>
        <v>Plastic Wares</v>
      </c>
      <c r="C4518" s="6">
        <v>404</v>
      </c>
      <c r="D4518" s="6" t="str">
        <f t="shared" si="141"/>
        <v>Special Imports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</row>
    <row r="4519" spans="1:9">
      <c r="A4519" s="6">
        <v>33</v>
      </c>
      <c r="B4519" s="6" t="str">
        <f t="shared" si="140"/>
        <v>Cement and Concrete Products</v>
      </c>
      <c r="C4519" s="6">
        <v>404</v>
      </c>
      <c r="D4519" s="6" t="str">
        <f t="shared" si="141"/>
        <v>Special Imports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</row>
    <row r="4520" spans="1:9">
      <c r="A4520" s="6">
        <v>34</v>
      </c>
      <c r="B4520" s="6" t="str">
        <f t="shared" si="140"/>
        <v>Other Non-metallic Products</v>
      </c>
      <c r="C4520" s="6">
        <v>404</v>
      </c>
      <c r="D4520" s="6" t="str">
        <f t="shared" si="141"/>
        <v>Special Imports</v>
      </c>
      <c r="E4520" s="6">
        <v>-809138</v>
      </c>
      <c r="F4520" s="6">
        <v>0</v>
      </c>
      <c r="G4520" s="6">
        <v>0</v>
      </c>
      <c r="H4520" s="6">
        <v>0</v>
      </c>
      <c r="I4520" s="6">
        <v>-809138</v>
      </c>
    </row>
    <row r="4521" spans="1:9">
      <c r="A4521" s="6">
        <v>35</v>
      </c>
      <c r="B4521" s="6" t="str">
        <f t="shared" si="140"/>
        <v>Iron and Steel</v>
      </c>
      <c r="C4521" s="6">
        <v>404</v>
      </c>
      <c r="D4521" s="6" t="str">
        <f t="shared" si="141"/>
        <v>Special Imports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</row>
    <row r="4522" spans="1:9">
      <c r="A4522" s="6">
        <v>36</v>
      </c>
      <c r="B4522" s="6" t="str">
        <f t="shared" si="140"/>
        <v>Non-ferrous Metal</v>
      </c>
      <c r="C4522" s="6">
        <v>404</v>
      </c>
      <c r="D4522" s="6" t="str">
        <f t="shared" si="141"/>
        <v>Special Imports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</row>
    <row r="4523" spans="1:9">
      <c r="A4523" s="6">
        <v>37</v>
      </c>
      <c r="B4523" s="6" t="str">
        <f t="shared" si="140"/>
        <v>Fabricated Metal Products</v>
      </c>
      <c r="C4523" s="6">
        <v>404</v>
      </c>
      <c r="D4523" s="6" t="str">
        <f t="shared" si="141"/>
        <v>Special Imports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</row>
    <row r="4524" spans="1:9">
      <c r="A4524" s="6">
        <v>38</v>
      </c>
      <c r="B4524" s="6" t="str">
        <f t="shared" si="140"/>
        <v>Industrial Machinery</v>
      </c>
      <c r="C4524" s="6">
        <v>404</v>
      </c>
      <c r="D4524" s="6" t="str">
        <f t="shared" si="141"/>
        <v>Special Imports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</row>
    <row r="4525" spans="1:9">
      <c r="A4525" s="6">
        <v>39</v>
      </c>
      <c r="B4525" s="6" t="str">
        <f t="shared" si="140"/>
        <v>Electrical Machinery and Apparatus</v>
      </c>
      <c r="C4525" s="6">
        <v>404</v>
      </c>
      <c r="D4525" s="6" t="str">
        <f t="shared" si="141"/>
        <v>Special Imports</v>
      </c>
      <c r="E4525" s="6">
        <v>-1978283</v>
      </c>
      <c r="F4525" s="6">
        <v>0</v>
      </c>
      <c r="G4525" s="6">
        <v>0</v>
      </c>
      <c r="H4525" s="6">
        <v>0</v>
      </c>
      <c r="I4525" s="6">
        <v>-1978283</v>
      </c>
    </row>
    <row r="4526" spans="1:9">
      <c r="A4526" s="6">
        <v>40</v>
      </c>
      <c r="B4526" s="6" t="str">
        <f t="shared" si="140"/>
        <v>Motor Vehicles and Repairing</v>
      </c>
      <c r="C4526" s="6">
        <v>404</v>
      </c>
      <c r="D4526" s="6" t="str">
        <f t="shared" si="141"/>
        <v>Special Imports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</row>
    <row r="4527" spans="1:9">
      <c r="A4527" s="6">
        <v>41</v>
      </c>
      <c r="B4527" s="6" t="str">
        <f t="shared" si="140"/>
        <v>Other Transportation Equipment</v>
      </c>
      <c r="C4527" s="6">
        <v>404</v>
      </c>
      <c r="D4527" s="6" t="str">
        <f t="shared" si="141"/>
        <v>Special Imports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</row>
    <row r="4528" spans="1:9">
      <c r="A4528" s="6">
        <v>42</v>
      </c>
      <c r="B4528" s="6" t="str">
        <f t="shared" si="140"/>
        <v>Leather Products</v>
      </c>
      <c r="C4528" s="6">
        <v>404</v>
      </c>
      <c r="D4528" s="6" t="str">
        <f t="shared" si="141"/>
        <v>Special Imports</v>
      </c>
      <c r="E4528" s="6">
        <v>-588010</v>
      </c>
      <c r="F4528" s="6">
        <v>0</v>
      </c>
      <c r="G4528" s="6">
        <v>0</v>
      </c>
      <c r="H4528" s="6">
        <v>0</v>
      </c>
      <c r="I4528" s="6">
        <v>-588010</v>
      </c>
    </row>
    <row r="4529" spans="1:9">
      <c r="A4529" s="6">
        <v>43</v>
      </c>
      <c r="B4529" s="6" t="str">
        <f t="shared" si="140"/>
        <v>Saw Mills and Wood Products</v>
      </c>
      <c r="C4529" s="6">
        <v>404</v>
      </c>
      <c r="D4529" s="6" t="str">
        <f t="shared" si="141"/>
        <v>Special Imports</v>
      </c>
      <c r="E4529" s="6">
        <v>-599</v>
      </c>
      <c r="F4529" s="6">
        <v>0</v>
      </c>
      <c r="G4529" s="6">
        <v>0</v>
      </c>
      <c r="H4529" s="6">
        <v>0</v>
      </c>
      <c r="I4529" s="6">
        <v>-599</v>
      </c>
    </row>
    <row r="4530" spans="1:9">
      <c r="A4530" s="6">
        <v>44</v>
      </c>
      <c r="B4530" s="6" t="str">
        <f t="shared" si="140"/>
        <v>Other Manufacturing Products</v>
      </c>
      <c r="C4530" s="6">
        <v>404</v>
      </c>
      <c r="D4530" s="6" t="str">
        <f t="shared" si="141"/>
        <v>Special Imports</v>
      </c>
      <c r="E4530" s="6">
        <v>-6422291</v>
      </c>
      <c r="F4530" s="6">
        <v>0</v>
      </c>
      <c r="G4530" s="6">
        <v>0</v>
      </c>
      <c r="H4530" s="6">
        <v>0</v>
      </c>
      <c r="I4530" s="6">
        <v>-6422291</v>
      </c>
    </row>
    <row r="4531" spans="1:9">
      <c r="A4531" s="6">
        <v>45</v>
      </c>
      <c r="B4531" s="6" t="str">
        <f t="shared" si="140"/>
        <v>Electricity and Gas</v>
      </c>
      <c r="C4531" s="6">
        <v>404</v>
      </c>
      <c r="D4531" s="6" t="str">
        <f t="shared" si="141"/>
        <v>Special Imports</v>
      </c>
      <c r="E4531" s="6">
        <v>-760</v>
      </c>
      <c r="F4531" s="6">
        <v>0</v>
      </c>
      <c r="G4531" s="6">
        <v>0</v>
      </c>
      <c r="H4531" s="6">
        <v>0</v>
      </c>
      <c r="I4531" s="6">
        <v>-760</v>
      </c>
    </row>
    <row r="4532" spans="1:9">
      <c r="A4532" s="6">
        <v>46</v>
      </c>
      <c r="B4532" s="6" t="str">
        <f t="shared" si="140"/>
        <v>Water Works and Supply</v>
      </c>
      <c r="C4532" s="6">
        <v>404</v>
      </c>
      <c r="D4532" s="6" t="str">
        <f t="shared" si="141"/>
        <v>Special Imports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</row>
    <row r="4533" spans="1:9">
      <c r="A4533" s="6">
        <v>47</v>
      </c>
      <c r="B4533" s="6" t="str">
        <f t="shared" si="140"/>
        <v>Building Construction</v>
      </c>
      <c r="C4533" s="6">
        <v>404</v>
      </c>
      <c r="D4533" s="6" t="str">
        <f t="shared" si="141"/>
        <v>Special Imports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</row>
    <row r="4534" spans="1:9">
      <c r="A4534" s="6">
        <v>48</v>
      </c>
      <c r="B4534" s="6" t="str">
        <f t="shared" si="140"/>
        <v>Public Works and Other Construction</v>
      </c>
      <c r="C4534" s="6">
        <v>404</v>
      </c>
      <c r="D4534" s="6" t="str">
        <f t="shared" si="141"/>
        <v>Special Imports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</row>
    <row r="4535" spans="1:9">
      <c r="A4535" s="6">
        <v>49</v>
      </c>
      <c r="B4535" s="6" t="str">
        <f t="shared" si="140"/>
        <v>Trade</v>
      </c>
      <c r="C4535" s="6">
        <v>404</v>
      </c>
      <c r="D4535" s="6" t="str">
        <f t="shared" si="141"/>
        <v>Special Imports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</row>
    <row r="4536" spans="1:9">
      <c r="A4536" s="6">
        <v>50</v>
      </c>
      <c r="B4536" s="6" t="str">
        <f t="shared" si="140"/>
        <v>Restaurants and Hotels</v>
      </c>
      <c r="C4536" s="6">
        <v>404</v>
      </c>
      <c r="D4536" s="6" t="str">
        <f t="shared" si="141"/>
        <v>Special Imports</v>
      </c>
      <c r="E4536" s="6">
        <v>-65700431</v>
      </c>
      <c r="F4536" s="6">
        <v>0</v>
      </c>
      <c r="G4536" s="6">
        <v>0</v>
      </c>
      <c r="H4536" s="6">
        <v>0</v>
      </c>
      <c r="I4536" s="6">
        <v>-65700431</v>
      </c>
    </row>
    <row r="4537" spans="1:9">
      <c r="A4537" s="6">
        <v>51</v>
      </c>
      <c r="B4537" s="6" t="str">
        <f t="shared" si="140"/>
        <v>Transportation</v>
      </c>
      <c r="C4537" s="6">
        <v>404</v>
      </c>
      <c r="D4537" s="6" t="str">
        <f t="shared" si="141"/>
        <v>Special Imports</v>
      </c>
      <c r="E4537" s="6">
        <v>-117143924</v>
      </c>
      <c r="F4537" s="6">
        <v>0</v>
      </c>
      <c r="G4537" s="6">
        <v>0</v>
      </c>
      <c r="H4537" s="6">
        <v>0</v>
      </c>
      <c r="I4537" s="6">
        <v>-117143924</v>
      </c>
    </row>
    <row r="4538" spans="1:9">
      <c r="A4538" s="6">
        <v>52</v>
      </c>
      <c r="B4538" s="6" t="str">
        <f t="shared" si="140"/>
        <v>Communication</v>
      </c>
      <c r="C4538" s="6">
        <v>404</v>
      </c>
      <c r="D4538" s="6" t="str">
        <f t="shared" si="141"/>
        <v>Special Imports</v>
      </c>
      <c r="E4538" s="6">
        <v>-55188867</v>
      </c>
      <c r="F4538" s="6">
        <v>0</v>
      </c>
      <c r="G4538" s="6">
        <v>0</v>
      </c>
      <c r="H4538" s="6">
        <v>0</v>
      </c>
      <c r="I4538" s="6">
        <v>-55188867</v>
      </c>
    </row>
    <row r="4539" spans="1:9">
      <c r="A4539" s="6">
        <v>53</v>
      </c>
      <c r="B4539" s="6" t="str">
        <f t="shared" si="140"/>
        <v>Banking and Insurance</v>
      </c>
      <c r="C4539" s="6">
        <v>404</v>
      </c>
      <c r="D4539" s="6" t="str">
        <f t="shared" si="141"/>
        <v>Special Imports</v>
      </c>
      <c r="E4539" s="6">
        <v>-81709813</v>
      </c>
      <c r="F4539" s="6">
        <v>0</v>
      </c>
      <c r="G4539" s="6">
        <v>0</v>
      </c>
      <c r="H4539" s="6">
        <v>0</v>
      </c>
      <c r="I4539" s="6">
        <v>-81709813</v>
      </c>
    </row>
    <row r="4540" spans="1:9">
      <c r="A4540" s="6">
        <v>54</v>
      </c>
      <c r="B4540" s="6" t="str">
        <f t="shared" si="140"/>
        <v>Real Estate</v>
      </c>
      <c r="C4540" s="6">
        <v>404</v>
      </c>
      <c r="D4540" s="6" t="str">
        <f t="shared" si="141"/>
        <v>Special Imports</v>
      </c>
      <c r="E4540" s="6">
        <v>-101724443</v>
      </c>
      <c r="F4540" s="6">
        <v>0</v>
      </c>
      <c r="G4540" s="6">
        <v>0</v>
      </c>
      <c r="H4540" s="6">
        <v>0</v>
      </c>
      <c r="I4540" s="6">
        <v>-101724443</v>
      </c>
    </row>
    <row r="4541" spans="1:9">
      <c r="A4541" s="6">
        <v>55</v>
      </c>
      <c r="B4541" s="6" t="str">
        <f t="shared" si="140"/>
        <v>Business Services</v>
      </c>
      <c r="C4541" s="6">
        <v>404</v>
      </c>
      <c r="D4541" s="6" t="str">
        <f t="shared" si="141"/>
        <v>Special Imports</v>
      </c>
      <c r="E4541" s="6">
        <v>-318173520</v>
      </c>
      <c r="F4541" s="6">
        <v>0</v>
      </c>
      <c r="G4541" s="6">
        <v>0</v>
      </c>
      <c r="H4541" s="6">
        <v>0</v>
      </c>
      <c r="I4541" s="6">
        <v>-318173520</v>
      </c>
    </row>
    <row r="4542" spans="1:9">
      <c r="A4542" s="6">
        <v>56</v>
      </c>
      <c r="B4542" s="6" t="str">
        <f t="shared" si="140"/>
        <v>Public Services</v>
      </c>
      <c r="C4542" s="6">
        <v>404</v>
      </c>
      <c r="D4542" s="6" t="str">
        <f t="shared" si="141"/>
        <v>Special Imports</v>
      </c>
      <c r="E4542" s="6">
        <v>-86220627</v>
      </c>
      <c r="F4542" s="6">
        <v>0</v>
      </c>
      <c r="G4542" s="6">
        <v>0</v>
      </c>
      <c r="H4542" s="6">
        <v>0</v>
      </c>
      <c r="I4542" s="6">
        <v>-86220627</v>
      </c>
    </row>
    <row r="4543" spans="1:9">
      <c r="A4543" s="6">
        <v>57</v>
      </c>
      <c r="B4543" s="6" t="str">
        <f t="shared" si="140"/>
        <v>Other Services</v>
      </c>
      <c r="C4543" s="6">
        <v>404</v>
      </c>
      <c r="D4543" s="6" t="str">
        <f t="shared" si="141"/>
        <v>Special Imports</v>
      </c>
      <c r="E4543" s="6">
        <v>-16876564</v>
      </c>
      <c r="F4543" s="6">
        <v>0</v>
      </c>
      <c r="G4543" s="6">
        <v>0</v>
      </c>
      <c r="H4543" s="6">
        <v>0</v>
      </c>
      <c r="I4543" s="6">
        <v>-16876564</v>
      </c>
    </row>
    <row r="4544" spans="1:9">
      <c r="A4544" s="6">
        <v>58</v>
      </c>
      <c r="B4544" s="6" t="str">
        <f t="shared" si="140"/>
        <v>Unclassified</v>
      </c>
      <c r="C4544" s="6">
        <v>404</v>
      </c>
      <c r="D4544" s="6" t="str">
        <f t="shared" si="141"/>
        <v>Special Imports</v>
      </c>
      <c r="E4544" s="6">
        <v>-21911156</v>
      </c>
      <c r="F4544" s="6">
        <v>0</v>
      </c>
      <c r="G4544" s="6">
        <v>0</v>
      </c>
      <c r="H4544" s="6">
        <v>0</v>
      </c>
      <c r="I4544" s="6">
        <v>-21911156</v>
      </c>
    </row>
    <row r="4545" spans="1:9">
      <c r="A4545" s="6">
        <v>190</v>
      </c>
      <c r="B4545" s="6" t="str">
        <f t="shared" si="140"/>
        <v>Total Intermedite Transaction</v>
      </c>
      <c r="C4545" s="6">
        <v>404</v>
      </c>
      <c r="D4545" s="6" t="str">
        <f t="shared" si="141"/>
        <v>Special Imports</v>
      </c>
      <c r="E4545" s="6">
        <v>-1006557745</v>
      </c>
      <c r="F4545" s="6">
        <v>0</v>
      </c>
      <c r="G4545" s="6">
        <v>0</v>
      </c>
      <c r="H4545" s="6">
        <v>0</v>
      </c>
      <c r="I4545" s="6">
        <v>-1006557745</v>
      </c>
    </row>
    <row r="4546" spans="1:9">
      <c r="A4546" s="6">
        <v>1</v>
      </c>
      <c r="B4546" s="6" t="str">
        <f t="shared" si="140"/>
        <v>Paddy</v>
      </c>
      <c r="C4546" s="6">
        <v>409</v>
      </c>
      <c r="D4546" s="6" t="str">
        <f t="shared" si="141"/>
        <v>Total Imports</v>
      </c>
      <c r="E4546" s="6">
        <v>-5</v>
      </c>
      <c r="F4546" s="6">
        <v>0</v>
      </c>
      <c r="G4546" s="6">
        <v>0</v>
      </c>
      <c r="H4546" s="6">
        <v>0</v>
      </c>
      <c r="I4546" s="6">
        <v>-5</v>
      </c>
    </row>
    <row r="4547" spans="1:9">
      <c r="A4547" s="6">
        <v>2</v>
      </c>
      <c r="B4547" s="6" t="str">
        <f t="shared" si="140"/>
        <v>Maize</v>
      </c>
      <c r="C4547" s="6">
        <v>409</v>
      </c>
      <c r="D4547" s="6" t="str">
        <f t="shared" si="141"/>
        <v>Total Imports</v>
      </c>
      <c r="E4547" s="6">
        <v>-15030908</v>
      </c>
      <c r="F4547" s="6">
        <v>0</v>
      </c>
      <c r="G4547" s="6">
        <v>0</v>
      </c>
      <c r="H4547" s="6">
        <v>0</v>
      </c>
      <c r="I4547" s="6">
        <v>-15030908</v>
      </c>
    </row>
    <row r="4548" spans="1:9">
      <c r="A4548" s="6">
        <v>3</v>
      </c>
      <c r="B4548" s="6" t="str">
        <f t="shared" ref="B4548:B4611" si="142">VLOOKUP(A4548,R:S,2,0)</f>
        <v>Cassava</v>
      </c>
      <c r="C4548" s="6">
        <v>409</v>
      </c>
      <c r="D4548" s="6" t="str">
        <f t="shared" ref="D4548:D4611" si="143">VLOOKUP(C4548,R:S,2,0)</f>
        <v>Total Imports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</row>
    <row r="4549" spans="1:9">
      <c r="A4549" s="6">
        <v>4</v>
      </c>
      <c r="B4549" s="6" t="str">
        <f t="shared" si="142"/>
        <v>Beans and Nuts</v>
      </c>
      <c r="C4549" s="6">
        <v>409</v>
      </c>
      <c r="D4549" s="6" t="str">
        <f t="shared" si="143"/>
        <v>Total Imports</v>
      </c>
      <c r="E4549" s="6">
        <v>-44074229</v>
      </c>
      <c r="F4549" s="6">
        <v>0</v>
      </c>
      <c r="G4549" s="6">
        <v>0</v>
      </c>
      <c r="H4549" s="6">
        <v>0</v>
      </c>
      <c r="I4549" s="6">
        <v>-44074229</v>
      </c>
    </row>
    <row r="4550" spans="1:9">
      <c r="A4550" s="6">
        <v>5</v>
      </c>
      <c r="B4550" s="6" t="str">
        <f t="shared" si="142"/>
        <v>Vegetables and Fruits</v>
      </c>
      <c r="C4550" s="6">
        <v>409</v>
      </c>
      <c r="D4550" s="6" t="str">
        <f t="shared" si="143"/>
        <v>Total Imports</v>
      </c>
      <c r="E4550" s="6">
        <v>-53783216</v>
      </c>
      <c r="F4550" s="6">
        <v>0</v>
      </c>
      <c r="G4550" s="6">
        <v>0</v>
      </c>
      <c r="H4550" s="6">
        <v>0</v>
      </c>
      <c r="I4550" s="6">
        <v>-53783216</v>
      </c>
    </row>
    <row r="4551" spans="1:9">
      <c r="A4551" s="6">
        <v>6</v>
      </c>
      <c r="B4551" s="6" t="str">
        <f t="shared" si="142"/>
        <v>Sugarcane</v>
      </c>
      <c r="C4551" s="6">
        <v>409</v>
      </c>
      <c r="D4551" s="6" t="str">
        <f t="shared" si="143"/>
        <v>Total Imports</v>
      </c>
      <c r="E4551" s="6">
        <v>-2</v>
      </c>
      <c r="F4551" s="6">
        <v>0</v>
      </c>
      <c r="G4551" s="6">
        <v>0</v>
      </c>
      <c r="H4551" s="6">
        <v>0</v>
      </c>
      <c r="I4551" s="6">
        <v>-2</v>
      </c>
    </row>
    <row r="4552" spans="1:9">
      <c r="A4552" s="6">
        <v>7</v>
      </c>
      <c r="B4552" s="6" t="str">
        <f t="shared" si="142"/>
        <v>Rubber (Latex)</v>
      </c>
      <c r="C4552" s="6">
        <v>409</v>
      </c>
      <c r="D4552" s="6" t="str">
        <f t="shared" si="143"/>
        <v>Total Imports</v>
      </c>
      <c r="E4552" s="6">
        <v>-149467</v>
      </c>
      <c r="F4552" s="6">
        <v>0</v>
      </c>
      <c r="G4552" s="6">
        <v>0</v>
      </c>
      <c r="H4552" s="6">
        <v>0</v>
      </c>
      <c r="I4552" s="6">
        <v>-149467</v>
      </c>
    </row>
    <row r="4553" spans="1:9">
      <c r="A4553" s="6">
        <v>8</v>
      </c>
      <c r="B4553" s="6" t="str">
        <f t="shared" si="142"/>
        <v>Other Crops</v>
      </c>
      <c r="C4553" s="6">
        <v>409</v>
      </c>
      <c r="D4553" s="6" t="str">
        <f t="shared" si="143"/>
        <v>Total Imports</v>
      </c>
      <c r="E4553" s="6">
        <v>-53774415</v>
      </c>
      <c r="F4553" s="6">
        <v>0</v>
      </c>
      <c r="G4553" s="6">
        <v>0</v>
      </c>
      <c r="H4553" s="6">
        <v>0</v>
      </c>
      <c r="I4553" s="6">
        <v>-53774415</v>
      </c>
    </row>
    <row r="4554" spans="1:9">
      <c r="A4554" s="6">
        <v>9</v>
      </c>
      <c r="B4554" s="6" t="str">
        <f t="shared" si="142"/>
        <v>Livestock</v>
      </c>
      <c r="C4554" s="6">
        <v>409</v>
      </c>
      <c r="D4554" s="6" t="str">
        <f t="shared" si="143"/>
        <v>Total Imports</v>
      </c>
      <c r="E4554" s="6">
        <v>-5733873</v>
      </c>
      <c r="F4554" s="6">
        <v>0</v>
      </c>
      <c r="G4554" s="6">
        <v>0</v>
      </c>
      <c r="H4554" s="6">
        <v>0</v>
      </c>
      <c r="I4554" s="6">
        <v>-5733873</v>
      </c>
    </row>
    <row r="4555" spans="1:9">
      <c r="A4555" s="6">
        <v>10</v>
      </c>
      <c r="B4555" s="6" t="str">
        <f t="shared" si="142"/>
        <v>Forestry</v>
      </c>
      <c r="C4555" s="6">
        <v>409</v>
      </c>
      <c r="D4555" s="6" t="str">
        <f t="shared" si="143"/>
        <v>Total Imports</v>
      </c>
      <c r="E4555" s="6">
        <v>-2931772</v>
      </c>
      <c r="F4555" s="6">
        <v>0</v>
      </c>
      <c r="G4555" s="6">
        <v>0</v>
      </c>
      <c r="H4555" s="6">
        <v>0</v>
      </c>
      <c r="I4555" s="6">
        <v>-2931772</v>
      </c>
    </row>
    <row r="4556" spans="1:9">
      <c r="A4556" s="6">
        <v>11</v>
      </c>
      <c r="B4556" s="6" t="str">
        <f t="shared" si="142"/>
        <v>Fishery</v>
      </c>
      <c r="C4556" s="6">
        <v>409</v>
      </c>
      <c r="D4556" s="6" t="str">
        <f t="shared" si="143"/>
        <v>Total Imports</v>
      </c>
      <c r="E4556" s="6">
        <v>-11403238</v>
      </c>
      <c r="F4556" s="6">
        <v>0</v>
      </c>
      <c r="G4556" s="6">
        <v>0</v>
      </c>
      <c r="H4556" s="6">
        <v>0</v>
      </c>
      <c r="I4556" s="6">
        <v>-11403238</v>
      </c>
    </row>
    <row r="4557" spans="1:9">
      <c r="A4557" s="6">
        <v>12</v>
      </c>
      <c r="B4557" s="6" t="str">
        <f t="shared" si="142"/>
        <v>Crude Oil and Coal</v>
      </c>
      <c r="C4557" s="6">
        <v>409</v>
      </c>
      <c r="D4557" s="6" t="str">
        <f t="shared" si="143"/>
        <v>Total Imports</v>
      </c>
      <c r="E4557" s="6">
        <v>-1014344238</v>
      </c>
      <c r="F4557" s="6">
        <v>0</v>
      </c>
      <c r="G4557" s="6">
        <v>0</v>
      </c>
      <c r="H4557" s="6">
        <v>0</v>
      </c>
      <c r="I4557" s="6">
        <v>-1014344238</v>
      </c>
    </row>
    <row r="4558" spans="1:9">
      <c r="A4558" s="6">
        <v>13</v>
      </c>
      <c r="B4558" s="6" t="str">
        <f t="shared" si="142"/>
        <v>Metal Ore</v>
      </c>
      <c r="C4558" s="6">
        <v>409</v>
      </c>
      <c r="D4558" s="6" t="str">
        <f t="shared" si="143"/>
        <v>Total Imports</v>
      </c>
      <c r="E4558" s="6">
        <v>-19069227</v>
      </c>
      <c r="F4558" s="6">
        <v>0</v>
      </c>
      <c r="G4558" s="6">
        <v>0</v>
      </c>
      <c r="H4558" s="6">
        <v>0</v>
      </c>
      <c r="I4558" s="6">
        <v>-19069227</v>
      </c>
    </row>
    <row r="4559" spans="1:9">
      <c r="A4559" s="6">
        <v>14</v>
      </c>
      <c r="B4559" s="6" t="str">
        <f t="shared" si="142"/>
        <v>Non-Metal Ore</v>
      </c>
      <c r="C4559" s="6">
        <v>409</v>
      </c>
      <c r="D4559" s="6" t="str">
        <f t="shared" si="143"/>
        <v>Total Imports</v>
      </c>
      <c r="E4559" s="6">
        <v>-11087069</v>
      </c>
      <c r="F4559" s="6">
        <v>0</v>
      </c>
      <c r="G4559" s="6">
        <v>0</v>
      </c>
      <c r="H4559" s="6">
        <v>0</v>
      </c>
      <c r="I4559" s="6">
        <v>-11087069</v>
      </c>
    </row>
    <row r="4560" spans="1:9">
      <c r="A4560" s="6">
        <v>15</v>
      </c>
      <c r="B4560" s="6" t="str">
        <f t="shared" si="142"/>
        <v>Slaughtering</v>
      </c>
      <c r="C4560" s="6">
        <v>409</v>
      </c>
      <c r="D4560" s="6" t="str">
        <f t="shared" si="143"/>
        <v>Total Imports</v>
      </c>
      <c r="E4560" s="6">
        <v>-509394</v>
      </c>
      <c r="F4560" s="6">
        <v>0</v>
      </c>
      <c r="G4560" s="6">
        <v>0</v>
      </c>
      <c r="H4560" s="6">
        <v>0</v>
      </c>
      <c r="I4560" s="6">
        <v>-509394</v>
      </c>
    </row>
    <row r="4561" spans="1:9">
      <c r="A4561" s="6">
        <v>16</v>
      </c>
      <c r="B4561" s="6" t="str">
        <f t="shared" si="142"/>
        <v>Processing and Presering of Foods</v>
      </c>
      <c r="C4561" s="6">
        <v>409</v>
      </c>
      <c r="D4561" s="6" t="str">
        <f t="shared" si="143"/>
        <v>Total Imports</v>
      </c>
      <c r="E4561" s="6">
        <v>-271840804</v>
      </c>
      <c r="F4561" s="6">
        <v>0</v>
      </c>
      <c r="G4561" s="6">
        <v>0</v>
      </c>
      <c r="H4561" s="6">
        <v>0</v>
      </c>
      <c r="I4561" s="6">
        <v>-271840804</v>
      </c>
    </row>
    <row r="4562" spans="1:9">
      <c r="A4562" s="6">
        <v>17</v>
      </c>
      <c r="B4562" s="6" t="str">
        <f t="shared" si="142"/>
        <v>Rice and Other Grain Milling</v>
      </c>
      <c r="C4562" s="6">
        <v>409</v>
      </c>
      <c r="D4562" s="6" t="str">
        <f t="shared" si="143"/>
        <v>Total Imports</v>
      </c>
      <c r="E4562" s="6">
        <v>-35342525</v>
      </c>
      <c r="F4562" s="6">
        <v>0</v>
      </c>
      <c r="G4562" s="6">
        <v>0</v>
      </c>
      <c r="H4562" s="6">
        <v>0</v>
      </c>
      <c r="I4562" s="6">
        <v>-35342525</v>
      </c>
    </row>
    <row r="4563" spans="1:9">
      <c r="A4563" s="6">
        <v>18</v>
      </c>
      <c r="B4563" s="6" t="str">
        <f t="shared" si="142"/>
        <v>Sugar Refineries</v>
      </c>
      <c r="C4563" s="6">
        <v>409</v>
      </c>
      <c r="D4563" s="6" t="str">
        <f t="shared" si="143"/>
        <v>Total Imports</v>
      </c>
      <c r="E4563" s="6">
        <v>-14196220</v>
      </c>
      <c r="F4563" s="6">
        <v>0</v>
      </c>
      <c r="G4563" s="6">
        <v>0</v>
      </c>
      <c r="H4563" s="6">
        <v>0</v>
      </c>
      <c r="I4563" s="6">
        <v>-14196220</v>
      </c>
    </row>
    <row r="4564" spans="1:9">
      <c r="A4564" s="6">
        <v>19</v>
      </c>
      <c r="B4564" s="6" t="str">
        <f t="shared" si="142"/>
        <v>Other Foods</v>
      </c>
      <c r="C4564" s="6">
        <v>409</v>
      </c>
      <c r="D4564" s="6" t="str">
        <f t="shared" si="143"/>
        <v>Total Imports</v>
      </c>
      <c r="E4564" s="6">
        <v>-89411754</v>
      </c>
      <c r="F4564" s="6">
        <v>0</v>
      </c>
      <c r="G4564" s="6">
        <v>0</v>
      </c>
      <c r="H4564" s="6">
        <v>0</v>
      </c>
      <c r="I4564" s="6">
        <v>-89411754</v>
      </c>
    </row>
    <row r="4565" spans="1:9">
      <c r="A4565" s="6">
        <v>20</v>
      </c>
      <c r="B4565" s="6" t="str">
        <f t="shared" si="142"/>
        <v>Animal Food</v>
      </c>
      <c r="C4565" s="6">
        <v>409</v>
      </c>
      <c r="D4565" s="6" t="str">
        <f t="shared" si="143"/>
        <v>Total Imports</v>
      </c>
      <c r="E4565" s="6">
        <v>-26374473</v>
      </c>
      <c r="F4565" s="6">
        <v>0</v>
      </c>
      <c r="G4565" s="6">
        <v>0</v>
      </c>
      <c r="H4565" s="6">
        <v>0</v>
      </c>
      <c r="I4565" s="6">
        <v>-26374473</v>
      </c>
    </row>
    <row r="4566" spans="1:9">
      <c r="A4566" s="6">
        <v>21</v>
      </c>
      <c r="B4566" s="6" t="str">
        <f t="shared" si="142"/>
        <v>Beverages</v>
      </c>
      <c r="C4566" s="6">
        <v>409</v>
      </c>
      <c r="D4566" s="6" t="str">
        <f t="shared" si="143"/>
        <v>Total Imports</v>
      </c>
      <c r="E4566" s="6">
        <v>-23779347</v>
      </c>
      <c r="F4566" s="6">
        <v>0</v>
      </c>
      <c r="G4566" s="6">
        <v>0</v>
      </c>
      <c r="H4566" s="6">
        <v>0</v>
      </c>
      <c r="I4566" s="6">
        <v>-23779347</v>
      </c>
    </row>
    <row r="4567" spans="1:9">
      <c r="A4567" s="6">
        <v>22</v>
      </c>
      <c r="B4567" s="6" t="str">
        <f t="shared" si="142"/>
        <v>Tobacco Processing and Products</v>
      </c>
      <c r="C4567" s="6">
        <v>409</v>
      </c>
      <c r="D4567" s="6" t="str">
        <f t="shared" si="143"/>
        <v>Total Imports</v>
      </c>
      <c r="E4567" s="6">
        <v>-17947685</v>
      </c>
      <c r="F4567" s="6">
        <v>0</v>
      </c>
      <c r="G4567" s="6">
        <v>0</v>
      </c>
      <c r="H4567" s="6">
        <v>0</v>
      </c>
      <c r="I4567" s="6">
        <v>-17947685</v>
      </c>
    </row>
    <row r="4568" spans="1:9">
      <c r="A4568" s="6">
        <v>23</v>
      </c>
      <c r="B4568" s="6" t="str">
        <f t="shared" si="142"/>
        <v>Spinning, Weaving and Bleaching</v>
      </c>
      <c r="C4568" s="6">
        <v>409</v>
      </c>
      <c r="D4568" s="6" t="str">
        <f t="shared" si="143"/>
        <v>Total Imports</v>
      </c>
      <c r="E4568" s="6">
        <v>-79058399</v>
      </c>
      <c r="F4568" s="6">
        <v>0</v>
      </c>
      <c r="G4568" s="6">
        <v>0</v>
      </c>
      <c r="H4568" s="6">
        <v>0</v>
      </c>
      <c r="I4568" s="6">
        <v>-79058399</v>
      </c>
    </row>
    <row r="4569" spans="1:9">
      <c r="A4569" s="6">
        <v>24</v>
      </c>
      <c r="B4569" s="6" t="str">
        <f t="shared" si="142"/>
        <v>Textile Products</v>
      </c>
      <c r="C4569" s="6">
        <v>409</v>
      </c>
      <c r="D4569" s="6" t="str">
        <f t="shared" si="143"/>
        <v>Total Imports</v>
      </c>
      <c r="E4569" s="6">
        <v>-96241121</v>
      </c>
      <c r="F4569" s="6">
        <v>0</v>
      </c>
      <c r="G4569" s="6">
        <v>0</v>
      </c>
      <c r="H4569" s="6">
        <v>0</v>
      </c>
      <c r="I4569" s="6">
        <v>-96241121</v>
      </c>
    </row>
    <row r="4570" spans="1:9">
      <c r="A4570" s="6">
        <v>25</v>
      </c>
      <c r="B4570" s="6" t="str">
        <f t="shared" si="142"/>
        <v>Paper and Paper Products</v>
      </c>
      <c r="C4570" s="6">
        <v>409</v>
      </c>
      <c r="D4570" s="6" t="str">
        <f t="shared" si="143"/>
        <v>Total Imports</v>
      </c>
      <c r="E4570" s="6">
        <v>-109186861</v>
      </c>
      <c r="F4570" s="6">
        <v>0</v>
      </c>
      <c r="G4570" s="6">
        <v>0</v>
      </c>
      <c r="H4570" s="6">
        <v>0</v>
      </c>
      <c r="I4570" s="6">
        <v>-109186861</v>
      </c>
    </row>
    <row r="4571" spans="1:9">
      <c r="A4571" s="6">
        <v>26</v>
      </c>
      <c r="B4571" s="6" t="str">
        <f t="shared" si="142"/>
        <v>Printing and Publishing</v>
      </c>
      <c r="C4571" s="6">
        <v>409</v>
      </c>
      <c r="D4571" s="6" t="str">
        <f t="shared" si="143"/>
        <v>Total Imports</v>
      </c>
      <c r="E4571" s="6">
        <v>-63147360</v>
      </c>
      <c r="F4571" s="6">
        <v>0</v>
      </c>
      <c r="G4571" s="6">
        <v>0</v>
      </c>
      <c r="H4571" s="6">
        <v>0</v>
      </c>
      <c r="I4571" s="6">
        <v>-63147360</v>
      </c>
    </row>
    <row r="4572" spans="1:9">
      <c r="A4572" s="6">
        <v>27</v>
      </c>
      <c r="B4572" s="6" t="str">
        <f t="shared" si="142"/>
        <v>Basic Chemical Products</v>
      </c>
      <c r="C4572" s="6">
        <v>409</v>
      </c>
      <c r="D4572" s="6" t="str">
        <f t="shared" si="143"/>
        <v>Total Imports</v>
      </c>
      <c r="E4572" s="6">
        <v>-621492716</v>
      </c>
      <c r="F4572" s="6">
        <v>0</v>
      </c>
      <c r="G4572" s="6">
        <v>0</v>
      </c>
      <c r="H4572" s="6">
        <v>0</v>
      </c>
      <c r="I4572" s="6">
        <v>-621492716</v>
      </c>
    </row>
    <row r="4573" spans="1:9">
      <c r="A4573" s="6">
        <v>28</v>
      </c>
      <c r="B4573" s="6" t="str">
        <f t="shared" si="142"/>
        <v>Fertilizer and Pesticides</v>
      </c>
      <c r="C4573" s="6">
        <v>409</v>
      </c>
      <c r="D4573" s="6" t="str">
        <f t="shared" si="143"/>
        <v>Total Imports</v>
      </c>
      <c r="E4573" s="6">
        <v>-102906459</v>
      </c>
      <c r="F4573" s="6">
        <v>0</v>
      </c>
      <c r="G4573" s="6">
        <v>0</v>
      </c>
      <c r="H4573" s="6">
        <v>0</v>
      </c>
      <c r="I4573" s="6">
        <v>-102906459</v>
      </c>
    </row>
    <row r="4574" spans="1:9">
      <c r="A4574" s="6">
        <v>29</v>
      </c>
      <c r="B4574" s="6" t="str">
        <f t="shared" si="142"/>
        <v>Other Chemical Products</v>
      </c>
      <c r="C4574" s="6">
        <v>409</v>
      </c>
      <c r="D4574" s="6" t="str">
        <f t="shared" si="143"/>
        <v>Total Imports</v>
      </c>
      <c r="E4574" s="6">
        <v>-374734940</v>
      </c>
      <c r="F4574" s="6">
        <v>0</v>
      </c>
      <c r="G4574" s="6">
        <v>0</v>
      </c>
      <c r="H4574" s="6">
        <v>0</v>
      </c>
      <c r="I4574" s="6">
        <v>-374734940</v>
      </c>
    </row>
    <row r="4575" spans="1:9">
      <c r="A4575" s="6">
        <v>30</v>
      </c>
      <c r="B4575" s="6" t="str">
        <f t="shared" si="142"/>
        <v>Petroleum Refineries</v>
      </c>
      <c r="C4575" s="6">
        <v>409</v>
      </c>
      <c r="D4575" s="6" t="str">
        <f t="shared" si="143"/>
        <v>Total Imports</v>
      </c>
      <c r="E4575" s="6">
        <v>-274197987</v>
      </c>
      <c r="F4575" s="6">
        <v>0</v>
      </c>
      <c r="G4575" s="6">
        <v>0</v>
      </c>
      <c r="H4575" s="6">
        <v>0</v>
      </c>
      <c r="I4575" s="6">
        <v>-274197987</v>
      </c>
    </row>
    <row r="4576" spans="1:9">
      <c r="A4576" s="6">
        <v>31</v>
      </c>
      <c r="B4576" s="6" t="str">
        <f t="shared" si="142"/>
        <v>Rubber Products</v>
      </c>
      <c r="C4576" s="6">
        <v>409</v>
      </c>
      <c r="D4576" s="6" t="str">
        <f t="shared" si="143"/>
        <v>Total Imports</v>
      </c>
      <c r="E4576" s="6">
        <v>-62448315</v>
      </c>
      <c r="F4576" s="6">
        <v>0</v>
      </c>
      <c r="G4576" s="6">
        <v>0</v>
      </c>
      <c r="H4576" s="6">
        <v>0</v>
      </c>
      <c r="I4576" s="6">
        <v>-62448315</v>
      </c>
    </row>
    <row r="4577" spans="1:9">
      <c r="A4577" s="6">
        <v>32</v>
      </c>
      <c r="B4577" s="6" t="str">
        <f t="shared" si="142"/>
        <v>Plastic Wares</v>
      </c>
      <c r="C4577" s="6">
        <v>409</v>
      </c>
      <c r="D4577" s="6" t="str">
        <f t="shared" si="143"/>
        <v>Total Imports</v>
      </c>
      <c r="E4577" s="6">
        <v>-166461222</v>
      </c>
      <c r="F4577" s="6">
        <v>0</v>
      </c>
      <c r="G4577" s="6">
        <v>0</v>
      </c>
      <c r="H4577" s="6">
        <v>0</v>
      </c>
      <c r="I4577" s="6">
        <v>-166461222</v>
      </c>
    </row>
    <row r="4578" spans="1:9">
      <c r="A4578" s="6">
        <v>33</v>
      </c>
      <c r="B4578" s="6" t="str">
        <f t="shared" si="142"/>
        <v>Cement and Concrete Products</v>
      </c>
      <c r="C4578" s="6">
        <v>409</v>
      </c>
      <c r="D4578" s="6" t="str">
        <f t="shared" si="143"/>
        <v>Total Imports</v>
      </c>
      <c r="E4578" s="6">
        <v>-2272390</v>
      </c>
      <c r="F4578" s="6">
        <v>0</v>
      </c>
      <c r="G4578" s="6">
        <v>0</v>
      </c>
      <c r="H4578" s="6">
        <v>0</v>
      </c>
      <c r="I4578" s="6">
        <v>-2272390</v>
      </c>
    </row>
    <row r="4579" spans="1:9">
      <c r="A4579" s="6">
        <v>34</v>
      </c>
      <c r="B4579" s="6" t="str">
        <f t="shared" si="142"/>
        <v>Other Non-metallic Products</v>
      </c>
      <c r="C4579" s="6">
        <v>409</v>
      </c>
      <c r="D4579" s="6" t="str">
        <f t="shared" si="143"/>
        <v>Total Imports</v>
      </c>
      <c r="E4579" s="6">
        <v>-77561476</v>
      </c>
      <c r="F4579" s="6">
        <v>0</v>
      </c>
      <c r="G4579" s="6">
        <v>0</v>
      </c>
      <c r="H4579" s="6">
        <v>0</v>
      </c>
      <c r="I4579" s="6">
        <v>-77561476</v>
      </c>
    </row>
    <row r="4580" spans="1:9">
      <c r="A4580" s="6">
        <v>35</v>
      </c>
      <c r="B4580" s="6" t="str">
        <f t="shared" si="142"/>
        <v>Iron and Steel</v>
      </c>
      <c r="C4580" s="6">
        <v>409</v>
      </c>
      <c r="D4580" s="6" t="str">
        <f t="shared" si="143"/>
        <v>Total Imports</v>
      </c>
      <c r="E4580" s="6">
        <v>-606077811</v>
      </c>
      <c r="F4580" s="6">
        <v>0</v>
      </c>
      <c r="G4580" s="6">
        <v>0</v>
      </c>
      <c r="H4580" s="6">
        <v>0</v>
      </c>
      <c r="I4580" s="6">
        <v>-606077811</v>
      </c>
    </row>
    <row r="4581" spans="1:9">
      <c r="A4581" s="6">
        <v>36</v>
      </c>
      <c r="B4581" s="6" t="str">
        <f t="shared" si="142"/>
        <v>Non-ferrous Metal</v>
      </c>
      <c r="C4581" s="6">
        <v>409</v>
      </c>
      <c r="D4581" s="6" t="str">
        <f t="shared" si="143"/>
        <v>Total Imports</v>
      </c>
      <c r="E4581" s="6">
        <v>-683456919</v>
      </c>
      <c r="F4581" s="6">
        <v>0</v>
      </c>
      <c r="G4581" s="6">
        <v>0</v>
      </c>
      <c r="H4581" s="6">
        <v>0</v>
      </c>
      <c r="I4581" s="6">
        <v>-683456919</v>
      </c>
    </row>
    <row r="4582" spans="1:9">
      <c r="A4582" s="6">
        <v>37</v>
      </c>
      <c r="B4582" s="6" t="str">
        <f t="shared" si="142"/>
        <v>Fabricated Metal Products</v>
      </c>
      <c r="C4582" s="6">
        <v>409</v>
      </c>
      <c r="D4582" s="6" t="str">
        <f t="shared" si="143"/>
        <v>Total Imports</v>
      </c>
      <c r="E4582" s="6">
        <v>-378158131</v>
      </c>
      <c r="F4582" s="6">
        <v>0</v>
      </c>
      <c r="G4582" s="6">
        <v>0</v>
      </c>
      <c r="H4582" s="6">
        <v>0</v>
      </c>
      <c r="I4582" s="6">
        <v>-378158131</v>
      </c>
    </row>
    <row r="4583" spans="1:9">
      <c r="A4583" s="6">
        <v>38</v>
      </c>
      <c r="B4583" s="6" t="str">
        <f t="shared" si="142"/>
        <v>Industrial Machinery</v>
      </c>
      <c r="C4583" s="6">
        <v>409</v>
      </c>
      <c r="D4583" s="6" t="str">
        <f t="shared" si="143"/>
        <v>Total Imports</v>
      </c>
      <c r="E4583" s="6">
        <v>-577672991</v>
      </c>
      <c r="F4583" s="6">
        <v>0</v>
      </c>
      <c r="G4583" s="6">
        <v>0</v>
      </c>
      <c r="H4583" s="6">
        <v>0</v>
      </c>
      <c r="I4583" s="6">
        <v>-577672991</v>
      </c>
    </row>
    <row r="4584" spans="1:9">
      <c r="A4584" s="6">
        <v>39</v>
      </c>
      <c r="B4584" s="6" t="str">
        <f t="shared" si="142"/>
        <v>Electrical Machinery and Apparatus</v>
      </c>
      <c r="C4584" s="6">
        <v>409</v>
      </c>
      <c r="D4584" s="6" t="str">
        <f t="shared" si="143"/>
        <v>Total Imports</v>
      </c>
      <c r="E4584" s="6">
        <v>-2048258372</v>
      </c>
      <c r="F4584" s="6">
        <v>0</v>
      </c>
      <c r="G4584" s="6">
        <v>0</v>
      </c>
      <c r="H4584" s="6">
        <v>0</v>
      </c>
      <c r="I4584" s="6">
        <v>-2048258372</v>
      </c>
    </row>
    <row r="4585" spans="1:9">
      <c r="A4585" s="6">
        <v>40</v>
      </c>
      <c r="B4585" s="6" t="str">
        <f t="shared" si="142"/>
        <v>Motor Vehicles and Repairing</v>
      </c>
      <c r="C4585" s="6">
        <v>409</v>
      </c>
      <c r="D4585" s="6" t="str">
        <f t="shared" si="143"/>
        <v>Total Imports</v>
      </c>
      <c r="E4585" s="6">
        <v>-455890940</v>
      </c>
      <c r="F4585" s="6">
        <v>0</v>
      </c>
      <c r="G4585" s="6">
        <v>0</v>
      </c>
      <c r="H4585" s="6">
        <v>0</v>
      </c>
      <c r="I4585" s="6">
        <v>-455890940</v>
      </c>
    </row>
    <row r="4586" spans="1:9">
      <c r="A4586" s="6">
        <v>41</v>
      </c>
      <c r="B4586" s="6" t="str">
        <f t="shared" si="142"/>
        <v>Other Transportation Equipment</v>
      </c>
      <c r="C4586" s="6">
        <v>409</v>
      </c>
      <c r="D4586" s="6" t="str">
        <f t="shared" si="143"/>
        <v>Total Imports</v>
      </c>
      <c r="E4586" s="6">
        <v>-69828366</v>
      </c>
      <c r="F4586" s="6">
        <v>0</v>
      </c>
      <c r="G4586" s="6">
        <v>0</v>
      </c>
      <c r="H4586" s="6">
        <v>0</v>
      </c>
      <c r="I4586" s="6">
        <v>-69828366</v>
      </c>
    </row>
    <row r="4587" spans="1:9">
      <c r="A4587" s="6">
        <v>42</v>
      </c>
      <c r="B4587" s="6" t="str">
        <f t="shared" si="142"/>
        <v>Leather Products</v>
      </c>
      <c r="C4587" s="6">
        <v>409</v>
      </c>
      <c r="D4587" s="6" t="str">
        <f t="shared" si="143"/>
        <v>Total Imports</v>
      </c>
      <c r="E4587" s="6">
        <v>-64863839</v>
      </c>
      <c r="F4587" s="6">
        <v>0</v>
      </c>
      <c r="G4587" s="6">
        <v>0</v>
      </c>
      <c r="H4587" s="6">
        <v>0</v>
      </c>
      <c r="I4587" s="6">
        <v>-64863839</v>
      </c>
    </row>
    <row r="4588" spans="1:9">
      <c r="A4588" s="6">
        <v>43</v>
      </c>
      <c r="B4588" s="6" t="str">
        <f t="shared" si="142"/>
        <v>Saw Mills and Wood Products</v>
      </c>
      <c r="C4588" s="6">
        <v>409</v>
      </c>
      <c r="D4588" s="6" t="str">
        <f t="shared" si="143"/>
        <v>Total Imports</v>
      </c>
      <c r="E4588" s="6">
        <v>-23122978</v>
      </c>
      <c r="F4588" s="6">
        <v>0</v>
      </c>
      <c r="G4588" s="6">
        <v>0</v>
      </c>
      <c r="H4588" s="6">
        <v>0</v>
      </c>
      <c r="I4588" s="6">
        <v>-23122978</v>
      </c>
    </row>
    <row r="4589" spans="1:9">
      <c r="A4589" s="6">
        <v>44</v>
      </c>
      <c r="B4589" s="6" t="str">
        <f t="shared" si="142"/>
        <v>Other Manufacturing Products</v>
      </c>
      <c r="C4589" s="6">
        <v>409</v>
      </c>
      <c r="D4589" s="6" t="str">
        <f t="shared" si="143"/>
        <v>Total Imports</v>
      </c>
      <c r="E4589" s="6">
        <v>-391997376</v>
      </c>
      <c r="F4589" s="6">
        <v>0</v>
      </c>
      <c r="G4589" s="6">
        <v>0</v>
      </c>
      <c r="H4589" s="6">
        <v>0</v>
      </c>
      <c r="I4589" s="6">
        <v>-391997376</v>
      </c>
    </row>
    <row r="4590" spans="1:9">
      <c r="A4590" s="6">
        <v>45</v>
      </c>
      <c r="B4590" s="6" t="str">
        <f t="shared" si="142"/>
        <v>Electricity and Gas</v>
      </c>
      <c r="C4590" s="6">
        <v>409</v>
      </c>
      <c r="D4590" s="6" t="str">
        <f t="shared" si="143"/>
        <v>Total Imports</v>
      </c>
      <c r="E4590" s="6">
        <v>-142248466</v>
      </c>
      <c r="F4590" s="6">
        <v>0</v>
      </c>
      <c r="G4590" s="6">
        <v>0</v>
      </c>
      <c r="H4590" s="6">
        <v>0</v>
      </c>
      <c r="I4590" s="6">
        <v>-142248466</v>
      </c>
    </row>
    <row r="4591" spans="1:9">
      <c r="A4591" s="6">
        <v>46</v>
      </c>
      <c r="B4591" s="6" t="str">
        <f t="shared" si="142"/>
        <v>Water Works and Supply</v>
      </c>
      <c r="C4591" s="6">
        <v>409</v>
      </c>
      <c r="D4591" s="6" t="str">
        <f t="shared" si="143"/>
        <v>Total Imports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</row>
    <row r="4592" spans="1:9">
      <c r="A4592" s="6">
        <v>47</v>
      </c>
      <c r="B4592" s="6" t="str">
        <f t="shared" si="142"/>
        <v>Building Construction</v>
      </c>
      <c r="C4592" s="6">
        <v>409</v>
      </c>
      <c r="D4592" s="6" t="str">
        <f t="shared" si="143"/>
        <v>Total Imports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</row>
    <row r="4593" spans="1:9">
      <c r="A4593" s="6">
        <v>48</v>
      </c>
      <c r="B4593" s="6" t="str">
        <f t="shared" si="142"/>
        <v>Public Works and Other Construction</v>
      </c>
      <c r="C4593" s="6">
        <v>409</v>
      </c>
      <c r="D4593" s="6" t="str">
        <f t="shared" si="143"/>
        <v>Total Imports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</row>
    <row r="4594" spans="1:9">
      <c r="A4594" s="6">
        <v>49</v>
      </c>
      <c r="B4594" s="6" t="str">
        <f t="shared" si="142"/>
        <v>Trade</v>
      </c>
      <c r="C4594" s="6">
        <v>409</v>
      </c>
      <c r="D4594" s="6" t="str">
        <f t="shared" si="143"/>
        <v>Total Imports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</row>
    <row r="4595" spans="1:9">
      <c r="A4595" s="6">
        <v>50</v>
      </c>
      <c r="B4595" s="6" t="str">
        <f t="shared" si="142"/>
        <v>Restaurants and Hotels</v>
      </c>
      <c r="C4595" s="6">
        <v>409</v>
      </c>
      <c r="D4595" s="6" t="str">
        <f t="shared" si="143"/>
        <v>Total Imports</v>
      </c>
      <c r="E4595" s="6">
        <v>-65700431</v>
      </c>
      <c r="F4595" s="6">
        <v>0</v>
      </c>
      <c r="G4595" s="6">
        <v>0</v>
      </c>
      <c r="H4595" s="6">
        <v>0</v>
      </c>
      <c r="I4595" s="6">
        <v>-65700431</v>
      </c>
    </row>
    <row r="4596" spans="1:9">
      <c r="A4596" s="6">
        <v>51</v>
      </c>
      <c r="B4596" s="6" t="str">
        <f t="shared" si="142"/>
        <v>Transportation</v>
      </c>
      <c r="C4596" s="6">
        <v>409</v>
      </c>
      <c r="D4596" s="6" t="str">
        <f t="shared" si="143"/>
        <v>Total Imports</v>
      </c>
      <c r="E4596" s="6">
        <v>-117143924</v>
      </c>
      <c r="F4596" s="6">
        <v>0</v>
      </c>
      <c r="G4596" s="6">
        <v>0</v>
      </c>
      <c r="H4596" s="6">
        <v>0</v>
      </c>
      <c r="I4596" s="6">
        <v>-117143924</v>
      </c>
    </row>
    <row r="4597" spans="1:9">
      <c r="A4597" s="6">
        <v>52</v>
      </c>
      <c r="B4597" s="6" t="str">
        <f t="shared" si="142"/>
        <v>Communication</v>
      </c>
      <c r="C4597" s="6">
        <v>409</v>
      </c>
      <c r="D4597" s="6" t="str">
        <f t="shared" si="143"/>
        <v>Total Imports</v>
      </c>
      <c r="E4597" s="6">
        <v>-55188867</v>
      </c>
      <c r="F4597" s="6">
        <v>0</v>
      </c>
      <c r="G4597" s="6">
        <v>0</v>
      </c>
      <c r="H4597" s="6">
        <v>0</v>
      </c>
      <c r="I4597" s="6">
        <v>-55188867</v>
      </c>
    </row>
    <row r="4598" spans="1:9">
      <c r="A4598" s="6">
        <v>53</v>
      </c>
      <c r="B4598" s="6" t="str">
        <f t="shared" si="142"/>
        <v>Banking and Insurance</v>
      </c>
      <c r="C4598" s="6">
        <v>409</v>
      </c>
      <c r="D4598" s="6" t="str">
        <f t="shared" si="143"/>
        <v>Total Imports</v>
      </c>
      <c r="E4598" s="6">
        <v>-81709813</v>
      </c>
      <c r="F4598" s="6">
        <v>0</v>
      </c>
      <c r="G4598" s="6">
        <v>0</v>
      </c>
      <c r="H4598" s="6">
        <v>0</v>
      </c>
      <c r="I4598" s="6">
        <v>-81709813</v>
      </c>
    </row>
    <row r="4599" spans="1:9">
      <c r="A4599" s="6">
        <v>54</v>
      </c>
      <c r="B4599" s="6" t="str">
        <f t="shared" si="142"/>
        <v>Real Estate</v>
      </c>
      <c r="C4599" s="6">
        <v>409</v>
      </c>
      <c r="D4599" s="6" t="str">
        <f t="shared" si="143"/>
        <v>Total Imports</v>
      </c>
      <c r="E4599" s="6">
        <v>-101724443</v>
      </c>
      <c r="F4599" s="6">
        <v>0</v>
      </c>
      <c r="G4599" s="6">
        <v>0</v>
      </c>
      <c r="H4599" s="6">
        <v>0</v>
      </c>
      <c r="I4599" s="6">
        <v>-101724443</v>
      </c>
    </row>
    <row r="4600" spans="1:9">
      <c r="A4600" s="6">
        <v>55</v>
      </c>
      <c r="B4600" s="6" t="str">
        <f t="shared" si="142"/>
        <v>Business Services</v>
      </c>
      <c r="C4600" s="6">
        <v>409</v>
      </c>
      <c r="D4600" s="6" t="str">
        <f t="shared" si="143"/>
        <v>Total Imports</v>
      </c>
      <c r="E4600" s="6">
        <v>-318173520</v>
      </c>
      <c r="F4600" s="6">
        <v>0</v>
      </c>
      <c r="G4600" s="6">
        <v>0</v>
      </c>
      <c r="H4600" s="6">
        <v>0</v>
      </c>
      <c r="I4600" s="6">
        <v>-318173520</v>
      </c>
    </row>
    <row r="4601" spans="1:9">
      <c r="A4601" s="6">
        <v>56</v>
      </c>
      <c r="B4601" s="6" t="str">
        <f t="shared" si="142"/>
        <v>Public Services</v>
      </c>
      <c r="C4601" s="6">
        <v>409</v>
      </c>
      <c r="D4601" s="6" t="str">
        <f t="shared" si="143"/>
        <v>Total Imports</v>
      </c>
      <c r="E4601" s="6">
        <v>-86220627</v>
      </c>
      <c r="F4601" s="6">
        <v>0</v>
      </c>
      <c r="G4601" s="6">
        <v>0</v>
      </c>
      <c r="H4601" s="6">
        <v>0</v>
      </c>
      <c r="I4601" s="6">
        <v>-86220627</v>
      </c>
    </row>
    <row r="4602" spans="1:9">
      <c r="A4602" s="6">
        <v>57</v>
      </c>
      <c r="B4602" s="6" t="str">
        <f t="shared" si="142"/>
        <v>Other Services</v>
      </c>
      <c r="C4602" s="6">
        <v>409</v>
      </c>
      <c r="D4602" s="6" t="str">
        <f t="shared" si="143"/>
        <v>Total Imports</v>
      </c>
      <c r="E4602" s="6">
        <v>-16876564</v>
      </c>
      <c r="F4602" s="6">
        <v>0</v>
      </c>
      <c r="G4602" s="6">
        <v>0</v>
      </c>
      <c r="H4602" s="6">
        <v>0</v>
      </c>
      <c r="I4602" s="6">
        <v>-16876564</v>
      </c>
    </row>
    <row r="4603" spans="1:9">
      <c r="A4603" s="6">
        <v>58</v>
      </c>
      <c r="B4603" s="6" t="str">
        <f t="shared" si="142"/>
        <v>Unclassified</v>
      </c>
      <c r="C4603" s="6">
        <v>409</v>
      </c>
      <c r="D4603" s="6" t="str">
        <f t="shared" si="143"/>
        <v>Total Imports</v>
      </c>
      <c r="E4603" s="6">
        <v>-21911156</v>
      </c>
      <c r="F4603" s="6">
        <v>0</v>
      </c>
      <c r="G4603" s="6">
        <v>0</v>
      </c>
      <c r="H4603" s="6">
        <v>0</v>
      </c>
      <c r="I4603" s="6">
        <v>-21911156</v>
      </c>
    </row>
    <row r="4604" spans="1:9">
      <c r="A4604" s="6">
        <v>190</v>
      </c>
      <c r="B4604" s="6" t="str">
        <f t="shared" si="142"/>
        <v>Total Intermedite Transaction</v>
      </c>
      <c r="C4604" s="6">
        <v>409</v>
      </c>
      <c r="D4604" s="6" t="str">
        <f t="shared" si="143"/>
        <v>Total Imports</v>
      </c>
      <c r="E4604" s="6">
        <v>-10046718641</v>
      </c>
      <c r="F4604" s="6">
        <v>0</v>
      </c>
      <c r="G4604" s="6">
        <v>0</v>
      </c>
      <c r="H4604" s="6">
        <v>0</v>
      </c>
      <c r="I4604" s="6">
        <v>-10046718641</v>
      </c>
    </row>
    <row r="4605" spans="1:9">
      <c r="A4605" s="6">
        <v>1</v>
      </c>
      <c r="B4605" s="6" t="str">
        <f t="shared" si="142"/>
        <v>Paddy</v>
      </c>
      <c r="C4605" s="6">
        <v>501</v>
      </c>
      <c r="D4605" s="6" t="str">
        <f t="shared" si="143"/>
        <v>Wholesale Trade Margin</v>
      </c>
      <c r="E4605" s="6">
        <v>-10756134</v>
      </c>
      <c r="F4605" s="6">
        <v>-10756134</v>
      </c>
      <c r="G4605" s="6">
        <v>0</v>
      </c>
      <c r="H4605" s="6">
        <v>0</v>
      </c>
      <c r="I4605" s="6">
        <v>0</v>
      </c>
    </row>
    <row r="4606" spans="1:9">
      <c r="A4606" s="6">
        <v>2</v>
      </c>
      <c r="B4606" s="6" t="str">
        <f t="shared" si="142"/>
        <v>Maize</v>
      </c>
      <c r="C4606" s="6">
        <v>501</v>
      </c>
      <c r="D4606" s="6" t="str">
        <f t="shared" si="143"/>
        <v>Wholesale Trade Margin</v>
      </c>
      <c r="E4606" s="6">
        <v>-2251541</v>
      </c>
      <c r="F4606" s="6">
        <v>-2251541</v>
      </c>
      <c r="G4606" s="6">
        <v>0</v>
      </c>
      <c r="H4606" s="6">
        <v>0</v>
      </c>
      <c r="I4606" s="6">
        <v>0</v>
      </c>
    </row>
    <row r="4607" spans="1:9">
      <c r="A4607" s="6">
        <v>3</v>
      </c>
      <c r="B4607" s="6" t="str">
        <f t="shared" si="142"/>
        <v>Cassava</v>
      </c>
      <c r="C4607" s="6">
        <v>501</v>
      </c>
      <c r="D4607" s="6" t="str">
        <f t="shared" si="143"/>
        <v>Wholesale Trade Margin</v>
      </c>
      <c r="E4607" s="6">
        <v>-2122820</v>
      </c>
      <c r="F4607" s="6">
        <v>-2122820</v>
      </c>
      <c r="G4607" s="6">
        <v>0</v>
      </c>
      <c r="H4607" s="6">
        <v>0</v>
      </c>
      <c r="I4607" s="6">
        <v>0</v>
      </c>
    </row>
    <row r="4608" spans="1:9">
      <c r="A4608" s="6">
        <v>4</v>
      </c>
      <c r="B4608" s="6" t="str">
        <f t="shared" si="142"/>
        <v>Beans and Nuts</v>
      </c>
      <c r="C4608" s="6">
        <v>501</v>
      </c>
      <c r="D4608" s="6" t="str">
        <f t="shared" si="143"/>
        <v>Wholesale Trade Margin</v>
      </c>
      <c r="E4608" s="6">
        <v>-1122621</v>
      </c>
      <c r="F4608" s="6">
        <v>-1122621</v>
      </c>
      <c r="G4608" s="6">
        <v>0</v>
      </c>
      <c r="H4608" s="6">
        <v>0</v>
      </c>
      <c r="I4608" s="6">
        <v>0</v>
      </c>
    </row>
    <row r="4609" spans="1:9">
      <c r="A4609" s="6">
        <v>5</v>
      </c>
      <c r="B4609" s="6" t="str">
        <f t="shared" si="142"/>
        <v>Vegetables and Fruits</v>
      </c>
      <c r="C4609" s="6">
        <v>501</v>
      </c>
      <c r="D4609" s="6" t="str">
        <f t="shared" si="143"/>
        <v>Wholesale Trade Margin</v>
      </c>
      <c r="E4609" s="6">
        <v>-114494467</v>
      </c>
      <c r="F4609" s="6">
        <v>-114494467</v>
      </c>
      <c r="G4609" s="6">
        <v>0</v>
      </c>
      <c r="H4609" s="6">
        <v>0</v>
      </c>
      <c r="I4609" s="6">
        <v>0</v>
      </c>
    </row>
    <row r="4610" spans="1:9">
      <c r="A4610" s="6">
        <v>6</v>
      </c>
      <c r="B4610" s="6" t="str">
        <f t="shared" si="142"/>
        <v>Sugarcane</v>
      </c>
      <c r="C4610" s="6">
        <v>501</v>
      </c>
      <c r="D4610" s="6" t="str">
        <f t="shared" si="143"/>
        <v>Wholesale Trade Margin</v>
      </c>
      <c r="E4610" s="6">
        <v>-3338345</v>
      </c>
      <c r="F4610" s="6">
        <v>-3338345</v>
      </c>
      <c r="G4610" s="6">
        <v>0</v>
      </c>
      <c r="H4610" s="6">
        <v>0</v>
      </c>
      <c r="I4610" s="6">
        <v>0</v>
      </c>
    </row>
    <row r="4611" spans="1:9">
      <c r="A4611" s="6">
        <v>7</v>
      </c>
      <c r="B4611" s="6" t="str">
        <f t="shared" si="142"/>
        <v>Rubber (Latex)</v>
      </c>
      <c r="C4611" s="6">
        <v>501</v>
      </c>
      <c r="D4611" s="6" t="str">
        <f t="shared" si="143"/>
        <v>Wholesale Trade Margin</v>
      </c>
      <c r="E4611" s="6">
        <v>-13165354</v>
      </c>
      <c r="F4611" s="6">
        <v>-13165354</v>
      </c>
      <c r="G4611" s="6">
        <v>0</v>
      </c>
      <c r="H4611" s="6">
        <v>0</v>
      </c>
      <c r="I4611" s="6">
        <v>0</v>
      </c>
    </row>
    <row r="4612" spans="1:9">
      <c r="A4612" s="6">
        <v>8</v>
      </c>
      <c r="B4612" s="6" t="str">
        <f t="shared" ref="B4612:B4675" si="144">VLOOKUP(A4612,R:S,2,0)</f>
        <v>Other Crops</v>
      </c>
      <c r="C4612" s="6">
        <v>501</v>
      </c>
      <c r="D4612" s="6" t="str">
        <f t="shared" ref="D4612:D4675" si="145">VLOOKUP(C4612,R:S,2,0)</f>
        <v>Wholesale Trade Margin</v>
      </c>
      <c r="E4612" s="6">
        <v>-14993310</v>
      </c>
      <c r="F4612" s="6">
        <v>-14993310</v>
      </c>
      <c r="G4612" s="6">
        <v>0</v>
      </c>
      <c r="H4612" s="6">
        <v>0</v>
      </c>
      <c r="I4612" s="6">
        <v>0</v>
      </c>
    </row>
    <row r="4613" spans="1:9">
      <c r="A4613" s="6">
        <v>9</v>
      </c>
      <c r="B4613" s="6" t="str">
        <f t="shared" si="144"/>
        <v>Livestock</v>
      </c>
      <c r="C4613" s="6">
        <v>501</v>
      </c>
      <c r="D4613" s="6" t="str">
        <f t="shared" si="145"/>
        <v>Wholesale Trade Margin</v>
      </c>
      <c r="E4613" s="6">
        <v>-36985660</v>
      </c>
      <c r="F4613" s="6">
        <v>-36985660</v>
      </c>
      <c r="G4613" s="6">
        <v>0</v>
      </c>
      <c r="H4613" s="6">
        <v>0</v>
      </c>
      <c r="I4613" s="6">
        <v>0</v>
      </c>
    </row>
    <row r="4614" spans="1:9">
      <c r="A4614" s="6">
        <v>10</v>
      </c>
      <c r="B4614" s="6" t="str">
        <f t="shared" si="144"/>
        <v>Forestry</v>
      </c>
      <c r="C4614" s="6">
        <v>501</v>
      </c>
      <c r="D4614" s="6" t="str">
        <f t="shared" si="145"/>
        <v>Wholesale Trade Margin</v>
      </c>
      <c r="E4614" s="6">
        <v>-4021847</v>
      </c>
      <c r="F4614" s="6">
        <v>-4021847</v>
      </c>
      <c r="G4614" s="6">
        <v>0</v>
      </c>
      <c r="H4614" s="6">
        <v>0</v>
      </c>
      <c r="I4614" s="6">
        <v>0</v>
      </c>
    </row>
    <row r="4615" spans="1:9">
      <c r="A4615" s="6">
        <v>11</v>
      </c>
      <c r="B4615" s="6" t="str">
        <f t="shared" si="144"/>
        <v>Fishery</v>
      </c>
      <c r="C4615" s="6">
        <v>501</v>
      </c>
      <c r="D4615" s="6" t="str">
        <f t="shared" si="145"/>
        <v>Wholesale Trade Margin</v>
      </c>
      <c r="E4615" s="6">
        <v>-31308028</v>
      </c>
      <c r="F4615" s="6">
        <v>-31308028</v>
      </c>
      <c r="G4615" s="6">
        <v>0</v>
      </c>
      <c r="H4615" s="6">
        <v>0</v>
      </c>
      <c r="I4615" s="6">
        <v>0</v>
      </c>
    </row>
    <row r="4616" spans="1:9">
      <c r="A4616" s="6">
        <v>12</v>
      </c>
      <c r="B4616" s="6" t="str">
        <f t="shared" si="144"/>
        <v>Crude Oil and Coal</v>
      </c>
      <c r="C4616" s="6">
        <v>501</v>
      </c>
      <c r="D4616" s="6" t="str">
        <f t="shared" si="145"/>
        <v>Wholesale Trade Margin</v>
      </c>
      <c r="E4616" s="6">
        <v>-877229</v>
      </c>
      <c r="F4616" s="6">
        <v>-877229</v>
      </c>
      <c r="G4616" s="6">
        <v>0</v>
      </c>
      <c r="H4616" s="6">
        <v>0</v>
      </c>
      <c r="I4616" s="6">
        <v>0</v>
      </c>
    </row>
    <row r="4617" spans="1:9">
      <c r="A4617" s="6">
        <v>13</v>
      </c>
      <c r="B4617" s="6" t="str">
        <f t="shared" si="144"/>
        <v>Metal Ore</v>
      </c>
      <c r="C4617" s="6">
        <v>501</v>
      </c>
      <c r="D4617" s="6" t="str">
        <f t="shared" si="145"/>
        <v>Wholesale Trade Margin</v>
      </c>
      <c r="E4617" s="6">
        <v>-1297161</v>
      </c>
      <c r="F4617" s="6">
        <v>-1297161</v>
      </c>
      <c r="G4617" s="6">
        <v>0</v>
      </c>
      <c r="H4617" s="6">
        <v>0</v>
      </c>
      <c r="I4617" s="6">
        <v>0</v>
      </c>
    </row>
    <row r="4618" spans="1:9">
      <c r="A4618" s="6">
        <v>14</v>
      </c>
      <c r="B4618" s="6" t="str">
        <f t="shared" si="144"/>
        <v>Non-Metal Ore</v>
      </c>
      <c r="C4618" s="6">
        <v>501</v>
      </c>
      <c r="D4618" s="6" t="str">
        <f t="shared" si="145"/>
        <v>Wholesale Trade Margin</v>
      </c>
      <c r="E4618" s="6">
        <v>-9157107</v>
      </c>
      <c r="F4618" s="6">
        <v>-9157107</v>
      </c>
      <c r="G4618" s="6">
        <v>0</v>
      </c>
      <c r="H4618" s="6">
        <v>0</v>
      </c>
      <c r="I4618" s="6">
        <v>0</v>
      </c>
    </row>
    <row r="4619" spans="1:9">
      <c r="A4619" s="6">
        <v>15</v>
      </c>
      <c r="B4619" s="6" t="str">
        <f t="shared" si="144"/>
        <v>Slaughtering</v>
      </c>
      <c r="C4619" s="6">
        <v>501</v>
      </c>
      <c r="D4619" s="6" t="str">
        <f t="shared" si="145"/>
        <v>Wholesale Trade Margin</v>
      </c>
      <c r="E4619" s="6">
        <v>-13084995</v>
      </c>
      <c r="F4619" s="6">
        <v>-13084995</v>
      </c>
      <c r="G4619" s="6">
        <v>0</v>
      </c>
      <c r="H4619" s="6">
        <v>0</v>
      </c>
      <c r="I4619" s="6">
        <v>0</v>
      </c>
    </row>
    <row r="4620" spans="1:9">
      <c r="A4620" s="6">
        <v>16</v>
      </c>
      <c r="B4620" s="6" t="str">
        <f t="shared" si="144"/>
        <v>Processing and Presering of Foods</v>
      </c>
      <c r="C4620" s="6">
        <v>501</v>
      </c>
      <c r="D4620" s="6" t="str">
        <f t="shared" si="145"/>
        <v>Wholesale Trade Margin</v>
      </c>
      <c r="E4620" s="6">
        <v>-39816180</v>
      </c>
      <c r="F4620" s="6">
        <v>-39816180</v>
      </c>
      <c r="G4620" s="6">
        <v>0</v>
      </c>
      <c r="H4620" s="6">
        <v>0</v>
      </c>
      <c r="I4620" s="6">
        <v>0</v>
      </c>
    </row>
    <row r="4621" spans="1:9">
      <c r="A4621" s="6">
        <v>17</v>
      </c>
      <c r="B4621" s="6" t="str">
        <f t="shared" si="144"/>
        <v>Rice and Other Grain Milling</v>
      </c>
      <c r="C4621" s="6">
        <v>501</v>
      </c>
      <c r="D4621" s="6" t="str">
        <f t="shared" si="145"/>
        <v>Wholesale Trade Margin</v>
      </c>
      <c r="E4621" s="6">
        <v>-36096656</v>
      </c>
      <c r="F4621" s="6">
        <v>-36096656</v>
      </c>
      <c r="G4621" s="6">
        <v>0</v>
      </c>
      <c r="H4621" s="6">
        <v>0</v>
      </c>
      <c r="I4621" s="6">
        <v>0</v>
      </c>
    </row>
    <row r="4622" spans="1:9">
      <c r="A4622" s="6">
        <v>18</v>
      </c>
      <c r="B4622" s="6" t="str">
        <f t="shared" si="144"/>
        <v>Sugar Refineries</v>
      </c>
      <c r="C4622" s="6">
        <v>501</v>
      </c>
      <c r="D4622" s="6" t="str">
        <f t="shared" si="145"/>
        <v>Wholesale Trade Margin</v>
      </c>
      <c r="E4622" s="6">
        <v>-5296688</v>
      </c>
      <c r="F4622" s="6">
        <v>-5296688</v>
      </c>
      <c r="G4622" s="6">
        <v>0</v>
      </c>
      <c r="H4622" s="6">
        <v>0</v>
      </c>
      <c r="I4622" s="6">
        <v>0</v>
      </c>
    </row>
    <row r="4623" spans="1:9">
      <c r="A4623" s="6">
        <v>19</v>
      </c>
      <c r="B4623" s="6" t="str">
        <f t="shared" si="144"/>
        <v>Other Foods</v>
      </c>
      <c r="C4623" s="6">
        <v>501</v>
      </c>
      <c r="D4623" s="6" t="str">
        <f t="shared" si="145"/>
        <v>Wholesale Trade Margin</v>
      </c>
      <c r="E4623" s="6">
        <v>-25110643</v>
      </c>
      <c r="F4623" s="6">
        <v>-25110643</v>
      </c>
      <c r="G4623" s="6">
        <v>0</v>
      </c>
      <c r="H4623" s="6">
        <v>0</v>
      </c>
      <c r="I4623" s="6">
        <v>0</v>
      </c>
    </row>
    <row r="4624" spans="1:9">
      <c r="A4624" s="6">
        <v>20</v>
      </c>
      <c r="B4624" s="6" t="str">
        <f t="shared" si="144"/>
        <v>Animal Food</v>
      </c>
      <c r="C4624" s="6">
        <v>501</v>
      </c>
      <c r="D4624" s="6" t="str">
        <f t="shared" si="145"/>
        <v>Wholesale Trade Margin</v>
      </c>
      <c r="E4624" s="6">
        <v>-8690674</v>
      </c>
      <c r="F4624" s="6">
        <v>-8690674</v>
      </c>
      <c r="G4624" s="6">
        <v>0</v>
      </c>
      <c r="H4624" s="6">
        <v>0</v>
      </c>
      <c r="I4624" s="6">
        <v>0</v>
      </c>
    </row>
    <row r="4625" spans="1:9">
      <c r="A4625" s="6">
        <v>21</v>
      </c>
      <c r="B4625" s="6" t="str">
        <f t="shared" si="144"/>
        <v>Beverages</v>
      </c>
      <c r="C4625" s="6">
        <v>501</v>
      </c>
      <c r="D4625" s="6" t="str">
        <f t="shared" si="145"/>
        <v>Wholesale Trade Margin</v>
      </c>
      <c r="E4625" s="6">
        <v>-41800787</v>
      </c>
      <c r="F4625" s="6">
        <v>-41800787</v>
      </c>
      <c r="G4625" s="6">
        <v>0</v>
      </c>
      <c r="H4625" s="6">
        <v>0</v>
      </c>
      <c r="I4625" s="6">
        <v>0</v>
      </c>
    </row>
    <row r="4626" spans="1:9">
      <c r="A4626" s="6">
        <v>22</v>
      </c>
      <c r="B4626" s="6" t="str">
        <f t="shared" si="144"/>
        <v>Tobacco Processing and Products</v>
      </c>
      <c r="C4626" s="6">
        <v>501</v>
      </c>
      <c r="D4626" s="6" t="str">
        <f t="shared" si="145"/>
        <v>Wholesale Trade Margin</v>
      </c>
      <c r="E4626" s="6">
        <v>-4814026</v>
      </c>
      <c r="F4626" s="6">
        <v>-4814026</v>
      </c>
      <c r="G4626" s="6">
        <v>0</v>
      </c>
      <c r="H4626" s="6">
        <v>0</v>
      </c>
      <c r="I4626" s="6">
        <v>0</v>
      </c>
    </row>
    <row r="4627" spans="1:9">
      <c r="A4627" s="6">
        <v>23</v>
      </c>
      <c r="B4627" s="6" t="str">
        <f t="shared" si="144"/>
        <v>Spinning, Weaving and Bleaching</v>
      </c>
      <c r="C4627" s="6">
        <v>501</v>
      </c>
      <c r="D4627" s="6" t="str">
        <f t="shared" si="145"/>
        <v>Wholesale Trade Margin</v>
      </c>
      <c r="E4627" s="6">
        <v>-27553924</v>
      </c>
      <c r="F4627" s="6">
        <v>-27553924</v>
      </c>
      <c r="G4627" s="6">
        <v>0</v>
      </c>
      <c r="H4627" s="6">
        <v>0</v>
      </c>
      <c r="I4627" s="6">
        <v>0</v>
      </c>
    </row>
    <row r="4628" spans="1:9">
      <c r="A4628" s="6">
        <v>24</v>
      </c>
      <c r="B4628" s="6" t="str">
        <f t="shared" si="144"/>
        <v>Textile Products</v>
      </c>
      <c r="C4628" s="6">
        <v>501</v>
      </c>
      <c r="D4628" s="6" t="str">
        <f t="shared" si="145"/>
        <v>Wholesale Trade Margin</v>
      </c>
      <c r="E4628" s="6">
        <v>-26922463</v>
      </c>
      <c r="F4628" s="6">
        <v>-26922463</v>
      </c>
      <c r="G4628" s="6">
        <v>0</v>
      </c>
      <c r="H4628" s="6">
        <v>0</v>
      </c>
      <c r="I4628" s="6">
        <v>0</v>
      </c>
    </row>
    <row r="4629" spans="1:9">
      <c r="A4629" s="6">
        <v>25</v>
      </c>
      <c r="B4629" s="6" t="str">
        <f t="shared" si="144"/>
        <v>Paper and Paper Products</v>
      </c>
      <c r="C4629" s="6">
        <v>501</v>
      </c>
      <c r="D4629" s="6" t="str">
        <f t="shared" si="145"/>
        <v>Wholesale Trade Margin</v>
      </c>
      <c r="E4629" s="6">
        <v>-30012818</v>
      </c>
      <c r="F4629" s="6">
        <v>-30012818</v>
      </c>
      <c r="G4629" s="6">
        <v>0</v>
      </c>
      <c r="H4629" s="6">
        <v>0</v>
      </c>
      <c r="I4629" s="6">
        <v>0</v>
      </c>
    </row>
    <row r="4630" spans="1:9">
      <c r="A4630" s="6">
        <v>26</v>
      </c>
      <c r="B4630" s="6" t="str">
        <f t="shared" si="144"/>
        <v>Printing and Publishing</v>
      </c>
      <c r="C4630" s="6">
        <v>501</v>
      </c>
      <c r="D4630" s="6" t="str">
        <f t="shared" si="145"/>
        <v>Wholesale Trade Margin</v>
      </c>
      <c r="E4630" s="6">
        <v>-9395166</v>
      </c>
      <c r="F4630" s="6">
        <v>-9395166</v>
      </c>
      <c r="G4630" s="6">
        <v>0</v>
      </c>
      <c r="H4630" s="6">
        <v>0</v>
      </c>
      <c r="I4630" s="6">
        <v>0</v>
      </c>
    </row>
    <row r="4631" spans="1:9">
      <c r="A4631" s="6">
        <v>27</v>
      </c>
      <c r="B4631" s="6" t="str">
        <f t="shared" si="144"/>
        <v>Basic Chemical Products</v>
      </c>
      <c r="C4631" s="6">
        <v>501</v>
      </c>
      <c r="D4631" s="6" t="str">
        <f t="shared" si="145"/>
        <v>Wholesale Trade Margin</v>
      </c>
      <c r="E4631" s="6">
        <v>-160445953</v>
      </c>
      <c r="F4631" s="6">
        <v>-160445953</v>
      </c>
      <c r="G4631" s="6">
        <v>0</v>
      </c>
      <c r="H4631" s="6">
        <v>0</v>
      </c>
      <c r="I4631" s="6">
        <v>0</v>
      </c>
    </row>
    <row r="4632" spans="1:9">
      <c r="A4632" s="6">
        <v>28</v>
      </c>
      <c r="B4632" s="6" t="str">
        <f t="shared" si="144"/>
        <v>Fertilizer and Pesticides</v>
      </c>
      <c r="C4632" s="6">
        <v>501</v>
      </c>
      <c r="D4632" s="6" t="str">
        <f t="shared" si="145"/>
        <v>Wholesale Trade Margin</v>
      </c>
      <c r="E4632" s="6">
        <v>-25406707</v>
      </c>
      <c r="F4632" s="6">
        <v>-25406707</v>
      </c>
      <c r="G4632" s="6">
        <v>0</v>
      </c>
      <c r="H4632" s="6">
        <v>0</v>
      </c>
      <c r="I4632" s="6">
        <v>0</v>
      </c>
    </row>
    <row r="4633" spans="1:9">
      <c r="A4633" s="6">
        <v>29</v>
      </c>
      <c r="B4633" s="6" t="str">
        <f t="shared" si="144"/>
        <v>Other Chemical Products</v>
      </c>
      <c r="C4633" s="6">
        <v>501</v>
      </c>
      <c r="D4633" s="6" t="str">
        <f t="shared" si="145"/>
        <v>Wholesale Trade Margin</v>
      </c>
      <c r="E4633" s="6">
        <v>-115310141</v>
      </c>
      <c r="F4633" s="6">
        <v>-115310141</v>
      </c>
      <c r="G4633" s="6">
        <v>0</v>
      </c>
      <c r="H4633" s="6">
        <v>0</v>
      </c>
      <c r="I4633" s="6">
        <v>0</v>
      </c>
    </row>
    <row r="4634" spans="1:9">
      <c r="A4634" s="6">
        <v>30</v>
      </c>
      <c r="B4634" s="6" t="str">
        <f t="shared" si="144"/>
        <v>Petroleum Refineries</v>
      </c>
      <c r="C4634" s="6">
        <v>501</v>
      </c>
      <c r="D4634" s="6" t="str">
        <f t="shared" si="145"/>
        <v>Wholesale Trade Margin</v>
      </c>
      <c r="E4634" s="6">
        <v>-91155724</v>
      </c>
      <c r="F4634" s="6">
        <v>-91155724</v>
      </c>
      <c r="G4634" s="6">
        <v>0</v>
      </c>
      <c r="H4634" s="6">
        <v>0</v>
      </c>
      <c r="I4634" s="6">
        <v>0</v>
      </c>
    </row>
    <row r="4635" spans="1:9">
      <c r="A4635" s="6">
        <v>31</v>
      </c>
      <c r="B4635" s="6" t="str">
        <f t="shared" si="144"/>
        <v>Rubber Products</v>
      </c>
      <c r="C4635" s="6">
        <v>501</v>
      </c>
      <c r="D4635" s="6" t="str">
        <f t="shared" si="145"/>
        <v>Wholesale Trade Margin</v>
      </c>
      <c r="E4635" s="6">
        <v>-47807100</v>
      </c>
      <c r="F4635" s="6">
        <v>-47807100</v>
      </c>
      <c r="G4635" s="6">
        <v>0</v>
      </c>
      <c r="H4635" s="6">
        <v>0</v>
      </c>
      <c r="I4635" s="6">
        <v>0</v>
      </c>
    </row>
    <row r="4636" spans="1:9">
      <c r="A4636" s="6">
        <v>32</v>
      </c>
      <c r="B4636" s="6" t="str">
        <f t="shared" si="144"/>
        <v>Plastic Wares</v>
      </c>
      <c r="C4636" s="6">
        <v>501</v>
      </c>
      <c r="D4636" s="6" t="str">
        <f t="shared" si="145"/>
        <v>Wholesale Trade Margin</v>
      </c>
      <c r="E4636" s="6">
        <v>-29728449</v>
      </c>
      <c r="F4636" s="6">
        <v>-29728449</v>
      </c>
      <c r="G4636" s="6">
        <v>0</v>
      </c>
      <c r="H4636" s="6">
        <v>0</v>
      </c>
      <c r="I4636" s="6">
        <v>0</v>
      </c>
    </row>
    <row r="4637" spans="1:9">
      <c r="A4637" s="6">
        <v>33</v>
      </c>
      <c r="B4637" s="6" t="str">
        <f t="shared" si="144"/>
        <v>Cement and Concrete Products</v>
      </c>
      <c r="C4637" s="6">
        <v>501</v>
      </c>
      <c r="D4637" s="6" t="str">
        <f t="shared" si="145"/>
        <v>Wholesale Trade Margin</v>
      </c>
      <c r="E4637" s="6">
        <v>-13607989</v>
      </c>
      <c r="F4637" s="6">
        <v>-13607989</v>
      </c>
      <c r="G4637" s="6">
        <v>0</v>
      </c>
      <c r="H4637" s="6">
        <v>0</v>
      </c>
      <c r="I4637" s="6">
        <v>0</v>
      </c>
    </row>
    <row r="4638" spans="1:9">
      <c r="A4638" s="6">
        <v>34</v>
      </c>
      <c r="B4638" s="6" t="str">
        <f t="shared" si="144"/>
        <v>Other Non-metallic Products</v>
      </c>
      <c r="C4638" s="6">
        <v>501</v>
      </c>
      <c r="D4638" s="6" t="str">
        <f t="shared" si="145"/>
        <v>Wholesale Trade Margin</v>
      </c>
      <c r="E4638" s="6">
        <v>-27842213</v>
      </c>
      <c r="F4638" s="6">
        <v>-27842213</v>
      </c>
      <c r="G4638" s="6">
        <v>0</v>
      </c>
      <c r="H4638" s="6">
        <v>0</v>
      </c>
      <c r="I4638" s="6">
        <v>0</v>
      </c>
    </row>
    <row r="4639" spans="1:9">
      <c r="A4639" s="6">
        <v>35</v>
      </c>
      <c r="B4639" s="6" t="str">
        <f t="shared" si="144"/>
        <v>Iron and Steel</v>
      </c>
      <c r="C4639" s="6">
        <v>501</v>
      </c>
      <c r="D4639" s="6" t="str">
        <f t="shared" si="145"/>
        <v>Wholesale Trade Margin</v>
      </c>
      <c r="E4639" s="6">
        <v>-39355111</v>
      </c>
      <c r="F4639" s="6">
        <v>-39355111</v>
      </c>
      <c r="G4639" s="6">
        <v>0</v>
      </c>
      <c r="H4639" s="6">
        <v>0</v>
      </c>
      <c r="I4639" s="6">
        <v>0</v>
      </c>
    </row>
    <row r="4640" spans="1:9">
      <c r="A4640" s="6">
        <v>36</v>
      </c>
      <c r="B4640" s="6" t="str">
        <f t="shared" si="144"/>
        <v>Non-ferrous Metal</v>
      </c>
      <c r="C4640" s="6">
        <v>501</v>
      </c>
      <c r="D4640" s="6" t="str">
        <f t="shared" si="145"/>
        <v>Wholesale Trade Margin</v>
      </c>
      <c r="E4640" s="6">
        <v>-39762234</v>
      </c>
      <c r="F4640" s="6">
        <v>-39762234</v>
      </c>
      <c r="G4640" s="6">
        <v>0</v>
      </c>
      <c r="H4640" s="6">
        <v>0</v>
      </c>
      <c r="I4640" s="6">
        <v>0</v>
      </c>
    </row>
    <row r="4641" spans="1:9">
      <c r="A4641" s="6">
        <v>37</v>
      </c>
      <c r="B4641" s="6" t="str">
        <f t="shared" si="144"/>
        <v>Fabricated Metal Products</v>
      </c>
      <c r="C4641" s="6">
        <v>501</v>
      </c>
      <c r="D4641" s="6" t="str">
        <f t="shared" si="145"/>
        <v>Wholesale Trade Margin</v>
      </c>
      <c r="E4641" s="6">
        <v>-20892489</v>
      </c>
      <c r="F4641" s="6">
        <v>-20892489</v>
      </c>
      <c r="G4641" s="6">
        <v>0</v>
      </c>
      <c r="H4641" s="6">
        <v>0</v>
      </c>
      <c r="I4641" s="6">
        <v>0</v>
      </c>
    </row>
    <row r="4642" spans="1:9">
      <c r="A4642" s="6">
        <v>38</v>
      </c>
      <c r="B4642" s="6" t="str">
        <f t="shared" si="144"/>
        <v>Industrial Machinery</v>
      </c>
      <c r="C4642" s="6">
        <v>501</v>
      </c>
      <c r="D4642" s="6" t="str">
        <f t="shared" si="145"/>
        <v>Wholesale Trade Margin</v>
      </c>
      <c r="E4642" s="6">
        <v>-102624075</v>
      </c>
      <c r="F4642" s="6">
        <v>-102624075</v>
      </c>
      <c r="G4642" s="6">
        <v>0</v>
      </c>
      <c r="H4642" s="6">
        <v>0</v>
      </c>
      <c r="I4642" s="6">
        <v>0</v>
      </c>
    </row>
    <row r="4643" spans="1:9">
      <c r="A4643" s="6">
        <v>39</v>
      </c>
      <c r="B4643" s="6" t="str">
        <f t="shared" si="144"/>
        <v>Electrical Machinery and Apparatus</v>
      </c>
      <c r="C4643" s="6">
        <v>501</v>
      </c>
      <c r="D4643" s="6" t="str">
        <f t="shared" si="145"/>
        <v>Wholesale Trade Margin</v>
      </c>
      <c r="E4643" s="6">
        <v>-303621563</v>
      </c>
      <c r="F4643" s="6">
        <v>-303621563</v>
      </c>
      <c r="G4643" s="6">
        <v>0</v>
      </c>
      <c r="H4643" s="6">
        <v>0</v>
      </c>
      <c r="I4643" s="6">
        <v>0</v>
      </c>
    </row>
    <row r="4644" spans="1:9">
      <c r="A4644" s="6">
        <v>40</v>
      </c>
      <c r="B4644" s="6" t="str">
        <f t="shared" si="144"/>
        <v>Motor Vehicles and Repairing</v>
      </c>
      <c r="C4644" s="6">
        <v>501</v>
      </c>
      <c r="D4644" s="6" t="str">
        <f t="shared" si="145"/>
        <v>Wholesale Trade Margin</v>
      </c>
      <c r="E4644" s="6">
        <v>-160472892</v>
      </c>
      <c r="F4644" s="6">
        <v>-160472892</v>
      </c>
      <c r="G4644" s="6">
        <v>0</v>
      </c>
      <c r="H4644" s="6">
        <v>0</v>
      </c>
      <c r="I4644" s="6">
        <v>0</v>
      </c>
    </row>
    <row r="4645" spans="1:9">
      <c r="A4645" s="6">
        <v>41</v>
      </c>
      <c r="B4645" s="6" t="str">
        <f t="shared" si="144"/>
        <v>Other Transportation Equipment</v>
      </c>
      <c r="C4645" s="6">
        <v>501</v>
      </c>
      <c r="D4645" s="6" t="str">
        <f t="shared" si="145"/>
        <v>Wholesale Trade Margin</v>
      </c>
      <c r="E4645" s="6">
        <v>-7145384</v>
      </c>
      <c r="F4645" s="6">
        <v>-7145384</v>
      </c>
      <c r="G4645" s="6">
        <v>0</v>
      </c>
      <c r="H4645" s="6">
        <v>0</v>
      </c>
      <c r="I4645" s="6">
        <v>0</v>
      </c>
    </row>
    <row r="4646" spans="1:9">
      <c r="A4646" s="6">
        <v>42</v>
      </c>
      <c r="B4646" s="6" t="str">
        <f t="shared" si="144"/>
        <v>Leather Products</v>
      </c>
      <c r="C4646" s="6">
        <v>501</v>
      </c>
      <c r="D4646" s="6" t="str">
        <f t="shared" si="145"/>
        <v>Wholesale Trade Margin</v>
      </c>
      <c r="E4646" s="6">
        <v>-10045245</v>
      </c>
      <c r="F4646" s="6">
        <v>-10045245</v>
      </c>
      <c r="G4646" s="6">
        <v>0</v>
      </c>
      <c r="H4646" s="6">
        <v>0</v>
      </c>
      <c r="I4646" s="6">
        <v>0</v>
      </c>
    </row>
    <row r="4647" spans="1:9">
      <c r="A4647" s="6">
        <v>43</v>
      </c>
      <c r="B4647" s="6" t="str">
        <f t="shared" si="144"/>
        <v>Saw Mills and Wood Products</v>
      </c>
      <c r="C4647" s="6">
        <v>501</v>
      </c>
      <c r="D4647" s="6" t="str">
        <f t="shared" si="145"/>
        <v>Wholesale Trade Margin</v>
      </c>
      <c r="E4647" s="6">
        <v>-28799344</v>
      </c>
      <c r="F4647" s="6">
        <v>-28799344</v>
      </c>
      <c r="G4647" s="6">
        <v>0</v>
      </c>
      <c r="H4647" s="6">
        <v>0</v>
      </c>
      <c r="I4647" s="6">
        <v>0</v>
      </c>
    </row>
    <row r="4648" spans="1:9">
      <c r="A4648" s="6">
        <v>44</v>
      </c>
      <c r="B4648" s="6" t="str">
        <f t="shared" si="144"/>
        <v>Other Manufacturing Products</v>
      </c>
      <c r="C4648" s="6">
        <v>501</v>
      </c>
      <c r="D4648" s="6" t="str">
        <f t="shared" si="145"/>
        <v>Wholesale Trade Margin</v>
      </c>
      <c r="E4648" s="6">
        <v>-96610091</v>
      </c>
      <c r="F4648" s="6">
        <v>-96610091</v>
      </c>
      <c r="G4648" s="6">
        <v>0</v>
      </c>
      <c r="H4648" s="6">
        <v>0</v>
      </c>
      <c r="I4648" s="6">
        <v>0</v>
      </c>
    </row>
    <row r="4649" spans="1:9">
      <c r="A4649" s="6">
        <v>45</v>
      </c>
      <c r="B4649" s="6" t="str">
        <f t="shared" si="144"/>
        <v>Electricity and Gas</v>
      </c>
      <c r="C4649" s="6">
        <v>501</v>
      </c>
      <c r="D4649" s="6" t="str">
        <f t="shared" si="145"/>
        <v>Wholesale Trade Margin</v>
      </c>
      <c r="E4649" s="6">
        <v>-5223352</v>
      </c>
      <c r="F4649" s="6">
        <v>-5223352</v>
      </c>
      <c r="G4649" s="6">
        <v>0</v>
      </c>
      <c r="H4649" s="6">
        <v>0</v>
      </c>
      <c r="I4649" s="6">
        <v>0</v>
      </c>
    </row>
    <row r="4650" spans="1:9">
      <c r="A4650" s="6">
        <v>46</v>
      </c>
      <c r="B4650" s="6" t="str">
        <f t="shared" si="144"/>
        <v>Water Works and Supply</v>
      </c>
      <c r="C4650" s="6">
        <v>501</v>
      </c>
      <c r="D4650" s="6" t="str">
        <f t="shared" si="145"/>
        <v>Wholesale Trade Margin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</row>
    <row r="4651" spans="1:9">
      <c r="A4651" s="6">
        <v>47</v>
      </c>
      <c r="B4651" s="6" t="str">
        <f t="shared" si="144"/>
        <v>Building Construction</v>
      </c>
      <c r="C4651" s="6">
        <v>501</v>
      </c>
      <c r="D4651" s="6" t="str">
        <f t="shared" si="145"/>
        <v>Wholesale Trade Margin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</row>
    <row r="4652" spans="1:9">
      <c r="A4652" s="6">
        <v>48</v>
      </c>
      <c r="B4652" s="6" t="str">
        <f t="shared" si="144"/>
        <v>Public Works and Other Construction</v>
      </c>
      <c r="C4652" s="6">
        <v>501</v>
      </c>
      <c r="D4652" s="6" t="str">
        <f t="shared" si="145"/>
        <v>Wholesale Trade Margin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</row>
    <row r="4653" spans="1:9">
      <c r="A4653" s="6">
        <v>49</v>
      </c>
      <c r="B4653" s="6" t="str">
        <f t="shared" si="144"/>
        <v>Trade</v>
      </c>
      <c r="C4653" s="6">
        <v>501</v>
      </c>
      <c r="D4653" s="6" t="str">
        <f t="shared" si="145"/>
        <v>Wholesale Trade Margin</v>
      </c>
      <c r="E4653" s="6">
        <v>1840342700</v>
      </c>
      <c r="F4653" s="6">
        <v>1840342700</v>
      </c>
      <c r="G4653" s="6">
        <v>0</v>
      </c>
      <c r="H4653" s="6">
        <v>0</v>
      </c>
      <c r="I4653" s="6">
        <v>0</v>
      </c>
    </row>
    <row r="4654" spans="1:9">
      <c r="A4654" s="6">
        <v>50</v>
      </c>
      <c r="B4654" s="6" t="str">
        <f t="shared" si="144"/>
        <v>Restaurants and Hotels</v>
      </c>
      <c r="C4654" s="6">
        <v>501</v>
      </c>
      <c r="D4654" s="6" t="str">
        <f t="shared" si="145"/>
        <v>Wholesale Trade Margin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</row>
    <row r="4655" spans="1:9">
      <c r="A4655" s="6">
        <v>51</v>
      </c>
      <c r="B4655" s="6" t="str">
        <f t="shared" si="144"/>
        <v>Transportation</v>
      </c>
      <c r="C4655" s="6">
        <v>501</v>
      </c>
      <c r="D4655" s="6" t="str">
        <f t="shared" si="145"/>
        <v>Wholesale Trade Margin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</row>
    <row r="4656" spans="1:9">
      <c r="A4656" s="6">
        <v>52</v>
      </c>
      <c r="B4656" s="6" t="str">
        <f t="shared" si="144"/>
        <v>Communication</v>
      </c>
      <c r="C4656" s="6">
        <v>501</v>
      </c>
      <c r="D4656" s="6" t="str">
        <f t="shared" si="145"/>
        <v>Wholesale Trade Margin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</row>
    <row r="4657" spans="1:9">
      <c r="A4657" s="6">
        <v>53</v>
      </c>
      <c r="B4657" s="6" t="str">
        <f t="shared" si="144"/>
        <v>Banking and Insurance</v>
      </c>
      <c r="C4657" s="6">
        <v>501</v>
      </c>
      <c r="D4657" s="6" t="str">
        <f t="shared" si="145"/>
        <v>Wholesale Trade Margin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</row>
    <row r="4658" spans="1:9">
      <c r="A4658" s="6">
        <v>54</v>
      </c>
      <c r="B4658" s="6" t="str">
        <f t="shared" si="144"/>
        <v>Real Estate</v>
      </c>
      <c r="C4658" s="6">
        <v>501</v>
      </c>
      <c r="D4658" s="6" t="str">
        <f t="shared" si="145"/>
        <v>Wholesale Trade Margin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</row>
    <row r="4659" spans="1:9">
      <c r="A4659" s="6">
        <v>55</v>
      </c>
      <c r="B4659" s="6" t="str">
        <f t="shared" si="144"/>
        <v>Business Services</v>
      </c>
      <c r="C4659" s="6">
        <v>501</v>
      </c>
      <c r="D4659" s="6" t="str">
        <f t="shared" si="145"/>
        <v>Wholesale Trade Margin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</row>
    <row r="4660" spans="1:9">
      <c r="A4660" s="6">
        <v>56</v>
      </c>
      <c r="B4660" s="6" t="str">
        <f t="shared" si="144"/>
        <v>Public Services</v>
      </c>
      <c r="C4660" s="6">
        <v>501</v>
      </c>
      <c r="D4660" s="6" t="str">
        <f t="shared" si="145"/>
        <v>Wholesale Trade Margin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</row>
    <row r="4661" spans="1:9">
      <c r="A4661" s="6">
        <v>57</v>
      </c>
      <c r="B4661" s="6" t="str">
        <f t="shared" si="144"/>
        <v>Other Services</v>
      </c>
      <c r="C4661" s="6">
        <v>501</v>
      </c>
      <c r="D4661" s="6" t="str">
        <f t="shared" si="145"/>
        <v>Wholesale Trade Margin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</row>
    <row r="4662" spans="1:9">
      <c r="A4662" s="6">
        <v>58</v>
      </c>
      <c r="B4662" s="6" t="str">
        <f t="shared" si="144"/>
        <v>Unclassified</v>
      </c>
      <c r="C4662" s="6">
        <v>501</v>
      </c>
      <c r="D4662" s="6" t="str">
        <f t="shared" si="145"/>
        <v>Wholesale Trade Margin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</row>
    <row r="4663" spans="1:9">
      <c r="A4663" s="6">
        <v>190</v>
      </c>
      <c r="B4663" s="6" t="str">
        <f t="shared" si="144"/>
        <v>Total Intermedite Transaction</v>
      </c>
      <c r="C4663" s="6">
        <v>501</v>
      </c>
      <c r="D4663" s="6" t="str">
        <f t="shared" si="145"/>
        <v>Wholesale Trade Margin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</row>
    <row r="4664" spans="1:9">
      <c r="A4664" s="6">
        <v>1</v>
      </c>
      <c r="B4664" s="6" t="str">
        <f t="shared" si="144"/>
        <v>Paddy</v>
      </c>
      <c r="C4664" s="6">
        <v>502</v>
      </c>
      <c r="D4664" s="6" t="str">
        <f t="shared" si="145"/>
        <v>Retail Trade Margin</v>
      </c>
      <c r="E4664" s="6">
        <v>-676903</v>
      </c>
      <c r="F4664" s="6">
        <v>0</v>
      </c>
      <c r="G4664" s="6">
        <v>-676903</v>
      </c>
      <c r="H4664" s="6">
        <v>0</v>
      </c>
      <c r="I4664" s="6">
        <v>0</v>
      </c>
    </row>
    <row r="4665" spans="1:9">
      <c r="A4665" s="6">
        <v>2</v>
      </c>
      <c r="B4665" s="6" t="str">
        <f t="shared" si="144"/>
        <v>Maize</v>
      </c>
      <c r="C4665" s="6">
        <v>502</v>
      </c>
      <c r="D4665" s="6" t="str">
        <f t="shared" si="145"/>
        <v>Retail Trade Margin</v>
      </c>
      <c r="E4665" s="6">
        <v>-555919</v>
      </c>
      <c r="F4665" s="6">
        <v>0</v>
      </c>
      <c r="G4665" s="6">
        <v>-555919</v>
      </c>
      <c r="H4665" s="6">
        <v>0</v>
      </c>
      <c r="I4665" s="6">
        <v>0</v>
      </c>
    </row>
    <row r="4666" spans="1:9">
      <c r="A4666" s="6">
        <v>3</v>
      </c>
      <c r="B4666" s="6" t="str">
        <f t="shared" si="144"/>
        <v>Cassava</v>
      </c>
      <c r="C4666" s="6">
        <v>502</v>
      </c>
      <c r="D4666" s="6" t="str">
        <f t="shared" si="145"/>
        <v>Retail Trade Margin</v>
      </c>
      <c r="E4666" s="6">
        <v>-174398</v>
      </c>
      <c r="F4666" s="6">
        <v>0</v>
      </c>
      <c r="G4666" s="6">
        <v>-174398</v>
      </c>
      <c r="H4666" s="6">
        <v>0</v>
      </c>
      <c r="I4666" s="6">
        <v>0</v>
      </c>
    </row>
    <row r="4667" spans="1:9">
      <c r="A4667" s="6">
        <v>4</v>
      </c>
      <c r="B4667" s="6" t="str">
        <f t="shared" si="144"/>
        <v>Beans and Nuts</v>
      </c>
      <c r="C4667" s="6">
        <v>502</v>
      </c>
      <c r="D4667" s="6" t="str">
        <f t="shared" si="145"/>
        <v>Retail Trade Margin</v>
      </c>
      <c r="E4667" s="6">
        <v>-949787</v>
      </c>
      <c r="F4667" s="6">
        <v>0</v>
      </c>
      <c r="G4667" s="6">
        <v>-949787</v>
      </c>
      <c r="H4667" s="6">
        <v>0</v>
      </c>
      <c r="I4667" s="6">
        <v>0</v>
      </c>
    </row>
    <row r="4668" spans="1:9">
      <c r="A4668" s="6">
        <v>5</v>
      </c>
      <c r="B4668" s="6" t="str">
        <f t="shared" si="144"/>
        <v>Vegetables and Fruits</v>
      </c>
      <c r="C4668" s="6">
        <v>502</v>
      </c>
      <c r="D4668" s="6" t="str">
        <f t="shared" si="145"/>
        <v>Retail Trade Margin</v>
      </c>
      <c r="E4668" s="6">
        <v>-139827431</v>
      </c>
      <c r="F4668" s="6">
        <v>0</v>
      </c>
      <c r="G4668" s="6">
        <v>-139827431</v>
      </c>
      <c r="H4668" s="6">
        <v>0</v>
      </c>
      <c r="I4668" s="6">
        <v>0</v>
      </c>
    </row>
    <row r="4669" spans="1:9">
      <c r="A4669" s="6">
        <v>6</v>
      </c>
      <c r="B4669" s="6" t="str">
        <f t="shared" si="144"/>
        <v>Sugarcane</v>
      </c>
      <c r="C4669" s="6">
        <v>502</v>
      </c>
      <c r="D4669" s="6" t="str">
        <f t="shared" si="145"/>
        <v>Retail Trade Margin</v>
      </c>
      <c r="E4669" s="6">
        <v>-1849</v>
      </c>
      <c r="F4669" s="6">
        <v>0</v>
      </c>
      <c r="G4669" s="6">
        <v>-1849</v>
      </c>
      <c r="H4669" s="6">
        <v>0</v>
      </c>
      <c r="I4669" s="6">
        <v>0</v>
      </c>
    </row>
    <row r="4670" spans="1:9">
      <c r="A4670" s="6">
        <v>7</v>
      </c>
      <c r="B4670" s="6" t="str">
        <f t="shared" si="144"/>
        <v>Rubber (Latex)</v>
      </c>
      <c r="C4670" s="6">
        <v>502</v>
      </c>
      <c r="D4670" s="6" t="str">
        <f t="shared" si="145"/>
        <v>Retail Trade Margin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</row>
    <row r="4671" spans="1:9">
      <c r="A4671" s="6">
        <v>8</v>
      </c>
      <c r="B4671" s="6" t="str">
        <f t="shared" si="144"/>
        <v>Other Crops</v>
      </c>
      <c r="C4671" s="6">
        <v>502</v>
      </c>
      <c r="D4671" s="6" t="str">
        <f t="shared" si="145"/>
        <v>Retail Trade Margin</v>
      </c>
      <c r="E4671" s="6">
        <v>-8180463</v>
      </c>
      <c r="F4671" s="6">
        <v>0</v>
      </c>
      <c r="G4671" s="6">
        <v>-8180463</v>
      </c>
      <c r="H4671" s="6">
        <v>0</v>
      </c>
      <c r="I4671" s="6">
        <v>0</v>
      </c>
    </row>
    <row r="4672" spans="1:9">
      <c r="A4672" s="6">
        <v>9</v>
      </c>
      <c r="B4672" s="6" t="str">
        <f t="shared" si="144"/>
        <v>Livestock</v>
      </c>
      <c r="C4672" s="6">
        <v>502</v>
      </c>
      <c r="D4672" s="6" t="str">
        <f t="shared" si="145"/>
        <v>Retail Trade Margin</v>
      </c>
      <c r="E4672" s="6">
        <v>-4414998</v>
      </c>
      <c r="F4672" s="6">
        <v>0</v>
      </c>
      <c r="G4672" s="6">
        <v>-4414998</v>
      </c>
      <c r="H4672" s="6">
        <v>0</v>
      </c>
      <c r="I4672" s="6">
        <v>0</v>
      </c>
    </row>
    <row r="4673" spans="1:9">
      <c r="A4673" s="6">
        <v>10</v>
      </c>
      <c r="B4673" s="6" t="str">
        <f t="shared" si="144"/>
        <v>Forestry</v>
      </c>
      <c r="C4673" s="6">
        <v>502</v>
      </c>
      <c r="D4673" s="6" t="str">
        <f t="shared" si="145"/>
        <v>Retail Trade Margin</v>
      </c>
      <c r="E4673" s="6">
        <v>-1697316</v>
      </c>
      <c r="F4673" s="6">
        <v>0</v>
      </c>
      <c r="G4673" s="6">
        <v>-1697316</v>
      </c>
      <c r="H4673" s="6">
        <v>0</v>
      </c>
      <c r="I4673" s="6">
        <v>0</v>
      </c>
    </row>
    <row r="4674" spans="1:9">
      <c r="A4674" s="6">
        <v>11</v>
      </c>
      <c r="B4674" s="6" t="str">
        <f t="shared" si="144"/>
        <v>Fishery</v>
      </c>
      <c r="C4674" s="6">
        <v>502</v>
      </c>
      <c r="D4674" s="6" t="str">
        <f t="shared" si="145"/>
        <v>Retail Trade Margin</v>
      </c>
      <c r="E4674" s="6">
        <v>-31178009</v>
      </c>
      <c r="F4674" s="6">
        <v>0</v>
      </c>
      <c r="G4674" s="6">
        <v>-31178009</v>
      </c>
      <c r="H4674" s="6">
        <v>0</v>
      </c>
      <c r="I4674" s="6">
        <v>0</v>
      </c>
    </row>
    <row r="4675" spans="1:9">
      <c r="A4675" s="6">
        <v>12</v>
      </c>
      <c r="B4675" s="6" t="str">
        <f t="shared" si="144"/>
        <v>Crude Oil and Coal</v>
      </c>
      <c r="C4675" s="6">
        <v>502</v>
      </c>
      <c r="D4675" s="6" t="str">
        <f t="shared" si="145"/>
        <v>Retail Trade Margin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</row>
    <row r="4676" spans="1:9">
      <c r="A4676" s="6">
        <v>13</v>
      </c>
      <c r="B4676" s="6" t="str">
        <f t="shared" ref="B4676:B4739" si="146">VLOOKUP(A4676,R:S,2,0)</f>
        <v>Metal Ore</v>
      </c>
      <c r="C4676" s="6">
        <v>502</v>
      </c>
      <c r="D4676" s="6" t="str">
        <f t="shared" ref="D4676:D4739" si="147">VLOOKUP(C4676,R:S,2,0)</f>
        <v>Retail Trade Margin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</row>
    <row r="4677" spans="1:9">
      <c r="A4677" s="6">
        <v>14</v>
      </c>
      <c r="B4677" s="6" t="str">
        <f t="shared" si="146"/>
        <v>Non-Metal Ore</v>
      </c>
      <c r="C4677" s="6">
        <v>502</v>
      </c>
      <c r="D4677" s="6" t="str">
        <f t="shared" si="147"/>
        <v>Retail Trade Margin</v>
      </c>
      <c r="E4677" s="6">
        <v>-1920783</v>
      </c>
      <c r="F4677" s="6">
        <v>0</v>
      </c>
      <c r="G4677" s="6">
        <v>-1920783</v>
      </c>
      <c r="H4677" s="6">
        <v>0</v>
      </c>
      <c r="I4677" s="6">
        <v>0</v>
      </c>
    </row>
    <row r="4678" spans="1:9">
      <c r="A4678" s="6">
        <v>15</v>
      </c>
      <c r="B4678" s="6" t="str">
        <f t="shared" si="146"/>
        <v>Slaughtering</v>
      </c>
      <c r="C4678" s="6">
        <v>502</v>
      </c>
      <c r="D4678" s="6" t="str">
        <f t="shared" si="147"/>
        <v>Retail Trade Margin</v>
      </c>
      <c r="E4678" s="6">
        <v>-21152829</v>
      </c>
      <c r="F4678" s="6">
        <v>0</v>
      </c>
      <c r="G4678" s="6">
        <v>-21152829</v>
      </c>
      <c r="H4678" s="6">
        <v>0</v>
      </c>
      <c r="I4678" s="6">
        <v>0</v>
      </c>
    </row>
    <row r="4679" spans="1:9">
      <c r="A4679" s="6">
        <v>16</v>
      </c>
      <c r="B4679" s="6" t="str">
        <f t="shared" si="146"/>
        <v>Processing and Presering of Foods</v>
      </c>
      <c r="C4679" s="6">
        <v>502</v>
      </c>
      <c r="D4679" s="6" t="str">
        <f t="shared" si="147"/>
        <v>Retail Trade Margin</v>
      </c>
      <c r="E4679" s="6">
        <v>-34044951</v>
      </c>
      <c r="F4679" s="6">
        <v>0</v>
      </c>
      <c r="G4679" s="6">
        <v>-34044951</v>
      </c>
      <c r="H4679" s="6">
        <v>0</v>
      </c>
      <c r="I4679" s="6">
        <v>0</v>
      </c>
    </row>
    <row r="4680" spans="1:9">
      <c r="A4680" s="6">
        <v>17</v>
      </c>
      <c r="B4680" s="6" t="str">
        <f t="shared" si="146"/>
        <v>Rice and Other Grain Milling</v>
      </c>
      <c r="C4680" s="6">
        <v>502</v>
      </c>
      <c r="D4680" s="6" t="str">
        <f t="shared" si="147"/>
        <v>Retail Trade Margin</v>
      </c>
      <c r="E4680" s="6">
        <v>-39116970</v>
      </c>
      <c r="F4680" s="6">
        <v>0</v>
      </c>
      <c r="G4680" s="6">
        <v>-39116970</v>
      </c>
      <c r="H4680" s="6">
        <v>0</v>
      </c>
      <c r="I4680" s="6">
        <v>0</v>
      </c>
    </row>
    <row r="4681" spans="1:9">
      <c r="A4681" s="6">
        <v>18</v>
      </c>
      <c r="B4681" s="6" t="str">
        <f t="shared" si="146"/>
        <v>Sugar Refineries</v>
      </c>
      <c r="C4681" s="6">
        <v>502</v>
      </c>
      <c r="D4681" s="6" t="str">
        <f t="shared" si="147"/>
        <v>Retail Trade Margin</v>
      </c>
      <c r="E4681" s="6">
        <v>-4788649</v>
      </c>
      <c r="F4681" s="6">
        <v>0</v>
      </c>
      <c r="G4681" s="6">
        <v>-4788649</v>
      </c>
      <c r="H4681" s="6">
        <v>0</v>
      </c>
      <c r="I4681" s="6">
        <v>0</v>
      </c>
    </row>
    <row r="4682" spans="1:9">
      <c r="A4682" s="6">
        <v>19</v>
      </c>
      <c r="B4682" s="6" t="str">
        <f t="shared" si="146"/>
        <v>Other Foods</v>
      </c>
      <c r="C4682" s="6">
        <v>502</v>
      </c>
      <c r="D4682" s="6" t="str">
        <f t="shared" si="147"/>
        <v>Retail Trade Margin</v>
      </c>
      <c r="E4682" s="6">
        <v>-24109300</v>
      </c>
      <c r="F4682" s="6">
        <v>0</v>
      </c>
      <c r="G4682" s="6">
        <v>-24109300</v>
      </c>
      <c r="H4682" s="6">
        <v>0</v>
      </c>
      <c r="I4682" s="6">
        <v>0</v>
      </c>
    </row>
    <row r="4683" spans="1:9">
      <c r="A4683" s="6">
        <v>20</v>
      </c>
      <c r="B4683" s="6" t="str">
        <f t="shared" si="146"/>
        <v>Animal Food</v>
      </c>
      <c r="C4683" s="6">
        <v>502</v>
      </c>
      <c r="D4683" s="6" t="str">
        <f t="shared" si="147"/>
        <v>Retail Trade Margin</v>
      </c>
      <c r="E4683" s="6">
        <v>-7305285</v>
      </c>
      <c r="F4683" s="6">
        <v>0</v>
      </c>
      <c r="G4683" s="6">
        <v>-7305285</v>
      </c>
      <c r="H4683" s="6">
        <v>0</v>
      </c>
      <c r="I4683" s="6">
        <v>0</v>
      </c>
    </row>
    <row r="4684" spans="1:9">
      <c r="A4684" s="6">
        <v>21</v>
      </c>
      <c r="B4684" s="6" t="str">
        <f t="shared" si="146"/>
        <v>Beverages</v>
      </c>
      <c r="C4684" s="6">
        <v>502</v>
      </c>
      <c r="D4684" s="6" t="str">
        <f t="shared" si="147"/>
        <v>Retail Trade Margin</v>
      </c>
      <c r="E4684" s="6">
        <v>-38776919</v>
      </c>
      <c r="F4684" s="6">
        <v>0</v>
      </c>
      <c r="G4684" s="6">
        <v>-38776919</v>
      </c>
      <c r="H4684" s="6">
        <v>0</v>
      </c>
      <c r="I4684" s="6">
        <v>0</v>
      </c>
    </row>
    <row r="4685" spans="1:9">
      <c r="A4685" s="6">
        <v>22</v>
      </c>
      <c r="B4685" s="6" t="str">
        <f t="shared" si="146"/>
        <v>Tobacco Processing and Products</v>
      </c>
      <c r="C4685" s="6">
        <v>502</v>
      </c>
      <c r="D4685" s="6" t="str">
        <f t="shared" si="147"/>
        <v>Retail Trade Margin</v>
      </c>
      <c r="E4685" s="6">
        <v>-5310511</v>
      </c>
      <c r="F4685" s="6">
        <v>0</v>
      </c>
      <c r="G4685" s="6">
        <v>-5310511</v>
      </c>
      <c r="H4685" s="6">
        <v>0</v>
      </c>
      <c r="I4685" s="6">
        <v>0</v>
      </c>
    </row>
    <row r="4686" spans="1:9">
      <c r="A4686" s="6">
        <v>23</v>
      </c>
      <c r="B4686" s="6" t="str">
        <f t="shared" si="146"/>
        <v>Spinning, Weaving and Bleaching</v>
      </c>
      <c r="C4686" s="6">
        <v>502</v>
      </c>
      <c r="D4686" s="6" t="str">
        <f t="shared" si="147"/>
        <v>Retail Trade Margin</v>
      </c>
      <c r="E4686" s="6">
        <v>-13813345</v>
      </c>
      <c r="F4686" s="6">
        <v>0</v>
      </c>
      <c r="G4686" s="6">
        <v>-13813345</v>
      </c>
      <c r="H4686" s="6">
        <v>0</v>
      </c>
      <c r="I4686" s="6">
        <v>0</v>
      </c>
    </row>
    <row r="4687" spans="1:9">
      <c r="A4687" s="6">
        <v>24</v>
      </c>
      <c r="B4687" s="6" t="str">
        <f t="shared" si="146"/>
        <v>Textile Products</v>
      </c>
      <c r="C4687" s="6">
        <v>502</v>
      </c>
      <c r="D4687" s="6" t="str">
        <f t="shared" si="147"/>
        <v>Retail Trade Margin</v>
      </c>
      <c r="E4687" s="6">
        <v>-33332153</v>
      </c>
      <c r="F4687" s="6">
        <v>0</v>
      </c>
      <c r="G4687" s="6">
        <v>-33332153</v>
      </c>
      <c r="H4687" s="6">
        <v>0</v>
      </c>
      <c r="I4687" s="6">
        <v>0</v>
      </c>
    </row>
    <row r="4688" spans="1:9">
      <c r="A4688" s="6">
        <v>25</v>
      </c>
      <c r="B4688" s="6" t="str">
        <f t="shared" si="146"/>
        <v>Paper and Paper Products</v>
      </c>
      <c r="C4688" s="6">
        <v>502</v>
      </c>
      <c r="D4688" s="6" t="str">
        <f t="shared" si="147"/>
        <v>Retail Trade Margin</v>
      </c>
      <c r="E4688" s="6">
        <v>-17781873</v>
      </c>
      <c r="F4688" s="6">
        <v>0</v>
      </c>
      <c r="G4688" s="6">
        <v>-17781873</v>
      </c>
      <c r="H4688" s="6">
        <v>0</v>
      </c>
      <c r="I4688" s="6">
        <v>0</v>
      </c>
    </row>
    <row r="4689" spans="1:9">
      <c r="A4689" s="6">
        <v>26</v>
      </c>
      <c r="B4689" s="6" t="str">
        <f t="shared" si="146"/>
        <v>Printing and Publishing</v>
      </c>
      <c r="C4689" s="6">
        <v>502</v>
      </c>
      <c r="D4689" s="6" t="str">
        <f t="shared" si="147"/>
        <v>Retail Trade Margin</v>
      </c>
      <c r="E4689" s="6">
        <v>-15207647</v>
      </c>
      <c r="F4689" s="6">
        <v>0</v>
      </c>
      <c r="G4689" s="6">
        <v>-15207647</v>
      </c>
      <c r="H4689" s="6">
        <v>0</v>
      </c>
      <c r="I4689" s="6">
        <v>0</v>
      </c>
    </row>
    <row r="4690" spans="1:9">
      <c r="A4690" s="6">
        <v>27</v>
      </c>
      <c r="B4690" s="6" t="str">
        <f t="shared" si="146"/>
        <v>Basic Chemical Products</v>
      </c>
      <c r="C4690" s="6">
        <v>502</v>
      </c>
      <c r="D4690" s="6" t="str">
        <f t="shared" si="147"/>
        <v>Retail Trade Margin</v>
      </c>
      <c r="E4690" s="6">
        <v>-39163725</v>
      </c>
      <c r="F4690" s="6">
        <v>0</v>
      </c>
      <c r="G4690" s="6">
        <v>-39163725</v>
      </c>
      <c r="H4690" s="6">
        <v>0</v>
      </c>
      <c r="I4690" s="6">
        <v>0</v>
      </c>
    </row>
    <row r="4691" spans="1:9">
      <c r="A4691" s="6">
        <v>28</v>
      </c>
      <c r="B4691" s="6" t="str">
        <f t="shared" si="146"/>
        <v>Fertilizer and Pesticides</v>
      </c>
      <c r="C4691" s="6">
        <v>502</v>
      </c>
      <c r="D4691" s="6" t="str">
        <f t="shared" si="147"/>
        <v>Retail Trade Margin</v>
      </c>
      <c r="E4691" s="6">
        <v>-21075109</v>
      </c>
      <c r="F4691" s="6">
        <v>0</v>
      </c>
      <c r="G4691" s="6">
        <v>-21075109</v>
      </c>
      <c r="H4691" s="6">
        <v>0</v>
      </c>
      <c r="I4691" s="6">
        <v>0</v>
      </c>
    </row>
    <row r="4692" spans="1:9">
      <c r="A4692" s="6">
        <v>29</v>
      </c>
      <c r="B4692" s="6" t="str">
        <f t="shared" si="146"/>
        <v>Other Chemical Products</v>
      </c>
      <c r="C4692" s="6">
        <v>502</v>
      </c>
      <c r="D4692" s="6" t="str">
        <f t="shared" si="147"/>
        <v>Retail Trade Margin</v>
      </c>
      <c r="E4692" s="6">
        <v>-117133478</v>
      </c>
      <c r="F4692" s="6">
        <v>0</v>
      </c>
      <c r="G4692" s="6">
        <v>-117133478</v>
      </c>
      <c r="H4692" s="6">
        <v>0</v>
      </c>
      <c r="I4692" s="6">
        <v>0</v>
      </c>
    </row>
    <row r="4693" spans="1:9">
      <c r="A4693" s="6">
        <v>30</v>
      </c>
      <c r="B4693" s="6" t="str">
        <f t="shared" si="146"/>
        <v>Petroleum Refineries</v>
      </c>
      <c r="C4693" s="6">
        <v>502</v>
      </c>
      <c r="D4693" s="6" t="str">
        <f t="shared" si="147"/>
        <v>Retail Trade Margin</v>
      </c>
      <c r="E4693" s="6">
        <v>-86904200</v>
      </c>
      <c r="F4693" s="6">
        <v>0</v>
      </c>
      <c r="G4693" s="6">
        <v>-86904200</v>
      </c>
      <c r="H4693" s="6">
        <v>0</v>
      </c>
      <c r="I4693" s="6">
        <v>0</v>
      </c>
    </row>
    <row r="4694" spans="1:9">
      <c r="A4694" s="6">
        <v>31</v>
      </c>
      <c r="B4694" s="6" t="str">
        <f t="shared" si="146"/>
        <v>Rubber Products</v>
      </c>
      <c r="C4694" s="6">
        <v>502</v>
      </c>
      <c r="D4694" s="6" t="str">
        <f t="shared" si="147"/>
        <v>Retail Trade Margin</v>
      </c>
      <c r="E4694" s="6">
        <v>-20352697</v>
      </c>
      <c r="F4694" s="6">
        <v>0</v>
      </c>
      <c r="G4694" s="6">
        <v>-20352697</v>
      </c>
      <c r="H4694" s="6">
        <v>0</v>
      </c>
      <c r="I4694" s="6">
        <v>0</v>
      </c>
    </row>
    <row r="4695" spans="1:9">
      <c r="A4695" s="6">
        <v>32</v>
      </c>
      <c r="B4695" s="6" t="str">
        <f t="shared" si="146"/>
        <v>Plastic Wares</v>
      </c>
      <c r="C4695" s="6">
        <v>502</v>
      </c>
      <c r="D4695" s="6" t="str">
        <f t="shared" si="147"/>
        <v>Retail Trade Margin</v>
      </c>
      <c r="E4695" s="6">
        <v>-24963693</v>
      </c>
      <c r="F4695" s="6">
        <v>0</v>
      </c>
      <c r="G4695" s="6">
        <v>-24963693</v>
      </c>
      <c r="H4695" s="6">
        <v>0</v>
      </c>
      <c r="I4695" s="6">
        <v>0</v>
      </c>
    </row>
    <row r="4696" spans="1:9">
      <c r="A4696" s="6">
        <v>33</v>
      </c>
      <c r="B4696" s="6" t="str">
        <f t="shared" si="146"/>
        <v>Cement and Concrete Products</v>
      </c>
      <c r="C4696" s="6">
        <v>502</v>
      </c>
      <c r="D4696" s="6" t="str">
        <f t="shared" si="147"/>
        <v>Retail Trade Margin</v>
      </c>
      <c r="E4696" s="6">
        <v>-11373117</v>
      </c>
      <c r="F4696" s="6">
        <v>0</v>
      </c>
      <c r="G4696" s="6">
        <v>-11373117</v>
      </c>
      <c r="H4696" s="6">
        <v>0</v>
      </c>
      <c r="I4696" s="6">
        <v>0</v>
      </c>
    </row>
    <row r="4697" spans="1:9">
      <c r="A4697" s="6">
        <v>34</v>
      </c>
      <c r="B4697" s="6" t="str">
        <f t="shared" si="146"/>
        <v>Other Non-metallic Products</v>
      </c>
      <c r="C4697" s="6">
        <v>502</v>
      </c>
      <c r="D4697" s="6" t="str">
        <f t="shared" si="147"/>
        <v>Retail Trade Margin</v>
      </c>
      <c r="E4697" s="6">
        <v>-20112761</v>
      </c>
      <c r="F4697" s="6">
        <v>0</v>
      </c>
      <c r="G4697" s="6">
        <v>-20112761</v>
      </c>
      <c r="H4697" s="6">
        <v>0</v>
      </c>
      <c r="I4697" s="6">
        <v>0</v>
      </c>
    </row>
    <row r="4698" spans="1:9">
      <c r="A4698" s="6">
        <v>35</v>
      </c>
      <c r="B4698" s="6" t="str">
        <f t="shared" si="146"/>
        <v>Iron and Steel</v>
      </c>
      <c r="C4698" s="6">
        <v>502</v>
      </c>
      <c r="D4698" s="6" t="str">
        <f t="shared" si="147"/>
        <v>Retail Trade Margin</v>
      </c>
      <c r="E4698" s="6">
        <v>-30488443</v>
      </c>
      <c r="F4698" s="6">
        <v>0</v>
      </c>
      <c r="G4698" s="6">
        <v>-30488443</v>
      </c>
      <c r="H4698" s="6">
        <v>0</v>
      </c>
      <c r="I4698" s="6">
        <v>0</v>
      </c>
    </row>
    <row r="4699" spans="1:9">
      <c r="A4699" s="6">
        <v>36</v>
      </c>
      <c r="B4699" s="6" t="str">
        <f t="shared" si="146"/>
        <v>Non-ferrous Metal</v>
      </c>
      <c r="C4699" s="6">
        <v>502</v>
      </c>
      <c r="D4699" s="6" t="str">
        <f t="shared" si="147"/>
        <v>Retail Trade Margin</v>
      </c>
      <c r="E4699" s="6">
        <v>-17618090</v>
      </c>
      <c r="F4699" s="6">
        <v>0</v>
      </c>
      <c r="G4699" s="6">
        <v>-17618090</v>
      </c>
      <c r="H4699" s="6">
        <v>0</v>
      </c>
      <c r="I4699" s="6">
        <v>0</v>
      </c>
    </row>
    <row r="4700" spans="1:9">
      <c r="A4700" s="6">
        <v>37</v>
      </c>
      <c r="B4700" s="6" t="str">
        <f t="shared" si="146"/>
        <v>Fabricated Metal Products</v>
      </c>
      <c r="C4700" s="6">
        <v>502</v>
      </c>
      <c r="D4700" s="6" t="str">
        <f t="shared" si="147"/>
        <v>Retail Trade Margin</v>
      </c>
      <c r="E4700" s="6">
        <v>-29468338</v>
      </c>
      <c r="F4700" s="6">
        <v>0</v>
      </c>
      <c r="G4700" s="6">
        <v>-29468338</v>
      </c>
      <c r="H4700" s="6">
        <v>0</v>
      </c>
      <c r="I4700" s="6">
        <v>0</v>
      </c>
    </row>
    <row r="4701" spans="1:9">
      <c r="A4701" s="6">
        <v>38</v>
      </c>
      <c r="B4701" s="6" t="str">
        <f t="shared" si="146"/>
        <v>Industrial Machinery</v>
      </c>
      <c r="C4701" s="6">
        <v>502</v>
      </c>
      <c r="D4701" s="6" t="str">
        <f t="shared" si="147"/>
        <v>Retail Trade Margin</v>
      </c>
      <c r="E4701" s="6">
        <v>-37200798</v>
      </c>
      <c r="F4701" s="6">
        <v>0</v>
      </c>
      <c r="G4701" s="6">
        <v>-37200798</v>
      </c>
      <c r="H4701" s="6">
        <v>0</v>
      </c>
      <c r="I4701" s="6">
        <v>0</v>
      </c>
    </row>
    <row r="4702" spans="1:9">
      <c r="A4702" s="6">
        <v>39</v>
      </c>
      <c r="B4702" s="6" t="str">
        <f t="shared" si="146"/>
        <v>Electrical Machinery and Apparatus</v>
      </c>
      <c r="C4702" s="6">
        <v>502</v>
      </c>
      <c r="D4702" s="6" t="str">
        <f t="shared" si="147"/>
        <v>Retail Trade Margin</v>
      </c>
      <c r="E4702" s="6">
        <v>-226256260</v>
      </c>
      <c r="F4702" s="6">
        <v>0</v>
      </c>
      <c r="G4702" s="6">
        <v>-226256260</v>
      </c>
      <c r="H4702" s="6">
        <v>0</v>
      </c>
      <c r="I4702" s="6">
        <v>0</v>
      </c>
    </row>
    <row r="4703" spans="1:9">
      <c r="A4703" s="6">
        <v>40</v>
      </c>
      <c r="B4703" s="6" t="str">
        <f t="shared" si="146"/>
        <v>Motor Vehicles and Repairing</v>
      </c>
      <c r="C4703" s="6">
        <v>502</v>
      </c>
      <c r="D4703" s="6" t="str">
        <f t="shared" si="147"/>
        <v>Retail Trade Margin</v>
      </c>
      <c r="E4703" s="6">
        <v>-157814937</v>
      </c>
      <c r="F4703" s="6">
        <v>0</v>
      </c>
      <c r="G4703" s="6">
        <v>-157814937</v>
      </c>
      <c r="H4703" s="6">
        <v>0</v>
      </c>
      <c r="I4703" s="6">
        <v>0</v>
      </c>
    </row>
    <row r="4704" spans="1:9">
      <c r="A4704" s="6">
        <v>41</v>
      </c>
      <c r="B4704" s="6" t="str">
        <f t="shared" si="146"/>
        <v>Other Transportation Equipment</v>
      </c>
      <c r="C4704" s="6">
        <v>502</v>
      </c>
      <c r="D4704" s="6" t="str">
        <f t="shared" si="147"/>
        <v>Retail Trade Margin</v>
      </c>
      <c r="E4704" s="6">
        <v>-990883</v>
      </c>
      <c r="F4704" s="6">
        <v>0</v>
      </c>
      <c r="G4704" s="6">
        <v>-990883</v>
      </c>
      <c r="H4704" s="6">
        <v>0</v>
      </c>
      <c r="I4704" s="6">
        <v>0</v>
      </c>
    </row>
    <row r="4705" spans="1:9">
      <c r="A4705" s="6">
        <v>42</v>
      </c>
      <c r="B4705" s="6" t="str">
        <f t="shared" si="146"/>
        <v>Leather Products</v>
      </c>
      <c r="C4705" s="6">
        <v>502</v>
      </c>
      <c r="D4705" s="6" t="str">
        <f t="shared" si="147"/>
        <v>Retail Trade Margin</v>
      </c>
      <c r="E4705" s="6">
        <v>-9326243</v>
      </c>
      <c r="F4705" s="6">
        <v>0</v>
      </c>
      <c r="G4705" s="6">
        <v>-9326243</v>
      </c>
      <c r="H4705" s="6">
        <v>0</v>
      </c>
      <c r="I4705" s="6">
        <v>0</v>
      </c>
    </row>
    <row r="4706" spans="1:9">
      <c r="A4706" s="6">
        <v>43</v>
      </c>
      <c r="B4706" s="6" t="str">
        <f t="shared" si="146"/>
        <v>Saw Mills and Wood Products</v>
      </c>
      <c r="C4706" s="6">
        <v>502</v>
      </c>
      <c r="D4706" s="6" t="str">
        <f t="shared" si="147"/>
        <v>Retail Trade Margin</v>
      </c>
      <c r="E4706" s="6">
        <v>-22976201</v>
      </c>
      <c r="F4706" s="6">
        <v>0</v>
      </c>
      <c r="G4706" s="6">
        <v>-22976201</v>
      </c>
      <c r="H4706" s="6">
        <v>0</v>
      </c>
      <c r="I4706" s="6">
        <v>0</v>
      </c>
    </row>
    <row r="4707" spans="1:9">
      <c r="A4707" s="6">
        <v>44</v>
      </c>
      <c r="B4707" s="6" t="str">
        <f t="shared" si="146"/>
        <v>Other Manufacturing Products</v>
      </c>
      <c r="C4707" s="6">
        <v>502</v>
      </c>
      <c r="D4707" s="6" t="str">
        <f t="shared" si="147"/>
        <v>Retail Trade Margin</v>
      </c>
      <c r="E4707" s="6">
        <v>-109460565</v>
      </c>
      <c r="F4707" s="6">
        <v>0</v>
      </c>
      <c r="G4707" s="6">
        <v>-109460565</v>
      </c>
      <c r="H4707" s="6">
        <v>0</v>
      </c>
      <c r="I4707" s="6">
        <v>0</v>
      </c>
    </row>
    <row r="4708" spans="1:9">
      <c r="A4708" s="6">
        <v>45</v>
      </c>
      <c r="B4708" s="6" t="str">
        <f t="shared" si="146"/>
        <v>Electricity and Gas</v>
      </c>
      <c r="C4708" s="6">
        <v>502</v>
      </c>
      <c r="D4708" s="6" t="str">
        <f t="shared" si="147"/>
        <v>Retail Trade Margin</v>
      </c>
      <c r="E4708" s="6">
        <v>-7959250</v>
      </c>
      <c r="F4708" s="6">
        <v>0</v>
      </c>
      <c r="G4708" s="6">
        <v>-7959250</v>
      </c>
      <c r="H4708" s="6">
        <v>0</v>
      </c>
      <c r="I4708" s="6">
        <v>0</v>
      </c>
    </row>
    <row r="4709" spans="1:9">
      <c r="A4709" s="6">
        <v>46</v>
      </c>
      <c r="B4709" s="6" t="str">
        <f t="shared" si="146"/>
        <v>Water Works and Supply</v>
      </c>
      <c r="C4709" s="6">
        <v>502</v>
      </c>
      <c r="D4709" s="6" t="str">
        <f t="shared" si="147"/>
        <v>Retail Trade Margin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</row>
    <row r="4710" spans="1:9">
      <c r="A4710" s="6">
        <v>47</v>
      </c>
      <c r="B4710" s="6" t="str">
        <f t="shared" si="146"/>
        <v>Building Construction</v>
      </c>
      <c r="C4710" s="6">
        <v>502</v>
      </c>
      <c r="D4710" s="6" t="str">
        <f t="shared" si="147"/>
        <v>Retail Trade Margin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</row>
    <row r="4711" spans="1:9">
      <c r="A4711" s="6">
        <v>48</v>
      </c>
      <c r="B4711" s="6" t="str">
        <f t="shared" si="146"/>
        <v>Public Works and Other Construction</v>
      </c>
      <c r="C4711" s="6">
        <v>502</v>
      </c>
      <c r="D4711" s="6" t="str">
        <f t="shared" si="147"/>
        <v>Retail Trade Margin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</row>
    <row r="4712" spans="1:9">
      <c r="A4712" s="6">
        <v>49</v>
      </c>
      <c r="B4712" s="6" t="str">
        <f t="shared" si="146"/>
        <v>Trade</v>
      </c>
      <c r="C4712" s="6">
        <v>502</v>
      </c>
      <c r="D4712" s="6" t="str">
        <f t="shared" si="147"/>
        <v>Retail Trade Margin</v>
      </c>
      <c r="E4712" s="6">
        <v>1434957076</v>
      </c>
      <c r="F4712" s="6">
        <v>0</v>
      </c>
      <c r="G4712" s="6">
        <v>1434957076</v>
      </c>
      <c r="H4712" s="6">
        <v>0</v>
      </c>
      <c r="I4712" s="6">
        <v>0</v>
      </c>
    </row>
    <row r="4713" spans="1:9">
      <c r="A4713" s="6">
        <v>50</v>
      </c>
      <c r="B4713" s="6" t="str">
        <f t="shared" si="146"/>
        <v>Restaurants and Hotels</v>
      </c>
      <c r="C4713" s="6">
        <v>502</v>
      </c>
      <c r="D4713" s="6" t="str">
        <f t="shared" si="147"/>
        <v>Retail Trade Margin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</row>
    <row r="4714" spans="1:9">
      <c r="A4714" s="6">
        <v>51</v>
      </c>
      <c r="B4714" s="6" t="str">
        <f t="shared" si="146"/>
        <v>Transportation</v>
      </c>
      <c r="C4714" s="6">
        <v>502</v>
      </c>
      <c r="D4714" s="6" t="str">
        <f t="shared" si="147"/>
        <v>Retail Trade Margin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</row>
    <row r="4715" spans="1:9">
      <c r="A4715" s="6">
        <v>52</v>
      </c>
      <c r="B4715" s="6" t="str">
        <f t="shared" si="146"/>
        <v>Communication</v>
      </c>
      <c r="C4715" s="6">
        <v>502</v>
      </c>
      <c r="D4715" s="6" t="str">
        <f t="shared" si="147"/>
        <v>Retail Trade Margin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</row>
    <row r="4716" spans="1:9">
      <c r="A4716" s="6">
        <v>53</v>
      </c>
      <c r="B4716" s="6" t="str">
        <f t="shared" si="146"/>
        <v>Banking and Insurance</v>
      </c>
      <c r="C4716" s="6">
        <v>502</v>
      </c>
      <c r="D4716" s="6" t="str">
        <f t="shared" si="147"/>
        <v>Retail Trade Margin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</row>
    <row r="4717" spans="1:9">
      <c r="A4717" s="6">
        <v>54</v>
      </c>
      <c r="B4717" s="6" t="str">
        <f t="shared" si="146"/>
        <v>Real Estate</v>
      </c>
      <c r="C4717" s="6">
        <v>502</v>
      </c>
      <c r="D4717" s="6" t="str">
        <f t="shared" si="147"/>
        <v>Retail Trade Margin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</row>
    <row r="4718" spans="1:9">
      <c r="A4718" s="6">
        <v>55</v>
      </c>
      <c r="B4718" s="6" t="str">
        <f t="shared" si="146"/>
        <v>Business Services</v>
      </c>
      <c r="C4718" s="6">
        <v>502</v>
      </c>
      <c r="D4718" s="6" t="str">
        <f t="shared" si="147"/>
        <v>Retail Trade Margin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</row>
    <row r="4719" spans="1:9">
      <c r="A4719" s="6">
        <v>56</v>
      </c>
      <c r="B4719" s="6" t="str">
        <f t="shared" si="146"/>
        <v>Public Services</v>
      </c>
      <c r="C4719" s="6">
        <v>502</v>
      </c>
      <c r="D4719" s="6" t="str">
        <f t="shared" si="147"/>
        <v>Retail Trade Margin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</row>
    <row r="4720" spans="1:9">
      <c r="A4720" s="6">
        <v>57</v>
      </c>
      <c r="B4720" s="6" t="str">
        <f t="shared" si="146"/>
        <v>Other Services</v>
      </c>
      <c r="C4720" s="6">
        <v>502</v>
      </c>
      <c r="D4720" s="6" t="str">
        <f t="shared" si="147"/>
        <v>Retail Trade Margin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</row>
    <row r="4721" spans="1:9">
      <c r="A4721" s="6">
        <v>58</v>
      </c>
      <c r="B4721" s="6" t="str">
        <f t="shared" si="146"/>
        <v>Unclassified</v>
      </c>
      <c r="C4721" s="6">
        <v>502</v>
      </c>
      <c r="D4721" s="6" t="str">
        <f t="shared" si="147"/>
        <v>Retail Trade Margin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</row>
    <row r="4722" spans="1:9">
      <c r="A4722" s="6">
        <v>190</v>
      </c>
      <c r="B4722" s="6" t="str">
        <f t="shared" si="146"/>
        <v>Total Intermedite Transaction</v>
      </c>
      <c r="C4722" s="6">
        <v>502</v>
      </c>
      <c r="D4722" s="6" t="str">
        <f t="shared" si="147"/>
        <v>Retail Trade Margin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</row>
    <row r="4723" spans="1:9">
      <c r="A4723" s="6">
        <v>1</v>
      </c>
      <c r="B4723" s="6" t="str">
        <f t="shared" si="146"/>
        <v>Paddy</v>
      </c>
      <c r="C4723" s="6">
        <v>503</v>
      </c>
      <c r="D4723" s="6" t="str">
        <f t="shared" si="147"/>
        <v>Transportation Cost</v>
      </c>
      <c r="E4723" s="6">
        <v>-1876161</v>
      </c>
      <c r="F4723" s="6">
        <v>0</v>
      </c>
      <c r="G4723" s="6">
        <v>0</v>
      </c>
      <c r="H4723" s="6">
        <v>-1876161</v>
      </c>
      <c r="I4723" s="6">
        <v>0</v>
      </c>
    </row>
    <row r="4724" spans="1:9">
      <c r="A4724" s="6">
        <v>2</v>
      </c>
      <c r="B4724" s="6" t="str">
        <f t="shared" si="146"/>
        <v>Maize</v>
      </c>
      <c r="C4724" s="6">
        <v>503</v>
      </c>
      <c r="D4724" s="6" t="str">
        <f t="shared" si="147"/>
        <v>Transportation Cost</v>
      </c>
      <c r="E4724" s="6">
        <v>-480603</v>
      </c>
      <c r="F4724" s="6">
        <v>0</v>
      </c>
      <c r="G4724" s="6">
        <v>0</v>
      </c>
      <c r="H4724" s="6">
        <v>-480603</v>
      </c>
      <c r="I4724" s="6">
        <v>0</v>
      </c>
    </row>
    <row r="4725" spans="1:9">
      <c r="A4725" s="6">
        <v>3</v>
      </c>
      <c r="B4725" s="6" t="str">
        <f t="shared" si="146"/>
        <v>Cassava</v>
      </c>
      <c r="C4725" s="6">
        <v>503</v>
      </c>
      <c r="D4725" s="6" t="str">
        <f t="shared" si="147"/>
        <v>Transportation Cost</v>
      </c>
      <c r="E4725" s="6">
        <v>-520955</v>
      </c>
      <c r="F4725" s="6">
        <v>0</v>
      </c>
      <c r="G4725" s="6">
        <v>0</v>
      </c>
      <c r="H4725" s="6">
        <v>-520955</v>
      </c>
      <c r="I4725" s="6">
        <v>0</v>
      </c>
    </row>
    <row r="4726" spans="1:9">
      <c r="A4726" s="6">
        <v>4</v>
      </c>
      <c r="B4726" s="6" t="str">
        <f t="shared" si="146"/>
        <v>Beans and Nuts</v>
      </c>
      <c r="C4726" s="6">
        <v>503</v>
      </c>
      <c r="D4726" s="6" t="str">
        <f t="shared" si="147"/>
        <v>Transportation Cost</v>
      </c>
      <c r="E4726" s="6">
        <v>-76695</v>
      </c>
      <c r="F4726" s="6">
        <v>0</v>
      </c>
      <c r="G4726" s="6">
        <v>0</v>
      </c>
      <c r="H4726" s="6">
        <v>-76695</v>
      </c>
      <c r="I4726" s="6">
        <v>0</v>
      </c>
    </row>
    <row r="4727" spans="1:9">
      <c r="A4727" s="6">
        <v>5</v>
      </c>
      <c r="B4727" s="6" t="str">
        <f t="shared" si="146"/>
        <v>Vegetables and Fruits</v>
      </c>
      <c r="C4727" s="6">
        <v>503</v>
      </c>
      <c r="D4727" s="6" t="str">
        <f t="shared" si="147"/>
        <v>Transportation Cost</v>
      </c>
      <c r="E4727" s="6">
        <v>-15436605</v>
      </c>
      <c r="F4727" s="6">
        <v>0</v>
      </c>
      <c r="G4727" s="6">
        <v>0</v>
      </c>
      <c r="H4727" s="6">
        <v>-15436605</v>
      </c>
      <c r="I4727" s="6">
        <v>0</v>
      </c>
    </row>
    <row r="4728" spans="1:9">
      <c r="A4728" s="6">
        <v>6</v>
      </c>
      <c r="B4728" s="6" t="str">
        <f t="shared" si="146"/>
        <v>Sugarcane</v>
      </c>
      <c r="C4728" s="6">
        <v>503</v>
      </c>
      <c r="D4728" s="6" t="str">
        <f t="shared" si="147"/>
        <v>Transportation Cost</v>
      </c>
      <c r="E4728" s="6">
        <v>-2252169</v>
      </c>
      <c r="F4728" s="6">
        <v>0</v>
      </c>
      <c r="G4728" s="6">
        <v>0</v>
      </c>
      <c r="H4728" s="6">
        <v>-2252169</v>
      </c>
      <c r="I4728" s="6">
        <v>0</v>
      </c>
    </row>
    <row r="4729" spans="1:9">
      <c r="A4729" s="6">
        <v>7</v>
      </c>
      <c r="B4729" s="6" t="str">
        <f t="shared" si="146"/>
        <v>Rubber (Latex)</v>
      </c>
      <c r="C4729" s="6">
        <v>503</v>
      </c>
      <c r="D4729" s="6" t="str">
        <f t="shared" si="147"/>
        <v>Transportation Cost</v>
      </c>
      <c r="E4729" s="6">
        <v>-1416395</v>
      </c>
      <c r="F4729" s="6">
        <v>0</v>
      </c>
      <c r="G4729" s="6">
        <v>0</v>
      </c>
      <c r="H4729" s="6">
        <v>-1416395</v>
      </c>
      <c r="I4729" s="6">
        <v>0</v>
      </c>
    </row>
    <row r="4730" spans="1:9">
      <c r="A4730" s="6">
        <v>8</v>
      </c>
      <c r="B4730" s="6" t="str">
        <f t="shared" si="146"/>
        <v>Other Crops</v>
      </c>
      <c r="C4730" s="6">
        <v>503</v>
      </c>
      <c r="D4730" s="6" t="str">
        <f t="shared" si="147"/>
        <v>Transportation Cost</v>
      </c>
      <c r="E4730" s="6">
        <v>-3058595</v>
      </c>
      <c r="F4730" s="6">
        <v>0</v>
      </c>
      <c r="G4730" s="6">
        <v>0</v>
      </c>
      <c r="H4730" s="6">
        <v>-3058595</v>
      </c>
      <c r="I4730" s="6">
        <v>0</v>
      </c>
    </row>
    <row r="4731" spans="1:9">
      <c r="A4731" s="6">
        <v>9</v>
      </c>
      <c r="B4731" s="6" t="str">
        <f t="shared" si="146"/>
        <v>Livestock</v>
      </c>
      <c r="C4731" s="6">
        <v>503</v>
      </c>
      <c r="D4731" s="6" t="str">
        <f t="shared" si="147"/>
        <v>Transportation Cost</v>
      </c>
      <c r="E4731" s="6">
        <v>-2394924</v>
      </c>
      <c r="F4731" s="6">
        <v>0</v>
      </c>
      <c r="G4731" s="6">
        <v>0</v>
      </c>
      <c r="H4731" s="6">
        <v>-2394924</v>
      </c>
      <c r="I4731" s="6">
        <v>0</v>
      </c>
    </row>
    <row r="4732" spans="1:9">
      <c r="A4732" s="6">
        <v>10</v>
      </c>
      <c r="B4732" s="6" t="str">
        <f t="shared" si="146"/>
        <v>Forestry</v>
      </c>
      <c r="C4732" s="6">
        <v>503</v>
      </c>
      <c r="D4732" s="6" t="str">
        <f t="shared" si="147"/>
        <v>Transportation Cost</v>
      </c>
      <c r="E4732" s="6">
        <v>-479105</v>
      </c>
      <c r="F4732" s="6">
        <v>0</v>
      </c>
      <c r="G4732" s="6">
        <v>0</v>
      </c>
      <c r="H4732" s="6">
        <v>-479105</v>
      </c>
      <c r="I4732" s="6">
        <v>0</v>
      </c>
    </row>
    <row r="4733" spans="1:9">
      <c r="A4733" s="6">
        <v>11</v>
      </c>
      <c r="B4733" s="6" t="str">
        <f t="shared" si="146"/>
        <v>Fishery</v>
      </c>
      <c r="C4733" s="6">
        <v>503</v>
      </c>
      <c r="D4733" s="6" t="str">
        <f t="shared" si="147"/>
        <v>Transportation Cost</v>
      </c>
      <c r="E4733" s="6">
        <v>-5422074</v>
      </c>
      <c r="F4733" s="6">
        <v>0</v>
      </c>
      <c r="G4733" s="6">
        <v>0</v>
      </c>
      <c r="H4733" s="6">
        <v>-5422074</v>
      </c>
      <c r="I4733" s="6">
        <v>0</v>
      </c>
    </row>
    <row r="4734" spans="1:9">
      <c r="A4734" s="6">
        <v>12</v>
      </c>
      <c r="B4734" s="6" t="str">
        <f t="shared" si="146"/>
        <v>Crude Oil and Coal</v>
      </c>
      <c r="C4734" s="6">
        <v>503</v>
      </c>
      <c r="D4734" s="6" t="str">
        <f t="shared" si="147"/>
        <v>Transportation Cost</v>
      </c>
      <c r="E4734" s="6">
        <v>-819088</v>
      </c>
      <c r="F4734" s="6">
        <v>0</v>
      </c>
      <c r="G4734" s="6">
        <v>0</v>
      </c>
      <c r="H4734" s="6">
        <v>-819088</v>
      </c>
      <c r="I4734" s="6">
        <v>0</v>
      </c>
    </row>
    <row r="4735" spans="1:9">
      <c r="A4735" s="6">
        <v>13</v>
      </c>
      <c r="B4735" s="6" t="str">
        <f t="shared" si="146"/>
        <v>Metal Ore</v>
      </c>
      <c r="C4735" s="6">
        <v>503</v>
      </c>
      <c r="D4735" s="6" t="str">
        <f t="shared" si="147"/>
        <v>Transportation Cost</v>
      </c>
      <c r="E4735" s="6">
        <v>-543782</v>
      </c>
      <c r="F4735" s="6">
        <v>0</v>
      </c>
      <c r="G4735" s="6">
        <v>0</v>
      </c>
      <c r="H4735" s="6">
        <v>-543782</v>
      </c>
      <c r="I4735" s="6">
        <v>0</v>
      </c>
    </row>
    <row r="4736" spans="1:9">
      <c r="A4736" s="6">
        <v>14</v>
      </c>
      <c r="B4736" s="6" t="str">
        <f t="shared" si="146"/>
        <v>Non-Metal Ore</v>
      </c>
      <c r="C4736" s="6">
        <v>503</v>
      </c>
      <c r="D4736" s="6" t="str">
        <f t="shared" si="147"/>
        <v>Transportation Cost</v>
      </c>
      <c r="E4736" s="6">
        <v>-20416045</v>
      </c>
      <c r="F4736" s="6">
        <v>0</v>
      </c>
      <c r="G4736" s="6">
        <v>0</v>
      </c>
      <c r="H4736" s="6">
        <v>-20416045</v>
      </c>
      <c r="I4736" s="6">
        <v>0</v>
      </c>
    </row>
    <row r="4737" spans="1:9">
      <c r="A4737" s="6">
        <v>15</v>
      </c>
      <c r="B4737" s="6" t="str">
        <f t="shared" si="146"/>
        <v>Slaughtering</v>
      </c>
      <c r="C4737" s="6">
        <v>503</v>
      </c>
      <c r="D4737" s="6" t="str">
        <f t="shared" si="147"/>
        <v>Transportation Cost</v>
      </c>
      <c r="E4737" s="6">
        <v>-1655254</v>
      </c>
      <c r="F4737" s="6">
        <v>0</v>
      </c>
      <c r="G4737" s="6">
        <v>0</v>
      </c>
      <c r="H4737" s="6">
        <v>-1655254</v>
      </c>
      <c r="I4737" s="6">
        <v>0</v>
      </c>
    </row>
    <row r="4738" spans="1:9">
      <c r="A4738" s="6">
        <v>16</v>
      </c>
      <c r="B4738" s="6" t="str">
        <f t="shared" si="146"/>
        <v>Processing and Presering of Foods</v>
      </c>
      <c r="C4738" s="6">
        <v>503</v>
      </c>
      <c r="D4738" s="6" t="str">
        <f t="shared" si="147"/>
        <v>Transportation Cost</v>
      </c>
      <c r="E4738" s="6">
        <v>-8879747</v>
      </c>
      <c r="F4738" s="6">
        <v>0</v>
      </c>
      <c r="G4738" s="6">
        <v>0</v>
      </c>
      <c r="H4738" s="6">
        <v>-8879747</v>
      </c>
      <c r="I4738" s="6">
        <v>0</v>
      </c>
    </row>
    <row r="4739" spans="1:9">
      <c r="A4739" s="6">
        <v>17</v>
      </c>
      <c r="B4739" s="6" t="str">
        <f t="shared" si="146"/>
        <v>Rice and Other Grain Milling</v>
      </c>
      <c r="C4739" s="6">
        <v>503</v>
      </c>
      <c r="D4739" s="6" t="str">
        <f t="shared" si="147"/>
        <v>Transportation Cost</v>
      </c>
      <c r="E4739" s="6">
        <v>-11495429</v>
      </c>
      <c r="F4739" s="6">
        <v>0</v>
      </c>
      <c r="G4739" s="6">
        <v>0</v>
      </c>
      <c r="H4739" s="6">
        <v>-11495429</v>
      </c>
      <c r="I4739" s="6">
        <v>0</v>
      </c>
    </row>
    <row r="4740" spans="1:9">
      <c r="A4740" s="6">
        <v>18</v>
      </c>
      <c r="B4740" s="6" t="str">
        <f t="shared" ref="B4740:B4803" si="148">VLOOKUP(A4740,R:S,2,0)</f>
        <v>Sugar Refineries</v>
      </c>
      <c r="C4740" s="6">
        <v>503</v>
      </c>
      <c r="D4740" s="6" t="str">
        <f t="shared" ref="D4740:D4803" si="149">VLOOKUP(C4740,R:S,2,0)</f>
        <v>Transportation Cost</v>
      </c>
      <c r="E4740" s="6">
        <v>-2408655</v>
      </c>
      <c r="F4740" s="6">
        <v>0</v>
      </c>
      <c r="G4740" s="6">
        <v>0</v>
      </c>
      <c r="H4740" s="6">
        <v>-2408655</v>
      </c>
      <c r="I4740" s="6">
        <v>0</v>
      </c>
    </row>
    <row r="4741" spans="1:9">
      <c r="A4741" s="6">
        <v>19</v>
      </c>
      <c r="B4741" s="6" t="str">
        <f t="shared" si="148"/>
        <v>Other Foods</v>
      </c>
      <c r="C4741" s="6">
        <v>503</v>
      </c>
      <c r="D4741" s="6" t="str">
        <f t="shared" si="149"/>
        <v>Transportation Cost</v>
      </c>
      <c r="E4741" s="6">
        <v>-6751606</v>
      </c>
      <c r="F4741" s="6">
        <v>0</v>
      </c>
      <c r="G4741" s="6">
        <v>0</v>
      </c>
      <c r="H4741" s="6">
        <v>-6751606</v>
      </c>
      <c r="I4741" s="6">
        <v>0</v>
      </c>
    </row>
    <row r="4742" spans="1:9">
      <c r="A4742" s="6">
        <v>20</v>
      </c>
      <c r="B4742" s="6" t="str">
        <f t="shared" si="148"/>
        <v>Animal Food</v>
      </c>
      <c r="C4742" s="6">
        <v>503</v>
      </c>
      <c r="D4742" s="6" t="str">
        <f t="shared" si="149"/>
        <v>Transportation Cost</v>
      </c>
      <c r="E4742" s="6">
        <v>-1073127</v>
      </c>
      <c r="F4742" s="6">
        <v>0</v>
      </c>
      <c r="G4742" s="6">
        <v>0</v>
      </c>
      <c r="H4742" s="6">
        <v>-1073127</v>
      </c>
      <c r="I4742" s="6">
        <v>0</v>
      </c>
    </row>
    <row r="4743" spans="1:9">
      <c r="A4743" s="6">
        <v>21</v>
      </c>
      <c r="B4743" s="6" t="str">
        <f t="shared" si="148"/>
        <v>Beverages</v>
      </c>
      <c r="C4743" s="6">
        <v>503</v>
      </c>
      <c r="D4743" s="6" t="str">
        <f t="shared" si="149"/>
        <v>Transportation Cost</v>
      </c>
      <c r="E4743" s="6">
        <v>-9290670</v>
      </c>
      <c r="F4743" s="6">
        <v>0</v>
      </c>
      <c r="G4743" s="6">
        <v>0</v>
      </c>
      <c r="H4743" s="6">
        <v>-9290670</v>
      </c>
      <c r="I4743" s="6">
        <v>0</v>
      </c>
    </row>
    <row r="4744" spans="1:9">
      <c r="A4744" s="6">
        <v>22</v>
      </c>
      <c r="B4744" s="6" t="str">
        <f t="shared" si="148"/>
        <v>Tobacco Processing and Products</v>
      </c>
      <c r="C4744" s="6">
        <v>503</v>
      </c>
      <c r="D4744" s="6" t="str">
        <f t="shared" si="149"/>
        <v>Transportation Cost</v>
      </c>
      <c r="E4744" s="6">
        <v>-700887</v>
      </c>
      <c r="F4744" s="6">
        <v>0</v>
      </c>
      <c r="G4744" s="6">
        <v>0</v>
      </c>
      <c r="H4744" s="6">
        <v>-700887</v>
      </c>
      <c r="I4744" s="6">
        <v>0</v>
      </c>
    </row>
    <row r="4745" spans="1:9">
      <c r="A4745" s="6">
        <v>23</v>
      </c>
      <c r="B4745" s="6" t="str">
        <f t="shared" si="148"/>
        <v>Spinning, Weaving and Bleaching</v>
      </c>
      <c r="C4745" s="6">
        <v>503</v>
      </c>
      <c r="D4745" s="6" t="str">
        <f t="shared" si="149"/>
        <v>Transportation Cost</v>
      </c>
      <c r="E4745" s="6">
        <v>-2551180</v>
      </c>
      <c r="F4745" s="6">
        <v>0</v>
      </c>
      <c r="G4745" s="6">
        <v>0</v>
      </c>
      <c r="H4745" s="6">
        <v>-2551180</v>
      </c>
      <c r="I4745" s="6">
        <v>0</v>
      </c>
    </row>
    <row r="4746" spans="1:9">
      <c r="A4746" s="6">
        <v>24</v>
      </c>
      <c r="B4746" s="6" t="str">
        <f t="shared" si="148"/>
        <v>Textile Products</v>
      </c>
      <c r="C4746" s="6">
        <v>503</v>
      </c>
      <c r="D4746" s="6" t="str">
        <f t="shared" si="149"/>
        <v>Transportation Cost</v>
      </c>
      <c r="E4746" s="6">
        <v>-2338715</v>
      </c>
      <c r="F4746" s="6">
        <v>0</v>
      </c>
      <c r="G4746" s="6">
        <v>0</v>
      </c>
      <c r="H4746" s="6">
        <v>-2338715</v>
      </c>
      <c r="I4746" s="6">
        <v>0</v>
      </c>
    </row>
    <row r="4747" spans="1:9">
      <c r="A4747" s="6">
        <v>25</v>
      </c>
      <c r="B4747" s="6" t="str">
        <f t="shared" si="148"/>
        <v>Paper and Paper Products</v>
      </c>
      <c r="C4747" s="6">
        <v>503</v>
      </c>
      <c r="D4747" s="6" t="str">
        <f t="shared" si="149"/>
        <v>Transportation Cost</v>
      </c>
      <c r="E4747" s="6">
        <v>-5439285</v>
      </c>
      <c r="F4747" s="6">
        <v>0</v>
      </c>
      <c r="G4747" s="6">
        <v>0</v>
      </c>
      <c r="H4747" s="6">
        <v>-5439285</v>
      </c>
      <c r="I4747" s="6">
        <v>0</v>
      </c>
    </row>
    <row r="4748" spans="1:9">
      <c r="A4748" s="6">
        <v>26</v>
      </c>
      <c r="B4748" s="6" t="str">
        <f t="shared" si="148"/>
        <v>Printing and Publishing</v>
      </c>
      <c r="C4748" s="6">
        <v>503</v>
      </c>
      <c r="D4748" s="6" t="str">
        <f t="shared" si="149"/>
        <v>Transportation Cost</v>
      </c>
      <c r="E4748" s="6">
        <v>-1355216</v>
      </c>
      <c r="F4748" s="6">
        <v>0</v>
      </c>
      <c r="G4748" s="6">
        <v>0</v>
      </c>
      <c r="H4748" s="6">
        <v>-1355216</v>
      </c>
      <c r="I4748" s="6">
        <v>0</v>
      </c>
    </row>
    <row r="4749" spans="1:9">
      <c r="A4749" s="6">
        <v>27</v>
      </c>
      <c r="B4749" s="6" t="str">
        <f t="shared" si="148"/>
        <v>Basic Chemical Products</v>
      </c>
      <c r="C4749" s="6">
        <v>503</v>
      </c>
      <c r="D4749" s="6" t="str">
        <f t="shared" si="149"/>
        <v>Transportation Cost</v>
      </c>
      <c r="E4749" s="6">
        <v>-20603146</v>
      </c>
      <c r="F4749" s="6">
        <v>0</v>
      </c>
      <c r="G4749" s="6">
        <v>0</v>
      </c>
      <c r="H4749" s="6">
        <v>-20603146</v>
      </c>
      <c r="I4749" s="6">
        <v>0</v>
      </c>
    </row>
    <row r="4750" spans="1:9">
      <c r="A4750" s="6">
        <v>28</v>
      </c>
      <c r="B4750" s="6" t="str">
        <f t="shared" si="148"/>
        <v>Fertilizer and Pesticides</v>
      </c>
      <c r="C4750" s="6">
        <v>503</v>
      </c>
      <c r="D4750" s="6" t="str">
        <f t="shared" si="149"/>
        <v>Transportation Cost</v>
      </c>
      <c r="E4750" s="6">
        <v>-8023767</v>
      </c>
      <c r="F4750" s="6">
        <v>0</v>
      </c>
      <c r="G4750" s="6">
        <v>0</v>
      </c>
      <c r="H4750" s="6">
        <v>-8023767</v>
      </c>
      <c r="I4750" s="6">
        <v>0</v>
      </c>
    </row>
    <row r="4751" spans="1:9">
      <c r="A4751" s="6">
        <v>29</v>
      </c>
      <c r="B4751" s="6" t="str">
        <f t="shared" si="148"/>
        <v>Other Chemical Products</v>
      </c>
      <c r="C4751" s="6">
        <v>503</v>
      </c>
      <c r="D4751" s="6" t="str">
        <f t="shared" si="149"/>
        <v>Transportation Cost</v>
      </c>
      <c r="E4751" s="6">
        <v>-11180022</v>
      </c>
      <c r="F4751" s="6">
        <v>0</v>
      </c>
      <c r="G4751" s="6">
        <v>0</v>
      </c>
      <c r="H4751" s="6">
        <v>-11180022</v>
      </c>
      <c r="I4751" s="6">
        <v>0</v>
      </c>
    </row>
    <row r="4752" spans="1:9">
      <c r="A4752" s="6">
        <v>30</v>
      </c>
      <c r="B4752" s="6" t="str">
        <f t="shared" si="148"/>
        <v>Petroleum Refineries</v>
      </c>
      <c r="C4752" s="6">
        <v>503</v>
      </c>
      <c r="D4752" s="6" t="str">
        <f t="shared" si="149"/>
        <v>Transportation Cost</v>
      </c>
      <c r="E4752" s="6">
        <v>-15207914</v>
      </c>
      <c r="F4752" s="6">
        <v>0</v>
      </c>
      <c r="G4752" s="6">
        <v>0</v>
      </c>
      <c r="H4752" s="6">
        <v>-15207914</v>
      </c>
      <c r="I4752" s="6">
        <v>0</v>
      </c>
    </row>
    <row r="4753" spans="1:9">
      <c r="A4753" s="6">
        <v>31</v>
      </c>
      <c r="B4753" s="6" t="str">
        <f t="shared" si="148"/>
        <v>Rubber Products</v>
      </c>
      <c r="C4753" s="6">
        <v>503</v>
      </c>
      <c r="D4753" s="6" t="str">
        <f t="shared" si="149"/>
        <v>Transportation Cost</v>
      </c>
      <c r="E4753" s="6">
        <v>-10175798</v>
      </c>
      <c r="F4753" s="6">
        <v>0</v>
      </c>
      <c r="G4753" s="6">
        <v>0</v>
      </c>
      <c r="H4753" s="6">
        <v>-10175798</v>
      </c>
      <c r="I4753" s="6">
        <v>0</v>
      </c>
    </row>
    <row r="4754" spans="1:9">
      <c r="A4754" s="6">
        <v>32</v>
      </c>
      <c r="B4754" s="6" t="str">
        <f t="shared" si="148"/>
        <v>Plastic Wares</v>
      </c>
      <c r="C4754" s="6">
        <v>503</v>
      </c>
      <c r="D4754" s="6" t="str">
        <f t="shared" si="149"/>
        <v>Transportation Cost</v>
      </c>
      <c r="E4754" s="6">
        <v>-5002813</v>
      </c>
      <c r="F4754" s="6">
        <v>0</v>
      </c>
      <c r="G4754" s="6">
        <v>0</v>
      </c>
      <c r="H4754" s="6">
        <v>-5002813</v>
      </c>
      <c r="I4754" s="6">
        <v>0</v>
      </c>
    </row>
    <row r="4755" spans="1:9">
      <c r="A4755" s="6">
        <v>33</v>
      </c>
      <c r="B4755" s="6" t="str">
        <f t="shared" si="148"/>
        <v>Cement and Concrete Products</v>
      </c>
      <c r="C4755" s="6">
        <v>503</v>
      </c>
      <c r="D4755" s="6" t="str">
        <f t="shared" si="149"/>
        <v>Transportation Cost</v>
      </c>
      <c r="E4755" s="6">
        <v>-3640001</v>
      </c>
      <c r="F4755" s="6">
        <v>0</v>
      </c>
      <c r="G4755" s="6">
        <v>0</v>
      </c>
      <c r="H4755" s="6">
        <v>-3640001</v>
      </c>
      <c r="I4755" s="6">
        <v>0</v>
      </c>
    </row>
    <row r="4756" spans="1:9">
      <c r="A4756" s="6">
        <v>34</v>
      </c>
      <c r="B4756" s="6" t="str">
        <f t="shared" si="148"/>
        <v>Other Non-metallic Products</v>
      </c>
      <c r="C4756" s="6">
        <v>503</v>
      </c>
      <c r="D4756" s="6" t="str">
        <f t="shared" si="149"/>
        <v>Transportation Cost</v>
      </c>
      <c r="E4756" s="6">
        <v>-5063986</v>
      </c>
      <c r="F4756" s="6">
        <v>0</v>
      </c>
      <c r="G4756" s="6">
        <v>0</v>
      </c>
      <c r="H4756" s="6">
        <v>-5063986</v>
      </c>
      <c r="I4756" s="6">
        <v>0</v>
      </c>
    </row>
    <row r="4757" spans="1:9">
      <c r="A4757" s="6">
        <v>35</v>
      </c>
      <c r="B4757" s="6" t="str">
        <f t="shared" si="148"/>
        <v>Iron and Steel</v>
      </c>
      <c r="C4757" s="6">
        <v>503</v>
      </c>
      <c r="D4757" s="6" t="str">
        <f t="shared" si="149"/>
        <v>Transportation Cost</v>
      </c>
      <c r="E4757" s="6">
        <v>-8720267</v>
      </c>
      <c r="F4757" s="6">
        <v>0</v>
      </c>
      <c r="G4757" s="6">
        <v>0</v>
      </c>
      <c r="H4757" s="6">
        <v>-8720267</v>
      </c>
      <c r="I4757" s="6">
        <v>0</v>
      </c>
    </row>
    <row r="4758" spans="1:9">
      <c r="A4758" s="6">
        <v>36</v>
      </c>
      <c r="B4758" s="6" t="str">
        <f t="shared" si="148"/>
        <v>Non-ferrous Metal</v>
      </c>
      <c r="C4758" s="6">
        <v>503</v>
      </c>
      <c r="D4758" s="6" t="str">
        <f t="shared" si="149"/>
        <v>Transportation Cost</v>
      </c>
      <c r="E4758" s="6">
        <v>-1384258</v>
      </c>
      <c r="F4758" s="6">
        <v>0</v>
      </c>
      <c r="G4758" s="6">
        <v>0</v>
      </c>
      <c r="H4758" s="6">
        <v>-1384258</v>
      </c>
      <c r="I4758" s="6">
        <v>0</v>
      </c>
    </row>
    <row r="4759" spans="1:9">
      <c r="A4759" s="6">
        <v>37</v>
      </c>
      <c r="B4759" s="6" t="str">
        <f t="shared" si="148"/>
        <v>Fabricated Metal Products</v>
      </c>
      <c r="C4759" s="6">
        <v>503</v>
      </c>
      <c r="D4759" s="6" t="str">
        <f t="shared" si="149"/>
        <v>Transportation Cost</v>
      </c>
      <c r="E4759" s="6">
        <v>-3033144</v>
      </c>
      <c r="F4759" s="6">
        <v>0</v>
      </c>
      <c r="G4759" s="6">
        <v>0</v>
      </c>
      <c r="H4759" s="6">
        <v>-3033144</v>
      </c>
      <c r="I4759" s="6">
        <v>0</v>
      </c>
    </row>
    <row r="4760" spans="1:9">
      <c r="A4760" s="6">
        <v>38</v>
      </c>
      <c r="B4760" s="6" t="str">
        <f t="shared" si="148"/>
        <v>Industrial Machinery</v>
      </c>
      <c r="C4760" s="6">
        <v>503</v>
      </c>
      <c r="D4760" s="6" t="str">
        <f t="shared" si="149"/>
        <v>Transportation Cost</v>
      </c>
      <c r="E4760" s="6">
        <v>-12953748</v>
      </c>
      <c r="F4760" s="6">
        <v>0</v>
      </c>
      <c r="G4760" s="6">
        <v>0</v>
      </c>
      <c r="H4760" s="6">
        <v>-12953748</v>
      </c>
      <c r="I4760" s="6">
        <v>0</v>
      </c>
    </row>
    <row r="4761" spans="1:9">
      <c r="A4761" s="6">
        <v>39</v>
      </c>
      <c r="B4761" s="6" t="str">
        <f t="shared" si="148"/>
        <v>Electrical Machinery and Apparatus</v>
      </c>
      <c r="C4761" s="6">
        <v>503</v>
      </c>
      <c r="D4761" s="6" t="str">
        <f t="shared" si="149"/>
        <v>Transportation Cost</v>
      </c>
      <c r="E4761" s="6">
        <v>-47314118</v>
      </c>
      <c r="F4761" s="6">
        <v>0</v>
      </c>
      <c r="G4761" s="6">
        <v>0</v>
      </c>
      <c r="H4761" s="6">
        <v>-47314118</v>
      </c>
      <c r="I4761" s="6">
        <v>0</v>
      </c>
    </row>
    <row r="4762" spans="1:9">
      <c r="A4762" s="6">
        <v>40</v>
      </c>
      <c r="B4762" s="6" t="str">
        <f t="shared" si="148"/>
        <v>Motor Vehicles and Repairing</v>
      </c>
      <c r="C4762" s="6">
        <v>503</v>
      </c>
      <c r="D4762" s="6" t="str">
        <f t="shared" si="149"/>
        <v>Transportation Cost</v>
      </c>
      <c r="E4762" s="6">
        <v>-20049789</v>
      </c>
      <c r="F4762" s="6">
        <v>0</v>
      </c>
      <c r="G4762" s="6">
        <v>0</v>
      </c>
      <c r="H4762" s="6">
        <v>-20049789</v>
      </c>
      <c r="I4762" s="6">
        <v>0</v>
      </c>
    </row>
    <row r="4763" spans="1:9">
      <c r="A4763" s="6">
        <v>41</v>
      </c>
      <c r="B4763" s="6" t="str">
        <f t="shared" si="148"/>
        <v>Other Transportation Equipment</v>
      </c>
      <c r="C4763" s="6">
        <v>503</v>
      </c>
      <c r="D4763" s="6" t="str">
        <f t="shared" si="149"/>
        <v>Transportation Cost</v>
      </c>
      <c r="E4763" s="6">
        <v>-1164748</v>
      </c>
      <c r="F4763" s="6">
        <v>0</v>
      </c>
      <c r="G4763" s="6">
        <v>0</v>
      </c>
      <c r="H4763" s="6">
        <v>-1164748</v>
      </c>
      <c r="I4763" s="6">
        <v>0</v>
      </c>
    </row>
    <row r="4764" spans="1:9">
      <c r="A4764" s="6">
        <v>42</v>
      </c>
      <c r="B4764" s="6" t="str">
        <f t="shared" si="148"/>
        <v>Leather Products</v>
      </c>
      <c r="C4764" s="6">
        <v>503</v>
      </c>
      <c r="D4764" s="6" t="str">
        <f t="shared" si="149"/>
        <v>Transportation Cost</v>
      </c>
      <c r="E4764" s="6">
        <v>-941154</v>
      </c>
      <c r="F4764" s="6">
        <v>0</v>
      </c>
      <c r="G4764" s="6">
        <v>0</v>
      </c>
      <c r="H4764" s="6">
        <v>-941154</v>
      </c>
      <c r="I4764" s="6">
        <v>0</v>
      </c>
    </row>
    <row r="4765" spans="1:9">
      <c r="A4765" s="6">
        <v>43</v>
      </c>
      <c r="B4765" s="6" t="str">
        <f t="shared" si="148"/>
        <v>Saw Mills and Wood Products</v>
      </c>
      <c r="C4765" s="6">
        <v>503</v>
      </c>
      <c r="D4765" s="6" t="str">
        <f t="shared" si="149"/>
        <v>Transportation Cost</v>
      </c>
      <c r="E4765" s="6">
        <v>-3114669</v>
      </c>
      <c r="F4765" s="6">
        <v>0</v>
      </c>
      <c r="G4765" s="6">
        <v>0</v>
      </c>
      <c r="H4765" s="6">
        <v>-3114669</v>
      </c>
      <c r="I4765" s="6">
        <v>0</v>
      </c>
    </row>
    <row r="4766" spans="1:9">
      <c r="A4766" s="6">
        <v>44</v>
      </c>
      <c r="B4766" s="6" t="str">
        <f t="shared" si="148"/>
        <v>Other Manufacturing Products</v>
      </c>
      <c r="C4766" s="6">
        <v>503</v>
      </c>
      <c r="D4766" s="6" t="str">
        <f t="shared" si="149"/>
        <v>Transportation Cost</v>
      </c>
      <c r="E4766" s="6">
        <v>-7589209</v>
      </c>
      <c r="F4766" s="6">
        <v>0</v>
      </c>
      <c r="G4766" s="6">
        <v>0</v>
      </c>
      <c r="H4766" s="6">
        <v>-7589209</v>
      </c>
      <c r="I4766" s="6">
        <v>0</v>
      </c>
    </row>
    <row r="4767" spans="1:9">
      <c r="A4767" s="6">
        <v>45</v>
      </c>
      <c r="B4767" s="6" t="str">
        <f t="shared" si="148"/>
        <v>Electricity and Gas</v>
      </c>
      <c r="C4767" s="6">
        <v>503</v>
      </c>
      <c r="D4767" s="6" t="str">
        <f t="shared" si="149"/>
        <v>Transportation Cost</v>
      </c>
      <c r="E4767" s="6">
        <v>-1341292</v>
      </c>
      <c r="F4767" s="6">
        <v>0</v>
      </c>
      <c r="G4767" s="6">
        <v>0</v>
      </c>
      <c r="H4767" s="6">
        <v>-1341292</v>
      </c>
      <c r="I4767" s="6">
        <v>0</v>
      </c>
    </row>
    <row r="4768" spans="1:9">
      <c r="A4768" s="6">
        <v>46</v>
      </c>
      <c r="B4768" s="6" t="str">
        <f t="shared" si="148"/>
        <v>Water Works and Supply</v>
      </c>
      <c r="C4768" s="6">
        <v>503</v>
      </c>
      <c r="D4768" s="6" t="str">
        <f t="shared" si="149"/>
        <v>Transportation Cost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</row>
    <row r="4769" spans="1:9">
      <c r="A4769" s="6">
        <v>47</v>
      </c>
      <c r="B4769" s="6" t="str">
        <f t="shared" si="148"/>
        <v>Building Construction</v>
      </c>
      <c r="C4769" s="6">
        <v>503</v>
      </c>
      <c r="D4769" s="6" t="str">
        <f t="shared" si="149"/>
        <v>Transportation Cost</v>
      </c>
      <c r="E4769" s="6">
        <v>-3674</v>
      </c>
      <c r="F4769" s="6">
        <v>0</v>
      </c>
      <c r="G4769" s="6">
        <v>0</v>
      </c>
      <c r="H4769" s="6">
        <v>-3674</v>
      </c>
      <c r="I4769" s="6">
        <v>0</v>
      </c>
    </row>
    <row r="4770" spans="1:9">
      <c r="A4770" s="6">
        <v>48</v>
      </c>
      <c r="B4770" s="6" t="str">
        <f t="shared" si="148"/>
        <v>Public Works and Other Construction</v>
      </c>
      <c r="C4770" s="6">
        <v>503</v>
      </c>
      <c r="D4770" s="6" t="str">
        <f t="shared" si="149"/>
        <v>Transportation Cost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</row>
    <row r="4771" spans="1:9">
      <c r="A4771" s="6">
        <v>49</v>
      </c>
      <c r="B4771" s="6" t="str">
        <f t="shared" si="148"/>
        <v>Trade</v>
      </c>
      <c r="C4771" s="6">
        <v>503</v>
      </c>
      <c r="D4771" s="6" t="str">
        <f t="shared" si="149"/>
        <v>Transportation Cost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</row>
    <row r="4772" spans="1:9">
      <c r="A4772" s="6">
        <v>50</v>
      </c>
      <c r="B4772" s="6" t="str">
        <f t="shared" si="148"/>
        <v>Restaurants and Hotels</v>
      </c>
      <c r="C4772" s="6">
        <v>503</v>
      </c>
      <c r="D4772" s="6" t="str">
        <f t="shared" si="149"/>
        <v>Transportation Cost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</row>
    <row r="4773" spans="1:9">
      <c r="A4773" s="6">
        <v>51</v>
      </c>
      <c r="B4773" s="6" t="str">
        <f t="shared" si="148"/>
        <v>Transportation</v>
      </c>
      <c r="C4773" s="6">
        <v>503</v>
      </c>
      <c r="D4773" s="6" t="str">
        <f t="shared" si="149"/>
        <v>Transportation Cost</v>
      </c>
      <c r="E4773" s="6">
        <v>295640484</v>
      </c>
      <c r="F4773" s="6">
        <v>0</v>
      </c>
      <c r="G4773" s="6">
        <v>0</v>
      </c>
      <c r="H4773" s="6">
        <v>295640484</v>
      </c>
      <c r="I4773" s="6">
        <v>0</v>
      </c>
    </row>
    <row r="4774" spans="1:9">
      <c r="A4774" s="6">
        <v>52</v>
      </c>
      <c r="B4774" s="6" t="str">
        <f t="shared" si="148"/>
        <v>Communication</v>
      </c>
      <c r="C4774" s="6">
        <v>503</v>
      </c>
      <c r="D4774" s="6" t="str">
        <f t="shared" si="149"/>
        <v>Transportation Cost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</row>
    <row r="4775" spans="1:9">
      <c r="A4775" s="6">
        <v>53</v>
      </c>
      <c r="B4775" s="6" t="str">
        <f t="shared" si="148"/>
        <v>Banking and Insurance</v>
      </c>
      <c r="C4775" s="6">
        <v>503</v>
      </c>
      <c r="D4775" s="6" t="str">
        <f t="shared" si="149"/>
        <v>Transportation Cost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</row>
    <row r="4776" spans="1:9">
      <c r="A4776" s="6">
        <v>54</v>
      </c>
      <c r="B4776" s="6" t="str">
        <f t="shared" si="148"/>
        <v>Real Estate</v>
      </c>
      <c r="C4776" s="6">
        <v>503</v>
      </c>
      <c r="D4776" s="6" t="str">
        <f t="shared" si="149"/>
        <v>Transportation Cost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</row>
    <row r="4777" spans="1:9">
      <c r="A4777" s="6">
        <v>55</v>
      </c>
      <c r="B4777" s="6" t="str">
        <f t="shared" si="148"/>
        <v>Business Services</v>
      </c>
      <c r="C4777" s="6">
        <v>503</v>
      </c>
      <c r="D4777" s="6" t="str">
        <f t="shared" si="149"/>
        <v>Transportation Cost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</row>
    <row r="4778" spans="1:9">
      <c r="A4778" s="6">
        <v>56</v>
      </c>
      <c r="B4778" s="6" t="str">
        <f t="shared" si="148"/>
        <v>Public Services</v>
      </c>
      <c r="C4778" s="6">
        <v>503</v>
      </c>
      <c r="D4778" s="6" t="str">
        <f t="shared" si="149"/>
        <v>Transportation Cost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</row>
    <row r="4779" spans="1:9">
      <c r="A4779" s="6">
        <v>57</v>
      </c>
      <c r="B4779" s="6" t="str">
        <f t="shared" si="148"/>
        <v>Other Services</v>
      </c>
      <c r="C4779" s="6">
        <v>503</v>
      </c>
      <c r="D4779" s="6" t="str">
        <f t="shared" si="149"/>
        <v>Transportation Cost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</row>
    <row r="4780" spans="1:9">
      <c r="A4780" s="6">
        <v>58</v>
      </c>
      <c r="B4780" s="6" t="str">
        <f t="shared" si="148"/>
        <v>Unclassified</v>
      </c>
      <c r="C4780" s="6">
        <v>503</v>
      </c>
      <c r="D4780" s="6" t="str">
        <f t="shared" si="149"/>
        <v>Transportation Cost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</row>
    <row r="4781" spans="1:9">
      <c r="A4781" s="6">
        <v>190</v>
      </c>
      <c r="B4781" s="6" t="str">
        <f t="shared" si="148"/>
        <v>Total Intermedite Transaction</v>
      </c>
      <c r="C4781" s="6">
        <v>503</v>
      </c>
      <c r="D4781" s="6" t="str">
        <f t="shared" si="149"/>
        <v>Transportation Cost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</row>
    <row r="4782" spans="1:9">
      <c r="A4782" s="6">
        <v>1</v>
      </c>
      <c r="B4782" s="6" t="str">
        <f t="shared" si="148"/>
        <v>Paddy</v>
      </c>
      <c r="C4782" s="6">
        <v>509</v>
      </c>
      <c r="D4782" s="6" t="str">
        <f t="shared" si="149"/>
        <v>Total Margin and Transportation Cost</v>
      </c>
      <c r="E4782" s="6">
        <v>-13309198</v>
      </c>
      <c r="F4782" s="6">
        <v>-10756134</v>
      </c>
      <c r="G4782" s="6">
        <v>-676903</v>
      </c>
      <c r="H4782" s="6">
        <v>-1876161</v>
      </c>
      <c r="I4782" s="6">
        <v>0</v>
      </c>
    </row>
    <row r="4783" spans="1:9">
      <c r="A4783" s="6">
        <v>2</v>
      </c>
      <c r="B4783" s="6" t="str">
        <f t="shared" si="148"/>
        <v>Maize</v>
      </c>
      <c r="C4783" s="6">
        <v>509</v>
      </c>
      <c r="D4783" s="6" t="str">
        <f t="shared" si="149"/>
        <v>Total Margin and Transportation Cost</v>
      </c>
      <c r="E4783" s="6">
        <v>-3288063</v>
      </c>
      <c r="F4783" s="6">
        <v>-2251541</v>
      </c>
      <c r="G4783" s="6">
        <v>-555919</v>
      </c>
      <c r="H4783" s="6">
        <v>-480603</v>
      </c>
      <c r="I4783" s="6">
        <v>0</v>
      </c>
    </row>
    <row r="4784" spans="1:9">
      <c r="A4784" s="6">
        <v>3</v>
      </c>
      <c r="B4784" s="6" t="str">
        <f t="shared" si="148"/>
        <v>Cassava</v>
      </c>
      <c r="C4784" s="6">
        <v>509</v>
      </c>
      <c r="D4784" s="6" t="str">
        <f t="shared" si="149"/>
        <v>Total Margin and Transportation Cost</v>
      </c>
      <c r="E4784" s="6">
        <v>-2818173</v>
      </c>
      <c r="F4784" s="6">
        <v>-2122820</v>
      </c>
      <c r="G4784" s="6">
        <v>-174398</v>
      </c>
      <c r="H4784" s="6">
        <v>-520955</v>
      </c>
      <c r="I4784" s="6">
        <v>0</v>
      </c>
    </row>
    <row r="4785" spans="1:9">
      <c r="A4785" s="6">
        <v>4</v>
      </c>
      <c r="B4785" s="6" t="str">
        <f t="shared" si="148"/>
        <v>Beans and Nuts</v>
      </c>
      <c r="C4785" s="6">
        <v>509</v>
      </c>
      <c r="D4785" s="6" t="str">
        <f t="shared" si="149"/>
        <v>Total Margin and Transportation Cost</v>
      </c>
      <c r="E4785" s="6">
        <v>-2149103</v>
      </c>
      <c r="F4785" s="6">
        <v>-1122621</v>
      </c>
      <c r="G4785" s="6">
        <v>-949787</v>
      </c>
      <c r="H4785" s="6">
        <v>-76695</v>
      </c>
      <c r="I4785" s="6">
        <v>0</v>
      </c>
    </row>
    <row r="4786" spans="1:9">
      <c r="A4786" s="6">
        <v>5</v>
      </c>
      <c r="B4786" s="6" t="str">
        <f t="shared" si="148"/>
        <v>Vegetables and Fruits</v>
      </c>
      <c r="C4786" s="6">
        <v>509</v>
      </c>
      <c r="D4786" s="6" t="str">
        <f t="shared" si="149"/>
        <v>Total Margin and Transportation Cost</v>
      </c>
      <c r="E4786" s="6">
        <v>-269758503</v>
      </c>
      <c r="F4786" s="6">
        <v>-114494467</v>
      </c>
      <c r="G4786" s="6">
        <v>-139827431</v>
      </c>
      <c r="H4786" s="6">
        <v>-15436605</v>
      </c>
      <c r="I4786" s="6">
        <v>0</v>
      </c>
    </row>
    <row r="4787" spans="1:9">
      <c r="A4787" s="6">
        <v>6</v>
      </c>
      <c r="B4787" s="6" t="str">
        <f t="shared" si="148"/>
        <v>Sugarcane</v>
      </c>
      <c r="C4787" s="6">
        <v>509</v>
      </c>
      <c r="D4787" s="6" t="str">
        <f t="shared" si="149"/>
        <v>Total Margin and Transportation Cost</v>
      </c>
      <c r="E4787" s="6">
        <v>-5592363</v>
      </c>
      <c r="F4787" s="6">
        <v>-3338345</v>
      </c>
      <c r="G4787" s="6">
        <v>-1849</v>
      </c>
      <c r="H4787" s="6">
        <v>-2252169</v>
      </c>
      <c r="I4787" s="6">
        <v>0</v>
      </c>
    </row>
    <row r="4788" spans="1:9">
      <c r="A4788" s="6">
        <v>7</v>
      </c>
      <c r="B4788" s="6" t="str">
        <f t="shared" si="148"/>
        <v>Rubber (Latex)</v>
      </c>
      <c r="C4788" s="6">
        <v>509</v>
      </c>
      <c r="D4788" s="6" t="str">
        <f t="shared" si="149"/>
        <v>Total Margin and Transportation Cost</v>
      </c>
      <c r="E4788" s="6">
        <v>-14581749</v>
      </c>
      <c r="F4788" s="6">
        <v>-13165354</v>
      </c>
      <c r="G4788" s="6">
        <v>0</v>
      </c>
      <c r="H4788" s="6">
        <v>-1416395</v>
      </c>
      <c r="I4788" s="6">
        <v>0</v>
      </c>
    </row>
    <row r="4789" spans="1:9">
      <c r="A4789" s="6">
        <v>8</v>
      </c>
      <c r="B4789" s="6" t="str">
        <f t="shared" si="148"/>
        <v>Other Crops</v>
      </c>
      <c r="C4789" s="6">
        <v>509</v>
      </c>
      <c r="D4789" s="6" t="str">
        <f t="shared" si="149"/>
        <v>Total Margin and Transportation Cost</v>
      </c>
      <c r="E4789" s="6">
        <v>-26232368</v>
      </c>
      <c r="F4789" s="6">
        <v>-14993310</v>
      </c>
      <c r="G4789" s="6">
        <v>-8180463</v>
      </c>
      <c r="H4789" s="6">
        <v>-3058595</v>
      </c>
      <c r="I4789" s="6">
        <v>0</v>
      </c>
    </row>
    <row r="4790" spans="1:9">
      <c r="A4790" s="6">
        <v>9</v>
      </c>
      <c r="B4790" s="6" t="str">
        <f t="shared" si="148"/>
        <v>Livestock</v>
      </c>
      <c r="C4790" s="6">
        <v>509</v>
      </c>
      <c r="D4790" s="6" t="str">
        <f t="shared" si="149"/>
        <v>Total Margin and Transportation Cost</v>
      </c>
      <c r="E4790" s="6">
        <v>-43795582</v>
      </c>
      <c r="F4790" s="6">
        <v>-36985660</v>
      </c>
      <c r="G4790" s="6">
        <v>-4414998</v>
      </c>
      <c r="H4790" s="6">
        <v>-2394924</v>
      </c>
      <c r="I4790" s="6">
        <v>0</v>
      </c>
    </row>
    <row r="4791" spans="1:9">
      <c r="A4791" s="6">
        <v>10</v>
      </c>
      <c r="B4791" s="6" t="str">
        <f t="shared" si="148"/>
        <v>Forestry</v>
      </c>
      <c r="C4791" s="6">
        <v>509</v>
      </c>
      <c r="D4791" s="6" t="str">
        <f t="shared" si="149"/>
        <v>Total Margin and Transportation Cost</v>
      </c>
      <c r="E4791" s="6">
        <v>-6198268</v>
      </c>
      <c r="F4791" s="6">
        <v>-4021847</v>
      </c>
      <c r="G4791" s="6">
        <v>-1697316</v>
      </c>
      <c r="H4791" s="6">
        <v>-479105</v>
      </c>
      <c r="I4791" s="6">
        <v>0</v>
      </c>
    </row>
    <row r="4792" spans="1:9">
      <c r="A4792" s="6">
        <v>11</v>
      </c>
      <c r="B4792" s="6" t="str">
        <f t="shared" si="148"/>
        <v>Fishery</v>
      </c>
      <c r="C4792" s="6">
        <v>509</v>
      </c>
      <c r="D4792" s="6" t="str">
        <f t="shared" si="149"/>
        <v>Total Margin and Transportation Cost</v>
      </c>
      <c r="E4792" s="6">
        <v>-67908111</v>
      </c>
      <c r="F4792" s="6">
        <v>-31308028</v>
      </c>
      <c r="G4792" s="6">
        <v>-31178009</v>
      </c>
      <c r="H4792" s="6">
        <v>-5422074</v>
      </c>
      <c r="I4792" s="6">
        <v>0</v>
      </c>
    </row>
    <row r="4793" spans="1:9">
      <c r="A4793" s="6">
        <v>12</v>
      </c>
      <c r="B4793" s="6" t="str">
        <f t="shared" si="148"/>
        <v>Crude Oil and Coal</v>
      </c>
      <c r="C4793" s="6">
        <v>509</v>
      </c>
      <c r="D4793" s="6" t="str">
        <f t="shared" si="149"/>
        <v>Total Margin and Transportation Cost</v>
      </c>
      <c r="E4793" s="6">
        <v>-1696317</v>
      </c>
      <c r="F4793" s="6">
        <v>-877229</v>
      </c>
      <c r="G4793" s="6">
        <v>0</v>
      </c>
      <c r="H4793" s="6">
        <v>-819088</v>
      </c>
      <c r="I4793" s="6">
        <v>0</v>
      </c>
    </row>
    <row r="4794" spans="1:9">
      <c r="A4794" s="6">
        <v>13</v>
      </c>
      <c r="B4794" s="6" t="str">
        <f t="shared" si="148"/>
        <v>Metal Ore</v>
      </c>
      <c r="C4794" s="6">
        <v>509</v>
      </c>
      <c r="D4794" s="6" t="str">
        <f t="shared" si="149"/>
        <v>Total Margin and Transportation Cost</v>
      </c>
      <c r="E4794" s="6">
        <v>-1840943</v>
      </c>
      <c r="F4794" s="6">
        <v>-1297161</v>
      </c>
      <c r="G4794" s="6">
        <v>0</v>
      </c>
      <c r="H4794" s="6">
        <v>-543782</v>
      </c>
      <c r="I4794" s="6">
        <v>0</v>
      </c>
    </row>
    <row r="4795" spans="1:9">
      <c r="A4795" s="6">
        <v>14</v>
      </c>
      <c r="B4795" s="6" t="str">
        <f t="shared" si="148"/>
        <v>Non-Metal Ore</v>
      </c>
      <c r="C4795" s="6">
        <v>509</v>
      </c>
      <c r="D4795" s="6" t="str">
        <f t="shared" si="149"/>
        <v>Total Margin and Transportation Cost</v>
      </c>
      <c r="E4795" s="6">
        <v>-31493935</v>
      </c>
      <c r="F4795" s="6">
        <v>-9157107</v>
      </c>
      <c r="G4795" s="6">
        <v>-1920783</v>
      </c>
      <c r="H4795" s="6">
        <v>-20416045</v>
      </c>
      <c r="I4795" s="6">
        <v>0</v>
      </c>
    </row>
    <row r="4796" spans="1:9">
      <c r="A4796" s="6">
        <v>15</v>
      </c>
      <c r="B4796" s="6" t="str">
        <f t="shared" si="148"/>
        <v>Slaughtering</v>
      </c>
      <c r="C4796" s="6">
        <v>509</v>
      </c>
      <c r="D4796" s="6" t="str">
        <f t="shared" si="149"/>
        <v>Total Margin and Transportation Cost</v>
      </c>
      <c r="E4796" s="6">
        <v>-35893078</v>
      </c>
      <c r="F4796" s="6">
        <v>-13084995</v>
      </c>
      <c r="G4796" s="6">
        <v>-21152829</v>
      </c>
      <c r="H4796" s="6">
        <v>-1655254</v>
      </c>
      <c r="I4796" s="6">
        <v>0</v>
      </c>
    </row>
    <row r="4797" spans="1:9">
      <c r="A4797" s="6">
        <v>16</v>
      </c>
      <c r="B4797" s="6" t="str">
        <f t="shared" si="148"/>
        <v>Processing and Presering of Foods</v>
      </c>
      <c r="C4797" s="6">
        <v>509</v>
      </c>
      <c r="D4797" s="6" t="str">
        <f t="shared" si="149"/>
        <v>Total Margin and Transportation Cost</v>
      </c>
      <c r="E4797" s="6">
        <v>-82740878</v>
      </c>
      <c r="F4797" s="6">
        <v>-39816180</v>
      </c>
      <c r="G4797" s="6">
        <v>-34044951</v>
      </c>
      <c r="H4797" s="6">
        <v>-8879747</v>
      </c>
      <c r="I4797" s="6">
        <v>0</v>
      </c>
    </row>
    <row r="4798" spans="1:9">
      <c r="A4798" s="6">
        <v>17</v>
      </c>
      <c r="B4798" s="6" t="str">
        <f t="shared" si="148"/>
        <v>Rice and Other Grain Milling</v>
      </c>
      <c r="C4798" s="6">
        <v>509</v>
      </c>
      <c r="D4798" s="6" t="str">
        <f t="shared" si="149"/>
        <v>Total Margin and Transportation Cost</v>
      </c>
      <c r="E4798" s="6">
        <v>-86709055</v>
      </c>
      <c r="F4798" s="6">
        <v>-36096656</v>
      </c>
      <c r="G4798" s="6">
        <v>-39116970</v>
      </c>
      <c r="H4798" s="6">
        <v>-11495429</v>
      </c>
      <c r="I4798" s="6">
        <v>0</v>
      </c>
    </row>
    <row r="4799" spans="1:9">
      <c r="A4799" s="6">
        <v>18</v>
      </c>
      <c r="B4799" s="6" t="str">
        <f t="shared" si="148"/>
        <v>Sugar Refineries</v>
      </c>
      <c r="C4799" s="6">
        <v>509</v>
      </c>
      <c r="D4799" s="6" t="str">
        <f t="shared" si="149"/>
        <v>Total Margin and Transportation Cost</v>
      </c>
      <c r="E4799" s="6">
        <v>-12493992</v>
      </c>
      <c r="F4799" s="6">
        <v>-5296688</v>
      </c>
      <c r="G4799" s="6">
        <v>-4788649</v>
      </c>
      <c r="H4799" s="6">
        <v>-2408655</v>
      </c>
      <c r="I4799" s="6">
        <v>0</v>
      </c>
    </row>
    <row r="4800" spans="1:9">
      <c r="A4800" s="6">
        <v>19</v>
      </c>
      <c r="B4800" s="6" t="str">
        <f t="shared" si="148"/>
        <v>Other Foods</v>
      </c>
      <c r="C4800" s="6">
        <v>509</v>
      </c>
      <c r="D4800" s="6" t="str">
        <f t="shared" si="149"/>
        <v>Total Margin and Transportation Cost</v>
      </c>
      <c r="E4800" s="6">
        <v>-55971549</v>
      </c>
      <c r="F4800" s="6">
        <v>-25110643</v>
      </c>
      <c r="G4800" s="6">
        <v>-24109300</v>
      </c>
      <c r="H4800" s="6">
        <v>-6751606</v>
      </c>
      <c r="I4800" s="6">
        <v>0</v>
      </c>
    </row>
    <row r="4801" spans="1:9">
      <c r="A4801" s="6">
        <v>20</v>
      </c>
      <c r="B4801" s="6" t="str">
        <f t="shared" si="148"/>
        <v>Animal Food</v>
      </c>
      <c r="C4801" s="6">
        <v>509</v>
      </c>
      <c r="D4801" s="6" t="str">
        <f t="shared" si="149"/>
        <v>Total Margin and Transportation Cost</v>
      </c>
      <c r="E4801" s="6">
        <v>-17069086</v>
      </c>
      <c r="F4801" s="6">
        <v>-8690674</v>
      </c>
      <c r="G4801" s="6">
        <v>-7305285</v>
      </c>
      <c r="H4801" s="6">
        <v>-1073127</v>
      </c>
      <c r="I4801" s="6">
        <v>0</v>
      </c>
    </row>
    <row r="4802" spans="1:9">
      <c r="A4802" s="6">
        <v>21</v>
      </c>
      <c r="B4802" s="6" t="str">
        <f t="shared" si="148"/>
        <v>Beverages</v>
      </c>
      <c r="C4802" s="6">
        <v>509</v>
      </c>
      <c r="D4802" s="6" t="str">
        <f t="shared" si="149"/>
        <v>Total Margin and Transportation Cost</v>
      </c>
      <c r="E4802" s="6">
        <v>-89868376</v>
      </c>
      <c r="F4802" s="6">
        <v>-41800787</v>
      </c>
      <c r="G4802" s="6">
        <v>-38776919</v>
      </c>
      <c r="H4802" s="6">
        <v>-9290670</v>
      </c>
      <c r="I4802" s="6">
        <v>0</v>
      </c>
    </row>
    <row r="4803" spans="1:9">
      <c r="A4803" s="6">
        <v>22</v>
      </c>
      <c r="B4803" s="6" t="str">
        <f t="shared" si="148"/>
        <v>Tobacco Processing and Products</v>
      </c>
      <c r="C4803" s="6">
        <v>509</v>
      </c>
      <c r="D4803" s="6" t="str">
        <f t="shared" si="149"/>
        <v>Total Margin and Transportation Cost</v>
      </c>
      <c r="E4803" s="6">
        <v>-10825424</v>
      </c>
      <c r="F4803" s="6">
        <v>-4814026</v>
      </c>
      <c r="G4803" s="6">
        <v>-5310511</v>
      </c>
      <c r="H4803" s="6">
        <v>-700887</v>
      </c>
      <c r="I4803" s="6">
        <v>0</v>
      </c>
    </row>
    <row r="4804" spans="1:9">
      <c r="A4804" s="6">
        <v>23</v>
      </c>
      <c r="B4804" s="6" t="str">
        <f t="shared" ref="B4804:B4867" si="150">VLOOKUP(A4804,R:S,2,0)</f>
        <v>Spinning, Weaving and Bleaching</v>
      </c>
      <c r="C4804" s="6">
        <v>509</v>
      </c>
      <c r="D4804" s="6" t="str">
        <f t="shared" ref="D4804:D4867" si="151">VLOOKUP(C4804,R:S,2,0)</f>
        <v>Total Margin and Transportation Cost</v>
      </c>
      <c r="E4804" s="6">
        <v>-43918449</v>
      </c>
      <c r="F4804" s="6">
        <v>-27553924</v>
      </c>
      <c r="G4804" s="6">
        <v>-13813345</v>
      </c>
      <c r="H4804" s="6">
        <v>-2551180</v>
      </c>
      <c r="I4804" s="6">
        <v>0</v>
      </c>
    </row>
    <row r="4805" spans="1:9">
      <c r="A4805" s="6">
        <v>24</v>
      </c>
      <c r="B4805" s="6" t="str">
        <f t="shared" si="150"/>
        <v>Textile Products</v>
      </c>
      <c r="C4805" s="6">
        <v>509</v>
      </c>
      <c r="D4805" s="6" t="str">
        <f t="shared" si="151"/>
        <v>Total Margin and Transportation Cost</v>
      </c>
      <c r="E4805" s="6">
        <v>-62593331</v>
      </c>
      <c r="F4805" s="6">
        <v>-26922463</v>
      </c>
      <c r="G4805" s="6">
        <v>-33332153</v>
      </c>
      <c r="H4805" s="6">
        <v>-2338715</v>
      </c>
      <c r="I4805" s="6">
        <v>0</v>
      </c>
    </row>
    <row r="4806" spans="1:9">
      <c r="A4806" s="6">
        <v>25</v>
      </c>
      <c r="B4806" s="6" t="str">
        <f t="shared" si="150"/>
        <v>Paper and Paper Products</v>
      </c>
      <c r="C4806" s="6">
        <v>509</v>
      </c>
      <c r="D4806" s="6" t="str">
        <f t="shared" si="151"/>
        <v>Total Margin and Transportation Cost</v>
      </c>
      <c r="E4806" s="6">
        <v>-53233976</v>
      </c>
      <c r="F4806" s="6">
        <v>-30012818</v>
      </c>
      <c r="G4806" s="6">
        <v>-17781873</v>
      </c>
      <c r="H4806" s="6">
        <v>-5439285</v>
      </c>
      <c r="I4806" s="6">
        <v>0</v>
      </c>
    </row>
    <row r="4807" spans="1:9">
      <c r="A4807" s="6">
        <v>26</v>
      </c>
      <c r="B4807" s="6" t="str">
        <f t="shared" si="150"/>
        <v>Printing and Publishing</v>
      </c>
      <c r="C4807" s="6">
        <v>509</v>
      </c>
      <c r="D4807" s="6" t="str">
        <f t="shared" si="151"/>
        <v>Total Margin and Transportation Cost</v>
      </c>
      <c r="E4807" s="6">
        <v>-25958029</v>
      </c>
      <c r="F4807" s="6">
        <v>-9395166</v>
      </c>
      <c r="G4807" s="6">
        <v>-15207647</v>
      </c>
      <c r="H4807" s="6">
        <v>-1355216</v>
      </c>
      <c r="I4807" s="6">
        <v>0</v>
      </c>
    </row>
    <row r="4808" spans="1:9">
      <c r="A4808" s="6">
        <v>27</v>
      </c>
      <c r="B4808" s="6" t="str">
        <f t="shared" si="150"/>
        <v>Basic Chemical Products</v>
      </c>
      <c r="C4808" s="6">
        <v>509</v>
      </c>
      <c r="D4808" s="6" t="str">
        <f t="shared" si="151"/>
        <v>Total Margin and Transportation Cost</v>
      </c>
      <c r="E4808" s="6">
        <v>-220212824</v>
      </c>
      <c r="F4808" s="6">
        <v>-160445953</v>
      </c>
      <c r="G4808" s="6">
        <v>-39163725</v>
      </c>
      <c r="H4808" s="6">
        <v>-20603146</v>
      </c>
      <c r="I4808" s="6">
        <v>0</v>
      </c>
    </row>
    <row r="4809" spans="1:9">
      <c r="A4809" s="6">
        <v>28</v>
      </c>
      <c r="B4809" s="6" t="str">
        <f t="shared" si="150"/>
        <v>Fertilizer and Pesticides</v>
      </c>
      <c r="C4809" s="6">
        <v>509</v>
      </c>
      <c r="D4809" s="6" t="str">
        <f t="shared" si="151"/>
        <v>Total Margin and Transportation Cost</v>
      </c>
      <c r="E4809" s="6">
        <v>-54505583</v>
      </c>
      <c r="F4809" s="6">
        <v>-25406707</v>
      </c>
      <c r="G4809" s="6">
        <v>-21075109</v>
      </c>
      <c r="H4809" s="6">
        <v>-8023767</v>
      </c>
      <c r="I4809" s="6">
        <v>0</v>
      </c>
    </row>
    <row r="4810" spans="1:9">
      <c r="A4810" s="6">
        <v>29</v>
      </c>
      <c r="B4810" s="6" t="str">
        <f t="shared" si="150"/>
        <v>Other Chemical Products</v>
      </c>
      <c r="C4810" s="6">
        <v>509</v>
      </c>
      <c r="D4810" s="6" t="str">
        <f t="shared" si="151"/>
        <v>Total Margin and Transportation Cost</v>
      </c>
      <c r="E4810" s="6">
        <v>-243623641</v>
      </c>
      <c r="F4810" s="6">
        <v>-115310141</v>
      </c>
      <c r="G4810" s="6">
        <v>-117133478</v>
      </c>
      <c r="H4810" s="6">
        <v>-11180022</v>
      </c>
      <c r="I4810" s="6">
        <v>0</v>
      </c>
    </row>
    <row r="4811" spans="1:9">
      <c r="A4811" s="6">
        <v>30</v>
      </c>
      <c r="B4811" s="6" t="str">
        <f t="shared" si="150"/>
        <v>Petroleum Refineries</v>
      </c>
      <c r="C4811" s="6">
        <v>509</v>
      </c>
      <c r="D4811" s="6" t="str">
        <f t="shared" si="151"/>
        <v>Total Margin and Transportation Cost</v>
      </c>
      <c r="E4811" s="6">
        <v>-193267838</v>
      </c>
      <c r="F4811" s="6">
        <v>-91155724</v>
      </c>
      <c r="G4811" s="6">
        <v>-86904200</v>
      </c>
      <c r="H4811" s="6">
        <v>-15207914</v>
      </c>
      <c r="I4811" s="6">
        <v>0</v>
      </c>
    </row>
    <row r="4812" spans="1:9">
      <c r="A4812" s="6">
        <v>31</v>
      </c>
      <c r="B4812" s="6" t="str">
        <f t="shared" si="150"/>
        <v>Rubber Products</v>
      </c>
      <c r="C4812" s="6">
        <v>509</v>
      </c>
      <c r="D4812" s="6" t="str">
        <f t="shared" si="151"/>
        <v>Total Margin and Transportation Cost</v>
      </c>
      <c r="E4812" s="6">
        <v>-78335595</v>
      </c>
      <c r="F4812" s="6">
        <v>-47807100</v>
      </c>
      <c r="G4812" s="6">
        <v>-20352697</v>
      </c>
      <c r="H4812" s="6">
        <v>-10175798</v>
      </c>
      <c r="I4812" s="6">
        <v>0</v>
      </c>
    </row>
    <row r="4813" spans="1:9">
      <c r="A4813" s="6">
        <v>32</v>
      </c>
      <c r="B4813" s="6" t="str">
        <f t="shared" si="150"/>
        <v>Plastic Wares</v>
      </c>
      <c r="C4813" s="6">
        <v>509</v>
      </c>
      <c r="D4813" s="6" t="str">
        <f t="shared" si="151"/>
        <v>Total Margin and Transportation Cost</v>
      </c>
      <c r="E4813" s="6">
        <v>-59694955</v>
      </c>
      <c r="F4813" s="6">
        <v>-29728449</v>
      </c>
      <c r="G4813" s="6">
        <v>-24963693</v>
      </c>
      <c r="H4813" s="6">
        <v>-5002813</v>
      </c>
      <c r="I4813" s="6">
        <v>0</v>
      </c>
    </row>
    <row r="4814" spans="1:9">
      <c r="A4814" s="6">
        <v>33</v>
      </c>
      <c r="B4814" s="6" t="str">
        <f t="shared" si="150"/>
        <v>Cement and Concrete Products</v>
      </c>
      <c r="C4814" s="6">
        <v>509</v>
      </c>
      <c r="D4814" s="6" t="str">
        <f t="shared" si="151"/>
        <v>Total Margin and Transportation Cost</v>
      </c>
      <c r="E4814" s="6">
        <v>-28621107</v>
      </c>
      <c r="F4814" s="6">
        <v>-13607989</v>
      </c>
      <c r="G4814" s="6">
        <v>-11373117</v>
      </c>
      <c r="H4814" s="6">
        <v>-3640001</v>
      </c>
      <c r="I4814" s="6">
        <v>0</v>
      </c>
    </row>
    <row r="4815" spans="1:9">
      <c r="A4815" s="6">
        <v>34</v>
      </c>
      <c r="B4815" s="6" t="str">
        <f t="shared" si="150"/>
        <v>Other Non-metallic Products</v>
      </c>
      <c r="C4815" s="6">
        <v>509</v>
      </c>
      <c r="D4815" s="6" t="str">
        <f t="shared" si="151"/>
        <v>Total Margin and Transportation Cost</v>
      </c>
      <c r="E4815" s="6">
        <v>-53018960</v>
      </c>
      <c r="F4815" s="6">
        <v>-27842213</v>
      </c>
      <c r="G4815" s="6">
        <v>-20112761</v>
      </c>
      <c r="H4815" s="6">
        <v>-5063986</v>
      </c>
      <c r="I4815" s="6">
        <v>0</v>
      </c>
    </row>
    <row r="4816" spans="1:9">
      <c r="A4816" s="6">
        <v>35</v>
      </c>
      <c r="B4816" s="6" t="str">
        <f t="shared" si="150"/>
        <v>Iron and Steel</v>
      </c>
      <c r="C4816" s="6">
        <v>509</v>
      </c>
      <c r="D4816" s="6" t="str">
        <f t="shared" si="151"/>
        <v>Total Margin and Transportation Cost</v>
      </c>
      <c r="E4816" s="6">
        <v>-78563821</v>
      </c>
      <c r="F4816" s="6">
        <v>-39355111</v>
      </c>
      <c r="G4816" s="6">
        <v>-30488443</v>
      </c>
      <c r="H4816" s="6">
        <v>-8720267</v>
      </c>
      <c r="I4816" s="6">
        <v>0</v>
      </c>
    </row>
    <row r="4817" spans="1:9">
      <c r="A4817" s="6">
        <v>36</v>
      </c>
      <c r="B4817" s="6" t="str">
        <f t="shared" si="150"/>
        <v>Non-ferrous Metal</v>
      </c>
      <c r="C4817" s="6">
        <v>509</v>
      </c>
      <c r="D4817" s="6" t="str">
        <f t="shared" si="151"/>
        <v>Total Margin and Transportation Cost</v>
      </c>
      <c r="E4817" s="6">
        <v>-58764582</v>
      </c>
      <c r="F4817" s="6">
        <v>-39762234</v>
      </c>
      <c r="G4817" s="6">
        <v>-17618090</v>
      </c>
      <c r="H4817" s="6">
        <v>-1384258</v>
      </c>
      <c r="I4817" s="6">
        <v>0</v>
      </c>
    </row>
    <row r="4818" spans="1:9">
      <c r="A4818" s="6">
        <v>37</v>
      </c>
      <c r="B4818" s="6" t="str">
        <f t="shared" si="150"/>
        <v>Fabricated Metal Products</v>
      </c>
      <c r="C4818" s="6">
        <v>509</v>
      </c>
      <c r="D4818" s="6" t="str">
        <f t="shared" si="151"/>
        <v>Total Margin and Transportation Cost</v>
      </c>
      <c r="E4818" s="6">
        <v>-53393971</v>
      </c>
      <c r="F4818" s="6">
        <v>-20892489</v>
      </c>
      <c r="G4818" s="6">
        <v>-29468338</v>
      </c>
      <c r="H4818" s="6">
        <v>-3033144</v>
      </c>
      <c r="I4818" s="6">
        <v>0</v>
      </c>
    </row>
    <row r="4819" spans="1:9">
      <c r="A4819" s="6">
        <v>38</v>
      </c>
      <c r="B4819" s="6" t="str">
        <f t="shared" si="150"/>
        <v>Industrial Machinery</v>
      </c>
      <c r="C4819" s="6">
        <v>509</v>
      </c>
      <c r="D4819" s="6" t="str">
        <f t="shared" si="151"/>
        <v>Total Margin and Transportation Cost</v>
      </c>
      <c r="E4819" s="6">
        <v>-152778621</v>
      </c>
      <c r="F4819" s="6">
        <v>-102624075</v>
      </c>
      <c r="G4819" s="6">
        <v>-37200798</v>
      </c>
      <c r="H4819" s="6">
        <v>-12953748</v>
      </c>
      <c r="I4819" s="6">
        <v>0</v>
      </c>
    </row>
    <row r="4820" spans="1:9">
      <c r="A4820" s="6">
        <v>39</v>
      </c>
      <c r="B4820" s="6" t="str">
        <f t="shared" si="150"/>
        <v>Electrical Machinery and Apparatus</v>
      </c>
      <c r="C4820" s="6">
        <v>509</v>
      </c>
      <c r="D4820" s="6" t="str">
        <f t="shared" si="151"/>
        <v>Total Margin and Transportation Cost</v>
      </c>
      <c r="E4820" s="6">
        <v>-577191941</v>
      </c>
      <c r="F4820" s="6">
        <v>-303621563</v>
      </c>
      <c r="G4820" s="6">
        <v>-226256260</v>
      </c>
      <c r="H4820" s="6">
        <v>-47314118</v>
      </c>
      <c r="I4820" s="6">
        <v>0</v>
      </c>
    </row>
    <row r="4821" spans="1:9">
      <c r="A4821" s="6">
        <v>40</v>
      </c>
      <c r="B4821" s="6" t="str">
        <f t="shared" si="150"/>
        <v>Motor Vehicles and Repairing</v>
      </c>
      <c r="C4821" s="6">
        <v>509</v>
      </c>
      <c r="D4821" s="6" t="str">
        <f t="shared" si="151"/>
        <v>Total Margin and Transportation Cost</v>
      </c>
      <c r="E4821" s="6">
        <v>-338337618</v>
      </c>
      <c r="F4821" s="6">
        <v>-160472892</v>
      </c>
      <c r="G4821" s="6">
        <v>-157814937</v>
      </c>
      <c r="H4821" s="6">
        <v>-20049789</v>
      </c>
      <c r="I4821" s="6">
        <v>0</v>
      </c>
    </row>
    <row r="4822" spans="1:9">
      <c r="A4822" s="6">
        <v>41</v>
      </c>
      <c r="B4822" s="6" t="str">
        <f t="shared" si="150"/>
        <v>Other Transportation Equipment</v>
      </c>
      <c r="C4822" s="6">
        <v>509</v>
      </c>
      <c r="D4822" s="6" t="str">
        <f t="shared" si="151"/>
        <v>Total Margin and Transportation Cost</v>
      </c>
      <c r="E4822" s="6">
        <v>-9301015</v>
      </c>
      <c r="F4822" s="6">
        <v>-7145384</v>
      </c>
      <c r="G4822" s="6">
        <v>-990883</v>
      </c>
      <c r="H4822" s="6">
        <v>-1164748</v>
      </c>
      <c r="I4822" s="6">
        <v>0</v>
      </c>
    </row>
    <row r="4823" spans="1:9">
      <c r="A4823" s="6">
        <v>42</v>
      </c>
      <c r="B4823" s="6" t="str">
        <f t="shared" si="150"/>
        <v>Leather Products</v>
      </c>
      <c r="C4823" s="6">
        <v>509</v>
      </c>
      <c r="D4823" s="6" t="str">
        <f t="shared" si="151"/>
        <v>Total Margin and Transportation Cost</v>
      </c>
      <c r="E4823" s="6">
        <v>-20312642</v>
      </c>
      <c r="F4823" s="6">
        <v>-10045245</v>
      </c>
      <c r="G4823" s="6">
        <v>-9326243</v>
      </c>
      <c r="H4823" s="6">
        <v>-941154</v>
      </c>
      <c r="I4823" s="6">
        <v>0</v>
      </c>
    </row>
    <row r="4824" spans="1:9">
      <c r="A4824" s="6">
        <v>43</v>
      </c>
      <c r="B4824" s="6" t="str">
        <f t="shared" si="150"/>
        <v>Saw Mills and Wood Products</v>
      </c>
      <c r="C4824" s="6">
        <v>509</v>
      </c>
      <c r="D4824" s="6" t="str">
        <f t="shared" si="151"/>
        <v>Total Margin and Transportation Cost</v>
      </c>
      <c r="E4824" s="6">
        <v>-54890214</v>
      </c>
      <c r="F4824" s="6">
        <v>-28799344</v>
      </c>
      <c r="G4824" s="6">
        <v>-22976201</v>
      </c>
      <c r="H4824" s="6">
        <v>-3114669</v>
      </c>
      <c r="I4824" s="6">
        <v>0</v>
      </c>
    </row>
    <row r="4825" spans="1:9">
      <c r="A4825" s="6">
        <v>44</v>
      </c>
      <c r="B4825" s="6" t="str">
        <f t="shared" si="150"/>
        <v>Other Manufacturing Products</v>
      </c>
      <c r="C4825" s="6">
        <v>509</v>
      </c>
      <c r="D4825" s="6" t="str">
        <f t="shared" si="151"/>
        <v>Total Margin and Transportation Cost</v>
      </c>
      <c r="E4825" s="6">
        <v>-213659865</v>
      </c>
      <c r="F4825" s="6">
        <v>-96610091</v>
      </c>
      <c r="G4825" s="6">
        <v>-109460565</v>
      </c>
      <c r="H4825" s="6">
        <v>-7589209</v>
      </c>
      <c r="I4825" s="6">
        <v>0</v>
      </c>
    </row>
    <row r="4826" spans="1:9">
      <c r="A4826" s="6">
        <v>45</v>
      </c>
      <c r="B4826" s="6" t="str">
        <f t="shared" si="150"/>
        <v>Electricity and Gas</v>
      </c>
      <c r="C4826" s="6">
        <v>509</v>
      </c>
      <c r="D4826" s="6" t="str">
        <f t="shared" si="151"/>
        <v>Total Margin and Transportation Cost</v>
      </c>
      <c r="E4826" s="6">
        <v>-14523894</v>
      </c>
      <c r="F4826" s="6">
        <v>-5223352</v>
      </c>
      <c r="G4826" s="6">
        <v>-7959250</v>
      </c>
      <c r="H4826" s="6">
        <v>-1341292</v>
      </c>
      <c r="I4826" s="6">
        <v>0</v>
      </c>
    </row>
    <row r="4827" spans="1:9">
      <c r="A4827" s="6">
        <v>46</v>
      </c>
      <c r="B4827" s="6" t="str">
        <f t="shared" si="150"/>
        <v>Water Works and Supply</v>
      </c>
      <c r="C4827" s="6">
        <v>509</v>
      </c>
      <c r="D4827" s="6" t="str">
        <f t="shared" si="151"/>
        <v>Total Margin and Transportation Cost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</row>
    <row r="4828" spans="1:9">
      <c r="A4828" s="6">
        <v>47</v>
      </c>
      <c r="B4828" s="6" t="str">
        <f t="shared" si="150"/>
        <v>Building Construction</v>
      </c>
      <c r="C4828" s="6">
        <v>509</v>
      </c>
      <c r="D4828" s="6" t="str">
        <f t="shared" si="151"/>
        <v>Total Margin and Transportation Cost</v>
      </c>
      <c r="E4828" s="6">
        <v>-3674</v>
      </c>
      <c r="F4828" s="6">
        <v>0</v>
      </c>
      <c r="G4828" s="6">
        <v>0</v>
      </c>
      <c r="H4828" s="6">
        <v>-3674</v>
      </c>
      <c r="I4828" s="6">
        <v>0</v>
      </c>
    </row>
    <row r="4829" spans="1:9">
      <c r="A4829" s="6">
        <v>48</v>
      </c>
      <c r="B4829" s="6" t="str">
        <f t="shared" si="150"/>
        <v>Public Works and Other Construction</v>
      </c>
      <c r="C4829" s="6">
        <v>509</v>
      </c>
      <c r="D4829" s="6" t="str">
        <f t="shared" si="151"/>
        <v>Total Margin and Transportation Cost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</row>
    <row r="4830" spans="1:9">
      <c r="A4830" s="6">
        <v>49</v>
      </c>
      <c r="B4830" s="6" t="str">
        <f t="shared" si="150"/>
        <v>Trade</v>
      </c>
      <c r="C4830" s="6">
        <v>509</v>
      </c>
      <c r="D4830" s="6" t="str">
        <f t="shared" si="151"/>
        <v>Total Margin and Transportation Cost</v>
      </c>
      <c r="E4830" s="6">
        <v>3275299776</v>
      </c>
      <c r="F4830" s="6">
        <v>1840342700</v>
      </c>
      <c r="G4830" s="6">
        <v>1434957076</v>
      </c>
      <c r="H4830" s="6">
        <v>0</v>
      </c>
      <c r="I4830" s="6">
        <v>0</v>
      </c>
    </row>
    <row r="4831" spans="1:9">
      <c r="A4831" s="6">
        <v>50</v>
      </c>
      <c r="B4831" s="6" t="str">
        <f t="shared" si="150"/>
        <v>Restaurants and Hotels</v>
      </c>
      <c r="C4831" s="6">
        <v>509</v>
      </c>
      <c r="D4831" s="6" t="str">
        <f t="shared" si="151"/>
        <v>Total Margin and Transportation Cost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</row>
    <row r="4832" spans="1:9">
      <c r="A4832" s="6">
        <v>51</v>
      </c>
      <c r="B4832" s="6" t="str">
        <f t="shared" si="150"/>
        <v>Transportation</v>
      </c>
      <c r="C4832" s="6">
        <v>509</v>
      </c>
      <c r="D4832" s="6" t="str">
        <f t="shared" si="151"/>
        <v>Total Margin and Transportation Cost</v>
      </c>
      <c r="E4832" s="6">
        <v>295640484</v>
      </c>
      <c r="F4832" s="6">
        <v>0</v>
      </c>
      <c r="G4832" s="6">
        <v>0</v>
      </c>
      <c r="H4832" s="6">
        <v>295640484</v>
      </c>
      <c r="I4832" s="6">
        <v>0</v>
      </c>
    </row>
    <row r="4833" spans="1:9">
      <c r="A4833" s="6">
        <v>52</v>
      </c>
      <c r="B4833" s="6" t="str">
        <f t="shared" si="150"/>
        <v>Communication</v>
      </c>
      <c r="C4833" s="6">
        <v>509</v>
      </c>
      <c r="D4833" s="6" t="str">
        <f t="shared" si="151"/>
        <v>Total Margin and Transportation Cost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</row>
    <row r="4834" spans="1:9">
      <c r="A4834" s="6">
        <v>53</v>
      </c>
      <c r="B4834" s="6" t="str">
        <f t="shared" si="150"/>
        <v>Banking and Insurance</v>
      </c>
      <c r="C4834" s="6">
        <v>509</v>
      </c>
      <c r="D4834" s="6" t="str">
        <f t="shared" si="151"/>
        <v>Total Margin and Transportation Cost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</row>
    <row r="4835" spans="1:9">
      <c r="A4835" s="6">
        <v>54</v>
      </c>
      <c r="B4835" s="6" t="str">
        <f t="shared" si="150"/>
        <v>Real Estate</v>
      </c>
      <c r="C4835" s="6">
        <v>509</v>
      </c>
      <c r="D4835" s="6" t="str">
        <f t="shared" si="151"/>
        <v>Total Margin and Transportation Cost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</row>
    <row r="4836" spans="1:9">
      <c r="A4836" s="6">
        <v>55</v>
      </c>
      <c r="B4836" s="6" t="str">
        <f t="shared" si="150"/>
        <v>Business Services</v>
      </c>
      <c r="C4836" s="6">
        <v>509</v>
      </c>
      <c r="D4836" s="6" t="str">
        <f t="shared" si="151"/>
        <v>Total Margin and Transportation Cost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</row>
    <row r="4837" spans="1:9">
      <c r="A4837" s="6">
        <v>56</v>
      </c>
      <c r="B4837" s="6" t="str">
        <f t="shared" si="150"/>
        <v>Public Services</v>
      </c>
      <c r="C4837" s="6">
        <v>509</v>
      </c>
      <c r="D4837" s="6" t="str">
        <f t="shared" si="151"/>
        <v>Total Margin and Transportation Cost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</row>
    <row r="4838" spans="1:9">
      <c r="A4838" s="6">
        <v>57</v>
      </c>
      <c r="B4838" s="6" t="str">
        <f t="shared" si="150"/>
        <v>Other Services</v>
      </c>
      <c r="C4838" s="6">
        <v>509</v>
      </c>
      <c r="D4838" s="6" t="str">
        <f t="shared" si="151"/>
        <v>Total Margin and Transportation Cost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</row>
    <row r="4839" spans="1:9">
      <c r="A4839" s="6">
        <v>58</v>
      </c>
      <c r="B4839" s="6" t="str">
        <f t="shared" si="150"/>
        <v>Unclassified</v>
      </c>
      <c r="C4839" s="6">
        <v>509</v>
      </c>
      <c r="D4839" s="6" t="str">
        <f t="shared" si="151"/>
        <v>Total Margin and Transportation Cost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</row>
    <row r="4840" spans="1:9">
      <c r="A4840" s="6">
        <v>190</v>
      </c>
      <c r="B4840" s="6" t="str">
        <f t="shared" si="150"/>
        <v>Total Intermedite Transaction</v>
      </c>
      <c r="C4840" s="6">
        <v>509</v>
      </c>
      <c r="D4840" s="6" t="str">
        <f t="shared" si="151"/>
        <v>Total Margin and Transportation Cost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</row>
    <row r="4841" spans="1:9">
      <c r="A4841" s="6">
        <v>1</v>
      </c>
      <c r="B4841" s="6" t="str">
        <f t="shared" si="150"/>
        <v>Paddy</v>
      </c>
      <c r="C4841" s="6">
        <v>600</v>
      </c>
      <c r="D4841" s="6" t="str">
        <f t="shared" si="151"/>
        <v>Control Total</v>
      </c>
      <c r="E4841" s="6">
        <v>300805457</v>
      </c>
      <c r="F4841" s="6">
        <v>0</v>
      </c>
      <c r="G4841" s="6">
        <v>0</v>
      </c>
      <c r="H4841" s="6">
        <v>0</v>
      </c>
      <c r="I4841" s="6">
        <v>0</v>
      </c>
    </row>
    <row r="4842" spans="1:9">
      <c r="A4842" s="6">
        <v>2</v>
      </c>
      <c r="B4842" s="6" t="str">
        <f t="shared" si="150"/>
        <v>Maize</v>
      </c>
      <c r="C4842" s="6">
        <v>600</v>
      </c>
      <c r="D4842" s="6" t="str">
        <f t="shared" si="151"/>
        <v>Control Total</v>
      </c>
      <c r="E4842" s="6">
        <v>41908055</v>
      </c>
      <c r="F4842" s="6">
        <v>0</v>
      </c>
      <c r="G4842" s="6">
        <v>0</v>
      </c>
      <c r="H4842" s="6">
        <v>0</v>
      </c>
      <c r="I4842" s="6">
        <v>0</v>
      </c>
    </row>
    <row r="4843" spans="1:9">
      <c r="A4843" s="6">
        <v>3</v>
      </c>
      <c r="B4843" s="6" t="str">
        <f t="shared" si="150"/>
        <v>Cassava</v>
      </c>
      <c r="C4843" s="6">
        <v>600</v>
      </c>
      <c r="D4843" s="6" t="str">
        <f t="shared" si="151"/>
        <v>Control Total</v>
      </c>
      <c r="E4843" s="6">
        <v>74000253</v>
      </c>
      <c r="F4843" s="6">
        <v>0</v>
      </c>
      <c r="G4843" s="6">
        <v>0</v>
      </c>
      <c r="H4843" s="6">
        <v>0</v>
      </c>
      <c r="I4843" s="6">
        <v>0</v>
      </c>
    </row>
    <row r="4844" spans="1:9">
      <c r="A4844" s="6">
        <v>4</v>
      </c>
      <c r="B4844" s="6" t="str">
        <f t="shared" si="150"/>
        <v>Beans and Nuts</v>
      </c>
      <c r="C4844" s="6">
        <v>600</v>
      </c>
      <c r="D4844" s="6" t="str">
        <f t="shared" si="151"/>
        <v>Control Total</v>
      </c>
      <c r="E4844" s="6">
        <v>4382638</v>
      </c>
      <c r="F4844" s="6">
        <v>0</v>
      </c>
      <c r="G4844" s="6">
        <v>0</v>
      </c>
      <c r="H4844" s="6">
        <v>0</v>
      </c>
      <c r="I4844" s="6">
        <v>0</v>
      </c>
    </row>
    <row r="4845" spans="1:9">
      <c r="A4845" s="6">
        <v>5</v>
      </c>
      <c r="B4845" s="6" t="str">
        <f t="shared" si="150"/>
        <v>Vegetables and Fruits</v>
      </c>
      <c r="C4845" s="6">
        <v>600</v>
      </c>
      <c r="D4845" s="6" t="str">
        <f t="shared" si="151"/>
        <v>Control Total</v>
      </c>
      <c r="E4845" s="6">
        <v>645639471</v>
      </c>
      <c r="F4845" s="6">
        <v>0</v>
      </c>
      <c r="G4845" s="6">
        <v>0</v>
      </c>
      <c r="H4845" s="6">
        <v>0</v>
      </c>
      <c r="I4845" s="6">
        <v>0</v>
      </c>
    </row>
    <row r="4846" spans="1:9">
      <c r="A4846" s="6">
        <v>6</v>
      </c>
      <c r="B4846" s="6" t="str">
        <f t="shared" si="150"/>
        <v>Sugarcane</v>
      </c>
      <c r="C4846" s="6">
        <v>600</v>
      </c>
      <c r="D4846" s="6" t="str">
        <f t="shared" si="151"/>
        <v>Control Total</v>
      </c>
      <c r="E4846" s="6">
        <v>67805401</v>
      </c>
      <c r="F4846" s="6">
        <v>0</v>
      </c>
      <c r="G4846" s="6">
        <v>0</v>
      </c>
      <c r="H4846" s="6">
        <v>0</v>
      </c>
      <c r="I4846" s="6">
        <v>0</v>
      </c>
    </row>
    <row r="4847" spans="1:9">
      <c r="A4847" s="6">
        <v>7</v>
      </c>
      <c r="B4847" s="6" t="str">
        <f t="shared" si="150"/>
        <v>Rubber (Latex)</v>
      </c>
      <c r="C4847" s="6">
        <v>600</v>
      </c>
      <c r="D4847" s="6" t="str">
        <f t="shared" si="151"/>
        <v>Control Total</v>
      </c>
      <c r="E4847" s="6">
        <v>221042403</v>
      </c>
      <c r="F4847" s="6">
        <v>0</v>
      </c>
      <c r="G4847" s="6">
        <v>0</v>
      </c>
      <c r="H4847" s="6">
        <v>0</v>
      </c>
      <c r="I4847" s="6">
        <v>0</v>
      </c>
    </row>
    <row r="4848" spans="1:9">
      <c r="A4848" s="6">
        <v>8</v>
      </c>
      <c r="B4848" s="6" t="str">
        <f t="shared" si="150"/>
        <v>Other Crops</v>
      </c>
      <c r="C4848" s="6">
        <v>600</v>
      </c>
      <c r="D4848" s="6" t="str">
        <f t="shared" si="151"/>
        <v>Control Total</v>
      </c>
      <c r="E4848" s="6">
        <v>198730045</v>
      </c>
      <c r="F4848" s="6">
        <v>0</v>
      </c>
      <c r="G4848" s="6">
        <v>0</v>
      </c>
      <c r="H4848" s="6">
        <v>0</v>
      </c>
      <c r="I4848" s="6">
        <v>0</v>
      </c>
    </row>
    <row r="4849" spans="1:9">
      <c r="A4849" s="6">
        <v>9</v>
      </c>
      <c r="B4849" s="6" t="str">
        <f t="shared" si="150"/>
        <v>Livestock</v>
      </c>
      <c r="C4849" s="6">
        <v>600</v>
      </c>
      <c r="D4849" s="6" t="str">
        <f t="shared" si="151"/>
        <v>Control Total</v>
      </c>
      <c r="E4849" s="6">
        <v>414580102</v>
      </c>
      <c r="F4849" s="6">
        <v>0</v>
      </c>
      <c r="G4849" s="6">
        <v>0</v>
      </c>
      <c r="H4849" s="6">
        <v>0</v>
      </c>
      <c r="I4849" s="6">
        <v>0</v>
      </c>
    </row>
    <row r="4850" spans="1:9">
      <c r="A4850" s="6">
        <v>10</v>
      </c>
      <c r="B4850" s="6" t="str">
        <f t="shared" si="150"/>
        <v>Forestry</v>
      </c>
      <c r="C4850" s="6">
        <v>600</v>
      </c>
      <c r="D4850" s="6" t="str">
        <f t="shared" si="151"/>
        <v>Control Total</v>
      </c>
      <c r="E4850" s="6">
        <v>24034788</v>
      </c>
      <c r="F4850" s="6">
        <v>0</v>
      </c>
      <c r="G4850" s="6">
        <v>0</v>
      </c>
      <c r="H4850" s="6">
        <v>0</v>
      </c>
      <c r="I4850" s="6">
        <v>0</v>
      </c>
    </row>
    <row r="4851" spans="1:9">
      <c r="A4851" s="6">
        <v>11</v>
      </c>
      <c r="B4851" s="6" t="str">
        <f t="shared" si="150"/>
        <v>Fishery</v>
      </c>
      <c r="C4851" s="6">
        <v>600</v>
      </c>
      <c r="D4851" s="6" t="str">
        <f t="shared" si="151"/>
        <v>Control Total</v>
      </c>
      <c r="E4851" s="6">
        <v>200006620</v>
      </c>
      <c r="F4851" s="6">
        <v>0</v>
      </c>
      <c r="G4851" s="6">
        <v>0</v>
      </c>
      <c r="H4851" s="6">
        <v>0</v>
      </c>
      <c r="I4851" s="6">
        <v>0</v>
      </c>
    </row>
    <row r="4852" spans="1:9">
      <c r="A4852" s="6">
        <v>12</v>
      </c>
      <c r="B4852" s="6" t="str">
        <f t="shared" si="150"/>
        <v>Crude Oil and Coal</v>
      </c>
      <c r="C4852" s="6">
        <v>600</v>
      </c>
      <c r="D4852" s="6" t="str">
        <f t="shared" si="151"/>
        <v>Control Total</v>
      </c>
      <c r="E4852" s="6">
        <v>366401666</v>
      </c>
      <c r="F4852" s="6">
        <v>0</v>
      </c>
      <c r="G4852" s="6">
        <v>0</v>
      </c>
      <c r="H4852" s="6">
        <v>0</v>
      </c>
      <c r="I4852" s="6">
        <v>0</v>
      </c>
    </row>
    <row r="4853" spans="1:9">
      <c r="A4853" s="6">
        <v>13</v>
      </c>
      <c r="B4853" s="6" t="str">
        <f t="shared" si="150"/>
        <v>Metal Ore</v>
      </c>
      <c r="C4853" s="6">
        <v>600</v>
      </c>
      <c r="D4853" s="6" t="str">
        <f t="shared" si="151"/>
        <v>Control Total</v>
      </c>
      <c r="E4853" s="6">
        <v>188947</v>
      </c>
      <c r="F4853" s="6">
        <v>0</v>
      </c>
      <c r="G4853" s="6">
        <v>0</v>
      </c>
      <c r="H4853" s="6">
        <v>0</v>
      </c>
      <c r="I4853" s="6">
        <v>0</v>
      </c>
    </row>
    <row r="4854" spans="1:9">
      <c r="A4854" s="6">
        <v>14</v>
      </c>
      <c r="B4854" s="6" t="str">
        <f t="shared" si="150"/>
        <v>Non-Metal Ore</v>
      </c>
      <c r="C4854" s="6">
        <v>600</v>
      </c>
      <c r="D4854" s="6" t="str">
        <f t="shared" si="151"/>
        <v>Control Total</v>
      </c>
      <c r="E4854" s="6">
        <v>128619782</v>
      </c>
      <c r="F4854" s="6">
        <v>0</v>
      </c>
      <c r="G4854" s="6">
        <v>0</v>
      </c>
      <c r="H4854" s="6">
        <v>0</v>
      </c>
      <c r="I4854" s="6">
        <v>0</v>
      </c>
    </row>
    <row r="4855" spans="1:9">
      <c r="A4855" s="6">
        <v>15</v>
      </c>
      <c r="B4855" s="6" t="str">
        <f t="shared" si="150"/>
        <v>Slaughtering</v>
      </c>
      <c r="C4855" s="6">
        <v>600</v>
      </c>
      <c r="D4855" s="6" t="str">
        <f t="shared" si="151"/>
        <v>Control Total</v>
      </c>
      <c r="E4855" s="6">
        <v>528708608</v>
      </c>
      <c r="F4855" s="6">
        <v>0</v>
      </c>
      <c r="G4855" s="6">
        <v>0</v>
      </c>
      <c r="H4855" s="6">
        <v>0</v>
      </c>
      <c r="I4855" s="6">
        <v>0</v>
      </c>
    </row>
    <row r="4856" spans="1:9">
      <c r="A4856" s="6">
        <v>16</v>
      </c>
      <c r="B4856" s="6" t="str">
        <f t="shared" si="150"/>
        <v>Processing and Presering of Foods</v>
      </c>
      <c r="C4856" s="6">
        <v>600</v>
      </c>
      <c r="D4856" s="6" t="str">
        <f t="shared" si="151"/>
        <v>Control Total</v>
      </c>
      <c r="E4856" s="6">
        <v>770908850</v>
      </c>
      <c r="F4856" s="6">
        <v>0</v>
      </c>
      <c r="G4856" s="6">
        <v>0</v>
      </c>
      <c r="H4856" s="6">
        <v>0</v>
      </c>
      <c r="I4856" s="6">
        <v>0</v>
      </c>
    </row>
    <row r="4857" spans="1:9">
      <c r="A4857" s="6">
        <v>17</v>
      </c>
      <c r="B4857" s="6" t="str">
        <f t="shared" si="150"/>
        <v>Rice and Other Grain Milling</v>
      </c>
      <c r="C4857" s="6">
        <v>600</v>
      </c>
      <c r="D4857" s="6" t="str">
        <f t="shared" si="151"/>
        <v>Control Total</v>
      </c>
      <c r="E4857" s="6">
        <v>526833171</v>
      </c>
      <c r="F4857" s="6">
        <v>0</v>
      </c>
      <c r="G4857" s="6">
        <v>0</v>
      </c>
      <c r="H4857" s="6">
        <v>0</v>
      </c>
      <c r="I4857" s="6">
        <v>0</v>
      </c>
    </row>
    <row r="4858" spans="1:9">
      <c r="A4858" s="6">
        <v>18</v>
      </c>
      <c r="B4858" s="6" t="str">
        <f t="shared" si="150"/>
        <v>Sugar Refineries</v>
      </c>
      <c r="C4858" s="6">
        <v>600</v>
      </c>
      <c r="D4858" s="6" t="str">
        <f t="shared" si="151"/>
        <v>Control Total</v>
      </c>
      <c r="E4858" s="6">
        <v>150131346</v>
      </c>
      <c r="F4858" s="6">
        <v>0</v>
      </c>
      <c r="G4858" s="6">
        <v>0</v>
      </c>
      <c r="H4858" s="6">
        <v>0</v>
      </c>
      <c r="I4858" s="6">
        <v>0</v>
      </c>
    </row>
    <row r="4859" spans="1:9">
      <c r="A4859" s="6">
        <v>19</v>
      </c>
      <c r="B4859" s="6" t="str">
        <f t="shared" si="150"/>
        <v>Other Foods</v>
      </c>
      <c r="C4859" s="6">
        <v>600</v>
      </c>
      <c r="D4859" s="6" t="str">
        <f t="shared" si="151"/>
        <v>Control Total</v>
      </c>
      <c r="E4859" s="6">
        <v>304173412</v>
      </c>
      <c r="F4859" s="6">
        <v>0</v>
      </c>
      <c r="G4859" s="6">
        <v>0</v>
      </c>
      <c r="H4859" s="6">
        <v>0</v>
      </c>
      <c r="I4859" s="6">
        <v>0</v>
      </c>
    </row>
    <row r="4860" spans="1:9">
      <c r="A4860" s="6">
        <v>20</v>
      </c>
      <c r="B4860" s="6" t="str">
        <f t="shared" si="150"/>
        <v>Animal Food</v>
      </c>
      <c r="C4860" s="6">
        <v>600</v>
      </c>
      <c r="D4860" s="6" t="str">
        <f t="shared" si="151"/>
        <v>Control Total</v>
      </c>
      <c r="E4860" s="6">
        <v>71308883</v>
      </c>
      <c r="F4860" s="6">
        <v>0</v>
      </c>
      <c r="G4860" s="6">
        <v>0</v>
      </c>
      <c r="H4860" s="6">
        <v>0</v>
      </c>
      <c r="I4860" s="6">
        <v>0</v>
      </c>
    </row>
    <row r="4861" spans="1:9">
      <c r="A4861" s="6">
        <v>21</v>
      </c>
      <c r="B4861" s="6" t="str">
        <f t="shared" si="150"/>
        <v>Beverages</v>
      </c>
      <c r="C4861" s="6">
        <v>600</v>
      </c>
      <c r="D4861" s="6" t="str">
        <f t="shared" si="151"/>
        <v>Control Total</v>
      </c>
      <c r="E4861" s="6">
        <v>557946323</v>
      </c>
      <c r="F4861" s="6">
        <v>0</v>
      </c>
      <c r="G4861" s="6">
        <v>0</v>
      </c>
      <c r="H4861" s="6">
        <v>0</v>
      </c>
      <c r="I4861" s="6">
        <v>0</v>
      </c>
    </row>
    <row r="4862" spans="1:9">
      <c r="A4862" s="6">
        <v>22</v>
      </c>
      <c r="B4862" s="6" t="str">
        <f t="shared" si="150"/>
        <v>Tobacco Processing and Products</v>
      </c>
      <c r="C4862" s="6">
        <v>600</v>
      </c>
      <c r="D4862" s="6" t="str">
        <f t="shared" si="151"/>
        <v>Control Total</v>
      </c>
      <c r="E4862" s="6">
        <v>50115905</v>
      </c>
      <c r="F4862" s="6">
        <v>0</v>
      </c>
      <c r="G4862" s="6">
        <v>0</v>
      </c>
      <c r="H4862" s="6">
        <v>0</v>
      </c>
      <c r="I4862" s="6">
        <v>0</v>
      </c>
    </row>
    <row r="4863" spans="1:9">
      <c r="A4863" s="6">
        <v>23</v>
      </c>
      <c r="B4863" s="6" t="str">
        <f t="shared" si="150"/>
        <v>Spinning, Weaving and Bleaching</v>
      </c>
      <c r="C4863" s="6">
        <v>600</v>
      </c>
      <c r="D4863" s="6" t="str">
        <f t="shared" si="151"/>
        <v>Control Total</v>
      </c>
      <c r="E4863" s="6">
        <v>187820243</v>
      </c>
      <c r="F4863" s="6">
        <v>0</v>
      </c>
      <c r="G4863" s="6">
        <v>0</v>
      </c>
      <c r="H4863" s="6">
        <v>0</v>
      </c>
      <c r="I4863" s="6">
        <v>0</v>
      </c>
    </row>
    <row r="4864" spans="1:9">
      <c r="A4864" s="6">
        <v>24</v>
      </c>
      <c r="B4864" s="6" t="str">
        <f t="shared" si="150"/>
        <v>Textile Products</v>
      </c>
      <c r="C4864" s="6">
        <v>600</v>
      </c>
      <c r="D4864" s="6" t="str">
        <f t="shared" si="151"/>
        <v>Control Total</v>
      </c>
      <c r="E4864" s="6">
        <v>291830405</v>
      </c>
      <c r="F4864" s="6">
        <v>0</v>
      </c>
      <c r="G4864" s="6">
        <v>0</v>
      </c>
      <c r="H4864" s="6">
        <v>0</v>
      </c>
      <c r="I4864" s="6">
        <v>0</v>
      </c>
    </row>
    <row r="4865" spans="1:9">
      <c r="A4865" s="6">
        <v>25</v>
      </c>
      <c r="B4865" s="6" t="str">
        <f t="shared" si="150"/>
        <v>Paper and Paper Products</v>
      </c>
      <c r="C4865" s="6">
        <v>600</v>
      </c>
      <c r="D4865" s="6" t="str">
        <f t="shared" si="151"/>
        <v>Control Total</v>
      </c>
      <c r="E4865" s="6">
        <v>200582571</v>
      </c>
      <c r="F4865" s="6">
        <v>0</v>
      </c>
      <c r="G4865" s="6">
        <v>0</v>
      </c>
      <c r="H4865" s="6">
        <v>0</v>
      </c>
      <c r="I4865" s="6">
        <v>0</v>
      </c>
    </row>
    <row r="4866" spans="1:9">
      <c r="A4866" s="6">
        <v>26</v>
      </c>
      <c r="B4866" s="6" t="str">
        <f t="shared" si="150"/>
        <v>Printing and Publishing</v>
      </c>
      <c r="C4866" s="6">
        <v>600</v>
      </c>
      <c r="D4866" s="6" t="str">
        <f t="shared" si="151"/>
        <v>Control Total</v>
      </c>
      <c r="E4866" s="6">
        <v>78315320</v>
      </c>
      <c r="F4866" s="6">
        <v>0</v>
      </c>
      <c r="G4866" s="6">
        <v>0</v>
      </c>
      <c r="H4866" s="6">
        <v>0</v>
      </c>
      <c r="I4866" s="6">
        <v>0</v>
      </c>
    </row>
    <row r="4867" spans="1:9">
      <c r="A4867" s="6">
        <v>27</v>
      </c>
      <c r="B4867" s="6" t="str">
        <f t="shared" si="150"/>
        <v>Basic Chemical Products</v>
      </c>
      <c r="C4867" s="6">
        <v>600</v>
      </c>
      <c r="D4867" s="6" t="str">
        <f t="shared" si="151"/>
        <v>Control Total</v>
      </c>
      <c r="E4867" s="6">
        <v>835162844</v>
      </c>
      <c r="F4867" s="6">
        <v>0</v>
      </c>
      <c r="G4867" s="6">
        <v>0</v>
      </c>
      <c r="H4867" s="6">
        <v>0</v>
      </c>
      <c r="I4867" s="6">
        <v>0</v>
      </c>
    </row>
    <row r="4868" spans="1:9">
      <c r="A4868" s="6">
        <v>28</v>
      </c>
      <c r="B4868" s="6" t="str">
        <f t="shared" ref="B4868:B4931" si="152">VLOOKUP(A4868,R:S,2,0)</f>
        <v>Fertilizer and Pesticides</v>
      </c>
      <c r="C4868" s="6">
        <v>600</v>
      </c>
      <c r="D4868" s="6" t="str">
        <f t="shared" ref="D4868:D4931" si="153">VLOOKUP(C4868,R:S,2,0)</f>
        <v>Control Total</v>
      </c>
      <c r="E4868" s="6">
        <v>70240032</v>
      </c>
      <c r="F4868" s="6">
        <v>0</v>
      </c>
      <c r="G4868" s="6">
        <v>0</v>
      </c>
      <c r="H4868" s="6">
        <v>0</v>
      </c>
      <c r="I4868" s="6">
        <v>0</v>
      </c>
    </row>
    <row r="4869" spans="1:9">
      <c r="A4869" s="6">
        <v>29</v>
      </c>
      <c r="B4869" s="6" t="str">
        <f t="shared" si="152"/>
        <v>Other Chemical Products</v>
      </c>
      <c r="C4869" s="6">
        <v>600</v>
      </c>
      <c r="D4869" s="6" t="str">
        <f t="shared" si="153"/>
        <v>Control Total</v>
      </c>
      <c r="E4869" s="6">
        <v>472756822</v>
      </c>
      <c r="F4869" s="6">
        <v>0</v>
      </c>
      <c r="G4869" s="6">
        <v>0</v>
      </c>
      <c r="H4869" s="6">
        <v>0</v>
      </c>
      <c r="I4869" s="6">
        <v>0</v>
      </c>
    </row>
    <row r="4870" spans="1:9">
      <c r="A4870" s="6">
        <v>30</v>
      </c>
      <c r="B4870" s="6" t="str">
        <f t="shared" si="152"/>
        <v>Petroleum Refineries</v>
      </c>
      <c r="C4870" s="6">
        <v>600</v>
      </c>
      <c r="D4870" s="6" t="str">
        <f t="shared" si="153"/>
        <v>Control Total</v>
      </c>
      <c r="E4870" s="6">
        <v>1262474068</v>
      </c>
      <c r="F4870" s="6">
        <v>0</v>
      </c>
      <c r="G4870" s="6">
        <v>0</v>
      </c>
      <c r="H4870" s="6">
        <v>0</v>
      </c>
      <c r="I4870" s="6">
        <v>0</v>
      </c>
    </row>
    <row r="4871" spans="1:9">
      <c r="A4871" s="6">
        <v>31</v>
      </c>
      <c r="B4871" s="6" t="str">
        <f t="shared" si="152"/>
        <v>Rubber Products</v>
      </c>
      <c r="C4871" s="6">
        <v>600</v>
      </c>
      <c r="D4871" s="6" t="str">
        <f t="shared" si="153"/>
        <v>Control Total</v>
      </c>
      <c r="E4871" s="6">
        <v>365360836</v>
      </c>
      <c r="F4871" s="6">
        <v>0</v>
      </c>
      <c r="G4871" s="6">
        <v>0</v>
      </c>
      <c r="H4871" s="6">
        <v>0</v>
      </c>
      <c r="I4871" s="6">
        <v>0</v>
      </c>
    </row>
    <row r="4872" spans="1:9">
      <c r="A4872" s="6">
        <v>32</v>
      </c>
      <c r="B4872" s="6" t="str">
        <f t="shared" si="152"/>
        <v>Plastic Wares</v>
      </c>
      <c r="C4872" s="6">
        <v>600</v>
      </c>
      <c r="D4872" s="6" t="str">
        <f t="shared" si="153"/>
        <v>Control Total</v>
      </c>
      <c r="E4872" s="6">
        <v>500929197</v>
      </c>
      <c r="F4872" s="6">
        <v>0</v>
      </c>
      <c r="G4872" s="6">
        <v>0</v>
      </c>
      <c r="H4872" s="6">
        <v>0</v>
      </c>
      <c r="I4872" s="6">
        <v>0</v>
      </c>
    </row>
    <row r="4873" spans="1:9">
      <c r="A4873" s="6">
        <v>33</v>
      </c>
      <c r="B4873" s="6" t="str">
        <f t="shared" si="152"/>
        <v>Cement and Concrete Products</v>
      </c>
      <c r="C4873" s="6">
        <v>600</v>
      </c>
      <c r="D4873" s="6" t="str">
        <f t="shared" si="153"/>
        <v>Control Total</v>
      </c>
      <c r="E4873" s="6">
        <v>206232636</v>
      </c>
      <c r="F4873" s="6">
        <v>0</v>
      </c>
      <c r="G4873" s="6">
        <v>0</v>
      </c>
      <c r="H4873" s="6">
        <v>0</v>
      </c>
      <c r="I4873" s="6">
        <v>0</v>
      </c>
    </row>
    <row r="4874" spans="1:9">
      <c r="A4874" s="6">
        <v>34</v>
      </c>
      <c r="B4874" s="6" t="str">
        <f t="shared" si="152"/>
        <v>Other Non-metallic Products</v>
      </c>
      <c r="C4874" s="6">
        <v>600</v>
      </c>
      <c r="D4874" s="6" t="str">
        <f t="shared" si="153"/>
        <v>Control Total</v>
      </c>
      <c r="E4874" s="6">
        <v>281633963</v>
      </c>
      <c r="F4874" s="6">
        <v>0</v>
      </c>
      <c r="G4874" s="6">
        <v>0</v>
      </c>
      <c r="H4874" s="6">
        <v>0</v>
      </c>
      <c r="I4874" s="6">
        <v>0</v>
      </c>
    </row>
    <row r="4875" spans="1:9">
      <c r="A4875" s="6">
        <v>35</v>
      </c>
      <c r="B4875" s="6" t="str">
        <f t="shared" si="152"/>
        <v>Iron and Steel</v>
      </c>
      <c r="C4875" s="6">
        <v>600</v>
      </c>
      <c r="D4875" s="6" t="str">
        <f t="shared" si="153"/>
        <v>Control Total</v>
      </c>
      <c r="E4875" s="6">
        <v>261753647</v>
      </c>
      <c r="F4875" s="6">
        <v>0</v>
      </c>
      <c r="G4875" s="6">
        <v>0</v>
      </c>
      <c r="H4875" s="6">
        <v>0</v>
      </c>
      <c r="I4875" s="6">
        <v>0</v>
      </c>
    </row>
    <row r="4876" spans="1:9">
      <c r="A4876" s="6">
        <v>36</v>
      </c>
      <c r="B4876" s="6" t="str">
        <f t="shared" si="152"/>
        <v>Non-ferrous Metal</v>
      </c>
      <c r="C4876" s="6">
        <v>600</v>
      </c>
      <c r="D4876" s="6" t="str">
        <f t="shared" si="153"/>
        <v>Control Total</v>
      </c>
      <c r="E4876" s="6">
        <v>138423162</v>
      </c>
      <c r="F4876" s="6">
        <v>0</v>
      </c>
      <c r="G4876" s="6">
        <v>0</v>
      </c>
      <c r="H4876" s="6">
        <v>0</v>
      </c>
      <c r="I4876" s="6">
        <v>0</v>
      </c>
    </row>
    <row r="4877" spans="1:9">
      <c r="A4877" s="6">
        <v>37</v>
      </c>
      <c r="B4877" s="6" t="str">
        <f t="shared" si="152"/>
        <v>Fabricated Metal Products</v>
      </c>
      <c r="C4877" s="6">
        <v>600</v>
      </c>
      <c r="D4877" s="6" t="str">
        <f t="shared" si="153"/>
        <v>Control Total</v>
      </c>
      <c r="E4877" s="6">
        <v>510119284</v>
      </c>
      <c r="F4877" s="6">
        <v>0</v>
      </c>
      <c r="G4877" s="6">
        <v>0</v>
      </c>
      <c r="H4877" s="6">
        <v>0</v>
      </c>
      <c r="I4877" s="6">
        <v>0</v>
      </c>
    </row>
    <row r="4878" spans="1:9">
      <c r="A4878" s="6">
        <v>38</v>
      </c>
      <c r="B4878" s="6" t="str">
        <f t="shared" si="152"/>
        <v>Industrial Machinery</v>
      </c>
      <c r="C4878" s="6">
        <v>600</v>
      </c>
      <c r="D4878" s="6" t="str">
        <f t="shared" si="153"/>
        <v>Control Total</v>
      </c>
      <c r="E4878" s="6">
        <v>574716406</v>
      </c>
      <c r="F4878" s="6">
        <v>0</v>
      </c>
      <c r="G4878" s="6">
        <v>0</v>
      </c>
      <c r="H4878" s="6">
        <v>0</v>
      </c>
      <c r="I4878" s="6">
        <v>0</v>
      </c>
    </row>
    <row r="4879" spans="1:9">
      <c r="A4879" s="6">
        <v>39</v>
      </c>
      <c r="B4879" s="6" t="str">
        <f t="shared" si="152"/>
        <v>Electrical Machinery and Apparatus</v>
      </c>
      <c r="C4879" s="6">
        <v>600</v>
      </c>
      <c r="D4879" s="6" t="str">
        <f t="shared" si="153"/>
        <v>Control Total</v>
      </c>
      <c r="E4879" s="6">
        <v>3407251645</v>
      </c>
      <c r="F4879" s="6">
        <v>0</v>
      </c>
      <c r="G4879" s="6">
        <v>0</v>
      </c>
      <c r="H4879" s="6">
        <v>0</v>
      </c>
      <c r="I4879" s="6">
        <v>0</v>
      </c>
    </row>
    <row r="4880" spans="1:9">
      <c r="A4880" s="6">
        <v>40</v>
      </c>
      <c r="B4880" s="6" t="str">
        <f t="shared" si="152"/>
        <v>Motor Vehicles and Repairing</v>
      </c>
      <c r="C4880" s="6">
        <v>600</v>
      </c>
      <c r="D4880" s="6" t="str">
        <f t="shared" si="153"/>
        <v>Control Total</v>
      </c>
      <c r="E4880" s="6">
        <v>2183201855</v>
      </c>
      <c r="F4880" s="6">
        <v>0</v>
      </c>
      <c r="G4880" s="6">
        <v>0</v>
      </c>
      <c r="H4880" s="6">
        <v>0</v>
      </c>
      <c r="I4880" s="6">
        <v>0</v>
      </c>
    </row>
    <row r="4881" spans="1:9">
      <c r="A4881" s="6">
        <v>41</v>
      </c>
      <c r="B4881" s="6" t="str">
        <f t="shared" si="152"/>
        <v>Other Transportation Equipment</v>
      </c>
      <c r="C4881" s="6">
        <v>600</v>
      </c>
      <c r="D4881" s="6" t="str">
        <f t="shared" si="153"/>
        <v>Control Total</v>
      </c>
      <c r="E4881" s="6">
        <v>113026657</v>
      </c>
      <c r="F4881" s="6">
        <v>0</v>
      </c>
      <c r="G4881" s="6">
        <v>0</v>
      </c>
      <c r="H4881" s="6">
        <v>0</v>
      </c>
      <c r="I4881" s="6">
        <v>0</v>
      </c>
    </row>
    <row r="4882" spans="1:9">
      <c r="A4882" s="6">
        <v>42</v>
      </c>
      <c r="B4882" s="6" t="str">
        <f t="shared" si="152"/>
        <v>Leather Products</v>
      </c>
      <c r="C4882" s="6">
        <v>600</v>
      </c>
      <c r="D4882" s="6" t="str">
        <f t="shared" si="153"/>
        <v>Control Total</v>
      </c>
      <c r="E4882" s="6">
        <v>87487804</v>
      </c>
      <c r="F4882" s="6">
        <v>0</v>
      </c>
      <c r="G4882" s="6">
        <v>0</v>
      </c>
      <c r="H4882" s="6">
        <v>0</v>
      </c>
      <c r="I4882" s="6">
        <v>0</v>
      </c>
    </row>
    <row r="4883" spans="1:9">
      <c r="A4883" s="6">
        <v>43</v>
      </c>
      <c r="B4883" s="6" t="str">
        <f t="shared" si="152"/>
        <v>Saw Mills and Wood Products</v>
      </c>
      <c r="C4883" s="6">
        <v>600</v>
      </c>
      <c r="D4883" s="6" t="str">
        <f t="shared" si="153"/>
        <v>Control Total</v>
      </c>
      <c r="E4883" s="6">
        <v>266246557</v>
      </c>
      <c r="F4883" s="6">
        <v>0</v>
      </c>
      <c r="G4883" s="6">
        <v>0</v>
      </c>
      <c r="H4883" s="6">
        <v>0</v>
      </c>
      <c r="I4883" s="6">
        <v>0</v>
      </c>
    </row>
    <row r="4884" spans="1:9">
      <c r="A4884" s="6">
        <v>44</v>
      </c>
      <c r="B4884" s="6" t="str">
        <f t="shared" si="152"/>
        <v>Other Manufacturing Products</v>
      </c>
      <c r="C4884" s="6">
        <v>600</v>
      </c>
      <c r="D4884" s="6" t="str">
        <f t="shared" si="153"/>
        <v>Control Total</v>
      </c>
      <c r="E4884" s="6">
        <v>1293376165</v>
      </c>
      <c r="F4884" s="6">
        <v>0</v>
      </c>
      <c r="G4884" s="6">
        <v>0</v>
      </c>
      <c r="H4884" s="6">
        <v>0</v>
      </c>
      <c r="I4884" s="6">
        <v>0</v>
      </c>
    </row>
    <row r="4885" spans="1:9">
      <c r="A4885" s="6">
        <v>45</v>
      </c>
      <c r="B4885" s="6" t="str">
        <f t="shared" si="152"/>
        <v>Electricity and Gas</v>
      </c>
      <c r="C4885" s="6">
        <v>600</v>
      </c>
      <c r="D4885" s="6" t="str">
        <f t="shared" si="153"/>
        <v>Control Total</v>
      </c>
      <c r="E4885" s="6">
        <v>1540392449</v>
      </c>
      <c r="F4885" s="6">
        <v>0</v>
      </c>
      <c r="G4885" s="6">
        <v>0</v>
      </c>
      <c r="H4885" s="6">
        <v>0</v>
      </c>
      <c r="I4885" s="6">
        <v>0</v>
      </c>
    </row>
    <row r="4886" spans="1:9">
      <c r="A4886" s="6">
        <v>46</v>
      </c>
      <c r="B4886" s="6" t="str">
        <f t="shared" si="152"/>
        <v>Water Works and Supply</v>
      </c>
      <c r="C4886" s="6">
        <v>600</v>
      </c>
      <c r="D4886" s="6" t="str">
        <f t="shared" si="153"/>
        <v>Control Total</v>
      </c>
      <c r="E4886" s="6">
        <v>71263534</v>
      </c>
      <c r="F4886" s="6">
        <v>0</v>
      </c>
      <c r="G4886" s="6">
        <v>0</v>
      </c>
      <c r="H4886" s="6">
        <v>0</v>
      </c>
      <c r="I4886" s="6">
        <v>0</v>
      </c>
    </row>
    <row r="4887" spans="1:9">
      <c r="A4887" s="6">
        <v>47</v>
      </c>
      <c r="B4887" s="6" t="str">
        <f t="shared" si="152"/>
        <v>Building Construction</v>
      </c>
      <c r="C4887" s="6">
        <v>600</v>
      </c>
      <c r="D4887" s="6" t="str">
        <f t="shared" si="153"/>
        <v>Control Total</v>
      </c>
      <c r="E4887" s="6">
        <v>612713300</v>
      </c>
      <c r="F4887" s="6">
        <v>0</v>
      </c>
      <c r="G4887" s="6">
        <v>0</v>
      </c>
      <c r="H4887" s="6">
        <v>0</v>
      </c>
      <c r="I4887" s="6">
        <v>0</v>
      </c>
    </row>
    <row r="4888" spans="1:9">
      <c r="A4888" s="6">
        <v>48</v>
      </c>
      <c r="B4888" s="6" t="str">
        <f t="shared" si="152"/>
        <v>Public Works and Other Construction</v>
      </c>
      <c r="C4888" s="6">
        <v>600</v>
      </c>
      <c r="D4888" s="6" t="str">
        <f t="shared" si="153"/>
        <v>Control Total</v>
      </c>
      <c r="E4888" s="6">
        <v>758113275</v>
      </c>
      <c r="F4888" s="6">
        <v>0</v>
      </c>
      <c r="G4888" s="6">
        <v>0</v>
      </c>
      <c r="H4888" s="6">
        <v>0</v>
      </c>
      <c r="I4888" s="6">
        <v>0</v>
      </c>
    </row>
    <row r="4889" spans="1:9">
      <c r="A4889" s="6">
        <v>49</v>
      </c>
      <c r="B4889" s="6" t="str">
        <f t="shared" si="152"/>
        <v>Trade</v>
      </c>
      <c r="C4889" s="6">
        <v>600</v>
      </c>
      <c r="D4889" s="6" t="str">
        <f t="shared" si="153"/>
        <v>Control Total</v>
      </c>
      <c r="E4889" s="6">
        <v>3286326250</v>
      </c>
      <c r="F4889" s="6">
        <v>0</v>
      </c>
      <c r="G4889" s="6">
        <v>0</v>
      </c>
      <c r="H4889" s="6">
        <v>0</v>
      </c>
      <c r="I4889" s="6">
        <v>0</v>
      </c>
    </row>
    <row r="4890" spans="1:9">
      <c r="A4890" s="6">
        <v>50</v>
      </c>
      <c r="B4890" s="6" t="str">
        <f t="shared" si="152"/>
        <v>Restaurants and Hotels</v>
      </c>
      <c r="C4890" s="6">
        <v>600</v>
      </c>
      <c r="D4890" s="6" t="str">
        <f t="shared" si="153"/>
        <v>Control Total</v>
      </c>
      <c r="E4890" s="6">
        <v>1292633303</v>
      </c>
      <c r="F4890" s="6">
        <v>0</v>
      </c>
      <c r="G4890" s="6">
        <v>0</v>
      </c>
      <c r="H4890" s="6">
        <v>0</v>
      </c>
      <c r="I4890" s="6">
        <v>0</v>
      </c>
    </row>
    <row r="4891" spans="1:9">
      <c r="A4891" s="6">
        <v>51</v>
      </c>
      <c r="B4891" s="6" t="str">
        <f t="shared" si="152"/>
        <v>Transportation</v>
      </c>
      <c r="C4891" s="6">
        <v>600</v>
      </c>
      <c r="D4891" s="6" t="str">
        <f t="shared" si="153"/>
        <v>Control Total</v>
      </c>
      <c r="E4891" s="6">
        <v>1207624247</v>
      </c>
      <c r="F4891" s="6">
        <v>0</v>
      </c>
      <c r="G4891" s="6">
        <v>0</v>
      </c>
      <c r="H4891" s="6">
        <v>0</v>
      </c>
      <c r="I4891" s="6">
        <v>0</v>
      </c>
    </row>
    <row r="4892" spans="1:9">
      <c r="A4892" s="6">
        <v>52</v>
      </c>
      <c r="B4892" s="6" t="str">
        <f t="shared" si="152"/>
        <v>Communication</v>
      </c>
      <c r="C4892" s="6">
        <v>600</v>
      </c>
      <c r="D4892" s="6" t="str">
        <f t="shared" si="153"/>
        <v>Control Total</v>
      </c>
      <c r="E4892" s="6">
        <v>583806028</v>
      </c>
      <c r="F4892" s="6">
        <v>0</v>
      </c>
      <c r="G4892" s="6">
        <v>0</v>
      </c>
      <c r="H4892" s="6">
        <v>0</v>
      </c>
      <c r="I4892" s="6">
        <v>0</v>
      </c>
    </row>
    <row r="4893" spans="1:9">
      <c r="A4893" s="6">
        <v>53</v>
      </c>
      <c r="B4893" s="6" t="str">
        <f t="shared" si="152"/>
        <v>Banking and Insurance</v>
      </c>
      <c r="C4893" s="6">
        <v>600</v>
      </c>
      <c r="D4893" s="6" t="str">
        <f t="shared" si="153"/>
        <v>Control Total</v>
      </c>
      <c r="E4893" s="6">
        <v>1726961453</v>
      </c>
      <c r="F4893" s="6">
        <v>0</v>
      </c>
      <c r="G4893" s="6">
        <v>0</v>
      </c>
      <c r="H4893" s="6">
        <v>0</v>
      </c>
      <c r="I4893" s="6">
        <v>0</v>
      </c>
    </row>
    <row r="4894" spans="1:9">
      <c r="A4894" s="6">
        <v>54</v>
      </c>
      <c r="B4894" s="6" t="str">
        <f t="shared" si="152"/>
        <v>Real Estate</v>
      </c>
      <c r="C4894" s="6">
        <v>600</v>
      </c>
      <c r="D4894" s="6" t="str">
        <f t="shared" si="153"/>
        <v>Control Total</v>
      </c>
      <c r="E4894" s="6">
        <v>651594480</v>
      </c>
      <c r="F4894" s="6">
        <v>0</v>
      </c>
      <c r="G4894" s="6">
        <v>0</v>
      </c>
      <c r="H4894" s="6">
        <v>0</v>
      </c>
      <c r="I4894" s="6">
        <v>0</v>
      </c>
    </row>
    <row r="4895" spans="1:9">
      <c r="A4895" s="6">
        <v>55</v>
      </c>
      <c r="B4895" s="6" t="str">
        <f t="shared" si="152"/>
        <v>Business Services</v>
      </c>
      <c r="C4895" s="6">
        <v>600</v>
      </c>
      <c r="D4895" s="6" t="str">
        <f t="shared" si="153"/>
        <v>Control Total</v>
      </c>
      <c r="E4895" s="6">
        <v>1234049316</v>
      </c>
      <c r="F4895" s="6">
        <v>0</v>
      </c>
      <c r="G4895" s="6">
        <v>0</v>
      </c>
      <c r="H4895" s="6">
        <v>0</v>
      </c>
      <c r="I4895" s="6">
        <v>0</v>
      </c>
    </row>
    <row r="4896" spans="1:9">
      <c r="A4896" s="6">
        <v>56</v>
      </c>
      <c r="B4896" s="6" t="str">
        <f t="shared" si="152"/>
        <v>Public Services</v>
      </c>
      <c r="C4896" s="6">
        <v>600</v>
      </c>
      <c r="D4896" s="6" t="str">
        <f t="shared" si="153"/>
        <v>Control Total</v>
      </c>
      <c r="E4896" s="6">
        <v>2844041169</v>
      </c>
      <c r="F4896" s="6">
        <v>0</v>
      </c>
      <c r="G4896" s="6">
        <v>0</v>
      </c>
      <c r="H4896" s="6">
        <v>0</v>
      </c>
      <c r="I4896" s="6">
        <v>0</v>
      </c>
    </row>
    <row r="4897" spans="1:9">
      <c r="A4897" s="6">
        <v>57</v>
      </c>
      <c r="B4897" s="6" t="str">
        <f t="shared" si="152"/>
        <v>Other Services</v>
      </c>
      <c r="C4897" s="6">
        <v>600</v>
      </c>
      <c r="D4897" s="6" t="str">
        <f t="shared" si="153"/>
        <v>Control Total</v>
      </c>
      <c r="E4897" s="6">
        <v>982175371</v>
      </c>
      <c r="F4897" s="6">
        <v>0</v>
      </c>
      <c r="G4897" s="6">
        <v>0</v>
      </c>
      <c r="H4897" s="6">
        <v>0</v>
      </c>
      <c r="I4897" s="6">
        <v>0</v>
      </c>
    </row>
    <row r="4898" spans="1:9">
      <c r="A4898" s="6">
        <v>58</v>
      </c>
      <c r="B4898" s="6" t="str">
        <f t="shared" si="152"/>
        <v>Unclassified</v>
      </c>
      <c r="C4898" s="6">
        <v>600</v>
      </c>
      <c r="D4898" s="6" t="str">
        <f t="shared" si="153"/>
        <v>Control Total</v>
      </c>
      <c r="E4898" s="6">
        <v>272392784</v>
      </c>
      <c r="F4898" s="6">
        <v>0</v>
      </c>
      <c r="G4898" s="6">
        <v>0</v>
      </c>
      <c r="H4898" s="6">
        <v>0</v>
      </c>
      <c r="I4898" s="6">
        <v>0</v>
      </c>
    </row>
    <row r="4899" spans="1:9">
      <c r="A4899" s="6">
        <v>190</v>
      </c>
      <c r="B4899" s="6" t="str">
        <f t="shared" si="152"/>
        <v>Total Intermedite Transaction</v>
      </c>
      <c r="C4899" s="6">
        <v>600</v>
      </c>
      <c r="D4899" s="6" t="str">
        <f t="shared" si="153"/>
        <v>Control Total</v>
      </c>
      <c r="E4899" s="6">
        <v>36301301204</v>
      </c>
      <c r="F4899" s="6">
        <v>0</v>
      </c>
      <c r="G4899" s="6">
        <v>0</v>
      </c>
      <c r="H4899" s="6">
        <v>0</v>
      </c>
      <c r="I4899" s="6">
        <v>0</v>
      </c>
    </row>
    <row r="4900" spans="1:9">
      <c r="A4900" s="6">
        <v>1</v>
      </c>
      <c r="B4900" s="6" t="str">
        <f t="shared" si="152"/>
        <v>Paddy</v>
      </c>
      <c r="C4900" s="6">
        <v>700</v>
      </c>
      <c r="D4900" s="6" t="str">
        <f t="shared" si="153"/>
        <v>Total Supply</v>
      </c>
      <c r="E4900" s="6">
        <v>314114660</v>
      </c>
      <c r="F4900" s="6">
        <v>10756134</v>
      </c>
      <c r="G4900" s="6">
        <v>676903</v>
      </c>
      <c r="H4900" s="6">
        <v>1876161</v>
      </c>
      <c r="I4900" s="6">
        <v>5</v>
      </c>
    </row>
    <row r="4901" spans="1:9">
      <c r="A4901" s="6">
        <v>2</v>
      </c>
      <c r="B4901" s="6" t="str">
        <f t="shared" si="152"/>
        <v>Maize</v>
      </c>
      <c r="C4901" s="6">
        <v>700</v>
      </c>
      <c r="D4901" s="6" t="str">
        <f t="shared" si="153"/>
        <v>Total Supply</v>
      </c>
      <c r="E4901" s="6">
        <v>60227026</v>
      </c>
      <c r="F4901" s="6">
        <v>2251541</v>
      </c>
      <c r="G4901" s="6">
        <v>555919</v>
      </c>
      <c r="H4901" s="6">
        <v>480603</v>
      </c>
      <c r="I4901" s="6">
        <v>15030908</v>
      </c>
    </row>
    <row r="4902" spans="1:9">
      <c r="A4902" s="6">
        <v>3</v>
      </c>
      <c r="B4902" s="6" t="str">
        <f t="shared" si="152"/>
        <v>Cassava</v>
      </c>
      <c r="C4902" s="6">
        <v>700</v>
      </c>
      <c r="D4902" s="6" t="str">
        <f t="shared" si="153"/>
        <v>Total Supply</v>
      </c>
      <c r="E4902" s="6">
        <v>76818426</v>
      </c>
      <c r="F4902" s="6">
        <v>2122820</v>
      </c>
      <c r="G4902" s="6">
        <v>174398</v>
      </c>
      <c r="H4902" s="6">
        <v>520955</v>
      </c>
      <c r="I4902" s="6">
        <v>0</v>
      </c>
    </row>
    <row r="4903" spans="1:9">
      <c r="A4903" s="6">
        <v>4</v>
      </c>
      <c r="B4903" s="6" t="str">
        <f t="shared" si="152"/>
        <v>Beans and Nuts</v>
      </c>
      <c r="C4903" s="6">
        <v>700</v>
      </c>
      <c r="D4903" s="6" t="str">
        <f t="shared" si="153"/>
        <v>Total Supply</v>
      </c>
      <c r="E4903" s="6">
        <v>50605970</v>
      </c>
      <c r="F4903" s="6">
        <v>1122621</v>
      </c>
      <c r="G4903" s="6">
        <v>949787</v>
      </c>
      <c r="H4903" s="6">
        <v>76695</v>
      </c>
      <c r="I4903" s="6">
        <v>44074229</v>
      </c>
    </row>
    <row r="4904" spans="1:9">
      <c r="A4904" s="6">
        <v>5</v>
      </c>
      <c r="B4904" s="6" t="str">
        <f t="shared" si="152"/>
        <v>Vegetables and Fruits</v>
      </c>
      <c r="C4904" s="6">
        <v>700</v>
      </c>
      <c r="D4904" s="6" t="str">
        <f t="shared" si="153"/>
        <v>Total Supply</v>
      </c>
      <c r="E4904" s="6">
        <v>969181190</v>
      </c>
      <c r="F4904" s="6">
        <v>114494467</v>
      </c>
      <c r="G4904" s="6">
        <v>139827431</v>
      </c>
      <c r="H4904" s="6">
        <v>15436605</v>
      </c>
      <c r="I4904" s="6">
        <v>53783216</v>
      </c>
    </row>
    <row r="4905" spans="1:9">
      <c r="A4905" s="6">
        <v>6</v>
      </c>
      <c r="B4905" s="6" t="str">
        <f t="shared" si="152"/>
        <v>Sugarcane</v>
      </c>
      <c r="C4905" s="6">
        <v>700</v>
      </c>
      <c r="D4905" s="6" t="str">
        <f t="shared" si="153"/>
        <v>Total Supply</v>
      </c>
      <c r="E4905" s="6">
        <v>73397766</v>
      </c>
      <c r="F4905" s="6">
        <v>3338345</v>
      </c>
      <c r="G4905" s="6">
        <v>1849</v>
      </c>
      <c r="H4905" s="6">
        <v>2252169</v>
      </c>
      <c r="I4905" s="6">
        <v>2</v>
      </c>
    </row>
    <row r="4906" spans="1:9">
      <c r="A4906" s="6">
        <v>7</v>
      </c>
      <c r="B4906" s="6" t="str">
        <f t="shared" si="152"/>
        <v>Rubber (Latex)</v>
      </c>
      <c r="C4906" s="6">
        <v>700</v>
      </c>
      <c r="D4906" s="6" t="str">
        <f t="shared" si="153"/>
        <v>Total Supply</v>
      </c>
      <c r="E4906" s="6">
        <v>235773619</v>
      </c>
      <c r="F4906" s="6">
        <v>13165354</v>
      </c>
      <c r="G4906" s="6">
        <v>0</v>
      </c>
      <c r="H4906" s="6">
        <v>1416395</v>
      </c>
      <c r="I4906" s="6">
        <v>149467</v>
      </c>
    </row>
    <row r="4907" spans="1:9">
      <c r="A4907" s="6">
        <v>8</v>
      </c>
      <c r="B4907" s="6" t="str">
        <f t="shared" si="152"/>
        <v>Other Crops</v>
      </c>
      <c r="C4907" s="6">
        <v>700</v>
      </c>
      <c r="D4907" s="6" t="str">
        <f t="shared" si="153"/>
        <v>Total Supply</v>
      </c>
      <c r="E4907" s="6">
        <v>278736828</v>
      </c>
      <c r="F4907" s="6">
        <v>14993310</v>
      </c>
      <c r="G4907" s="6">
        <v>8180463</v>
      </c>
      <c r="H4907" s="6">
        <v>3058595</v>
      </c>
      <c r="I4907" s="6">
        <v>53774415</v>
      </c>
    </row>
    <row r="4908" spans="1:9">
      <c r="A4908" s="6">
        <v>9</v>
      </c>
      <c r="B4908" s="6" t="str">
        <f t="shared" si="152"/>
        <v>Livestock</v>
      </c>
      <c r="C4908" s="6">
        <v>700</v>
      </c>
      <c r="D4908" s="6" t="str">
        <f t="shared" si="153"/>
        <v>Total Supply</v>
      </c>
      <c r="E4908" s="6">
        <v>464109557</v>
      </c>
      <c r="F4908" s="6">
        <v>36985660</v>
      </c>
      <c r="G4908" s="6">
        <v>4414998</v>
      </c>
      <c r="H4908" s="6">
        <v>2394924</v>
      </c>
      <c r="I4908" s="6">
        <v>5733873</v>
      </c>
    </row>
    <row r="4909" spans="1:9">
      <c r="A4909" s="6">
        <v>10</v>
      </c>
      <c r="B4909" s="6" t="str">
        <f t="shared" si="152"/>
        <v>Forestry</v>
      </c>
      <c r="C4909" s="6">
        <v>700</v>
      </c>
      <c r="D4909" s="6" t="str">
        <f t="shared" si="153"/>
        <v>Total Supply</v>
      </c>
      <c r="E4909" s="6">
        <v>33164828</v>
      </c>
      <c r="F4909" s="6">
        <v>4021847</v>
      </c>
      <c r="G4909" s="6">
        <v>1697316</v>
      </c>
      <c r="H4909" s="6">
        <v>479105</v>
      </c>
      <c r="I4909" s="6">
        <v>2931772</v>
      </c>
    </row>
    <row r="4910" spans="1:9">
      <c r="A4910" s="6">
        <v>11</v>
      </c>
      <c r="B4910" s="6" t="str">
        <f t="shared" si="152"/>
        <v>Fishery</v>
      </c>
      <c r="C4910" s="6">
        <v>700</v>
      </c>
      <c r="D4910" s="6" t="str">
        <f t="shared" si="153"/>
        <v>Total Supply</v>
      </c>
      <c r="E4910" s="6">
        <v>279317969</v>
      </c>
      <c r="F4910" s="6">
        <v>31308028</v>
      </c>
      <c r="G4910" s="6">
        <v>31178009</v>
      </c>
      <c r="H4910" s="6">
        <v>5422074</v>
      </c>
      <c r="I4910" s="6">
        <v>11403238</v>
      </c>
    </row>
    <row r="4911" spans="1:9">
      <c r="A4911" s="6">
        <v>12</v>
      </c>
      <c r="B4911" s="6" t="str">
        <f t="shared" si="152"/>
        <v>Crude Oil and Coal</v>
      </c>
      <c r="C4911" s="6">
        <v>700</v>
      </c>
      <c r="D4911" s="6" t="str">
        <f t="shared" si="153"/>
        <v>Total Supply</v>
      </c>
      <c r="E4911" s="6">
        <v>1382442221</v>
      </c>
      <c r="F4911" s="6">
        <v>877229</v>
      </c>
      <c r="G4911" s="6">
        <v>0</v>
      </c>
      <c r="H4911" s="6">
        <v>819088</v>
      </c>
      <c r="I4911" s="6">
        <v>1014344238</v>
      </c>
    </row>
    <row r="4912" spans="1:9">
      <c r="A4912" s="6">
        <v>13</v>
      </c>
      <c r="B4912" s="6" t="str">
        <f t="shared" si="152"/>
        <v>Metal Ore</v>
      </c>
      <c r="C4912" s="6">
        <v>700</v>
      </c>
      <c r="D4912" s="6" t="str">
        <f t="shared" si="153"/>
        <v>Total Supply</v>
      </c>
      <c r="E4912" s="6">
        <v>21099117</v>
      </c>
      <c r="F4912" s="6">
        <v>1297161</v>
      </c>
      <c r="G4912" s="6">
        <v>0</v>
      </c>
      <c r="H4912" s="6">
        <v>543782</v>
      </c>
      <c r="I4912" s="6">
        <v>19069227</v>
      </c>
    </row>
    <row r="4913" spans="1:9">
      <c r="A4913" s="6">
        <v>14</v>
      </c>
      <c r="B4913" s="6" t="str">
        <f t="shared" si="152"/>
        <v>Non-Metal Ore</v>
      </c>
      <c r="C4913" s="6">
        <v>700</v>
      </c>
      <c r="D4913" s="6" t="str">
        <f t="shared" si="153"/>
        <v>Total Supply</v>
      </c>
      <c r="E4913" s="6">
        <v>171200786</v>
      </c>
      <c r="F4913" s="6">
        <v>9157107</v>
      </c>
      <c r="G4913" s="6">
        <v>1920783</v>
      </c>
      <c r="H4913" s="6">
        <v>20416045</v>
      </c>
      <c r="I4913" s="6">
        <v>11087069</v>
      </c>
    </row>
    <row r="4914" spans="1:9">
      <c r="A4914" s="6">
        <v>15</v>
      </c>
      <c r="B4914" s="6" t="str">
        <f t="shared" si="152"/>
        <v>Slaughtering</v>
      </c>
      <c r="C4914" s="6">
        <v>700</v>
      </c>
      <c r="D4914" s="6" t="str">
        <f t="shared" si="153"/>
        <v>Total Supply</v>
      </c>
      <c r="E4914" s="6">
        <v>565111080</v>
      </c>
      <c r="F4914" s="6">
        <v>13084995</v>
      </c>
      <c r="G4914" s="6">
        <v>21152829</v>
      </c>
      <c r="H4914" s="6">
        <v>1655254</v>
      </c>
      <c r="I4914" s="6">
        <v>509394</v>
      </c>
    </row>
    <row r="4915" spans="1:9">
      <c r="A4915" s="6">
        <v>16</v>
      </c>
      <c r="B4915" s="6" t="str">
        <f t="shared" si="152"/>
        <v>Processing and Presering of Foods</v>
      </c>
      <c r="C4915" s="6">
        <v>700</v>
      </c>
      <c r="D4915" s="6" t="str">
        <f t="shared" si="153"/>
        <v>Total Supply</v>
      </c>
      <c r="E4915" s="6">
        <v>1125490532</v>
      </c>
      <c r="F4915" s="6">
        <v>39816180</v>
      </c>
      <c r="G4915" s="6">
        <v>34044951</v>
      </c>
      <c r="H4915" s="6">
        <v>8879747</v>
      </c>
      <c r="I4915" s="6">
        <v>271840804</v>
      </c>
    </row>
    <row r="4916" spans="1:9">
      <c r="A4916" s="6">
        <v>17</v>
      </c>
      <c r="B4916" s="6" t="str">
        <f t="shared" si="152"/>
        <v>Rice and Other Grain Milling</v>
      </c>
      <c r="C4916" s="6">
        <v>700</v>
      </c>
      <c r="D4916" s="6" t="str">
        <f t="shared" si="153"/>
        <v>Total Supply</v>
      </c>
      <c r="E4916" s="6">
        <v>648884751</v>
      </c>
      <c r="F4916" s="6">
        <v>36096656</v>
      </c>
      <c r="G4916" s="6">
        <v>39116970</v>
      </c>
      <c r="H4916" s="6">
        <v>11495429</v>
      </c>
      <c r="I4916" s="6">
        <v>35342525</v>
      </c>
    </row>
    <row r="4917" spans="1:9">
      <c r="A4917" s="6">
        <v>18</v>
      </c>
      <c r="B4917" s="6" t="str">
        <f t="shared" si="152"/>
        <v>Sugar Refineries</v>
      </c>
      <c r="C4917" s="6">
        <v>700</v>
      </c>
      <c r="D4917" s="6" t="str">
        <f t="shared" si="153"/>
        <v>Total Supply</v>
      </c>
      <c r="E4917" s="6">
        <v>176821558</v>
      </c>
      <c r="F4917" s="6">
        <v>5296688</v>
      </c>
      <c r="G4917" s="6">
        <v>4788649</v>
      </c>
      <c r="H4917" s="6">
        <v>2408655</v>
      </c>
      <c r="I4917" s="6">
        <v>14196220</v>
      </c>
    </row>
    <row r="4918" spans="1:9">
      <c r="A4918" s="6">
        <v>19</v>
      </c>
      <c r="B4918" s="6" t="str">
        <f t="shared" si="152"/>
        <v>Other Foods</v>
      </c>
      <c r="C4918" s="6">
        <v>700</v>
      </c>
      <c r="D4918" s="6" t="str">
        <f t="shared" si="153"/>
        <v>Total Supply</v>
      </c>
      <c r="E4918" s="6">
        <v>449556715</v>
      </c>
      <c r="F4918" s="6">
        <v>25110643</v>
      </c>
      <c r="G4918" s="6">
        <v>24109300</v>
      </c>
      <c r="H4918" s="6">
        <v>6751606</v>
      </c>
      <c r="I4918" s="6">
        <v>89411754</v>
      </c>
    </row>
    <row r="4919" spans="1:9">
      <c r="A4919" s="6">
        <v>20</v>
      </c>
      <c r="B4919" s="6" t="str">
        <f t="shared" si="152"/>
        <v>Animal Food</v>
      </c>
      <c r="C4919" s="6">
        <v>700</v>
      </c>
      <c r="D4919" s="6" t="str">
        <f t="shared" si="153"/>
        <v>Total Supply</v>
      </c>
      <c r="E4919" s="6">
        <v>114752442</v>
      </c>
      <c r="F4919" s="6">
        <v>8690674</v>
      </c>
      <c r="G4919" s="6">
        <v>7305285</v>
      </c>
      <c r="H4919" s="6">
        <v>1073127</v>
      </c>
      <c r="I4919" s="6">
        <v>26374473</v>
      </c>
    </row>
    <row r="4920" spans="1:9">
      <c r="A4920" s="6">
        <v>21</v>
      </c>
      <c r="B4920" s="6" t="str">
        <f t="shared" si="152"/>
        <v>Beverages</v>
      </c>
      <c r="C4920" s="6">
        <v>700</v>
      </c>
      <c r="D4920" s="6" t="str">
        <f t="shared" si="153"/>
        <v>Total Supply</v>
      </c>
      <c r="E4920" s="6">
        <v>671594046</v>
      </c>
      <c r="F4920" s="6">
        <v>41800787</v>
      </c>
      <c r="G4920" s="6">
        <v>38776919</v>
      </c>
      <c r="H4920" s="6">
        <v>9290670</v>
      </c>
      <c r="I4920" s="6">
        <v>23779347</v>
      </c>
    </row>
    <row r="4921" spans="1:9">
      <c r="A4921" s="6">
        <v>22</v>
      </c>
      <c r="B4921" s="6" t="str">
        <f t="shared" si="152"/>
        <v>Tobacco Processing and Products</v>
      </c>
      <c r="C4921" s="6">
        <v>700</v>
      </c>
      <c r="D4921" s="6" t="str">
        <f t="shared" si="153"/>
        <v>Total Supply</v>
      </c>
      <c r="E4921" s="6">
        <v>78889014</v>
      </c>
      <c r="F4921" s="6">
        <v>4814026</v>
      </c>
      <c r="G4921" s="6">
        <v>5310511</v>
      </c>
      <c r="H4921" s="6">
        <v>700887</v>
      </c>
      <c r="I4921" s="6">
        <v>17947685</v>
      </c>
    </row>
    <row r="4922" spans="1:9">
      <c r="A4922" s="6">
        <v>23</v>
      </c>
      <c r="B4922" s="6" t="str">
        <f t="shared" si="152"/>
        <v>Spinning, Weaving and Bleaching</v>
      </c>
      <c r="C4922" s="6">
        <v>700</v>
      </c>
      <c r="D4922" s="6" t="str">
        <f t="shared" si="153"/>
        <v>Total Supply</v>
      </c>
      <c r="E4922" s="6">
        <v>310797091</v>
      </c>
      <c r="F4922" s="6">
        <v>27553924</v>
      </c>
      <c r="G4922" s="6">
        <v>13813345</v>
      </c>
      <c r="H4922" s="6">
        <v>2551180</v>
      </c>
      <c r="I4922" s="6">
        <v>79058399</v>
      </c>
    </row>
    <row r="4923" spans="1:9">
      <c r="A4923" s="6">
        <v>24</v>
      </c>
      <c r="B4923" s="6" t="str">
        <f t="shared" si="152"/>
        <v>Textile Products</v>
      </c>
      <c r="C4923" s="6">
        <v>700</v>
      </c>
      <c r="D4923" s="6" t="str">
        <f t="shared" si="153"/>
        <v>Total Supply</v>
      </c>
      <c r="E4923" s="6">
        <v>450664857</v>
      </c>
      <c r="F4923" s="6">
        <v>26922463</v>
      </c>
      <c r="G4923" s="6">
        <v>33332153</v>
      </c>
      <c r="H4923" s="6">
        <v>2338715</v>
      </c>
      <c r="I4923" s="6">
        <v>96241121</v>
      </c>
    </row>
    <row r="4924" spans="1:9">
      <c r="A4924" s="6">
        <v>25</v>
      </c>
      <c r="B4924" s="6" t="str">
        <f t="shared" si="152"/>
        <v>Paper and Paper Products</v>
      </c>
      <c r="C4924" s="6">
        <v>700</v>
      </c>
      <c r="D4924" s="6" t="str">
        <f t="shared" si="153"/>
        <v>Total Supply</v>
      </c>
      <c r="E4924" s="6">
        <v>363003408</v>
      </c>
      <c r="F4924" s="6">
        <v>30012818</v>
      </c>
      <c r="G4924" s="6">
        <v>17781873</v>
      </c>
      <c r="H4924" s="6">
        <v>5439285</v>
      </c>
      <c r="I4924" s="6">
        <v>109186861</v>
      </c>
    </row>
    <row r="4925" spans="1:9">
      <c r="A4925" s="6">
        <v>26</v>
      </c>
      <c r="B4925" s="6" t="str">
        <f t="shared" si="152"/>
        <v>Printing and Publishing</v>
      </c>
      <c r="C4925" s="6">
        <v>700</v>
      </c>
      <c r="D4925" s="6" t="str">
        <f t="shared" si="153"/>
        <v>Total Supply</v>
      </c>
      <c r="E4925" s="6">
        <v>167420709</v>
      </c>
      <c r="F4925" s="6">
        <v>9395166</v>
      </c>
      <c r="G4925" s="6">
        <v>15207647</v>
      </c>
      <c r="H4925" s="6">
        <v>1355216</v>
      </c>
      <c r="I4925" s="6">
        <v>63147360</v>
      </c>
    </row>
    <row r="4926" spans="1:9">
      <c r="A4926" s="6">
        <v>27</v>
      </c>
      <c r="B4926" s="6" t="str">
        <f t="shared" si="152"/>
        <v>Basic Chemical Products</v>
      </c>
      <c r="C4926" s="6">
        <v>700</v>
      </c>
      <c r="D4926" s="6" t="str">
        <f t="shared" si="153"/>
        <v>Total Supply</v>
      </c>
      <c r="E4926" s="6">
        <v>1676868384</v>
      </c>
      <c r="F4926" s="6">
        <v>160445953</v>
      </c>
      <c r="G4926" s="6">
        <v>39163725</v>
      </c>
      <c r="H4926" s="6">
        <v>20603146</v>
      </c>
      <c r="I4926" s="6">
        <v>621492716</v>
      </c>
    </row>
    <row r="4927" spans="1:9">
      <c r="A4927" s="6">
        <v>28</v>
      </c>
      <c r="B4927" s="6" t="str">
        <f t="shared" si="152"/>
        <v>Fertilizer and Pesticides</v>
      </c>
      <c r="C4927" s="6">
        <v>700</v>
      </c>
      <c r="D4927" s="6" t="str">
        <f t="shared" si="153"/>
        <v>Total Supply</v>
      </c>
      <c r="E4927" s="6">
        <v>227652074</v>
      </c>
      <c r="F4927" s="6">
        <v>25406707</v>
      </c>
      <c r="G4927" s="6">
        <v>21075109</v>
      </c>
      <c r="H4927" s="6">
        <v>8023767</v>
      </c>
      <c r="I4927" s="6">
        <v>102906459</v>
      </c>
    </row>
    <row r="4928" spans="1:9">
      <c r="A4928" s="6">
        <v>29</v>
      </c>
      <c r="B4928" s="6" t="str">
        <f t="shared" si="152"/>
        <v>Other Chemical Products</v>
      </c>
      <c r="C4928" s="6">
        <v>700</v>
      </c>
      <c r="D4928" s="6" t="str">
        <f t="shared" si="153"/>
        <v>Total Supply</v>
      </c>
      <c r="E4928" s="6">
        <v>1091115403</v>
      </c>
      <c r="F4928" s="6">
        <v>115310141</v>
      </c>
      <c r="G4928" s="6">
        <v>117133478</v>
      </c>
      <c r="H4928" s="6">
        <v>11180022</v>
      </c>
      <c r="I4928" s="6">
        <v>374734940</v>
      </c>
    </row>
    <row r="4929" spans="1:9">
      <c r="A4929" s="6">
        <v>30</v>
      </c>
      <c r="B4929" s="6" t="str">
        <f t="shared" si="152"/>
        <v>Petroleum Refineries</v>
      </c>
      <c r="C4929" s="6">
        <v>700</v>
      </c>
      <c r="D4929" s="6" t="str">
        <f t="shared" si="153"/>
        <v>Total Supply</v>
      </c>
      <c r="E4929" s="6">
        <v>1729939893</v>
      </c>
      <c r="F4929" s="6">
        <v>91155724</v>
      </c>
      <c r="G4929" s="6">
        <v>86904200</v>
      </c>
      <c r="H4929" s="6">
        <v>15207914</v>
      </c>
      <c r="I4929" s="6">
        <v>274197987</v>
      </c>
    </row>
    <row r="4930" spans="1:9">
      <c r="A4930" s="6">
        <v>31</v>
      </c>
      <c r="B4930" s="6" t="str">
        <f t="shared" si="152"/>
        <v>Rubber Products</v>
      </c>
      <c r="C4930" s="6">
        <v>700</v>
      </c>
      <c r="D4930" s="6" t="str">
        <f t="shared" si="153"/>
        <v>Total Supply</v>
      </c>
      <c r="E4930" s="6">
        <v>506144746</v>
      </c>
      <c r="F4930" s="6">
        <v>47807100</v>
      </c>
      <c r="G4930" s="6">
        <v>20352697</v>
      </c>
      <c r="H4930" s="6">
        <v>10175798</v>
      </c>
      <c r="I4930" s="6">
        <v>62448315</v>
      </c>
    </row>
    <row r="4931" spans="1:9">
      <c r="A4931" s="6">
        <v>32</v>
      </c>
      <c r="B4931" s="6" t="str">
        <f t="shared" si="152"/>
        <v>Plastic Wares</v>
      </c>
      <c r="C4931" s="6">
        <v>700</v>
      </c>
      <c r="D4931" s="6" t="str">
        <f t="shared" si="153"/>
        <v>Total Supply</v>
      </c>
      <c r="E4931" s="6">
        <v>727085374</v>
      </c>
      <c r="F4931" s="6">
        <v>29728449</v>
      </c>
      <c r="G4931" s="6">
        <v>24963693</v>
      </c>
      <c r="H4931" s="6">
        <v>5002813</v>
      </c>
      <c r="I4931" s="6">
        <v>166461222</v>
      </c>
    </row>
    <row r="4932" spans="1:9">
      <c r="A4932" s="6">
        <v>33</v>
      </c>
      <c r="B4932" s="6" t="str">
        <f t="shared" ref="B4932:B4958" si="154">VLOOKUP(A4932,R:S,2,0)</f>
        <v>Cement and Concrete Products</v>
      </c>
      <c r="C4932" s="6">
        <v>700</v>
      </c>
      <c r="D4932" s="6" t="str">
        <f t="shared" ref="D4932:D4958" si="155">VLOOKUP(C4932,R:S,2,0)</f>
        <v>Total Supply</v>
      </c>
      <c r="E4932" s="6">
        <v>237126133</v>
      </c>
      <c r="F4932" s="6">
        <v>13607989</v>
      </c>
      <c r="G4932" s="6">
        <v>11373117</v>
      </c>
      <c r="H4932" s="6">
        <v>3640001</v>
      </c>
      <c r="I4932" s="6">
        <v>2272390</v>
      </c>
    </row>
    <row r="4933" spans="1:9">
      <c r="A4933" s="6">
        <v>34</v>
      </c>
      <c r="B4933" s="6" t="str">
        <f t="shared" si="154"/>
        <v>Other Non-metallic Products</v>
      </c>
      <c r="C4933" s="6">
        <v>700</v>
      </c>
      <c r="D4933" s="6" t="str">
        <f t="shared" si="155"/>
        <v>Total Supply</v>
      </c>
      <c r="E4933" s="6">
        <v>412214399</v>
      </c>
      <c r="F4933" s="6">
        <v>27842213</v>
      </c>
      <c r="G4933" s="6">
        <v>20112761</v>
      </c>
      <c r="H4933" s="6">
        <v>5063986</v>
      </c>
      <c r="I4933" s="6">
        <v>77561476</v>
      </c>
    </row>
    <row r="4934" spans="1:9">
      <c r="A4934" s="6">
        <v>35</v>
      </c>
      <c r="B4934" s="6" t="str">
        <f t="shared" si="154"/>
        <v>Iron and Steel</v>
      </c>
      <c r="C4934" s="6">
        <v>700</v>
      </c>
      <c r="D4934" s="6" t="str">
        <f t="shared" si="155"/>
        <v>Total Supply</v>
      </c>
      <c r="E4934" s="6">
        <v>946395279</v>
      </c>
      <c r="F4934" s="6">
        <v>39355111</v>
      </c>
      <c r="G4934" s="6">
        <v>30488443</v>
      </c>
      <c r="H4934" s="6">
        <v>8720267</v>
      </c>
      <c r="I4934" s="6">
        <v>606077811</v>
      </c>
    </row>
    <row r="4935" spans="1:9">
      <c r="A4935" s="6">
        <v>36</v>
      </c>
      <c r="B4935" s="6" t="str">
        <f t="shared" si="154"/>
        <v>Non-ferrous Metal</v>
      </c>
      <c r="C4935" s="6">
        <v>700</v>
      </c>
      <c r="D4935" s="6" t="str">
        <f t="shared" si="155"/>
        <v>Total Supply</v>
      </c>
      <c r="E4935" s="6">
        <v>880644663</v>
      </c>
      <c r="F4935" s="6">
        <v>39762234</v>
      </c>
      <c r="G4935" s="6">
        <v>17618090</v>
      </c>
      <c r="H4935" s="6">
        <v>1384258</v>
      </c>
      <c r="I4935" s="6">
        <v>683456919</v>
      </c>
    </row>
    <row r="4936" spans="1:9">
      <c r="A4936" s="6">
        <v>37</v>
      </c>
      <c r="B4936" s="6" t="str">
        <f t="shared" si="154"/>
        <v>Fabricated Metal Products</v>
      </c>
      <c r="C4936" s="6">
        <v>700</v>
      </c>
      <c r="D4936" s="6" t="str">
        <f t="shared" si="155"/>
        <v>Total Supply</v>
      </c>
      <c r="E4936" s="6">
        <v>941671386</v>
      </c>
      <c r="F4936" s="6">
        <v>20892489</v>
      </c>
      <c r="G4936" s="6">
        <v>29468338</v>
      </c>
      <c r="H4936" s="6">
        <v>3033144</v>
      </c>
      <c r="I4936" s="6">
        <v>378158131</v>
      </c>
    </row>
    <row r="4937" spans="1:9">
      <c r="A4937" s="6">
        <v>38</v>
      </c>
      <c r="B4937" s="6" t="str">
        <f t="shared" si="154"/>
        <v>Industrial Machinery</v>
      </c>
      <c r="C4937" s="6">
        <v>700</v>
      </c>
      <c r="D4937" s="6" t="str">
        <f t="shared" si="155"/>
        <v>Total Supply</v>
      </c>
      <c r="E4937" s="6">
        <v>1305168018</v>
      </c>
      <c r="F4937" s="6">
        <v>102624075</v>
      </c>
      <c r="G4937" s="6">
        <v>37200798</v>
      </c>
      <c r="H4937" s="6">
        <v>12953748</v>
      </c>
      <c r="I4937" s="6">
        <v>577672991</v>
      </c>
    </row>
    <row r="4938" spans="1:9">
      <c r="A4938" s="6">
        <v>39</v>
      </c>
      <c r="B4938" s="6" t="str">
        <f t="shared" si="154"/>
        <v>Electrical Machinery and Apparatus</v>
      </c>
      <c r="C4938" s="6">
        <v>700</v>
      </c>
      <c r="D4938" s="6" t="str">
        <f t="shared" si="155"/>
        <v>Total Supply</v>
      </c>
      <c r="E4938" s="6">
        <v>6032701958</v>
      </c>
      <c r="F4938" s="6">
        <v>303621563</v>
      </c>
      <c r="G4938" s="6">
        <v>226256260</v>
      </c>
      <c r="H4938" s="6">
        <v>47314118</v>
      </c>
      <c r="I4938" s="6">
        <v>2048258372</v>
      </c>
    </row>
    <row r="4939" spans="1:9">
      <c r="A4939" s="6">
        <v>40</v>
      </c>
      <c r="B4939" s="6" t="str">
        <f t="shared" si="154"/>
        <v>Motor Vehicles and Repairing</v>
      </c>
      <c r="C4939" s="6">
        <v>700</v>
      </c>
      <c r="D4939" s="6" t="str">
        <f t="shared" si="155"/>
        <v>Total Supply</v>
      </c>
      <c r="E4939" s="6">
        <v>2977430413</v>
      </c>
      <c r="F4939" s="6">
        <v>160472892</v>
      </c>
      <c r="G4939" s="6">
        <v>157814937</v>
      </c>
      <c r="H4939" s="6">
        <v>20049789</v>
      </c>
      <c r="I4939" s="6">
        <v>455890940</v>
      </c>
    </row>
    <row r="4940" spans="1:9">
      <c r="A4940" s="6">
        <v>41</v>
      </c>
      <c r="B4940" s="6" t="str">
        <f t="shared" si="154"/>
        <v>Other Transportation Equipment</v>
      </c>
      <c r="C4940" s="6">
        <v>700</v>
      </c>
      <c r="D4940" s="6" t="str">
        <f t="shared" si="155"/>
        <v>Total Supply</v>
      </c>
      <c r="E4940" s="6">
        <v>192156038</v>
      </c>
      <c r="F4940" s="6">
        <v>7145384</v>
      </c>
      <c r="G4940" s="6">
        <v>990883</v>
      </c>
      <c r="H4940" s="6">
        <v>1164748</v>
      </c>
      <c r="I4940" s="6">
        <v>69828366</v>
      </c>
    </row>
    <row r="4941" spans="1:9">
      <c r="A4941" s="6">
        <v>42</v>
      </c>
      <c r="B4941" s="6" t="str">
        <f t="shared" si="154"/>
        <v>Leather Products</v>
      </c>
      <c r="C4941" s="6">
        <v>700</v>
      </c>
      <c r="D4941" s="6" t="str">
        <f t="shared" si="155"/>
        <v>Total Supply</v>
      </c>
      <c r="E4941" s="6">
        <v>172664285</v>
      </c>
      <c r="F4941" s="6">
        <v>10045245</v>
      </c>
      <c r="G4941" s="6">
        <v>9326243</v>
      </c>
      <c r="H4941" s="6">
        <v>941154</v>
      </c>
      <c r="I4941" s="6">
        <v>64863839</v>
      </c>
    </row>
    <row r="4942" spans="1:9">
      <c r="A4942" s="6">
        <v>43</v>
      </c>
      <c r="B4942" s="6" t="str">
        <f t="shared" si="154"/>
        <v>Saw Mills and Wood Products</v>
      </c>
      <c r="C4942" s="6">
        <v>700</v>
      </c>
      <c r="D4942" s="6" t="str">
        <f t="shared" si="155"/>
        <v>Total Supply</v>
      </c>
      <c r="E4942" s="6">
        <v>344259749</v>
      </c>
      <c r="F4942" s="6">
        <v>28799344</v>
      </c>
      <c r="G4942" s="6">
        <v>22976201</v>
      </c>
      <c r="H4942" s="6">
        <v>3114669</v>
      </c>
      <c r="I4942" s="6">
        <v>23122978</v>
      </c>
    </row>
    <row r="4943" spans="1:9">
      <c r="A4943" s="6">
        <v>44</v>
      </c>
      <c r="B4943" s="6" t="str">
        <f t="shared" si="154"/>
        <v>Other Manufacturing Products</v>
      </c>
      <c r="C4943" s="6">
        <v>700</v>
      </c>
      <c r="D4943" s="6" t="str">
        <f t="shared" si="155"/>
        <v>Total Supply</v>
      </c>
      <c r="E4943" s="6">
        <v>1899033406</v>
      </c>
      <c r="F4943" s="6">
        <v>96610091</v>
      </c>
      <c r="G4943" s="6">
        <v>109460565</v>
      </c>
      <c r="H4943" s="6">
        <v>7589209</v>
      </c>
      <c r="I4943" s="6">
        <v>391997376</v>
      </c>
    </row>
    <row r="4944" spans="1:9">
      <c r="A4944" s="6">
        <v>45</v>
      </c>
      <c r="B4944" s="6" t="str">
        <f t="shared" si="154"/>
        <v>Electricity and Gas</v>
      </c>
      <c r="C4944" s="6">
        <v>700</v>
      </c>
      <c r="D4944" s="6" t="str">
        <f t="shared" si="155"/>
        <v>Total Supply</v>
      </c>
      <c r="E4944" s="6">
        <v>1697164809</v>
      </c>
      <c r="F4944" s="6">
        <v>5223352</v>
      </c>
      <c r="G4944" s="6">
        <v>7959250</v>
      </c>
      <c r="H4944" s="6">
        <v>1341292</v>
      </c>
      <c r="I4944" s="6">
        <v>142248466</v>
      </c>
    </row>
    <row r="4945" spans="1:9">
      <c r="A4945" s="6">
        <v>46</v>
      </c>
      <c r="B4945" s="6" t="str">
        <f t="shared" si="154"/>
        <v>Water Works and Supply</v>
      </c>
      <c r="C4945" s="6">
        <v>700</v>
      </c>
      <c r="D4945" s="6" t="str">
        <f t="shared" si="155"/>
        <v>Total Supply</v>
      </c>
      <c r="E4945" s="6">
        <v>71263534</v>
      </c>
      <c r="F4945" s="6">
        <v>0</v>
      </c>
      <c r="G4945" s="6">
        <v>0</v>
      </c>
      <c r="H4945" s="6">
        <v>0</v>
      </c>
      <c r="I4945" s="6">
        <v>0</v>
      </c>
    </row>
    <row r="4946" spans="1:9">
      <c r="A4946" s="6">
        <v>47</v>
      </c>
      <c r="B4946" s="6" t="str">
        <f t="shared" si="154"/>
        <v>Building Construction</v>
      </c>
      <c r="C4946" s="6">
        <v>700</v>
      </c>
      <c r="D4946" s="6" t="str">
        <f t="shared" si="155"/>
        <v>Total Supply</v>
      </c>
      <c r="E4946" s="6">
        <v>612716974</v>
      </c>
      <c r="F4946" s="6">
        <v>0</v>
      </c>
      <c r="G4946" s="6">
        <v>0</v>
      </c>
      <c r="H4946" s="6">
        <v>3674</v>
      </c>
      <c r="I4946" s="6">
        <v>0</v>
      </c>
    </row>
    <row r="4947" spans="1:9">
      <c r="A4947" s="6">
        <v>48</v>
      </c>
      <c r="B4947" s="6" t="str">
        <f t="shared" si="154"/>
        <v>Public Works and Other Construction</v>
      </c>
      <c r="C4947" s="6">
        <v>700</v>
      </c>
      <c r="D4947" s="6" t="str">
        <f t="shared" si="155"/>
        <v>Total Supply</v>
      </c>
      <c r="E4947" s="6">
        <v>758113275</v>
      </c>
      <c r="F4947" s="6">
        <v>0</v>
      </c>
      <c r="G4947" s="6">
        <v>0</v>
      </c>
      <c r="H4947" s="6">
        <v>0</v>
      </c>
      <c r="I4947" s="6">
        <v>0</v>
      </c>
    </row>
    <row r="4948" spans="1:9">
      <c r="A4948" s="6">
        <v>49</v>
      </c>
      <c r="B4948" s="6" t="str">
        <f t="shared" si="154"/>
        <v>Trade</v>
      </c>
      <c r="C4948" s="6">
        <v>700</v>
      </c>
      <c r="D4948" s="6" t="str">
        <f t="shared" si="155"/>
        <v>Total Supply</v>
      </c>
      <c r="E4948" s="6">
        <v>11026474</v>
      </c>
      <c r="F4948" s="6">
        <v>-1840342700</v>
      </c>
      <c r="G4948" s="6">
        <v>-1434957076</v>
      </c>
      <c r="H4948" s="6">
        <v>0</v>
      </c>
      <c r="I4948" s="6">
        <v>0</v>
      </c>
    </row>
    <row r="4949" spans="1:9">
      <c r="A4949" s="6">
        <v>50</v>
      </c>
      <c r="B4949" s="6" t="str">
        <f t="shared" si="154"/>
        <v>Restaurants and Hotels</v>
      </c>
      <c r="C4949" s="6">
        <v>700</v>
      </c>
      <c r="D4949" s="6" t="str">
        <f t="shared" si="155"/>
        <v>Total Supply</v>
      </c>
      <c r="E4949" s="6">
        <v>1358333734</v>
      </c>
      <c r="F4949" s="6">
        <v>0</v>
      </c>
      <c r="G4949" s="6">
        <v>0</v>
      </c>
      <c r="H4949" s="6">
        <v>0</v>
      </c>
      <c r="I4949" s="6">
        <v>65700431</v>
      </c>
    </row>
    <row r="4950" spans="1:9">
      <c r="A4950" s="6">
        <v>51</v>
      </c>
      <c r="B4950" s="6" t="str">
        <f t="shared" si="154"/>
        <v>Transportation</v>
      </c>
      <c r="C4950" s="6">
        <v>700</v>
      </c>
      <c r="D4950" s="6" t="str">
        <f t="shared" si="155"/>
        <v>Total Supply</v>
      </c>
      <c r="E4950" s="6">
        <v>1029127687</v>
      </c>
      <c r="F4950" s="6">
        <v>0</v>
      </c>
      <c r="G4950" s="6">
        <v>0</v>
      </c>
      <c r="H4950" s="6">
        <v>-295640484</v>
      </c>
      <c r="I4950" s="6">
        <v>117143924</v>
      </c>
    </row>
    <row r="4951" spans="1:9">
      <c r="A4951" s="6">
        <v>52</v>
      </c>
      <c r="B4951" s="6" t="str">
        <f t="shared" si="154"/>
        <v>Communication</v>
      </c>
      <c r="C4951" s="6">
        <v>700</v>
      </c>
      <c r="D4951" s="6" t="str">
        <f t="shared" si="155"/>
        <v>Total Supply</v>
      </c>
      <c r="E4951" s="6">
        <v>638994895</v>
      </c>
      <c r="F4951" s="6">
        <v>0</v>
      </c>
      <c r="G4951" s="6">
        <v>0</v>
      </c>
      <c r="H4951" s="6">
        <v>0</v>
      </c>
      <c r="I4951" s="6">
        <v>55188867</v>
      </c>
    </row>
    <row r="4952" spans="1:9">
      <c r="A4952" s="6">
        <v>53</v>
      </c>
      <c r="B4952" s="6" t="str">
        <f t="shared" si="154"/>
        <v>Banking and Insurance</v>
      </c>
      <c r="C4952" s="6">
        <v>700</v>
      </c>
      <c r="D4952" s="6" t="str">
        <f t="shared" si="155"/>
        <v>Total Supply</v>
      </c>
      <c r="E4952" s="6">
        <v>1808671266</v>
      </c>
      <c r="F4952" s="6">
        <v>0</v>
      </c>
      <c r="G4952" s="6">
        <v>0</v>
      </c>
      <c r="H4952" s="6">
        <v>0</v>
      </c>
      <c r="I4952" s="6">
        <v>81709813</v>
      </c>
    </row>
    <row r="4953" spans="1:9">
      <c r="A4953" s="6">
        <v>54</v>
      </c>
      <c r="B4953" s="6" t="str">
        <f t="shared" si="154"/>
        <v>Real Estate</v>
      </c>
      <c r="C4953" s="6">
        <v>700</v>
      </c>
      <c r="D4953" s="6" t="str">
        <f t="shared" si="155"/>
        <v>Total Supply</v>
      </c>
      <c r="E4953" s="6">
        <v>753318923</v>
      </c>
      <c r="F4953" s="6">
        <v>0</v>
      </c>
      <c r="G4953" s="6">
        <v>0</v>
      </c>
      <c r="H4953" s="6">
        <v>0</v>
      </c>
      <c r="I4953" s="6">
        <v>101724443</v>
      </c>
    </row>
    <row r="4954" spans="1:9">
      <c r="A4954" s="6">
        <v>55</v>
      </c>
      <c r="B4954" s="6" t="str">
        <f t="shared" si="154"/>
        <v>Business Services</v>
      </c>
      <c r="C4954" s="6">
        <v>700</v>
      </c>
      <c r="D4954" s="6" t="str">
        <f t="shared" si="155"/>
        <v>Total Supply</v>
      </c>
      <c r="E4954" s="6">
        <v>1552222836</v>
      </c>
      <c r="F4954" s="6">
        <v>0</v>
      </c>
      <c r="G4954" s="6">
        <v>0</v>
      </c>
      <c r="H4954" s="6">
        <v>0</v>
      </c>
      <c r="I4954" s="6">
        <v>318173520</v>
      </c>
    </row>
    <row r="4955" spans="1:9">
      <c r="A4955" s="6">
        <v>56</v>
      </c>
      <c r="B4955" s="6" t="str">
        <f t="shared" si="154"/>
        <v>Public Services</v>
      </c>
      <c r="C4955" s="6">
        <v>700</v>
      </c>
      <c r="D4955" s="6" t="str">
        <f t="shared" si="155"/>
        <v>Total Supply</v>
      </c>
      <c r="E4955" s="6">
        <v>2930261796</v>
      </c>
      <c r="F4955" s="6">
        <v>0</v>
      </c>
      <c r="G4955" s="6">
        <v>0</v>
      </c>
      <c r="H4955" s="6">
        <v>0</v>
      </c>
      <c r="I4955" s="6">
        <v>86220627</v>
      </c>
    </row>
    <row r="4956" spans="1:9">
      <c r="A4956" s="6">
        <v>57</v>
      </c>
      <c r="B4956" s="6" t="str">
        <f t="shared" si="154"/>
        <v>Other Services</v>
      </c>
      <c r="C4956" s="6">
        <v>700</v>
      </c>
      <c r="D4956" s="6" t="str">
        <f t="shared" si="155"/>
        <v>Total Supply</v>
      </c>
      <c r="E4956" s="6">
        <v>999051935</v>
      </c>
      <c r="F4956" s="6">
        <v>0</v>
      </c>
      <c r="G4956" s="6">
        <v>0</v>
      </c>
      <c r="H4956" s="6">
        <v>0</v>
      </c>
      <c r="I4956" s="6">
        <v>16876564</v>
      </c>
    </row>
    <row r="4957" spans="1:9">
      <c r="A4957" s="6">
        <v>58</v>
      </c>
      <c r="B4957" s="6" t="str">
        <f t="shared" si="154"/>
        <v>Unclassified</v>
      </c>
      <c r="C4957" s="6">
        <v>700</v>
      </c>
      <c r="D4957" s="6" t="str">
        <f t="shared" si="155"/>
        <v>Total Supply</v>
      </c>
      <c r="E4957" s="6">
        <v>294303940</v>
      </c>
      <c r="F4957" s="6">
        <v>0</v>
      </c>
      <c r="G4957" s="6">
        <v>0</v>
      </c>
      <c r="H4957" s="6">
        <v>0</v>
      </c>
      <c r="I4957" s="6">
        <v>21911156</v>
      </c>
    </row>
    <row r="4958" spans="1:9">
      <c r="A4958" s="6">
        <v>190</v>
      </c>
      <c r="B4958" s="6" t="str">
        <f t="shared" si="154"/>
        <v>Total Intermedite Transaction</v>
      </c>
      <c r="C4958" s="6">
        <v>700</v>
      </c>
      <c r="D4958" s="6" t="str">
        <f t="shared" si="155"/>
        <v>Total Supply</v>
      </c>
      <c r="E4958" s="6">
        <v>46348019845</v>
      </c>
      <c r="F4958" s="6">
        <v>0</v>
      </c>
      <c r="G4958" s="6">
        <v>0</v>
      </c>
      <c r="H4958" s="6">
        <v>0</v>
      </c>
      <c r="I4958" s="6">
        <v>10046718641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58"/>
  <sheetViews>
    <sheetView zoomScale="80" zoomScaleNormal="80" workbookViewId="0">
      <pane ySplit="2" topLeftCell="A59" activePane="bottomLeft" state="frozen"/>
      <selection pane="bottomLeft" activeCell="R2" sqref="R2:S85"/>
    </sheetView>
  </sheetViews>
  <sheetFormatPr defaultRowHeight="15"/>
  <cols>
    <col min="2" max="2" width="18.7109375" bestFit="1" customWidth="1"/>
    <col min="5" max="9" width="15" customWidth="1"/>
  </cols>
  <sheetData>
    <row r="1" spans="1:19" ht="34.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19" ht="23.25">
      <c r="A2" s="2" t="s">
        <v>1</v>
      </c>
      <c r="B2" s="2" t="s">
        <v>175</v>
      </c>
      <c r="C2" s="2" t="s">
        <v>2</v>
      </c>
      <c r="D2" s="2" t="s">
        <v>176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R2">
        <v>1</v>
      </c>
      <c r="S2" t="s">
        <v>92</v>
      </c>
    </row>
    <row r="3" spans="1:19" ht="23.25">
      <c r="A3" s="4" t="s">
        <v>8</v>
      </c>
      <c r="B3" s="4" t="s">
        <v>177</v>
      </c>
      <c r="C3" s="4" t="s">
        <v>8</v>
      </c>
      <c r="D3" s="4"/>
      <c r="E3" s="1">
        <v>23826912</v>
      </c>
      <c r="F3" s="1">
        <v>0</v>
      </c>
      <c r="G3" s="1">
        <v>0</v>
      </c>
      <c r="H3" s="1">
        <v>119524</v>
      </c>
      <c r="I3" s="1">
        <v>5</v>
      </c>
      <c r="R3">
        <v>2</v>
      </c>
      <c r="S3" t="s">
        <v>93</v>
      </c>
    </row>
    <row r="4" spans="1:19" ht="23.25">
      <c r="A4" s="4" t="s">
        <v>9</v>
      </c>
      <c r="B4" s="4"/>
      <c r="C4" s="4" t="s">
        <v>8</v>
      </c>
      <c r="D4" s="4"/>
      <c r="E4" s="1">
        <v>0</v>
      </c>
      <c r="F4" s="1">
        <v>0</v>
      </c>
      <c r="G4" s="1">
        <v>0</v>
      </c>
      <c r="H4" s="1">
        <v>0</v>
      </c>
      <c r="I4" s="1">
        <v>0</v>
      </c>
      <c r="R4">
        <v>3</v>
      </c>
      <c r="S4" t="s">
        <v>94</v>
      </c>
    </row>
    <row r="5" spans="1:19" ht="23.25">
      <c r="A5" s="4" t="s">
        <v>10</v>
      </c>
      <c r="B5" s="4"/>
      <c r="C5" s="4" t="s">
        <v>8</v>
      </c>
      <c r="D5" s="4"/>
      <c r="E5" s="1">
        <v>0</v>
      </c>
      <c r="F5" s="1">
        <v>0</v>
      </c>
      <c r="G5" s="1">
        <v>0</v>
      </c>
      <c r="H5" s="1">
        <v>0</v>
      </c>
      <c r="I5" s="1">
        <v>0</v>
      </c>
      <c r="R5">
        <v>4</v>
      </c>
      <c r="S5" t="s">
        <v>95</v>
      </c>
    </row>
    <row r="6" spans="1:19" ht="23.25">
      <c r="A6" s="4" t="s">
        <v>11</v>
      </c>
      <c r="B6" s="4"/>
      <c r="C6" s="4" t="s">
        <v>8</v>
      </c>
      <c r="D6" s="4"/>
      <c r="E6" s="1">
        <v>0</v>
      </c>
      <c r="F6" s="1">
        <v>0</v>
      </c>
      <c r="G6" s="1">
        <v>0</v>
      </c>
      <c r="H6" s="1">
        <v>0</v>
      </c>
      <c r="I6" s="1">
        <v>0</v>
      </c>
      <c r="R6">
        <v>5</v>
      </c>
      <c r="S6" t="s">
        <v>96</v>
      </c>
    </row>
    <row r="7" spans="1:19" ht="23.25">
      <c r="A7" s="4" t="s">
        <v>12</v>
      </c>
      <c r="B7" s="4"/>
      <c r="C7" s="4" t="s">
        <v>8</v>
      </c>
      <c r="D7" s="4"/>
      <c r="E7" s="1">
        <v>0</v>
      </c>
      <c r="F7" s="1">
        <v>0</v>
      </c>
      <c r="G7" s="1">
        <v>0</v>
      </c>
      <c r="H7" s="1">
        <v>0</v>
      </c>
      <c r="I7" s="1">
        <v>0</v>
      </c>
      <c r="R7">
        <v>6</v>
      </c>
      <c r="S7" t="s">
        <v>97</v>
      </c>
    </row>
    <row r="8" spans="1:19" ht="23.25">
      <c r="A8" s="4" t="s">
        <v>13</v>
      </c>
      <c r="B8" s="4"/>
      <c r="C8" s="4" t="s">
        <v>8</v>
      </c>
      <c r="D8" s="4"/>
      <c r="E8" s="1">
        <v>0</v>
      </c>
      <c r="F8" s="1">
        <v>0</v>
      </c>
      <c r="G8" s="1">
        <v>0</v>
      </c>
      <c r="H8" s="1">
        <v>0</v>
      </c>
      <c r="I8" s="1">
        <v>0</v>
      </c>
      <c r="R8">
        <v>7</v>
      </c>
      <c r="S8" t="s">
        <v>98</v>
      </c>
    </row>
    <row r="9" spans="1:19" ht="23.25">
      <c r="A9" s="4" t="s">
        <v>14</v>
      </c>
      <c r="B9" s="4"/>
      <c r="C9" s="4" t="s">
        <v>8</v>
      </c>
      <c r="D9" s="4"/>
      <c r="E9" s="1">
        <v>0</v>
      </c>
      <c r="F9" s="1">
        <v>0</v>
      </c>
      <c r="G9" s="1">
        <v>0</v>
      </c>
      <c r="H9" s="1">
        <v>0</v>
      </c>
      <c r="I9" s="1">
        <v>0</v>
      </c>
      <c r="R9">
        <v>8</v>
      </c>
      <c r="S9" t="s">
        <v>99</v>
      </c>
    </row>
    <row r="10" spans="1:19" ht="23.25">
      <c r="A10" s="4" t="s">
        <v>15</v>
      </c>
      <c r="B10" s="4"/>
      <c r="C10" s="4" t="s">
        <v>8</v>
      </c>
      <c r="D10" s="4"/>
      <c r="E10" s="1">
        <v>16110576</v>
      </c>
      <c r="F10" s="1">
        <v>0</v>
      </c>
      <c r="G10" s="1">
        <v>0</v>
      </c>
      <c r="H10" s="1">
        <v>0</v>
      </c>
      <c r="I10" s="1">
        <v>0</v>
      </c>
      <c r="R10">
        <v>9</v>
      </c>
      <c r="S10" t="s">
        <v>100</v>
      </c>
    </row>
    <row r="11" spans="1:19" ht="23.25">
      <c r="A11" s="4" t="s">
        <v>16</v>
      </c>
      <c r="B11" s="4"/>
      <c r="C11" s="4" t="s">
        <v>8</v>
      </c>
      <c r="D11" s="4"/>
      <c r="E11" s="1">
        <v>0</v>
      </c>
      <c r="F11" s="1">
        <v>0</v>
      </c>
      <c r="G11" s="1">
        <v>0</v>
      </c>
      <c r="H11" s="1">
        <v>0</v>
      </c>
      <c r="I11" s="1">
        <v>0</v>
      </c>
      <c r="R11">
        <v>10</v>
      </c>
      <c r="S11" t="s">
        <v>101</v>
      </c>
    </row>
    <row r="12" spans="1:19" ht="23.25">
      <c r="A12" s="4" t="s">
        <v>17</v>
      </c>
      <c r="B12" s="4"/>
      <c r="C12" s="4" t="s">
        <v>8</v>
      </c>
      <c r="D12" s="4"/>
      <c r="E12" s="1">
        <v>4505</v>
      </c>
      <c r="F12" s="1">
        <v>19</v>
      </c>
      <c r="G12" s="1">
        <v>63</v>
      </c>
      <c r="H12" s="1">
        <v>97</v>
      </c>
      <c r="I12" s="1">
        <v>0</v>
      </c>
      <c r="R12">
        <v>11</v>
      </c>
      <c r="S12" t="s">
        <v>102</v>
      </c>
    </row>
    <row r="13" spans="1:19" ht="23.25">
      <c r="A13" s="4" t="s">
        <v>18</v>
      </c>
      <c r="B13" s="4"/>
      <c r="C13" s="4" t="s">
        <v>8</v>
      </c>
      <c r="D13" s="4"/>
      <c r="E13" s="1">
        <v>0</v>
      </c>
      <c r="F13" s="1">
        <v>0</v>
      </c>
      <c r="G13" s="1">
        <v>0</v>
      </c>
      <c r="H13" s="1">
        <v>0</v>
      </c>
      <c r="I13" s="1">
        <v>0</v>
      </c>
      <c r="R13">
        <v>12</v>
      </c>
      <c r="S13" t="s">
        <v>103</v>
      </c>
    </row>
    <row r="14" spans="1:19" ht="23.25">
      <c r="A14" s="4" t="s">
        <v>19</v>
      </c>
      <c r="B14" s="4"/>
      <c r="C14" s="4" t="s">
        <v>8</v>
      </c>
      <c r="D14" s="4"/>
      <c r="E14" s="1">
        <v>0</v>
      </c>
      <c r="F14" s="1">
        <v>0</v>
      </c>
      <c r="G14" s="1">
        <v>0</v>
      </c>
      <c r="H14" s="1">
        <v>0</v>
      </c>
      <c r="I14" s="1">
        <v>0</v>
      </c>
      <c r="R14">
        <v>13</v>
      </c>
      <c r="S14" t="s">
        <v>104</v>
      </c>
    </row>
    <row r="15" spans="1:19" ht="23.25">
      <c r="A15" s="4" t="s">
        <v>20</v>
      </c>
      <c r="B15" s="4"/>
      <c r="C15" s="4" t="s">
        <v>8</v>
      </c>
      <c r="D15" s="4"/>
      <c r="E15" s="1">
        <v>0</v>
      </c>
      <c r="F15" s="1">
        <v>0</v>
      </c>
      <c r="G15" s="1">
        <v>0</v>
      </c>
      <c r="H15" s="1">
        <v>0</v>
      </c>
      <c r="I15" s="1">
        <v>0</v>
      </c>
      <c r="R15">
        <v>14</v>
      </c>
      <c r="S15" t="s">
        <v>105</v>
      </c>
    </row>
    <row r="16" spans="1:19" ht="23.25">
      <c r="A16" s="4" t="s">
        <v>21</v>
      </c>
      <c r="B16" s="4"/>
      <c r="C16" s="4" t="s">
        <v>8</v>
      </c>
      <c r="D16" s="4"/>
      <c r="E16" s="1">
        <v>0</v>
      </c>
      <c r="F16" s="1">
        <v>0</v>
      </c>
      <c r="G16" s="1">
        <v>0</v>
      </c>
      <c r="H16" s="1">
        <v>0</v>
      </c>
      <c r="I16" s="1">
        <v>0</v>
      </c>
      <c r="R16">
        <v>15</v>
      </c>
      <c r="S16" t="s">
        <v>106</v>
      </c>
    </row>
    <row r="17" spans="1:19" ht="23.25">
      <c r="A17" s="4" t="s">
        <v>22</v>
      </c>
      <c r="B17" s="4"/>
      <c r="C17" s="4" t="s">
        <v>8</v>
      </c>
      <c r="D17" s="4"/>
      <c r="E17" s="1">
        <v>0</v>
      </c>
      <c r="F17" s="1">
        <v>0</v>
      </c>
      <c r="G17" s="1">
        <v>0</v>
      </c>
      <c r="H17" s="1">
        <v>0</v>
      </c>
      <c r="I17" s="1">
        <v>0</v>
      </c>
      <c r="R17">
        <v>16</v>
      </c>
      <c r="S17" t="s">
        <v>107</v>
      </c>
    </row>
    <row r="18" spans="1:19" ht="23.25">
      <c r="A18" s="4" t="s">
        <v>23</v>
      </c>
      <c r="B18" s="4"/>
      <c r="C18" s="4" t="s">
        <v>8</v>
      </c>
      <c r="D18" s="4"/>
      <c r="E18" s="1">
        <v>0</v>
      </c>
      <c r="F18" s="1">
        <v>0</v>
      </c>
      <c r="G18" s="1">
        <v>0</v>
      </c>
      <c r="H18" s="1">
        <v>0</v>
      </c>
      <c r="I18" s="1">
        <v>0</v>
      </c>
      <c r="R18">
        <v>17</v>
      </c>
      <c r="S18" t="s">
        <v>108</v>
      </c>
    </row>
    <row r="19" spans="1:19" ht="23.25">
      <c r="A19" s="4" t="s">
        <v>24</v>
      </c>
      <c r="B19" s="4"/>
      <c r="C19" s="4" t="s">
        <v>8</v>
      </c>
      <c r="D19" s="4"/>
      <c r="E19" s="1">
        <v>0</v>
      </c>
      <c r="F19" s="1">
        <v>0</v>
      </c>
      <c r="G19" s="1">
        <v>0</v>
      </c>
      <c r="H19" s="1">
        <v>0</v>
      </c>
      <c r="I19" s="1">
        <v>0</v>
      </c>
      <c r="R19">
        <v>18</v>
      </c>
      <c r="S19" t="s">
        <v>109</v>
      </c>
    </row>
    <row r="20" spans="1:19" ht="23.25">
      <c r="A20" s="4" t="s">
        <v>25</v>
      </c>
      <c r="B20" s="4"/>
      <c r="C20" s="4" t="s">
        <v>8</v>
      </c>
      <c r="D20" s="4"/>
      <c r="E20" s="1">
        <v>0</v>
      </c>
      <c r="F20" s="1">
        <v>0</v>
      </c>
      <c r="G20" s="1">
        <v>0</v>
      </c>
      <c r="H20" s="1">
        <v>0</v>
      </c>
      <c r="I20" s="1">
        <v>0</v>
      </c>
      <c r="R20">
        <v>19</v>
      </c>
      <c r="S20" t="s">
        <v>110</v>
      </c>
    </row>
    <row r="21" spans="1:19" ht="23.25">
      <c r="A21" s="4" t="s">
        <v>26</v>
      </c>
      <c r="B21" s="4"/>
      <c r="C21" s="4" t="s">
        <v>8</v>
      </c>
      <c r="D21" s="4"/>
      <c r="E21" s="1">
        <v>0</v>
      </c>
      <c r="F21" s="1">
        <v>0</v>
      </c>
      <c r="G21" s="1">
        <v>0</v>
      </c>
      <c r="H21" s="1">
        <v>0</v>
      </c>
      <c r="I21" s="1">
        <v>0</v>
      </c>
      <c r="R21">
        <v>20</v>
      </c>
      <c r="S21" t="s">
        <v>111</v>
      </c>
    </row>
    <row r="22" spans="1:19" ht="23.25">
      <c r="A22" s="4" t="s">
        <v>27</v>
      </c>
      <c r="B22" s="4"/>
      <c r="C22" s="4" t="s">
        <v>8</v>
      </c>
      <c r="D22" s="4"/>
      <c r="E22" s="1">
        <v>0</v>
      </c>
      <c r="F22" s="1">
        <v>0</v>
      </c>
      <c r="G22" s="1">
        <v>0</v>
      </c>
      <c r="H22" s="1">
        <v>0</v>
      </c>
      <c r="I22" s="1">
        <v>0</v>
      </c>
      <c r="R22">
        <v>21</v>
      </c>
      <c r="S22" t="s">
        <v>112</v>
      </c>
    </row>
    <row r="23" spans="1:19" ht="23.25">
      <c r="A23" s="4" t="s">
        <v>28</v>
      </c>
      <c r="B23" s="4"/>
      <c r="C23" s="4" t="s">
        <v>8</v>
      </c>
      <c r="D23" s="4"/>
      <c r="E23" s="1">
        <v>0</v>
      </c>
      <c r="F23" s="1">
        <v>0</v>
      </c>
      <c r="G23" s="1">
        <v>0</v>
      </c>
      <c r="H23" s="1">
        <v>0</v>
      </c>
      <c r="I23" s="1">
        <v>0</v>
      </c>
      <c r="R23">
        <v>22</v>
      </c>
      <c r="S23" t="s">
        <v>113</v>
      </c>
    </row>
    <row r="24" spans="1:19" ht="23.25">
      <c r="A24" s="4" t="s">
        <v>29</v>
      </c>
      <c r="B24" s="4"/>
      <c r="C24" s="4" t="s">
        <v>8</v>
      </c>
      <c r="D24" s="4"/>
      <c r="E24" s="1">
        <v>0</v>
      </c>
      <c r="F24" s="1">
        <v>0</v>
      </c>
      <c r="G24" s="1">
        <v>0</v>
      </c>
      <c r="H24" s="1">
        <v>0</v>
      </c>
      <c r="I24" s="1">
        <v>0</v>
      </c>
      <c r="R24">
        <v>23</v>
      </c>
      <c r="S24" t="s">
        <v>114</v>
      </c>
    </row>
    <row r="25" spans="1:19" ht="23.25">
      <c r="A25" s="4" t="s">
        <v>30</v>
      </c>
      <c r="B25" s="4"/>
      <c r="C25" s="4" t="s">
        <v>8</v>
      </c>
      <c r="D25" s="4"/>
      <c r="E25" s="1">
        <v>0</v>
      </c>
      <c r="F25" s="1">
        <v>0</v>
      </c>
      <c r="G25" s="1">
        <v>0</v>
      </c>
      <c r="H25" s="1">
        <v>0</v>
      </c>
      <c r="I25" s="1">
        <v>0</v>
      </c>
      <c r="R25">
        <v>24</v>
      </c>
      <c r="S25" t="s">
        <v>115</v>
      </c>
    </row>
    <row r="26" spans="1:19" ht="23.25">
      <c r="A26" s="4" t="s">
        <v>31</v>
      </c>
      <c r="B26" s="4"/>
      <c r="C26" s="4" t="s">
        <v>8</v>
      </c>
      <c r="D26" s="4"/>
      <c r="E26" s="1">
        <v>30174</v>
      </c>
      <c r="F26" s="1">
        <v>3268</v>
      </c>
      <c r="G26" s="1">
        <v>507</v>
      </c>
      <c r="H26" s="1">
        <v>184</v>
      </c>
      <c r="I26" s="1">
        <v>0</v>
      </c>
      <c r="R26">
        <v>25</v>
      </c>
      <c r="S26" t="s">
        <v>116</v>
      </c>
    </row>
    <row r="27" spans="1:19" ht="23.25">
      <c r="A27" s="4" t="s">
        <v>32</v>
      </c>
      <c r="B27" s="4"/>
      <c r="C27" s="4" t="s">
        <v>8</v>
      </c>
      <c r="D27" s="4"/>
      <c r="E27" s="1">
        <v>0</v>
      </c>
      <c r="F27" s="1">
        <v>0</v>
      </c>
      <c r="G27" s="1">
        <v>0</v>
      </c>
      <c r="H27" s="1">
        <v>0</v>
      </c>
      <c r="I27" s="1">
        <v>0</v>
      </c>
      <c r="R27">
        <v>26</v>
      </c>
      <c r="S27" t="s">
        <v>117</v>
      </c>
    </row>
    <row r="28" spans="1:19" ht="23.25">
      <c r="A28" s="4" t="s">
        <v>33</v>
      </c>
      <c r="B28" s="4"/>
      <c r="C28" s="4" t="s">
        <v>8</v>
      </c>
      <c r="D28" s="4"/>
      <c r="E28" s="1">
        <v>0</v>
      </c>
      <c r="F28" s="1">
        <v>0</v>
      </c>
      <c r="G28" s="1">
        <v>0</v>
      </c>
      <c r="H28" s="1">
        <v>0</v>
      </c>
      <c r="I28" s="1">
        <v>0</v>
      </c>
      <c r="R28">
        <v>27</v>
      </c>
      <c r="S28" t="s">
        <v>118</v>
      </c>
    </row>
    <row r="29" spans="1:19" ht="23.25">
      <c r="A29" s="4" t="s">
        <v>34</v>
      </c>
      <c r="B29" s="4"/>
      <c r="C29" s="4" t="s">
        <v>8</v>
      </c>
      <c r="D29" s="4"/>
      <c r="E29" s="1">
        <v>0</v>
      </c>
      <c r="F29" s="1">
        <v>0</v>
      </c>
      <c r="G29" s="1">
        <v>0</v>
      </c>
      <c r="H29" s="1">
        <v>0</v>
      </c>
      <c r="I29" s="1">
        <v>0</v>
      </c>
      <c r="R29">
        <v>28</v>
      </c>
      <c r="S29" t="s">
        <v>119</v>
      </c>
    </row>
    <row r="30" spans="1:19" ht="23.25">
      <c r="A30" s="4" t="s">
        <v>35</v>
      </c>
      <c r="B30" s="4"/>
      <c r="C30" s="4" t="s">
        <v>8</v>
      </c>
      <c r="D30" s="4"/>
      <c r="E30" s="1">
        <v>43078118</v>
      </c>
      <c r="F30" s="1">
        <v>3655127</v>
      </c>
      <c r="G30" s="1">
        <v>2729612</v>
      </c>
      <c r="H30" s="1">
        <v>1325438</v>
      </c>
      <c r="I30" s="1">
        <v>24777541</v>
      </c>
      <c r="R30">
        <v>29</v>
      </c>
      <c r="S30" t="s">
        <v>120</v>
      </c>
    </row>
    <row r="31" spans="1:19" ht="23.25">
      <c r="A31" s="4" t="s">
        <v>36</v>
      </c>
      <c r="B31" s="4"/>
      <c r="C31" s="4" t="s">
        <v>8</v>
      </c>
      <c r="D31" s="4"/>
      <c r="E31" s="1">
        <v>32700</v>
      </c>
      <c r="F31" s="1">
        <v>2839</v>
      </c>
      <c r="G31" s="1">
        <v>3913</v>
      </c>
      <c r="H31" s="1">
        <v>208</v>
      </c>
      <c r="I31" s="1">
        <v>0</v>
      </c>
      <c r="R31">
        <v>30</v>
      </c>
      <c r="S31" t="s">
        <v>121</v>
      </c>
    </row>
    <row r="32" spans="1:19" ht="23.25">
      <c r="A32" s="4" t="s">
        <v>37</v>
      </c>
      <c r="B32" s="4"/>
      <c r="C32" s="4" t="s">
        <v>8</v>
      </c>
      <c r="D32" s="4"/>
      <c r="E32" s="1">
        <v>10090789</v>
      </c>
      <c r="F32" s="1">
        <v>400746</v>
      </c>
      <c r="G32" s="1">
        <v>363558</v>
      </c>
      <c r="H32" s="1">
        <v>92828</v>
      </c>
      <c r="I32" s="1">
        <v>1964873</v>
      </c>
      <c r="R32">
        <v>31</v>
      </c>
      <c r="S32" t="s">
        <v>122</v>
      </c>
    </row>
    <row r="33" spans="1:19" ht="23.25">
      <c r="A33" s="4" t="s">
        <v>38</v>
      </c>
      <c r="B33" s="4"/>
      <c r="C33" s="4" t="s">
        <v>8</v>
      </c>
      <c r="D33" s="4"/>
      <c r="E33" s="1">
        <v>8953</v>
      </c>
      <c r="F33" s="1">
        <v>1698</v>
      </c>
      <c r="G33" s="1">
        <v>1304</v>
      </c>
      <c r="H33" s="1">
        <v>236</v>
      </c>
      <c r="I33" s="1">
        <v>0</v>
      </c>
      <c r="R33">
        <v>32</v>
      </c>
      <c r="S33" t="s">
        <v>123</v>
      </c>
    </row>
    <row r="34" spans="1:19" ht="23.25">
      <c r="A34" s="4" t="s">
        <v>39</v>
      </c>
      <c r="B34" s="4"/>
      <c r="C34" s="4" t="s">
        <v>8</v>
      </c>
      <c r="D34" s="4"/>
      <c r="E34" s="1">
        <v>423548</v>
      </c>
      <c r="F34" s="1">
        <v>9127</v>
      </c>
      <c r="G34" s="1">
        <v>23654</v>
      </c>
      <c r="H34" s="1">
        <v>3032</v>
      </c>
      <c r="I34" s="1">
        <v>104099</v>
      </c>
      <c r="R34">
        <v>33</v>
      </c>
      <c r="S34" t="s">
        <v>124</v>
      </c>
    </row>
    <row r="35" spans="1:19" ht="23.25">
      <c r="A35" s="4" t="s">
        <v>40</v>
      </c>
      <c r="B35" s="4"/>
      <c r="C35" s="4" t="s">
        <v>8</v>
      </c>
      <c r="D35" s="4"/>
      <c r="E35" s="1">
        <v>0</v>
      </c>
      <c r="F35" s="1">
        <v>0</v>
      </c>
      <c r="G35" s="1">
        <v>0</v>
      </c>
      <c r="H35" s="1">
        <v>0</v>
      </c>
      <c r="I35" s="1">
        <v>0</v>
      </c>
      <c r="R35">
        <v>34</v>
      </c>
      <c r="S35" t="s">
        <v>125</v>
      </c>
    </row>
    <row r="36" spans="1:19" ht="23.25">
      <c r="A36" s="4" t="s">
        <v>41</v>
      </c>
      <c r="B36" s="4"/>
      <c r="C36" s="4" t="s">
        <v>8</v>
      </c>
      <c r="D36" s="4"/>
      <c r="E36" s="1">
        <v>0</v>
      </c>
      <c r="F36" s="1">
        <v>0</v>
      </c>
      <c r="G36" s="1">
        <v>0</v>
      </c>
      <c r="H36" s="1">
        <v>0</v>
      </c>
      <c r="I36" s="1">
        <v>0</v>
      </c>
      <c r="R36">
        <v>35</v>
      </c>
      <c r="S36" t="s">
        <v>126</v>
      </c>
    </row>
    <row r="37" spans="1:19" ht="23.25">
      <c r="A37" s="4" t="s">
        <v>42</v>
      </c>
      <c r="B37" s="4"/>
      <c r="C37" s="4" t="s">
        <v>8</v>
      </c>
      <c r="D37" s="4"/>
      <c r="E37" s="1">
        <v>2318</v>
      </c>
      <c r="F37" s="1">
        <v>98</v>
      </c>
      <c r="G37" s="1">
        <v>110</v>
      </c>
      <c r="H37" s="1">
        <v>28</v>
      </c>
      <c r="I37" s="1">
        <v>600</v>
      </c>
      <c r="R37">
        <v>36</v>
      </c>
      <c r="S37" t="s">
        <v>127</v>
      </c>
    </row>
    <row r="38" spans="1:19" ht="23.25">
      <c r="A38" s="4" t="s">
        <v>43</v>
      </c>
      <c r="B38" s="4"/>
      <c r="C38" s="4" t="s">
        <v>8</v>
      </c>
      <c r="D38" s="4"/>
      <c r="E38" s="1">
        <v>0</v>
      </c>
      <c r="F38" s="1">
        <v>0</v>
      </c>
      <c r="G38" s="1">
        <v>0</v>
      </c>
      <c r="H38" s="1">
        <v>0</v>
      </c>
      <c r="I38" s="1">
        <v>0</v>
      </c>
      <c r="R38">
        <v>37</v>
      </c>
      <c r="S38" t="s">
        <v>128</v>
      </c>
    </row>
    <row r="39" spans="1:19" ht="23.25">
      <c r="A39" s="4" t="s">
        <v>44</v>
      </c>
      <c r="B39" s="4"/>
      <c r="C39" s="4" t="s">
        <v>8</v>
      </c>
      <c r="D39" s="4"/>
      <c r="E39" s="1">
        <v>2231216</v>
      </c>
      <c r="F39" s="1">
        <v>73468</v>
      </c>
      <c r="G39" s="1">
        <v>160204</v>
      </c>
      <c r="H39" s="1">
        <v>13587</v>
      </c>
      <c r="I39" s="1">
        <v>729139</v>
      </c>
      <c r="R39">
        <v>38</v>
      </c>
      <c r="S39" t="s">
        <v>129</v>
      </c>
    </row>
    <row r="40" spans="1:19" ht="23.25">
      <c r="A40" s="4" t="s">
        <v>45</v>
      </c>
      <c r="B40" s="4"/>
      <c r="C40" s="4" t="s">
        <v>8</v>
      </c>
      <c r="D40" s="4"/>
      <c r="E40" s="1">
        <v>1758200</v>
      </c>
      <c r="F40" s="1">
        <v>97064</v>
      </c>
      <c r="G40" s="1">
        <v>190008</v>
      </c>
      <c r="H40" s="1">
        <v>15533</v>
      </c>
      <c r="I40" s="1">
        <v>0</v>
      </c>
      <c r="R40">
        <v>39</v>
      </c>
      <c r="S40" t="s">
        <v>130</v>
      </c>
    </row>
    <row r="41" spans="1:19" ht="23.25">
      <c r="A41" s="4" t="s">
        <v>46</v>
      </c>
      <c r="B41" s="4"/>
      <c r="C41" s="4" t="s">
        <v>8</v>
      </c>
      <c r="D41" s="4"/>
      <c r="E41" s="1">
        <v>22873</v>
      </c>
      <c r="F41" s="1">
        <v>1304</v>
      </c>
      <c r="G41" s="1">
        <v>1493</v>
      </c>
      <c r="H41" s="1">
        <v>213</v>
      </c>
      <c r="I41" s="1">
        <v>0</v>
      </c>
      <c r="R41">
        <v>40</v>
      </c>
      <c r="S41" t="s">
        <v>131</v>
      </c>
    </row>
    <row r="42" spans="1:19" ht="23.25">
      <c r="A42" s="4" t="s">
        <v>47</v>
      </c>
      <c r="B42" s="4"/>
      <c r="C42" s="4" t="s">
        <v>8</v>
      </c>
      <c r="D42" s="4"/>
      <c r="E42" s="1">
        <v>373720</v>
      </c>
      <c r="F42" s="1">
        <v>0</v>
      </c>
      <c r="G42" s="1">
        <v>0</v>
      </c>
      <c r="H42" s="1">
        <v>0</v>
      </c>
      <c r="I42" s="1">
        <v>0</v>
      </c>
      <c r="R42">
        <v>41</v>
      </c>
      <c r="S42" t="s">
        <v>132</v>
      </c>
    </row>
    <row r="43" spans="1:19" ht="23.25">
      <c r="A43" s="4" t="s">
        <v>48</v>
      </c>
      <c r="B43" s="4"/>
      <c r="C43" s="4" t="s">
        <v>8</v>
      </c>
      <c r="D43" s="4"/>
      <c r="E43" s="1">
        <v>0</v>
      </c>
      <c r="F43" s="1">
        <v>0</v>
      </c>
      <c r="G43" s="1">
        <v>0</v>
      </c>
      <c r="H43" s="1">
        <v>0</v>
      </c>
      <c r="I43" s="1">
        <v>0</v>
      </c>
      <c r="R43">
        <v>42</v>
      </c>
      <c r="S43" t="s">
        <v>133</v>
      </c>
    </row>
    <row r="44" spans="1:19" ht="23.25">
      <c r="A44" s="4" t="s">
        <v>49</v>
      </c>
      <c r="B44" s="4"/>
      <c r="C44" s="4" t="s">
        <v>8</v>
      </c>
      <c r="D44" s="4"/>
      <c r="E44" s="1">
        <v>0</v>
      </c>
      <c r="F44" s="1">
        <v>0</v>
      </c>
      <c r="G44" s="1">
        <v>0</v>
      </c>
      <c r="H44" s="1">
        <v>0</v>
      </c>
      <c r="I44" s="1">
        <v>0</v>
      </c>
      <c r="R44">
        <v>43</v>
      </c>
      <c r="S44" t="s">
        <v>134</v>
      </c>
    </row>
    <row r="45" spans="1:19" ht="23.25">
      <c r="A45" s="4" t="s">
        <v>50</v>
      </c>
      <c r="B45" s="4"/>
      <c r="C45" s="4" t="s">
        <v>8</v>
      </c>
      <c r="D45" s="4"/>
      <c r="E45" s="1">
        <v>5485</v>
      </c>
      <c r="F45" s="1">
        <v>684</v>
      </c>
      <c r="G45" s="1">
        <v>1020</v>
      </c>
      <c r="H45" s="1">
        <v>65</v>
      </c>
      <c r="I45" s="1">
        <v>0</v>
      </c>
      <c r="R45">
        <v>44</v>
      </c>
      <c r="S45" t="s">
        <v>135</v>
      </c>
    </row>
    <row r="46" spans="1:19" ht="23.25">
      <c r="A46" s="4" t="s">
        <v>51</v>
      </c>
      <c r="B46" s="4"/>
      <c r="C46" s="4" t="s">
        <v>8</v>
      </c>
      <c r="D46" s="4"/>
      <c r="E46" s="1">
        <v>10630</v>
      </c>
      <c r="F46" s="1">
        <v>940</v>
      </c>
      <c r="G46" s="1">
        <v>830</v>
      </c>
      <c r="H46" s="1">
        <v>126</v>
      </c>
      <c r="I46" s="1">
        <v>0</v>
      </c>
      <c r="R46">
        <v>45</v>
      </c>
      <c r="S46" t="s">
        <v>136</v>
      </c>
    </row>
    <row r="47" spans="1:19" ht="23.25">
      <c r="A47" s="4" t="s">
        <v>52</v>
      </c>
      <c r="B47" s="4"/>
      <c r="C47" s="4" t="s">
        <v>8</v>
      </c>
      <c r="D47" s="4"/>
      <c r="E47" s="1">
        <v>39678</v>
      </c>
      <c r="F47" s="1">
        <v>0</v>
      </c>
      <c r="G47" s="1">
        <v>0</v>
      </c>
      <c r="H47" s="1">
        <v>0</v>
      </c>
      <c r="I47" s="1">
        <v>0</v>
      </c>
      <c r="R47">
        <v>46</v>
      </c>
      <c r="S47" t="s">
        <v>137</v>
      </c>
    </row>
    <row r="48" spans="1:19" ht="23.25">
      <c r="A48" s="4" t="s">
        <v>53</v>
      </c>
      <c r="B48" s="4"/>
      <c r="C48" s="4" t="s">
        <v>8</v>
      </c>
      <c r="D48" s="4"/>
      <c r="E48" s="1">
        <v>200462</v>
      </c>
      <c r="F48" s="1">
        <v>0</v>
      </c>
      <c r="G48" s="1">
        <v>0</v>
      </c>
      <c r="H48" s="1">
        <v>0</v>
      </c>
      <c r="I48" s="1">
        <v>0</v>
      </c>
      <c r="R48">
        <v>47</v>
      </c>
      <c r="S48" t="s">
        <v>138</v>
      </c>
    </row>
    <row r="49" spans="1:19" ht="23.25">
      <c r="A49" s="4" t="s">
        <v>54</v>
      </c>
      <c r="B49" s="4"/>
      <c r="C49" s="4" t="s">
        <v>8</v>
      </c>
      <c r="D49" s="4"/>
      <c r="E49" s="1">
        <v>68970</v>
      </c>
      <c r="F49" s="1">
        <v>0</v>
      </c>
      <c r="G49" s="1">
        <v>0</v>
      </c>
      <c r="H49" s="1">
        <v>0</v>
      </c>
      <c r="I49" s="1">
        <v>0</v>
      </c>
      <c r="R49">
        <v>48</v>
      </c>
      <c r="S49" t="s">
        <v>139</v>
      </c>
    </row>
    <row r="50" spans="1:19" ht="23.25">
      <c r="A50" s="4" t="s">
        <v>55</v>
      </c>
      <c r="B50" s="4"/>
      <c r="C50" s="4" t="s">
        <v>8</v>
      </c>
      <c r="D50" s="4"/>
      <c r="E50" s="1">
        <v>0</v>
      </c>
      <c r="F50" s="1">
        <v>0</v>
      </c>
      <c r="G50" s="1">
        <v>0</v>
      </c>
      <c r="H50" s="1">
        <v>0</v>
      </c>
      <c r="I50" s="1">
        <v>0</v>
      </c>
      <c r="R50">
        <v>49</v>
      </c>
      <c r="S50" t="s">
        <v>140</v>
      </c>
    </row>
    <row r="51" spans="1:19" ht="23.25">
      <c r="A51" s="4" t="s">
        <v>56</v>
      </c>
      <c r="B51" s="4"/>
      <c r="C51" s="4" t="s">
        <v>8</v>
      </c>
      <c r="D51" s="4"/>
      <c r="E51" s="1">
        <v>0</v>
      </c>
      <c r="F51" s="1">
        <v>-4246382</v>
      </c>
      <c r="G51" s="1">
        <v>-3476276</v>
      </c>
      <c r="H51" s="1">
        <v>0</v>
      </c>
      <c r="I51" s="1">
        <v>0</v>
      </c>
      <c r="R51">
        <v>50</v>
      </c>
      <c r="S51" t="s">
        <v>141</v>
      </c>
    </row>
    <row r="52" spans="1:19" ht="23.25">
      <c r="A52" s="4" t="s">
        <v>57</v>
      </c>
      <c r="B52" s="4"/>
      <c r="C52" s="4" t="s">
        <v>8</v>
      </c>
      <c r="D52" s="4"/>
      <c r="E52" s="1">
        <v>0</v>
      </c>
      <c r="F52" s="1">
        <v>0</v>
      </c>
      <c r="G52" s="1">
        <v>0</v>
      </c>
      <c r="H52" s="1">
        <v>0</v>
      </c>
      <c r="I52" s="1">
        <v>0</v>
      </c>
      <c r="R52">
        <v>51</v>
      </c>
      <c r="S52" t="s">
        <v>142</v>
      </c>
    </row>
    <row r="53" spans="1:19" ht="23.25">
      <c r="A53" s="4" t="s">
        <v>58</v>
      </c>
      <c r="B53" s="4"/>
      <c r="C53" s="4" t="s">
        <v>8</v>
      </c>
      <c r="D53" s="4"/>
      <c r="E53" s="1">
        <v>596343</v>
      </c>
      <c r="F53" s="1">
        <v>0</v>
      </c>
      <c r="G53" s="1">
        <v>0</v>
      </c>
      <c r="H53" s="1">
        <v>-1571099</v>
      </c>
      <c r="I53" s="1">
        <v>0</v>
      </c>
      <c r="R53">
        <v>52</v>
      </c>
      <c r="S53" t="s">
        <v>143</v>
      </c>
    </row>
    <row r="54" spans="1:19" ht="23.25">
      <c r="A54" s="4" t="s">
        <v>59</v>
      </c>
      <c r="B54" s="4"/>
      <c r="C54" s="4" t="s">
        <v>8</v>
      </c>
      <c r="D54" s="4"/>
      <c r="E54" s="1">
        <v>1220272</v>
      </c>
      <c r="F54" s="1">
        <v>0</v>
      </c>
      <c r="G54" s="1">
        <v>0</v>
      </c>
      <c r="H54" s="1">
        <v>0</v>
      </c>
      <c r="I54" s="1">
        <v>0</v>
      </c>
      <c r="R54">
        <v>53</v>
      </c>
      <c r="S54" t="s">
        <v>144</v>
      </c>
    </row>
    <row r="55" spans="1:19" ht="23.25">
      <c r="A55" s="4" t="s">
        <v>60</v>
      </c>
      <c r="B55" s="4"/>
      <c r="C55" s="4" t="s">
        <v>8</v>
      </c>
      <c r="D55" s="4"/>
      <c r="E55" s="1">
        <v>6761672</v>
      </c>
      <c r="F55" s="1">
        <v>0</v>
      </c>
      <c r="G55" s="1">
        <v>0</v>
      </c>
      <c r="H55" s="1">
        <v>0</v>
      </c>
      <c r="I55" s="1">
        <v>0</v>
      </c>
      <c r="R55">
        <v>54</v>
      </c>
      <c r="S55" t="s">
        <v>145</v>
      </c>
    </row>
    <row r="56" spans="1:19" ht="23.25">
      <c r="A56" s="4" t="s">
        <v>61</v>
      </c>
      <c r="B56" s="4"/>
      <c r="C56" s="4" t="s">
        <v>8</v>
      </c>
      <c r="D56" s="4"/>
      <c r="E56" s="1">
        <v>0</v>
      </c>
      <c r="F56" s="1">
        <v>0</v>
      </c>
      <c r="G56" s="1">
        <v>0</v>
      </c>
      <c r="H56" s="1">
        <v>0</v>
      </c>
      <c r="I56" s="1">
        <v>0</v>
      </c>
      <c r="R56">
        <v>55</v>
      </c>
      <c r="S56" t="s">
        <v>146</v>
      </c>
    </row>
    <row r="57" spans="1:19" ht="23.25">
      <c r="A57" s="4" t="s">
        <v>62</v>
      </c>
      <c r="B57" s="4"/>
      <c r="C57" s="4" t="s">
        <v>8</v>
      </c>
      <c r="D57" s="4"/>
      <c r="E57" s="1">
        <v>0</v>
      </c>
      <c r="F57" s="1">
        <v>0</v>
      </c>
      <c r="G57" s="1">
        <v>0</v>
      </c>
      <c r="H57" s="1">
        <v>0</v>
      </c>
      <c r="I57" s="1">
        <v>0</v>
      </c>
      <c r="R57">
        <v>56</v>
      </c>
      <c r="S57" t="s">
        <v>147</v>
      </c>
    </row>
    <row r="58" spans="1:19" ht="23.25">
      <c r="A58" s="4" t="s">
        <v>63</v>
      </c>
      <c r="B58" s="4"/>
      <c r="C58" s="4" t="s">
        <v>8</v>
      </c>
      <c r="D58" s="4"/>
      <c r="E58" s="1">
        <v>0</v>
      </c>
      <c r="F58" s="1">
        <v>0</v>
      </c>
      <c r="G58" s="1">
        <v>0</v>
      </c>
      <c r="H58" s="1">
        <v>0</v>
      </c>
      <c r="I58" s="1">
        <v>0</v>
      </c>
      <c r="R58">
        <v>57</v>
      </c>
      <c r="S58" t="s">
        <v>148</v>
      </c>
    </row>
    <row r="59" spans="1:19" ht="23.25">
      <c r="A59" s="4" t="s">
        <v>64</v>
      </c>
      <c r="B59" s="4"/>
      <c r="C59" s="4" t="s">
        <v>8</v>
      </c>
      <c r="D59" s="4"/>
      <c r="E59" s="1">
        <v>7649</v>
      </c>
      <c r="F59" s="1">
        <v>0</v>
      </c>
      <c r="G59" s="1">
        <v>0</v>
      </c>
      <c r="H59" s="1">
        <v>0</v>
      </c>
      <c r="I59" s="1">
        <v>0</v>
      </c>
      <c r="R59">
        <v>58</v>
      </c>
      <c r="S59" t="s">
        <v>149</v>
      </c>
    </row>
    <row r="60" spans="1:19" ht="23.25">
      <c r="A60" s="4" t="s">
        <v>65</v>
      </c>
      <c r="B60" s="4"/>
      <c r="C60" s="4" t="s">
        <v>8</v>
      </c>
      <c r="D60" s="4"/>
      <c r="E60" s="1">
        <v>911</v>
      </c>
      <c r="F60" s="1">
        <v>0</v>
      </c>
      <c r="G60" s="1">
        <v>0</v>
      </c>
      <c r="H60" s="1">
        <v>0</v>
      </c>
      <c r="I60" s="1">
        <v>77</v>
      </c>
      <c r="R60">
        <v>190</v>
      </c>
      <c r="S60" t="s">
        <v>150</v>
      </c>
    </row>
    <row r="61" spans="1:19" ht="23.25">
      <c r="A61" s="4" t="s">
        <v>66</v>
      </c>
      <c r="B61" s="4"/>
      <c r="C61" s="4" t="s">
        <v>8</v>
      </c>
      <c r="D61" s="4"/>
      <c r="E61" s="1">
        <v>106906674</v>
      </c>
      <c r="F61" s="1">
        <v>0</v>
      </c>
      <c r="G61" s="1">
        <v>0</v>
      </c>
      <c r="H61" s="1">
        <v>0</v>
      </c>
      <c r="I61" s="1">
        <v>27576334</v>
      </c>
      <c r="R61">
        <v>201</v>
      </c>
      <c r="S61" t="s">
        <v>151</v>
      </c>
    </row>
    <row r="62" spans="1:19" ht="23.25">
      <c r="A62" s="4" t="s">
        <v>67</v>
      </c>
      <c r="B62" s="4"/>
      <c r="C62" s="4" t="s">
        <v>8</v>
      </c>
      <c r="D62" s="4"/>
      <c r="E62" s="1">
        <v>66711643</v>
      </c>
      <c r="F62" s="1">
        <v>0</v>
      </c>
      <c r="G62" s="1">
        <v>0</v>
      </c>
      <c r="H62" s="1">
        <v>0</v>
      </c>
      <c r="I62" s="1">
        <v>0</v>
      </c>
      <c r="R62">
        <v>202</v>
      </c>
      <c r="S62" t="s">
        <v>152</v>
      </c>
    </row>
    <row r="63" spans="1:19" ht="23.25">
      <c r="A63" s="4" t="s">
        <v>68</v>
      </c>
      <c r="B63" s="4"/>
      <c r="C63" s="4" t="s">
        <v>8</v>
      </c>
      <c r="D63" s="4"/>
      <c r="E63" s="1">
        <v>103830453</v>
      </c>
      <c r="F63" s="1">
        <v>0</v>
      </c>
      <c r="G63" s="1">
        <v>0</v>
      </c>
      <c r="H63" s="1">
        <v>0</v>
      </c>
      <c r="I63" s="1">
        <v>0</v>
      </c>
      <c r="R63">
        <v>203</v>
      </c>
      <c r="S63" t="s">
        <v>153</v>
      </c>
    </row>
    <row r="64" spans="1:19" ht="23.25">
      <c r="A64" s="4" t="s">
        <v>69</v>
      </c>
      <c r="B64" s="4"/>
      <c r="C64" s="4" t="s">
        <v>8</v>
      </c>
      <c r="D64" s="4"/>
      <c r="E64" s="1">
        <v>23207172</v>
      </c>
      <c r="F64" s="1">
        <v>0</v>
      </c>
      <c r="G64" s="1">
        <v>0</v>
      </c>
      <c r="H64" s="1">
        <v>0</v>
      </c>
      <c r="I64" s="1">
        <v>0</v>
      </c>
      <c r="R64">
        <v>204</v>
      </c>
      <c r="S64" t="s">
        <v>154</v>
      </c>
    </row>
    <row r="65" spans="1:19" ht="23.25">
      <c r="A65" s="4" t="s">
        <v>70</v>
      </c>
      <c r="B65" s="4"/>
      <c r="C65" s="4" t="s">
        <v>8</v>
      </c>
      <c r="D65" s="4"/>
      <c r="E65" s="1">
        <v>149515</v>
      </c>
      <c r="F65" s="1">
        <v>0</v>
      </c>
      <c r="G65" s="1">
        <v>0</v>
      </c>
      <c r="H65" s="1">
        <v>0</v>
      </c>
      <c r="I65" s="1">
        <v>0</v>
      </c>
      <c r="R65">
        <v>209</v>
      </c>
      <c r="S65" t="s">
        <v>155</v>
      </c>
    </row>
    <row r="66" spans="1:19" ht="23.25">
      <c r="A66" s="4" t="s">
        <v>71</v>
      </c>
      <c r="B66" s="4"/>
      <c r="C66" s="4" t="s">
        <v>8</v>
      </c>
      <c r="D66" s="4"/>
      <c r="E66" s="1">
        <v>193898783</v>
      </c>
      <c r="F66" s="1">
        <v>0</v>
      </c>
      <c r="G66" s="1">
        <v>0</v>
      </c>
      <c r="H66" s="1">
        <v>0</v>
      </c>
      <c r="I66" s="1">
        <v>0</v>
      </c>
      <c r="R66">
        <v>210</v>
      </c>
      <c r="S66" t="s">
        <v>156</v>
      </c>
    </row>
    <row r="67" spans="1:19" ht="23.25">
      <c r="A67" s="4" t="s">
        <v>72</v>
      </c>
      <c r="B67" s="4"/>
      <c r="C67" s="4" t="s">
        <v>8</v>
      </c>
      <c r="D67" s="4"/>
      <c r="E67" s="1">
        <v>300805457</v>
      </c>
      <c r="F67" s="1">
        <v>0</v>
      </c>
      <c r="G67" s="1">
        <v>0</v>
      </c>
      <c r="H67" s="1">
        <v>0</v>
      </c>
      <c r="I67" s="1">
        <v>0</v>
      </c>
      <c r="R67">
        <v>301</v>
      </c>
      <c r="S67" t="s">
        <v>157</v>
      </c>
    </row>
    <row r="68" spans="1:19" ht="23.25">
      <c r="A68" s="4" t="s">
        <v>8</v>
      </c>
      <c r="B68" s="4"/>
      <c r="C68" s="4" t="s">
        <v>9</v>
      </c>
      <c r="D68" s="4"/>
      <c r="E68" s="1">
        <v>0</v>
      </c>
      <c r="F68" s="1">
        <v>0</v>
      </c>
      <c r="G68" s="1">
        <v>0</v>
      </c>
      <c r="H68" s="1">
        <v>0</v>
      </c>
      <c r="I68" s="1">
        <v>0</v>
      </c>
      <c r="R68">
        <v>302</v>
      </c>
      <c r="S68" t="s">
        <v>158</v>
      </c>
    </row>
    <row r="69" spans="1:19" ht="23.25">
      <c r="A69" s="4" t="s">
        <v>9</v>
      </c>
      <c r="B69" s="4"/>
      <c r="C69" s="4" t="s">
        <v>9</v>
      </c>
      <c r="D69" s="4"/>
      <c r="E69" s="1">
        <v>5865215</v>
      </c>
      <c r="F69" s="1">
        <v>118417</v>
      </c>
      <c r="G69" s="1">
        <v>7623</v>
      </c>
      <c r="H69" s="1">
        <v>48251</v>
      </c>
      <c r="I69" s="1">
        <v>183307</v>
      </c>
      <c r="R69">
        <v>303</v>
      </c>
      <c r="S69" t="s">
        <v>159</v>
      </c>
    </row>
    <row r="70" spans="1:19" ht="23.25">
      <c r="A70" s="4" t="s">
        <v>10</v>
      </c>
      <c r="B70" s="4"/>
      <c r="C70" s="4" t="s">
        <v>9</v>
      </c>
      <c r="D70" s="4"/>
      <c r="E70" s="1">
        <v>0</v>
      </c>
      <c r="F70" s="1">
        <v>0</v>
      </c>
      <c r="G70" s="1">
        <v>0</v>
      </c>
      <c r="H70" s="1">
        <v>0</v>
      </c>
      <c r="I70" s="1">
        <v>0</v>
      </c>
      <c r="R70">
        <v>304</v>
      </c>
      <c r="S70" t="s">
        <v>160</v>
      </c>
    </row>
    <row r="71" spans="1:19" ht="23.25">
      <c r="A71" s="4" t="s">
        <v>11</v>
      </c>
      <c r="B71" s="4"/>
      <c r="C71" s="4" t="s">
        <v>9</v>
      </c>
      <c r="D71" s="4"/>
      <c r="E71" s="1">
        <v>0</v>
      </c>
      <c r="F71" s="1">
        <v>0</v>
      </c>
      <c r="G71" s="1">
        <v>0</v>
      </c>
      <c r="H71" s="1">
        <v>0</v>
      </c>
      <c r="I71" s="1">
        <v>0</v>
      </c>
      <c r="R71">
        <v>305</v>
      </c>
      <c r="S71" t="s">
        <v>161</v>
      </c>
    </row>
    <row r="72" spans="1:19" ht="23.25">
      <c r="A72" s="4" t="s">
        <v>12</v>
      </c>
      <c r="B72" s="4"/>
      <c r="C72" s="4" t="s">
        <v>9</v>
      </c>
      <c r="D72" s="4"/>
      <c r="E72" s="1">
        <v>0</v>
      </c>
      <c r="F72" s="1">
        <v>0</v>
      </c>
      <c r="G72" s="1">
        <v>0</v>
      </c>
      <c r="H72" s="1">
        <v>0</v>
      </c>
      <c r="I72" s="1">
        <v>0</v>
      </c>
      <c r="R72">
        <v>306</v>
      </c>
      <c r="S72" t="s">
        <v>162</v>
      </c>
    </row>
    <row r="73" spans="1:19" ht="23.25">
      <c r="A73" s="4" t="s">
        <v>13</v>
      </c>
      <c r="B73" s="4"/>
      <c r="C73" s="4" t="s">
        <v>9</v>
      </c>
      <c r="D73" s="4"/>
      <c r="E73" s="1">
        <v>0</v>
      </c>
      <c r="F73" s="1">
        <v>0</v>
      </c>
      <c r="G73" s="1">
        <v>0</v>
      </c>
      <c r="H73" s="1">
        <v>0</v>
      </c>
      <c r="I73" s="1">
        <v>0</v>
      </c>
      <c r="R73">
        <v>309</v>
      </c>
      <c r="S73" t="s">
        <v>163</v>
      </c>
    </row>
    <row r="74" spans="1:19" ht="23.25">
      <c r="A74" s="4" t="s">
        <v>14</v>
      </c>
      <c r="B74" s="4"/>
      <c r="C74" s="4" t="s">
        <v>9</v>
      </c>
      <c r="D74" s="4"/>
      <c r="E74" s="1">
        <v>0</v>
      </c>
      <c r="F74" s="1">
        <v>0</v>
      </c>
      <c r="G74" s="1">
        <v>0</v>
      </c>
      <c r="H74" s="1">
        <v>0</v>
      </c>
      <c r="I74" s="1">
        <v>0</v>
      </c>
      <c r="R74">
        <v>310</v>
      </c>
      <c r="S74" t="s">
        <v>164</v>
      </c>
    </row>
    <row r="75" spans="1:19" ht="23.25">
      <c r="A75" s="4" t="s">
        <v>15</v>
      </c>
      <c r="B75" s="4"/>
      <c r="C75" s="4" t="s">
        <v>9</v>
      </c>
      <c r="D75" s="4"/>
      <c r="E75" s="1">
        <v>829269</v>
      </c>
      <c r="F75" s="1">
        <v>0</v>
      </c>
      <c r="G75" s="1">
        <v>0</v>
      </c>
      <c r="H75" s="1">
        <v>0</v>
      </c>
      <c r="I75" s="1">
        <v>0</v>
      </c>
      <c r="R75">
        <v>401</v>
      </c>
      <c r="S75" t="s">
        <v>165</v>
      </c>
    </row>
    <row r="76" spans="1:19" ht="23.25">
      <c r="A76" s="4" t="s">
        <v>16</v>
      </c>
      <c r="B76" s="4"/>
      <c r="C76" s="4" t="s">
        <v>9</v>
      </c>
      <c r="D76" s="4"/>
      <c r="E76" s="1">
        <v>0</v>
      </c>
      <c r="F76" s="1">
        <v>0</v>
      </c>
      <c r="G76" s="1">
        <v>0</v>
      </c>
      <c r="H76" s="1">
        <v>0</v>
      </c>
      <c r="I76" s="1">
        <v>0</v>
      </c>
      <c r="R76">
        <v>402</v>
      </c>
      <c r="S76" t="s">
        <v>166</v>
      </c>
    </row>
    <row r="77" spans="1:19" ht="23.25">
      <c r="A77" s="4" t="s">
        <v>17</v>
      </c>
      <c r="B77" s="4"/>
      <c r="C77" s="4" t="s">
        <v>9</v>
      </c>
      <c r="D77" s="4"/>
      <c r="E77" s="1">
        <v>0</v>
      </c>
      <c r="F77" s="1">
        <v>0</v>
      </c>
      <c r="G77" s="1">
        <v>0</v>
      </c>
      <c r="H77" s="1">
        <v>0</v>
      </c>
      <c r="I77" s="1">
        <v>0</v>
      </c>
      <c r="R77">
        <v>403</v>
      </c>
      <c r="S77" t="s">
        <v>167</v>
      </c>
    </row>
    <row r="78" spans="1:19" ht="23.25">
      <c r="A78" s="4" t="s">
        <v>18</v>
      </c>
      <c r="B78" s="4"/>
      <c r="C78" s="4" t="s">
        <v>9</v>
      </c>
      <c r="D78" s="4"/>
      <c r="E78" s="1">
        <v>0</v>
      </c>
      <c r="F78" s="1">
        <v>0</v>
      </c>
      <c r="G78" s="1">
        <v>0</v>
      </c>
      <c r="H78" s="1">
        <v>0</v>
      </c>
      <c r="I78" s="1">
        <v>0</v>
      </c>
      <c r="R78">
        <v>404</v>
      </c>
      <c r="S78" t="s">
        <v>168</v>
      </c>
    </row>
    <row r="79" spans="1:19" ht="23.25">
      <c r="A79" s="4" t="s">
        <v>19</v>
      </c>
      <c r="B79" s="4"/>
      <c r="C79" s="4" t="s">
        <v>9</v>
      </c>
      <c r="D79" s="4"/>
      <c r="E79" s="1">
        <v>0</v>
      </c>
      <c r="F79" s="1">
        <v>0</v>
      </c>
      <c r="G79" s="1">
        <v>0</v>
      </c>
      <c r="H79" s="1">
        <v>0</v>
      </c>
      <c r="I79" s="1">
        <v>0</v>
      </c>
      <c r="R79">
        <v>409</v>
      </c>
      <c r="S79" t="s">
        <v>169</v>
      </c>
    </row>
    <row r="80" spans="1:19" ht="23.25">
      <c r="A80" s="4" t="s">
        <v>20</v>
      </c>
      <c r="B80" s="4"/>
      <c r="C80" s="4" t="s">
        <v>9</v>
      </c>
      <c r="D80" s="4"/>
      <c r="E80" s="1">
        <v>0</v>
      </c>
      <c r="F80" s="1">
        <v>0</v>
      </c>
      <c r="G80" s="1">
        <v>0</v>
      </c>
      <c r="H80" s="1">
        <v>0</v>
      </c>
      <c r="I80" s="1">
        <v>0</v>
      </c>
      <c r="R80">
        <v>501</v>
      </c>
      <c r="S80" t="s">
        <v>170</v>
      </c>
    </row>
    <row r="81" spans="1:19" ht="23.25">
      <c r="A81" s="4" t="s">
        <v>21</v>
      </c>
      <c r="B81" s="4"/>
      <c r="C81" s="4" t="s">
        <v>9</v>
      </c>
      <c r="D81" s="4"/>
      <c r="E81" s="1">
        <v>0</v>
      </c>
      <c r="F81" s="1">
        <v>0</v>
      </c>
      <c r="G81" s="1">
        <v>0</v>
      </c>
      <c r="H81" s="1">
        <v>0</v>
      </c>
      <c r="I81" s="1">
        <v>0</v>
      </c>
      <c r="R81">
        <v>502</v>
      </c>
      <c r="S81" t="s">
        <v>171</v>
      </c>
    </row>
    <row r="82" spans="1:19" ht="23.25">
      <c r="A82" s="4" t="s">
        <v>22</v>
      </c>
      <c r="B82" s="4"/>
      <c r="C82" s="4" t="s">
        <v>9</v>
      </c>
      <c r="D82" s="4"/>
      <c r="E82" s="1">
        <v>0</v>
      </c>
      <c r="F82" s="1">
        <v>0</v>
      </c>
      <c r="G82" s="1">
        <v>0</v>
      </c>
      <c r="H82" s="1">
        <v>0</v>
      </c>
      <c r="I82" s="1">
        <v>0</v>
      </c>
      <c r="R82">
        <v>503</v>
      </c>
      <c r="S82" t="s">
        <v>172</v>
      </c>
    </row>
    <row r="83" spans="1:19" ht="23.25">
      <c r="A83" s="4" t="s">
        <v>23</v>
      </c>
      <c r="B83" s="4"/>
      <c r="C83" s="4" t="s">
        <v>9</v>
      </c>
      <c r="D83" s="4"/>
      <c r="E83" s="1">
        <v>0</v>
      </c>
      <c r="F83" s="1">
        <v>0</v>
      </c>
      <c r="G83" s="1">
        <v>0</v>
      </c>
      <c r="H83" s="1">
        <v>0</v>
      </c>
      <c r="I83" s="1">
        <v>0</v>
      </c>
      <c r="R83">
        <v>509</v>
      </c>
      <c r="S83" t="s">
        <v>173</v>
      </c>
    </row>
    <row r="84" spans="1:19" ht="23.25">
      <c r="A84" s="4" t="s">
        <v>24</v>
      </c>
      <c r="B84" s="4"/>
      <c r="C84" s="4" t="s">
        <v>9</v>
      </c>
      <c r="D84" s="4"/>
      <c r="E84" s="1">
        <v>0</v>
      </c>
      <c r="F84" s="1">
        <v>0</v>
      </c>
      <c r="G84" s="1">
        <v>0</v>
      </c>
      <c r="H84" s="1">
        <v>0</v>
      </c>
      <c r="I84" s="1">
        <v>0</v>
      </c>
      <c r="R84">
        <v>600</v>
      </c>
      <c r="S84" t="s">
        <v>156</v>
      </c>
    </row>
    <row r="85" spans="1:19" ht="23.25">
      <c r="A85" s="4" t="s">
        <v>25</v>
      </c>
      <c r="B85" s="4"/>
      <c r="C85" s="4" t="s">
        <v>9</v>
      </c>
      <c r="D85" s="4"/>
      <c r="E85" s="1">
        <v>0</v>
      </c>
      <c r="F85" s="1">
        <v>0</v>
      </c>
      <c r="G85" s="1">
        <v>0</v>
      </c>
      <c r="H85" s="1">
        <v>0</v>
      </c>
      <c r="I85" s="1">
        <v>0</v>
      </c>
      <c r="R85">
        <v>700</v>
      </c>
      <c r="S85" t="s">
        <v>174</v>
      </c>
    </row>
    <row r="86" spans="1:19" ht="23.25">
      <c r="A86" s="4" t="s">
        <v>26</v>
      </c>
      <c r="B86" s="4"/>
      <c r="C86" s="4" t="s">
        <v>9</v>
      </c>
      <c r="D86" s="4"/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19" ht="23.25">
      <c r="A87" s="4" t="s">
        <v>27</v>
      </c>
      <c r="B87" s="4"/>
      <c r="C87" s="4" t="s">
        <v>9</v>
      </c>
      <c r="D87" s="4"/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19" ht="23.25">
      <c r="A88" s="4" t="s">
        <v>28</v>
      </c>
      <c r="B88" s="4"/>
      <c r="C88" s="4" t="s">
        <v>9</v>
      </c>
      <c r="D88" s="4"/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19" ht="23.25">
      <c r="A89" s="4" t="s">
        <v>29</v>
      </c>
      <c r="B89" s="4"/>
      <c r="C89" s="4" t="s">
        <v>9</v>
      </c>
      <c r="D89" s="4"/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19" ht="23.25">
      <c r="A90" s="4" t="s">
        <v>30</v>
      </c>
      <c r="B90" s="4"/>
      <c r="C90" s="4" t="s">
        <v>9</v>
      </c>
      <c r="D90" s="4"/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19" ht="23.25">
      <c r="A91" s="4" t="s">
        <v>31</v>
      </c>
      <c r="B91" s="4"/>
      <c r="C91" s="4" t="s">
        <v>9</v>
      </c>
      <c r="D91" s="4"/>
      <c r="E91" s="1">
        <v>208864</v>
      </c>
      <c r="F91" s="1">
        <v>40304</v>
      </c>
      <c r="G91" s="1">
        <v>4800</v>
      </c>
      <c r="H91" s="1">
        <v>1843</v>
      </c>
      <c r="I91" s="1">
        <v>0</v>
      </c>
    </row>
    <row r="92" spans="1:19" ht="23.25">
      <c r="A92" s="4" t="s">
        <v>32</v>
      </c>
      <c r="B92" s="4"/>
      <c r="C92" s="4" t="s">
        <v>9</v>
      </c>
      <c r="D92" s="4"/>
      <c r="E92" s="1">
        <v>554</v>
      </c>
      <c r="F92" s="1">
        <v>22</v>
      </c>
      <c r="G92" s="1">
        <v>16</v>
      </c>
      <c r="H92" s="1">
        <v>5</v>
      </c>
      <c r="I92" s="1">
        <v>0</v>
      </c>
    </row>
    <row r="93" spans="1:19" ht="23.25">
      <c r="A93" s="4" t="s">
        <v>33</v>
      </c>
      <c r="B93" s="4"/>
      <c r="C93" s="4" t="s">
        <v>9</v>
      </c>
      <c r="D93" s="4"/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19" ht="23.25">
      <c r="A94" s="4" t="s">
        <v>34</v>
      </c>
      <c r="B94" s="4"/>
      <c r="C94" s="4" t="s">
        <v>9</v>
      </c>
      <c r="D94" s="4"/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19" ht="23.25">
      <c r="A95" s="4" t="s">
        <v>35</v>
      </c>
      <c r="B95" s="4"/>
      <c r="C95" s="4" t="s">
        <v>9</v>
      </c>
      <c r="D95" s="4"/>
      <c r="E95" s="1">
        <v>6761322</v>
      </c>
      <c r="F95" s="1">
        <v>768586</v>
      </c>
      <c r="G95" s="1">
        <v>727783</v>
      </c>
      <c r="H95" s="1">
        <v>290677</v>
      </c>
      <c r="I95" s="1">
        <v>3881156</v>
      </c>
    </row>
    <row r="96" spans="1:19" ht="23.25">
      <c r="A96" s="4" t="s">
        <v>36</v>
      </c>
      <c r="B96" s="4"/>
      <c r="C96" s="4" t="s">
        <v>9</v>
      </c>
      <c r="D96" s="4"/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ht="23.25">
      <c r="A97" s="4" t="s">
        <v>37</v>
      </c>
      <c r="B97" s="4"/>
      <c r="C97" s="4" t="s">
        <v>9</v>
      </c>
      <c r="D97" s="4"/>
      <c r="E97" s="1">
        <v>873484</v>
      </c>
      <c r="F97" s="1">
        <v>67102</v>
      </c>
      <c r="G97" s="1">
        <v>89490</v>
      </c>
      <c r="H97" s="1">
        <v>8932</v>
      </c>
      <c r="I97" s="1">
        <v>155366</v>
      </c>
    </row>
    <row r="98" spans="1:9" ht="23.25">
      <c r="A98" s="4" t="s">
        <v>38</v>
      </c>
      <c r="B98" s="4"/>
      <c r="C98" s="4" t="s">
        <v>9</v>
      </c>
      <c r="D98" s="4"/>
      <c r="E98" s="1">
        <v>273</v>
      </c>
      <c r="F98" s="1">
        <v>38</v>
      </c>
      <c r="G98" s="1">
        <v>40</v>
      </c>
      <c r="H98" s="1">
        <v>7</v>
      </c>
      <c r="I98" s="1">
        <v>0</v>
      </c>
    </row>
    <row r="99" spans="1:9" ht="23.25">
      <c r="A99" s="4" t="s">
        <v>39</v>
      </c>
      <c r="B99" s="4"/>
      <c r="C99" s="4" t="s">
        <v>9</v>
      </c>
      <c r="D99" s="4"/>
      <c r="E99" s="1">
        <v>18420</v>
      </c>
      <c r="F99" s="1">
        <v>449</v>
      </c>
      <c r="G99" s="1">
        <v>1059</v>
      </c>
      <c r="H99" s="1">
        <v>135</v>
      </c>
      <c r="I99" s="1">
        <v>4545</v>
      </c>
    </row>
    <row r="100" spans="1:9" ht="23.25">
      <c r="A100" s="4" t="s">
        <v>40</v>
      </c>
      <c r="B100" s="4"/>
      <c r="C100" s="4" t="s">
        <v>9</v>
      </c>
      <c r="D100" s="4"/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ht="23.25">
      <c r="A101" s="4" t="s">
        <v>41</v>
      </c>
      <c r="B101" s="4"/>
      <c r="C101" s="4" t="s">
        <v>9</v>
      </c>
      <c r="D101" s="4"/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ht="23.25">
      <c r="A102" s="4" t="s">
        <v>42</v>
      </c>
      <c r="B102" s="4"/>
      <c r="C102" s="4" t="s">
        <v>9</v>
      </c>
      <c r="D102" s="4"/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ht="23.25">
      <c r="A103" s="4" t="s">
        <v>43</v>
      </c>
      <c r="B103" s="4"/>
      <c r="C103" s="4" t="s">
        <v>9</v>
      </c>
      <c r="D103" s="4"/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ht="23.25">
      <c r="A104" s="4" t="s">
        <v>44</v>
      </c>
      <c r="B104" s="4"/>
      <c r="C104" s="4" t="s">
        <v>9</v>
      </c>
      <c r="D104" s="4"/>
      <c r="E104" s="1">
        <v>262041</v>
      </c>
      <c r="F104" s="1">
        <v>17111</v>
      </c>
      <c r="G104" s="1">
        <v>27927</v>
      </c>
      <c r="H104" s="1">
        <v>2009</v>
      </c>
      <c r="I104" s="1">
        <v>32161</v>
      </c>
    </row>
    <row r="105" spans="1:9" ht="23.25">
      <c r="A105" s="4" t="s">
        <v>45</v>
      </c>
      <c r="B105" s="4"/>
      <c r="C105" s="4" t="s">
        <v>9</v>
      </c>
      <c r="D105" s="4"/>
      <c r="E105" s="1">
        <v>541261</v>
      </c>
      <c r="F105" s="1">
        <v>42953</v>
      </c>
      <c r="G105" s="1">
        <v>55710</v>
      </c>
      <c r="H105" s="1">
        <v>4412</v>
      </c>
      <c r="I105" s="1">
        <v>0</v>
      </c>
    </row>
    <row r="106" spans="1:9" ht="23.25">
      <c r="A106" s="4" t="s">
        <v>46</v>
      </c>
      <c r="B106" s="4"/>
      <c r="C106" s="4" t="s">
        <v>9</v>
      </c>
      <c r="D106" s="4"/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 spans="1:9" ht="23.25">
      <c r="A107" s="4" t="s">
        <v>47</v>
      </c>
      <c r="B107" s="4"/>
      <c r="C107" s="4" t="s">
        <v>9</v>
      </c>
      <c r="D107" s="4"/>
      <c r="E107" s="1">
        <v>114877</v>
      </c>
      <c r="F107" s="1">
        <v>0</v>
      </c>
      <c r="G107" s="1">
        <v>0</v>
      </c>
      <c r="H107" s="1">
        <v>0</v>
      </c>
      <c r="I107" s="1">
        <v>0</v>
      </c>
    </row>
    <row r="108" spans="1:9" ht="23.25">
      <c r="A108" s="4" t="s">
        <v>48</v>
      </c>
      <c r="B108" s="4"/>
      <c r="C108" s="4" t="s">
        <v>9</v>
      </c>
      <c r="D108" s="4"/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ht="23.25">
      <c r="A109" s="4" t="s">
        <v>49</v>
      </c>
      <c r="B109" s="4"/>
      <c r="C109" s="4" t="s">
        <v>9</v>
      </c>
      <c r="D109" s="4"/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 spans="1:9" ht="23.25">
      <c r="A110" s="4" t="s">
        <v>50</v>
      </c>
      <c r="B110" s="4"/>
      <c r="C110" s="4" t="s">
        <v>9</v>
      </c>
      <c r="D110" s="4"/>
      <c r="E110" s="1">
        <v>42865</v>
      </c>
      <c r="F110" s="1">
        <v>5615</v>
      </c>
      <c r="G110" s="1">
        <v>3978</v>
      </c>
      <c r="H110" s="1">
        <v>328</v>
      </c>
      <c r="I110" s="1">
        <v>0</v>
      </c>
    </row>
    <row r="111" spans="1:9" ht="23.25">
      <c r="A111" s="4" t="s">
        <v>51</v>
      </c>
      <c r="B111" s="4"/>
      <c r="C111" s="4" t="s">
        <v>9</v>
      </c>
      <c r="D111" s="4"/>
      <c r="E111" s="1">
        <v>463</v>
      </c>
      <c r="F111" s="1">
        <v>43</v>
      </c>
      <c r="G111" s="1">
        <v>38</v>
      </c>
      <c r="H111" s="1">
        <v>5</v>
      </c>
      <c r="I111" s="1">
        <v>0</v>
      </c>
    </row>
    <row r="112" spans="1:9" ht="23.25">
      <c r="A112" s="4" t="s">
        <v>52</v>
      </c>
      <c r="B112" s="4"/>
      <c r="C112" s="4" t="s">
        <v>9</v>
      </c>
      <c r="D112" s="4"/>
      <c r="E112" s="1">
        <v>1798</v>
      </c>
      <c r="F112" s="1">
        <v>0</v>
      </c>
      <c r="G112" s="1">
        <v>0</v>
      </c>
      <c r="H112" s="1">
        <v>0</v>
      </c>
      <c r="I112" s="1">
        <v>0</v>
      </c>
    </row>
    <row r="113" spans="1:9" ht="23.25">
      <c r="A113" s="4" t="s">
        <v>53</v>
      </c>
      <c r="B113" s="4"/>
      <c r="C113" s="4" t="s">
        <v>9</v>
      </c>
      <c r="D113" s="4"/>
      <c r="E113" s="1">
        <v>28166</v>
      </c>
      <c r="F113" s="1">
        <v>0</v>
      </c>
      <c r="G113" s="1">
        <v>0</v>
      </c>
      <c r="H113" s="1">
        <v>0</v>
      </c>
      <c r="I113" s="1">
        <v>0</v>
      </c>
    </row>
    <row r="114" spans="1:9" ht="23.25">
      <c r="A114" s="4" t="s">
        <v>54</v>
      </c>
      <c r="B114" s="4"/>
      <c r="C114" s="4" t="s">
        <v>9</v>
      </c>
      <c r="D114" s="4"/>
      <c r="E114" s="1">
        <v>5270</v>
      </c>
      <c r="F114" s="1">
        <v>0</v>
      </c>
      <c r="G114" s="1">
        <v>0</v>
      </c>
      <c r="H114" s="1">
        <v>0</v>
      </c>
      <c r="I114" s="1">
        <v>0</v>
      </c>
    </row>
    <row r="115" spans="1:9" ht="23.25">
      <c r="A115" s="4" t="s">
        <v>55</v>
      </c>
      <c r="B115" s="4"/>
      <c r="C115" s="4" t="s">
        <v>9</v>
      </c>
      <c r="D115" s="4"/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ht="23.25">
      <c r="A116" s="4" t="s">
        <v>56</v>
      </c>
      <c r="B116" s="4"/>
      <c r="C116" s="4" t="s">
        <v>9</v>
      </c>
      <c r="D116" s="4"/>
      <c r="E116" s="1">
        <v>0</v>
      </c>
      <c r="F116" s="1">
        <v>-1060640</v>
      </c>
      <c r="G116" s="1">
        <v>-918464</v>
      </c>
      <c r="H116" s="1">
        <v>0</v>
      </c>
      <c r="I116" s="1">
        <v>0</v>
      </c>
    </row>
    <row r="117" spans="1:9" ht="23.25">
      <c r="A117" s="4" t="s">
        <v>57</v>
      </c>
      <c r="B117" s="4"/>
      <c r="C117" s="4" t="s">
        <v>9</v>
      </c>
      <c r="D117" s="4"/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ht="23.25">
      <c r="A118" s="4" t="s">
        <v>58</v>
      </c>
      <c r="B118" s="4"/>
      <c r="C118" s="4" t="s">
        <v>9</v>
      </c>
      <c r="D118" s="4"/>
      <c r="E118" s="1">
        <v>113104</v>
      </c>
      <c r="F118" s="1">
        <v>0</v>
      </c>
      <c r="G118" s="1">
        <v>0</v>
      </c>
      <c r="H118" s="1">
        <v>-356604</v>
      </c>
      <c r="I118" s="1">
        <v>0</v>
      </c>
    </row>
    <row r="119" spans="1:9" ht="23.25">
      <c r="A119" s="4" t="s">
        <v>59</v>
      </c>
      <c r="B119" s="4"/>
      <c r="C119" s="4" t="s">
        <v>9</v>
      </c>
      <c r="D119" s="4"/>
      <c r="E119" s="1">
        <v>142146</v>
      </c>
      <c r="F119" s="1">
        <v>0</v>
      </c>
      <c r="G119" s="1">
        <v>0</v>
      </c>
      <c r="H119" s="1">
        <v>0</v>
      </c>
      <c r="I119" s="1">
        <v>0</v>
      </c>
    </row>
    <row r="120" spans="1:9" ht="23.25">
      <c r="A120" s="4" t="s">
        <v>60</v>
      </c>
      <c r="B120" s="4"/>
      <c r="C120" s="4" t="s">
        <v>9</v>
      </c>
      <c r="D120" s="4"/>
      <c r="E120" s="1">
        <v>1071866</v>
      </c>
      <c r="F120" s="1">
        <v>0</v>
      </c>
      <c r="G120" s="1">
        <v>0</v>
      </c>
      <c r="H120" s="1">
        <v>0</v>
      </c>
      <c r="I120" s="1">
        <v>0</v>
      </c>
    </row>
    <row r="121" spans="1:9" ht="23.25">
      <c r="A121" s="4" t="s">
        <v>61</v>
      </c>
      <c r="B121" s="4"/>
      <c r="C121" s="4" t="s">
        <v>9</v>
      </c>
      <c r="D121" s="4"/>
      <c r="E121" s="1">
        <v>0</v>
      </c>
      <c r="F121" s="1">
        <v>0</v>
      </c>
      <c r="G121" s="1">
        <v>0</v>
      </c>
      <c r="H121" s="1">
        <v>0</v>
      </c>
      <c r="I121" s="1">
        <v>0</v>
      </c>
    </row>
    <row r="122" spans="1:9" ht="23.25">
      <c r="A122" s="4" t="s">
        <v>62</v>
      </c>
      <c r="B122" s="4"/>
      <c r="C122" s="4" t="s">
        <v>9</v>
      </c>
      <c r="D122" s="4"/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9" ht="23.25">
      <c r="A123" s="4" t="s">
        <v>63</v>
      </c>
      <c r="B123" s="4"/>
      <c r="C123" s="4" t="s">
        <v>9</v>
      </c>
      <c r="D123" s="4"/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9" ht="23.25">
      <c r="A124" s="4" t="s">
        <v>64</v>
      </c>
      <c r="B124" s="4"/>
      <c r="C124" s="4" t="s">
        <v>9</v>
      </c>
      <c r="D124" s="4"/>
      <c r="E124" s="1">
        <v>17942</v>
      </c>
      <c r="F124" s="1">
        <v>0</v>
      </c>
      <c r="G124" s="1">
        <v>0</v>
      </c>
      <c r="H124" s="1">
        <v>0</v>
      </c>
      <c r="I124" s="1">
        <v>0</v>
      </c>
    </row>
    <row r="125" spans="1:9" ht="23.25">
      <c r="A125" s="4" t="s">
        <v>65</v>
      </c>
      <c r="B125" s="4"/>
      <c r="C125" s="4" t="s">
        <v>9</v>
      </c>
      <c r="D125" s="4"/>
      <c r="E125" s="1">
        <v>24576</v>
      </c>
      <c r="F125" s="1">
        <v>0</v>
      </c>
      <c r="G125" s="1">
        <v>0</v>
      </c>
      <c r="H125" s="1">
        <v>0</v>
      </c>
      <c r="I125" s="1">
        <v>2321</v>
      </c>
    </row>
    <row r="126" spans="1:9" ht="23.25">
      <c r="A126" s="4" t="s">
        <v>66</v>
      </c>
      <c r="B126" s="4"/>
      <c r="C126" s="4" t="s">
        <v>9</v>
      </c>
      <c r="D126" s="4"/>
      <c r="E126" s="1">
        <v>16923776</v>
      </c>
      <c r="F126" s="1">
        <v>0</v>
      </c>
      <c r="G126" s="1">
        <v>0</v>
      </c>
      <c r="H126" s="1">
        <v>0</v>
      </c>
      <c r="I126" s="1">
        <v>4258856</v>
      </c>
    </row>
    <row r="127" spans="1:9" ht="23.25">
      <c r="A127" s="4" t="s">
        <v>67</v>
      </c>
      <c r="B127" s="4"/>
      <c r="C127" s="4" t="s">
        <v>9</v>
      </c>
      <c r="D127" s="4"/>
      <c r="E127" s="1">
        <v>10628282</v>
      </c>
      <c r="F127" s="1">
        <v>0</v>
      </c>
      <c r="G127" s="1">
        <v>0</v>
      </c>
      <c r="H127" s="1">
        <v>0</v>
      </c>
      <c r="I127" s="1">
        <v>0</v>
      </c>
    </row>
    <row r="128" spans="1:9" ht="23.25">
      <c r="A128" s="4" t="s">
        <v>68</v>
      </c>
      <c r="B128" s="4"/>
      <c r="C128" s="4" t="s">
        <v>9</v>
      </c>
      <c r="D128" s="4"/>
      <c r="E128" s="1">
        <v>12857217</v>
      </c>
      <c r="F128" s="1">
        <v>0</v>
      </c>
      <c r="G128" s="1">
        <v>0</v>
      </c>
      <c r="H128" s="1">
        <v>0</v>
      </c>
      <c r="I128" s="1">
        <v>0</v>
      </c>
    </row>
    <row r="129" spans="1:9" ht="23.25">
      <c r="A129" s="4" t="s">
        <v>69</v>
      </c>
      <c r="B129" s="4"/>
      <c r="C129" s="4" t="s">
        <v>9</v>
      </c>
      <c r="D129" s="4"/>
      <c r="E129" s="1">
        <v>1477950</v>
      </c>
      <c r="F129" s="1">
        <v>0</v>
      </c>
      <c r="G129" s="1">
        <v>0</v>
      </c>
      <c r="H129" s="1">
        <v>0</v>
      </c>
      <c r="I129" s="1">
        <v>0</v>
      </c>
    </row>
    <row r="130" spans="1:9" ht="23.25">
      <c r="A130" s="4" t="s">
        <v>70</v>
      </c>
      <c r="B130" s="4"/>
      <c r="C130" s="4" t="s">
        <v>9</v>
      </c>
      <c r="D130" s="4"/>
      <c r="E130" s="1">
        <v>20830</v>
      </c>
      <c r="F130" s="1">
        <v>0</v>
      </c>
      <c r="G130" s="1">
        <v>0</v>
      </c>
      <c r="H130" s="1">
        <v>0</v>
      </c>
      <c r="I130" s="1">
        <v>0</v>
      </c>
    </row>
    <row r="131" spans="1:9" ht="23.25">
      <c r="A131" s="4" t="s">
        <v>71</v>
      </c>
      <c r="B131" s="4"/>
      <c r="C131" s="4" t="s">
        <v>9</v>
      </c>
      <c r="D131" s="4"/>
      <c r="E131" s="1">
        <v>24984279</v>
      </c>
      <c r="F131" s="1">
        <v>0</v>
      </c>
      <c r="G131" s="1">
        <v>0</v>
      </c>
      <c r="H131" s="1">
        <v>0</v>
      </c>
      <c r="I131" s="1">
        <v>0</v>
      </c>
    </row>
    <row r="132" spans="1:9" ht="23.25">
      <c r="A132" s="4" t="s">
        <v>72</v>
      </c>
      <c r="B132" s="4"/>
      <c r="C132" s="4" t="s">
        <v>9</v>
      </c>
      <c r="D132" s="4"/>
      <c r="E132" s="1">
        <v>41908055</v>
      </c>
      <c r="F132" s="1">
        <v>0</v>
      </c>
      <c r="G132" s="1">
        <v>0</v>
      </c>
      <c r="H132" s="1">
        <v>0</v>
      </c>
      <c r="I132" s="1">
        <v>0</v>
      </c>
    </row>
    <row r="133" spans="1:9" ht="23.25">
      <c r="A133" s="4" t="s">
        <v>8</v>
      </c>
      <c r="B133" s="4"/>
      <c r="C133" s="4" t="s">
        <v>10</v>
      </c>
      <c r="D133" s="4"/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ht="23.25">
      <c r="A134" s="4" t="s">
        <v>9</v>
      </c>
      <c r="B134" s="4"/>
      <c r="C134" s="4" t="s">
        <v>10</v>
      </c>
      <c r="D134" s="4"/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 spans="1:9" ht="23.25">
      <c r="A135" s="4" t="s">
        <v>10</v>
      </c>
      <c r="B135" s="4"/>
      <c r="C135" s="4" t="s">
        <v>10</v>
      </c>
      <c r="D135" s="4"/>
      <c r="E135" s="1">
        <v>7591967</v>
      </c>
      <c r="F135" s="1">
        <v>153367</v>
      </c>
      <c r="G135" s="1">
        <v>0</v>
      </c>
      <c r="H135" s="1">
        <v>34103</v>
      </c>
      <c r="I135" s="1">
        <v>0</v>
      </c>
    </row>
    <row r="136" spans="1:9" ht="23.25">
      <c r="A136" s="4" t="s">
        <v>11</v>
      </c>
      <c r="B136" s="4"/>
      <c r="C136" s="4" t="s">
        <v>10</v>
      </c>
      <c r="D136" s="4"/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ht="23.25">
      <c r="A137" s="4" t="s">
        <v>12</v>
      </c>
      <c r="B137" s="4"/>
      <c r="C137" s="4" t="s">
        <v>10</v>
      </c>
      <c r="D137" s="4"/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ht="23.25">
      <c r="A138" s="4" t="s">
        <v>13</v>
      </c>
      <c r="B138" s="4"/>
      <c r="C138" s="4" t="s">
        <v>10</v>
      </c>
      <c r="D138" s="4"/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ht="23.25">
      <c r="A139" s="4" t="s">
        <v>14</v>
      </c>
      <c r="B139" s="4"/>
      <c r="C139" s="4" t="s">
        <v>10</v>
      </c>
      <c r="D139" s="4"/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ht="23.25">
      <c r="A140" s="4" t="s">
        <v>15</v>
      </c>
      <c r="B140" s="4"/>
      <c r="C140" s="4" t="s">
        <v>10</v>
      </c>
      <c r="D140" s="4"/>
      <c r="E140" s="1">
        <v>1504441</v>
      </c>
      <c r="F140" s="1">
        <v>0</v>
      </c>
      <c r="G140" s="1">
        <v>0</v>
      </c>
      <c r="H140" s="1">
        <v>0</v>
      </c>
      <c r="I140" s="1">
        <v>0</v>
      </c>
    </row>
    <row r="141" spans="1:9" ht="23.25">
      <c r="A141" s="4" t="s">
        <v>16</v>
      </c>
      <c r="B141" s="4"/>
      <c r="C141" s="4" t="s">
        <v>10</v>
      </c>
      <c r="D141" s="4"/>
      <c r="E141" s="1">
        <v>0</v>
      </c>
      <c r="F141" s="1">
        <v>0</v>
      </c>
      <c r="G141" s="1">
        <v>0</v>
      </c>
      <c r="H141" s="1">
        <v>0</v>
      </c>
      <c r="I141" s="1">
        <v>0</v>
      </c>
    </row>
    <row r="142" spans="1:9" ht="23.25">
      <c r="A142" s="4" t="s">
        <v>17</v>
      </c>
      <c r="B142" s="4"/>
      <c r="C142" s="4" t="s">
        <v>10</v>
      </c>
      <c r="D142" s="4"/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 spans="1:9" ht="23.25">
      <c r="A143" s="4" t="s">
        <v>18</v>
      </c>
      <c r="B143" s="4"/>
      <c r="C143" s="4" t="s">
        <v>10</v>
      </c>
      <c r="D143" s="4"/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ht="23.25">
      <c r="A144" s="4" t="s">
        <v>19</v>
      </c>
      <c r="B144" s="4"/>
      <c r="C144" s="4" t="s">
        <v>10</v>
      </c>
      <c r="D144" s="4"/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9" ht="23.25">
      <c r="A145" s="4" t="s">
        <v>20</v>
      </c>
      <c r="B145" s="4"/>
      <c r="C145" s="4" t="s">
        <v>10</v>
      </c>
      <c r="D145" s="4"/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 spans="1:9" ht="23.25">
      <c r="A146" s="4" t="s">
        <v>21</v>
      </c>
      <c r="B146" s="4"/>
      <c r="C146" s="4" t="s">
        <v>10</v>
      </c>
      <c r="D146" s="4"/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ht="23.25">
      <c r="A147" s="4" t="s">
        <v>22</v>
      </c>
      <c r="B147" s="4"/>
      <c r="C147" s="4" t="s">
        <v>10</v>
      </c>
      <c r="D147" s="4"/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ht="23.25">
      <c r="A148" s="4" t="s">
        <v>23</v>
      </c>
      <c r="B148" s="4"/>
      <c r="C148" s="4" t="s">
        <v>10</v>
      </c>
      <c r="D148" s="4"/>
      <c r="E148" s="1">
        <v>0</v>
      </c>
      <c r="F148" s="1">
        <v>0</v>
      </c>
      <c r="G148" s="1">
        <v>0</v>
      </c>
      <c r="H148" s="1">
        <v>0</v>
      </c>
      <c r="I148" s="1">
        <v>0</v>
      </c>
    </row>
    <row r="149" spans="1:9" ht="23.25">
      <c r="A149" s="4" t="s">
        <v>24</v>
      </c>
      <c r="B149" s="4"/>
      <c r="C149" s="4" t="s">
        <v>10</v>
      </c>
      <c r="D149" s="4"/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 spans="1:9" ht="23.25">
      <c r="A150" s="4" t="s">
        <v>25</v>
      </c>
      <c r="B150" s="4"/>
      <c r="C150" s="4" t="s">
        <v>10</v>
      </c>
      <c r="D150" s="4"/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9" ht="23.25">
      <c r="A151" s="4" t="s">
        <v>26</v>
      </c>
      <c r="B151" s="4"/>
      <c r="C151" s="4" t="s">
        <v>10</v>
      </c>
      <c r="D151" s="4"/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ht="23.25">
      <c r="A152" s="4" t="s">
        <v>27</v>
      </c>
      <c r="B152" s="4"/>
      <c r="C152" s="4" t="s">
        <v>10</v>
      </c>
      <c r="D152" s="4"/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ht="23.25">
      <c r="A153" s="4" t="s">
        <v>28</v>
      </c>
      <c r="B153" s="4"/>
      <c r="C153" s="4" t="s">
        <v>10</v>
      </c>
      <c r="D153" s="4"/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ht="23.25">
      <c r="A154" s="4" t="s">
        <v>29</v>
      </c>
      <c r="B154" s="4"/>
      <c r="C154" s="4" t="s">
        <v>10</v>
      </c>
      <c r="D154" s="4"/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ht="23.25">
      <c r="A155" s="4" t="s">
        <v>30</v>
      </c>
      <c r="B155" s="4"/>
      <c r="C155" s="4" t="s">
        <v>10</v>
      </c>
      <c r="D155" s="4"/>
      <c r="E155" s="1">
        <v>0</v>
      </c>
      <c r="F155" s="1">
        <v>0</v>
      </c>
      <c r="G155" s="1">
        <v>0</v>
      </c>
      <c r="H155" s="1">
        <v>0</v>
      </c>
      <c r="I155" s="1">
        <v>0</v>
      </c>
    </row>
    <row r="156" spans="1:9" ht="23.25">
      <c r="A156" s="4" t="s">
        <v>31</v>
      </c>
      <c r="B156" s="4"/>
      <c r="C156" s="4" t="s">
        <v>10</v>
      </c>
      <c r="D156" s="4"/>
      <c r="E156" s="1">
        <v>951</v>
      </c>
      <c r="F156" s="1">
        <v>61</v>
      </c>
      <c r="G156" s="1">
        <v>0</v>
      </c>
      <c r="H156" s="1">
        <v>0</v>
      </c>
      <c r="I156" s="1">
        <v>0</v>
      </c>
    </row>
    <row r="157" spans="1:9" ht="23.25">
      <c r="A157" s="4" t="s">
        <v>32</v>
      </c>
      <c r="B157" s="4"/>
      <c r="C157" s="4" t="s">
        <v>10</v>
      </c>
      <c r="D157" s="4"/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ht="23.25">
      <c r="A158" s="4" t="s">
        <v>33</v>
      </c>
      <c r="B158" s="4"/>
      <c r="C158" s="4" t="s">
        <v>10</v>
      </c>
      <c r="D158" s="4"/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ht="23.25">
      <c r="A159" s="4" t="s">
        <v>34</v>
      </c>
      <c r="B159" s="4"/>
      <c r="C159" s="4" t="s">
        <v>10</v>
      </c>
      <c r="D159" s="4"/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 spans="1:9" ht="23.25">
      <c r="A160" s="4" t="s">
        <v>35</v>
      </c>
      <c r="B160" s="4"/>
      <c r="C160" s="4" t="s">
        <v>10</v>
      </c>
      <c r="D160" s="4"/>
      <c r="E160" s="1">
        <v>10990700</v>
      </c>
      <c r="F160" s="1">
        <v>974697</v>
      </c>
      <c r="G160" s="1">
        <v>555455</v>
      </c>
      <c r="H160" s="1">
        <v>440456</v>
      </c>
      <c r="I160" s="1">
        <v>5872805</v>
      </c>
    </row>
    <row r="161" spans="1:9" ht="23.25">
      <c r="A161" s="4" t="s">
        <v>36</v>
      </c>
      <c r="B161" s="4"/>
      <c r="C161" s="4" t="s">
        <v>10</v>
      </c>
      <c r="D161" s="4"/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ht="23.25">
      <c r="A162" s="4" t="s">
        <v>37</v>
      </c>
      <c r="B162" s="4"/>
      <c r="C162" s="4" t="s">
        <v>10</v>
      </c>
      <c r="D162" s="4"/>
      <c r="E162" s="1">
        <v>1902746</v>
      </c>
      <c r="F162" s="1">
        <v>193502</v>
      </c>
      <c r="G162" s="1">
        <v>203435</v>
      </c>
      <c r="H162" s="1">
        <v>24694</v>
      </c>
      <c r="I162" s="1">
        <v>263369</v>
      </c>
    </row>
    <row r="163" spans="1:9" ht="23.25">
      <c r="A163" s="4" t="s">
        <v>38</v>
      </c>
      <c r="B163" s="4"/>
      <c r="C163" s="4" t="s">
        <v>10</v>
      </c>
      <c r="D163" s="4"/>
      <c r="E163" s="1">
        <v>971</v>
      </c>
      <c r="F163" s="1">
        <v>92</v>
      </c>
      <c r="G163" s="1">
        <v>162</v>
      </c>
      <c r="H163" s="1">
        <v>26</v>
      </c>
      <c r="I163" s="1">
        <v>0</v>
      </c>
    </row>
    <row r="164" spans="1:9" ht="23.25">
      <c r="A164" s="4" t="s">
        <v>39</v>
      </c>
      <c r="B164" s="4"/>
      <c r="C164" s="4" t="s">
        <v>10</v>
      </c>
      <c r="D164" s="4"/>
      <c r="E164" s="1">
        <v>21200</v>
      </c>
      <c r="F164" s="1">
        <v>426</v>
      </c>
      <c r="G164" s="1">
        <v>730</v>
      </c>
      <c r="H164" s="1">
        <v>159</v>
      </c>
      <c r="I164" s="1">
        <v>5209</v>
      </c>
    </row>
    <row r="165" spans="1:9" ht="23.25">
      <c r="A165" s="4" t="s">
        <v>40</v>
      </c>
      <c r="B165" s="4"/>
      <c r="C165" s="4" t="s">
        <v>10</v>
      </c>
      <c r="D165" s="4"/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ht="23.25">
      <c r="A166" s="4" t="s">
        <v>41</v>
      </c>
      <c r="B166" s="4"/>
      <c r="C166" s="4" t="s">
        <v>10</v>
      </c>
      <c r="D166" s="4"/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ht="23.25">
      <c r="A167" s="4" t="s">
        <v>42</v>
      </c>
      <c r="B167" s="4"/>
      <c r="C167" s="4" t="s">
        <v>10</v>
      </c>
      <c r="D167" s="4"/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ht="23.25">
      <c r="A168" s="4" t="s">
        <v>43</v>
      </c>
      <c r="B168" s="4"/>
      <c r="C168" s="4" t="s">
        <v>10</v>
      </c>
      <c r="D168" s="4"/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ht="23.25">
      <c r="A169" s="4" t="s">
        <v>44</v>
      </c>
      <c r="B169" s="4"/>
      <c r="C169" s="4" t="s">
        <v>10</v>
      </c>
      <c r="D169" s="4"/>
      <c r="E169" s="1">
        <v>881555</v>
      </c>
      <c r="F169" s="1">
        <v>16212</v>
      </c>
      <c r="G169" s="1">
        <v>42683</v>
      </c>
      <c r="H169" s="1">
        <v>4700</v>
      </c>
      <c r="I169" s="1">
        <v>172936</v>
      </c>
    </row>
    <row r="170" spans="1:9" ht="23.25">
      <c r="A170" s="4" t="s">
        <v>45</v>
      </c>
      <c r="B170" s="4"/>
      <c r="C170" s="4" t="s">
        <v>10</v>
      </c>
      <c r="D170" s="4"/>
      <c r="E170" s="1">
        <v>65512</v>
      </c>
      <c r="F170" s="1">
        <v>3699</v>
      </c>
      <c r="G170" s="1">
        <v>6025</v>
      </c>
      <c r="H170" s="1">
        <v>657</v>
      </c>
      <c r="I170" s="1">
        <v>0</v>
      </c>
    </row>
    <row r="171" spans="1:9" ht="23.25">
      <c r="A171" s="4" t="s">
        <v>46</v>
      </c>
      <c r="B171" s="4"/>
      <c r="C171" s="4" t="s">
        <v>10</v>
      </c>
      <c r="D171" s="4"/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ht="23.25">
      <c r="A172" s="4" t="s">
        <v>47</v>
      </c>
      <c r="B172" s="4"/>
      <c r="C172" s="4" t="s">
        <v>10</v>
      </c>
      <c r="D172" s="4"/>
      <c r="E172" s="1">
        <v>39389</v>
      </c>
      <c r="F172" s="1">
        <v>0</v>
      </c>
      <c r="G172" s="1">
        <v>0</v>
      </c>
      <c r="H172" s="1">
        <v>0</v>
      </c>
      <c r="I172" s="1">
        <v>0</v>
      </c>
    </row>
    <row r="173" spans="1:9" ht="23.25">
      <c r="A173" s="4" t="s">
        <v>48</v>
      </c>
      <c r="B173" s="4"/>
      <c r="C173" s="4" t="s">
        <v>10</v>
      </c>
      <c r="D173" s="4"/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ht="23.25">
      <c r="A174" s="4" t="s">
        <v>49</v>
      </c>
      <c r="B174" s="4"/>
      <c r="C174" s="4" t="s">
        <v>10</v>
      </c>
      <c r="D174" s="4"/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ht="23.25">
      <c r="A175" s="4" t="s">
        <v>50</v>
      </c>
      <c r="B175" s="4"/>
      <c r="C175" s="4" t="s">
        <v>10</v>
      </c>
      <c r="D175" s="4"/>
      <c r="E175" s="1">
        <v>1736</v>
      </c>
      <c r="F175" s="1">
        <v>121</v>
      </c>
      <c r="G175" s="1">
        <v>105</v>
      </c>
      <c r="H175" s="1">
        <v>16</v>
      </c>
      <c r="I175" s="1">
        <v>0</v>
      </c>
    </row>
    <row r="176" spans="1:9" ht="23.25">
      <c r="A176" s="4" t="s">
        <v>51</v>
      </c>
      <c r="B176" s="4"/>
      <c r="C176" s="4" t="s">
        <v>10</v>
      </c>
      <c r="D176" s="4"/>
      <c r="E176" s="1">
        <v>92</v>
      </c>
      <c r="F176" s="1">
        <v>9</v>
      </c>
      <c r="G176" s="1">
        <v>8</v>
      </c>
      <c r="H176" s="1">
        <v>1</v>
      </c>
      <c r="I176" s="1">
        <v>0</v>
      </c>
    </row>
    <row r="177" spans="1:9" ht="23.25">
      <c r="A177" s="4" t="s">
        <v>52</v>
      </c>
      <c r="B177" s="4"/>
      <c r="C177" s="4" t="s">
        <v>10</v>
      </c>
      <c r="D177" s="4"/>
      <c r="E177" s="1">
        <v>16382</v>
      </c>
      <c r="F177" s="1">
        <v>0</v>
      </c>
      <c r="G177" s="1">
        <v>0</v>
      </c>
      <c r="H177" s="1">
        <v>0</v>
      </c>
      <c r="I177" s="1">
        <v>0</v>
      </c>
    </row>
    <row r="178" spans="1:9" ht="23.25">
      <c r="A178" s="4" t="s">
        <v>53</v>
      </c>
      <c r="B178" s="4"/>
      <c r="C178" s="4" t="s">
        <v>10</v>
      </c>
      <c r="D178" s="4"/>
      <c r="E178" s="1">
        <v>42901</v>
      </c>
      <c r="F178" s="1">
        <v>0</v>
      </c>
      <c r="G178" s="1">
        <v>0</v>
      </c>
      <c r="H178" s="1">
        <v>0</v>
      </c>
      <c r="I178" s="1">
        <v>0</v>
      </c>
    </row>
    <row r="179" spans="1:9" ht="23.25">
      <c r="A179" s="4" t="s">
        <v>54</v>
      </c>
      <c r="B179" s="4"/>
      <c r="C179" s="4" t="s">
        <v>10</v>
      </c>
      <c r="D179" s="4"/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ht="23.25">
      <c r="A180" s="4" t="s">
        <v>55</v>
      </c>
      <c r="B180" s="4"/>
      <c r="C180" s="4" t="s">
        <v>10</v>
      </c>
      <c r="D180" s="4"/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 spans="1:9" ht="23.25">
      <c r="A181" s="4" t="s">
        <v>56</v>
      </c>
      <c r="B181" s="4"/>
      <c r="C181" s="4" t="s">
        <v>10</v>
      </c>
      <c r="D181" s="4"/>
      <c r="E181" s="1">
        <v>0</v>
      </c>
      <c r="F181" s="1">
        <v>-1342186</v>
      </c>
      <c r="G181" s="1">
        <v>-808603</v>
      </c>
      <c r="H181" s="1">
        <v>0</v>
      </c>
      <c r="I181" s="1">
        <v>0</v>
      </c>
    </row>
    <row r="182" spans="1:9" ht="23.25">
      <c r="A182" s="4" t="s">
        <v>57</v>
      </c>
      <c r="B182" s="4"/>
      <c r="C182" s="4" t="s">
        <v>10</v>
      </c>
      <c r="D182" s="4"/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ht="23.25">
      <c r="A183" s="4" t="s">
        <v>58</v>
      </c>
      <c r="B183" s="4"/>
      <c r="C183" s="4" t="s">
        <v>10</v>
      </c>
      <c r="D183" s="4"/>
      <c r="E183" s="1">
        <v>165683</v>
      </c>
      <c r="F183" s="1">
        <v>0</v>
      </c>
      <c r="G183" s="1">
        <v>0</v>
      </c>
      <c r="H183" s="1">
        <v>-504812</v>
      </c>
      <c r="I183" s="1">
        <v>0</v>
      </c>
    </row>
    <row r="184" spans="1:9" ht="23.25">
      <c r="A184" s="4" t="s">
        <v>59</v>
      </c>
      <c r="B184" s="4"/>
      <c r="C184" s="4" t="s">
        <v>10</v>
      </c>
      <c r="D184" s="4"/>
      <c r="E184" s="1">
        <v>243610</v>
      </c>
      <c r="F184" s="1">
        <v>0</v>
      </c>
      <c r="G184" s="1">
        <v>0</v>
      </c>
      <c r="H184" s="1">
        <v>0</v>
      </c>
      <c r="I184" s="1">
        <v>0</v>
      </c>
    </row>
    <row r="185" spans="1:9" ht="23.25">
      <c r="A185" s="4" t="s">
        <v>60</v>
      </c>
      <c r="B185" s="4"/>
      <c r="C185" s="4" t="s">
        <v>10</v>
      </c>
      <c r="D185" s="4"/>
      <c r="E185" s="1">
        <v>2396903</v>
      </c>
      <c r="F185" s="1">
        <v>0</v>
      </c>
      <c r="G185" s="1">
        <v>0</v>
      </c>
      <c r="H185" s="1">
        <v>0</v>
      </c>
      <c r="I185" s="1">
        <v>0</v>
      </c>
    </row>
    <row r="186" spans="1:9" ht="23.25">
      <c r="A186" s="4" t="s">
        <v>61</v>
      </c>
      <c r="B186" s="4"/>
      <c r="C186" s="4" t="s">
        <v>10</v>
      </c>
      <c r="D186" s="4"/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ht="23.25">
      <c r="A187" s="4" t="s">
        <v>62</v>
      </c>
      <c r="B187" s="4"/>
      <c r="C187" s="4" t="s">
        <v>10</v>
      </c>
      <c r="D187" s="4"/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ht="23.25">
      <c r="A188" s="4" t="s">
        <v>63</v>
      </c>
      <c r="B188" s="4"/>
      <c r="C188" s="4" t="s">
        <v>10</v>
      </c>
      <c r="D188" s="4"/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 spans="1:9" ht="23.25">
      <c r="A189" s="4" t="s">
        <v>64</v>
      </c>
      <c r="B189" s="4"/>
      <c r="C189" s="4" t="s">
        <v>10</v>
      </c>
      <c r="D189" s="4"/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 spans="1:9" ht="23.25">
      <c r="A190" s="4" t="s">
        <v>65</v>
      </c>
      <c r="B190" s="4"/>
      <c r="C190" s="4" t="s">
        <v>10</v>
      </c>
      <c r="D190" s="4"/>
      <c r="E190" s="1">
        <v>233140</v>
      </c>
      <c r="F190" s="1">
        <v>0</v>
      </c>
      <c r="G190" s="1">
        <v>0</v>
      </c>
      <c r="H190" s="1">
        <v>0</v>
      </c>
      <c r="I190" s="1">
        <v>28654</v>
      </c>
    </row>
    <row r="191" spans="1:9" ht="23.25">
      <c r="A191" s="4" t="s">
        <v>66</v>
      </c>
      <c r="B191" s="4"/>
      <c r="C191" s="4" t="s">
        <v>10</v>
      </c>
      <c r="D191" s="4"/>
      <c r="E191" s="1">
        <v>26099879</v>
      </c>
      <c r="F191" s="1">
        <v>0</v>
      </c>
      <c r="G191" s="1">
        <v>0</v>
      </c>
      <c r="H191" s="1">
        <v>0</v>
      </c>
      <c r="I191" s="1">
        <v>6342973</v>
      </c>
    </row>
    <row r="192" spans="1:9" ht="23.25">
      <c r="A192" s="4" t="s">
        <v>67</v>
      </c>
      <c r="B192" s="4"/>
      <c r="C192" s="4" t="s">
        <v>10</v>
      </c>
      <c r="D192" s="4"/>
      <c r="E192" s="1">
        <v>18683997</v>
      </c>
      <c r="F192" s="1">
        <v>0</v>
      </c>
      <c r="G192" s="1">
        <v>0</v>
      </c>
      <c r="H192" s="1">
        <v>0</v>
      </c>
      <c r="I192" s="1">
        <v>0</v>
      </c>
    </row>
    <row r="193" spans="1:9" ht="23.25">
      <c r="A193" s="4" t="s">
        <v>68</v>
      </c>
      <c r="B193" s="4"/>
      <c r="C193" s="4" t="s">
        <v>10</v>
      </c>
      <c r="D193" s="4"/>
      <c r="E193" s="1">
        <v>26105667</v>
      </c>
      <c r="F193" s="1">
        <v>0</v>
      </c>
      <c r="G193" s="1">
        <v>0</v>
      </c>
      <c r="H193" s="1">
        <v>0</v>
      </c>
      <c r="I193" s="1">
        <v>0</v>
      </c>
    </row>
    <row r="194" spans="1:9" ht="23.25">
      <c r="A194" s="4" t="s">
        <v>69</v>
      </c>
      <c r="B194" s="4"/>
      <c r="C194" s="4" t="s">
        <v>10</v>
      </c>
      <c r="D194" s="4"/>
      <c r="E194" s="1">
        <v>3073928</v>
      </c>
      <c r="F194" s="1">
        <v>0</v>
      </c>
      <c r="G194" s="1">
        <v>0</v>
      </c>
      <c r="H194" s="1">
        <v>0</v>
      </c>
      <c r="I194" s="1">
        <v>0</v>
      </c>
    </row>
    <row r="195" spans="1:9" ht="23.25">
      <c r="A195" s="4" t="s">
        <v>70</v>
      </c>
      <c r="B195" s="4"/>
      <c r="C195" s="4" t="s">
        <v>10</v>
      </c>
      <c r="D195" s="4"/>
      <c r="E195" s="1">
        <v>36782</v>
      </c>
      <c r="F195" s="1">
        <v>0</v>
      </c>
      <c r="G195" s="1">
        <v>0</v>
      </c>
      <c r="H195" s="1">
        <v>0</v>
      </c>
      <c r="I195" s="1">
        <v>0</v>
      </c>
    </row>
    <row r="196" spans="1:9" ht="23.25">
      <c r="A196" s="4" t="s">
        <v>71</v>
      </c>
      <c r="B196" s="4"/>
      <c r="C196" s="4" t="s">
        <v>10</v>
      </c>
      <c r="D196" s="4"/>
      <c r="E196" s="1">
        <v>47900374</v>
      </c>
      <c r="F196" s="1">
        <v>0</v>
      </c>
      <c r="G196" s="1">
        <v>0</v>
      </c>
      <c r="H196" s="1">
        <v>0</v>
      </c>
      <c r="I196" s="1">
        <v>0</v>
      </c>
    </row>
    <row r="197" spans="1:9" ht="23.25">
      <c r="A197" s="4" t="s">
        <v>72</v>
      </c>
      <c r="B197" s="4"/>
      <c r="C197" s="4" t="s">
        <v>10</v>
      </c>
      <c r="D197" s="4"/>
      <c r="E197" s="1">
        <v>74000253</v>
      </c>
      <c r="F197" s="1">
        <v>0</v>
      </c>
      <c r="G197" s="1">
        <v>0</v>
      </c>
      <c r="H197" s="1">
        <v>0</v>
      </c>
      <c r="I197" s="1">
        <v>0</v>
      </c>
    </row>
    <row r="198" spans="1:9" ht="23.25">
      <c r="A198" s="4" t="s">
        <v>8</v>
      </c>
      <c r="B198" s="4"/>
      <c r="C198" s="4" t="s">
        <v>11</v>
      </c>
      <c r="D198" s="4"/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ht="23.25">
      <c r="A199" s="4" t="s">
        <v>9</v>
      </c>
      <c r="B199" s="4"/>
      <c r="C199" s="4" t="s">
        <v>11</v>
      </c>
      <c r="D199" s="4"/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 spans="1:9" ht="23.25">
      <c r="A200" s="4" t="s">
        <v>10</v>
      </c>
      <c r="B200" s="4"/>
      <c r="C200" s="4" t="s">
        <v>11</v>
      </c>
      <c r="D200" s="4"/>
      <c r="E200" s="1">
        <v>3728</v>
      </c>
      <c r="F200" s="1">
        <v>26</v>
      </c>
      <c r="G200" s="1">
        <v>0</v>
      </c>
      <c r="H200" s="1">
        <v>0</v>
      </c>
      <c r="I200" s="1">
        <v>0</v>
      </c>
    </row>
    <row r="201" spans="1:9" ht="23.25">
      <c r="A201" s="4" t="s">
        <v>11</v>
      </c>
      <c r="B201" s="4"/>
      <c r="C201" s="4" t="s">
        <v>11</v>
      </c>
      <c r="D201" s="4"/>
      <c r="E201" s="1">
        <v>654864</v>
      </c>
      <c r="F201" s="1">
        <v>14362</v>
      </c>
      <c r="G201" s="1">
        <v>11527</v>
      </c>
      <c r="H201" s="1">
        <v>953</v>
      </c>
      <c r="I201" s="1">
        <v>530687</v>
      </c>
    </row>
    <row r="202" spans="1:9" ht="23.25">
      <c r="A202" s="4" t="s">
        <v>12</v>
      </c>
      <c r="B202" s="4"/>
      <c r="C202" s="4" t="s">
        <v>11</v>
      </c>
      <c r="D202" s="4"/>
      <c r="E202" s="1">
        <v>0</v>
      </c>
      <c r="F202" s="1">
        <v>0</v>
      </c>
      <c r="G202" s="1">
        <v>0</v>
      </c>
      <c r="H202" s="1">
        <v>0</v>
      </c>
      <c r="I202" s="1">
        <v>0</v>
      </c>
    </row>
    <row r="203" spans="1:9" ht="23.25">
      <c r="A203" s="4" t="s">
        <v>13</v>
      </c>
      <c r="B203" s="4"/>
      <c r="C203" s="4" t="s">
        <v>11</v>
      </c>
      <c r="D203" s="4"/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 spans="1:9" ht="23.25">
      <c r="A204" s="4" t="s">
        <v>14</v>
      </c>
      <c r="B204" s="4"/>
      <c r="C204" s="4" t="s">
        <v>11</v>
      </c>
      <c r="D204" s="4"/>
      <c r="E204" s="1">
        <v>0</v>
      </c>
      <c r="F204" s="1">
        <v>0</v>
      </c>
      <c r="G204" s="1">
        <v>0</v>
      </c>
      <c r="H204" s="1">
        <v>0</v>
      </c>
      <c r="I204" s="1">
        <v>0</v>
      </c>
    </row>
    <row r="205" spans="1:9" ht="23.25">
      <c r="A205" s="4" t="s">
        <v>15</v>
      </c>
      <c r="B205" s="4"/>
      <c r="C205" s="4" t="s">
        <v>11</v>
      </c>
      <c r="D205" s="4"/>
      <c r="E205" s="1">
        <v>357001</v>
      </c>
      <c r="F205" s="1">
        <v>0</v>
      </c>
      <c r="G205" s="1">
        <v>0</v>
      </c>
      <c r="H205" s="1">
        <v>0</v>
      </c>
      <c r="I205" s="1">
        <v>0</v>
      </c>
    </row>
    <row r="206" spans="1:9" ht="23.25">
      <c r="A206" s="4" t="s">
        <v>16</v>
      </c>
      <c r="B206" s="4"/>
      <c r="C206" s="4" t="s">
        <v>11</v>
      </c>
      <c r="D206" s="4"/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 spans="1:9" ht="23.25">
      <c r="A207" s="4" t="s">
        <v>17</v>
      </c>
      <c r="B207" s="4"/>
      <c r="C207" s="4" t="s">
        <v>11</v>
      </c>
      <c r="D207" s="4"/>
      <c r="E207" s="1">
        <v>0</v>
      </c>
      <c r="F207" s="1">
        <v>0</v>
      </c>
      <c r="G207" s="1">
        <v>0</v>
      </c>
      <c r="H207" s="1">
        <v>0</v>
      </c>
      <c r="I207" s="1">
        <v>0</v>
      </c>
    </row>
    <row r="208" spans="1:9" ht="23.25">
      <c r="A208" s="4" t="s">
        <v>18</v>
      </c>
      <c r="B208" s="4"/>
      <c r="C208" s="4" t="s">
        <v>11</v>
      </c>
      <c r="D208" s="4"/>
      <c r="E208" s="1">
        <v>0</v>
      </c>
      <c r="F208" s="1">
        <v>0</v>
      </c>
      <c r="G208" s="1">
        <v>0</v>
      </c>
      <c r="H208" s="1">
        <v>0</v>
      </c>
      <c r="I208" s="1">
        <v>0</v>
      </c>
    </row>
    <row r="209" spans="1:9" ht="23.25">
      <c r="A209" s="4" t="s">
        <v>19</v>
      </c>
      <c r="B209" s="4"/>
      <c r="C209" s="4" t="s">
        <v>11</v>
      </c>
      <c r="D209" s="4"/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 spans="1:9" ht="23.25">
      <c r="A210" s="4" t="s">
        <v>20</v>
      </c>
      <c r="B210" s="4"/>
      <c r="C210" s="4" t="s">
        <v>11</v>
      </c>
      <c r="D210" s="4"/>
      <c r="E210" s="1">
        <v>0</v>
      </c>
      <c r="F210" s="1">
        <v>0</v>
      </c>
      <c r="G210" s="1">
        <v>0</v>
      </c>
      <c r="H210" s="1">
        <v>0</v>
      </c>
      <c r="I210" s="1">
        <v>0</v>
      </c>
    </row>
    <row r="211" spans="1:9" ht="23.25">
      <c r="A211" s="4" t="s">
        <v>21</v>
      </c>
      <c r="B211" s="4"/>
      <c r="C211" s="4" t="s">
        <v>11</v>
      </c>
      <c r="D211" s="4"/>
      <c r="E211" s="1">
        <v>0</v>
      </c>
      <c r="F211" s="1">
        <v>0</v>
      </c>
      <c r="G211" s="1">
        <v>0</v>
      </c>
      <c r="H211" s="1">
        <v>0</v>
      </c>
      <c r="I211" s="1">
        <v>0</v>
      </c>
    </row>
    <row r="212" spans="1:9" ht="23.25">
      <c r="A212" s="4" t="s">
        <v>22</v>
      </c>
      <c r="B212" s="4"/>
      <c r="C212" s="4" t="s">
        <v>11</v>
      </c>
      <c r="D212" s="4"/>
      <c r="E212" s="1">
        <v>0</v>
      </c>
      <c r="F212" s="1">
        <v>0</v>
      </c>
      <c r="G212" s="1">
        <v>0</v>
      </c>
      <c r="H212" s="1">
        <v>0</v>
      </c>
      <c r="I212" s="1">
        <v>0</v>
      </c>
    </row>
    <row r="213" spans="1:9" ht="23.25">
      <c r="A213" s="4" t="s">
        <v>23</v>
      </c>
      <c r="B213" s="4"/>
      <c r="C213" s="4" t="s">
        <v>11</v>
      </c>
      <c r="D213" s="4"/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 spans="1:9" ht="23.25">
      <c r="A214" s="4" t="s">
        <v>24</v>
      </c>
      <c r="B214" s="4"/>
      <c r="C214" s="4" t="s">
        <v>11</v>
      </c>
      <c r="D214" s="4"/>
      <c r="E214" s="1">
        <v>0</v>
      </c>
      <c r="F214" s="1">
        <v>0</v>
      </c>
      <c r="G214" s="1">
        <v>0</v>
      </c>
      <c r="H214" s="1">
        <v>0</v>
      </c>
      <c r="I214" s="1">
        <v>0</v>
      </c>
    </row>
    <row r="215" spans="1:9" ht="23.25">
      <c r="A215" s="4" t="s">
        <v>25</v>
      </c>
      <c r="B215" s="4"/>
      <c r="C215" s="4" t="s">
        <v>11</v>
      </c>
      <c r="D215" s="4"/>
      <c r="E215" s="1">
        <v>0</v>
      </c>
      <c r="F215" s="1">
        <v>0</v>
      </c>
      <c r="G215" s="1">
        <v>0</v>
      </c>
      <c r="H215" s="1">
        <v>0</v>
      </c>
      <c r="I215" s="1">
        <v>0</v>
      </c>
    </row>
    <row r="216" spans="1:9" ht="23.25">
      <c r="A216" s="4" t="s">
        <v>26</v>
      </c>
      <c r="B216" s="4"/>
      <c r="C216" s="4" t="s">
        <v>11</v>
      </c>
      <c r="D216" s="4"/>
      <c r="E216" s="1">
        <v>0</v>
      </c>
      <c r="F216" s="1">
        <v>0</v>
      </c>
      <c r="G216" s="1">
        <v>0</v>
      </c>
      <c r="H216" s="1">
        <v>0</v>
      </c>
      <c r="I216" s="1">
        <v>0</v>
      </c>
    </row>
    <row r="217" spans="1:9" ht="23.25">
      <c r="A217" s="4" t="s">
        <v>27</v>
      </c>
      <c r="B217" s="4"/>
      <c r="C217" s="4" t="s">
        <v>11</v>
      </c>
      <c r="D217" s="4"/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 spans="1:9" ht="23.25">
      <c r="A218" s="4" t="s">
        <v>28</v>
      </c>
      <c r="B218" s="4"/>
      <c r="C218" s="4" t="s">
        <v>11</v>
      </c>
      <c r="D218" s="4"/>
      <c r="E218" s="1">
        <v>0</v>
      </c>
      <c r="F218" s="1">
        <v>0</v>
      </c>
      <c r="G218" s="1">
        <v>0</v>
      </c>
      <c r="H218" s="1">
        <v>0</v>
      </c>
      <c r="I218" s="1">
        <v>0</v>
      </c>
    </row>
    <row r="219" spans="1:9" ht="23.25">
      <c r="A219" s="4" t="s">
        <v>29</v>
      </c>
      <c r="B219" s="4"/>
      <c r="C219" s="4" t="s">
        <v>11</v>
      </c>
      <c r="D219" s="4"/>
      <c r="E219" s="1">
        <v>0</v>
      </c>
      <c r="F219" s="1">
        <v>0</v>
      </c>
      <c r="G219" s="1">
        <v>0</v>
      </c>
      <c r="H219" s="1">
        <v>0</v>
      </c>
      <c r="I219" s="1">
        <v>0</v>
      </c>
    </row>
    <row r="220" spans="1:9" ht="23.25">
      <c r="A220" s="4" t="s">
        <v>30</v>
      </c>
      <c r="B220" s="4"/>
      <c r="C220" s="4" t="s">
        <v>11</v>
      </c>
      <c r="D220" s="4"/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 spans="1:9" ht="23.25">
      <c r="A221" s="4" t="s">
        <v>31</v>
      </c>
      <c r="B221" s="4"/>
      <c r="C221" s="4" t="s">
        <v>11</v>
      </c>
      <c r="D221" s="4"/>
      <c r="E221" s="1">
        <v>12637</v>
      </c>
      <c r="F221" s="1">
        <v>1348</v>
      </c>
      <c r="G221" s="1">
        <v>192</v>
      </c>
      <c r="H221" s="1">
        <v>74</v>
      </c>
      <c r="I221" s="1">
        <v>0</v>
      </c>
    </row>
    <row r="222" spans="1:9" ht="23.25">
      <c r="A222" s="4" t="s">
        <v>32</v>
      </c>
      <c r="B222" s="4"/>
      <c r="C222" s="4" t="s">
        <v>11</v>
      </c>
      <c r="D222" s="4"/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 spans="1:9" ht="23.25">
      <c r="A223" s="4" t="s">
        <v>33</v>
      </c>
      <c r="B223" s="4"/>
      <c r="C223" s="4" t="s">
        <v>11</v>
      </c>
      <c r="D223" s="4"/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9" ht="23.25">
      <c r="A224" s="4" t="s">
        <v>34</v>
      </c>
      <c r="B224" s="4"/>
      <c r="C224" s="4" t="s">
        <v>11</v>
      </c>
      <c r="D224" s="4"/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spans="1:9" ht="23.25">
      <c r="A225" s="4" t="s">
        <v>35</v>
      </c>
      <c r="B225" s="4"/>
      <c r="C225" s="4" t="s">
        <v>11</v>
      </c>
      <c r="D225" s="4"/>
      <c r="E225" s="1">
        <v>599773</v>
      </c>
      <c r="F225" s="1">
        <v>70313</v>
      </c>
      <c r="G225" s="1">
        <v>69143</v>
      </c>
      <c r="H225" s="1">
        <v>24662</v>
      </c>
      <c r="I225" s="1">
        <v>0</v>
      </c>
    </row>
    <row r="226" spans="1:9" ht="23.25">
      <c r="A226" s="4" t="s">
        <v>36</v>
      </c>
      <c r="B226" s="4"/>
      <c r="C226" s="4" t="s">
        <v>11</v>
      </c>
      <c r="D226" s="4"/>
      <c r="E226" s="1">
        <v>0</v>
      </c>
      <c r="F226" s="1">
        <v>0</v>
      </c>
      <c r="G226" s="1">
        <v>0</v>
      </c>
      <c r="H226" s="1">
        <v>0</v>
      </c>
      <c r="I226" s="1">
        <v>0</v>
      </c>
    </row>
    <row r="227" spans="1:9" ht="23.25">
      <c r="A227" s="4" t="s">
        <v>37</v>
      </c>
      <c r="B227" s="4"/>
      <c r="C227" s="4" t="s">
        <v>11</v>
      </c>
      <c r="D227" s="4"/>
      <c r="E227" s="1">
        <v>164317</v>
      </c>
      <c r="F227" s="1">
        <v>8467</v>
      </c>
      <c r="G227" s="1">
        <v>10192</v>
      </c>
      <c r="H227" s="1">
        <v>1395</v>
      </c>
      <c r="I227" s="1">
        <v>28503</v>
      </c>
    </row>
    <row r="228" spans="1:9" ht="23.25">
      <c r="A228" s="4" t="s">
        <v>38</v>
      </c>
      <c r="B228" s="4"/>
      <c r="C228" s="4" t="s">
        <v>11</v>
      </c>
      <c r="D228" s="4"/>
      <c r="E228" s="1">
        <v>64</v>
      </c>
      <c r="F228" s="1">
        <v>5</v>
      </c>
      <c r="G228" s="1">
        <v>5</v>
      </c>
      <c r="H228" s="1">
        <v>2</v>
      </c>
      <c r="I228" s="1">
        <v>0</v>
      </c>
    </row>
    <row r="229" spans="1:9" ht="23.25">
      <c r="A229" s="4" t="s">
        <v>39</v>
      </c>
      <c r="B229" s="4"/>
      <c r="C229" s="4" t="s">
        <v>11</v>
      </c>
      <c r="D229" s="4"/>
      <c r="E229" s="1">
        <v>2824</v>
      </c>
      <c r="F229" s="1">
        <v>57</v>
      </c>
      <c r="G229" s="1">
        <v>93</v>
      </c>
      <c r="H229" s="1">
        <v>20</v>
      </c>
      <c r="I229" s="1">
        <v>691</v>
      </c>
    </row>
    <row r="230" spans="1:9" ht="23.25">
      <c r="A230" s="4" t="s">
        <v>40</v>
      </c>
      <c r="B230" s="4"/>
      <c r="C230" s="4" t="s">
        <v>11</v>
      </c>
      <c r="D230" s="4"/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ht="23.25">
      <c r="A231" s="4" t="s">
        <v>41</v>
      </c>
      <c r="B231" s="4"/>
      <c r="C231" s="4" t="s">
        <v>11</v>
      </c>
      <c r="D231" s="4"/>
      <c r="E231" s="1">
        <v>0</v>
      </c>
      <c r="F231" s="1">
        <v>0</v>
      </c>
      <c r="G231" s="1">
        <v>0</v>
      </c>
      <c r="H231" s="1">
        <v>0</v>
      </c>
      <c r="I231" s="1">
        <v>0</v>
      </c>
    </row>
    <row r="232" spans="1:9" ht="23.25">
      <c r="A232" s="4" t="s">
        <v>42</v>
      </c>
      <c r="B232" s="4"/>
      <c r="C232" s="4" t="s">
        <v>11</v>
      </c>
      <c r="D232" s="4"/>
      <c r="E232" s="1">
        <v>0</v>
      </c>
      <c r="F232" s="1">
        <v>0</v>
      </c>
      <c r="G232" s="1">
        <v>0</v>
      </c>
      <c r="H232" s="1">
        <v>0</v>
      </c>
      <c r="I232" s="1">
        <v>0</v>
      </c>
    </row>
    <row r="233" spans="1:9" ht="23.25">
      <c r="A233" s="4" t="s">
        <v>43</v>
      </c>
      <c r="B233" s="4"/>
      <c r="C233" s="4" t="s">
        <v>11</v>
      </c>
      <c r="D233" s="4"/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 spans="1:9" ht="23.25">
      <c r="A234" s="4" t="s">
        <v>44</v>
      </c>
      <c r="B234" s="4"/>
      <c r="C234" s="4" t="s">
        <v>11</v>
      </c>
      <c r="D234" s="4"/>
      <c r="E234" s="1">
        <v>66510</v>
      </c>
      <c r="F234" s="1">
        <v>3252</v>
      </c>
      <c r="G234" s="1">
        <v>5397</v>
      </c>
      <c r="H234" s="1">
        <v>441</v>
      </c>
      <c r="I234" s="1">
        <v>181</v>
      </c>
    </row>
    <row r="235" spans="1:9" ht="23.25">
      <c r="A235" s="4" t="s">
        <v>45</v>
      </c>
      <c r="B235" s="4"/>
      <c r="C235" s="4" t="s">
        <v>11</v>
      </c>
      <c r="D235" s="4"/>
      <c r="E235" s="1">
        <v>29778</v>
      </c>
      <c r="F235" s="1">
        <v>2884</v>
      </c>
      <c r="G235" s="1">
        <v>2832</v>
      </c>
      <c r="H235" s="1">
        <v>278</v>
      </c>
      <c r="I235" s="1">
        <v>0</v>
      </c>
    </row>
    <row r="236" spans="1:9" ht="23.25">
      <c r="A236" s="4" t="s">
        <v>46</v>
      </c>
      <c r="B236" s="4"/>
      <c r="C236" s="4" t="s">
        <v>11</v>
      </c>
      <c r="D236" s="4"/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ht="23.25">
      <c r="A237" s="4" t="s">
        <v>47</v>
      </c>
      <c r="B237" s="4"/>
      <c r="C237" s="4" t="s">
        <v>11</v>
      </c>
      <c r="D237" s="4"/>
      <c r="E237" s="1">
        <v>14400</v>
      </c>
      <c r="F237" s="1">
        <v>0</v>
      </c>
      <c r="G237" s="1">
        <v>0</v>
      </c>
      <c r="H237" s="1">
        <v>0</v>
      </c>
      <c r="I237" s="1">
        <v>0</v>
      </c>
    </row>
    <row r="238" spans="1:9" ht="23.25">
      <c r="A238" s="4" t="s">
        <v>48</v>
      </c>
      <c r="B238" s="4"/>
      <c r="C238" s="4" t="s">
        <v>11</v>
      </c>
      <c r="D238" s="4"/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ht="23.25">
      <c r="A239" s="4" t="s">
        <v>49</v>
      </c>
      <c r="B239" s="4"/>
      <c r="C239" s="4" t="s">
        <v>11</v>
      </c>
      <c r="D239" s="4"/>
      <c r="E239" s="1">
        <v>0</v>
      </c>
      <c r="F239" s="1">
        <v>0</v>
      </c>
      <c r="G239" s="1">
        <v>0</v>
      </c>
      <c r="H239" s="1">
        <v>0</v>
      </c>
      <c r="I239" s="1">
        <v>0</v>
      </c>
    </row>
    <row r="240" spans="1:9" ht="23.25">
      <c r="A240" s="4" t="s">
        <v>50</v>
      </c>
      <c r="B240" s="4"/>
      <c r="C240" s="4" t="s">
        <v>11</v>
      </c>
      <c r="D240" s="4"/>
      <c r="E240" s="1">
        <v>961</v>
      </c>
      <c r="F240" s="1">
        <v>92</v>
      </c>
      <c r="G240" s="1">
        <v>61</v>
      </c>
      <c r="H240" s="1">
        <v>6</v>
      </c>
      <c r="I240" s="1">
        <v>0</v>
      </c>
    </row>
    <row r="241" spans="1:9" ht="23.25">
      <c r="A241" s="4" t="s">
        <v>51</v>
      </c>
      <c r="B241" s="4"/>
      <c r="C241" s="4" t="s">
        <v>11</v>
      </c>
      <c r="D241" s="4"/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 spans="1:9" ht="23.25">
      <c r="A242" s="4" t="s">
        <v>52</v>
      </c>
      <c r="B242" s="4"/>
      <c r="C242" s="4" t="s">
        <v>11</v>
      </c>
      <c r="D242" s="4"/>
      <c r="E242" s="1">
        <v>595</v>
      </c>
      <c r="F242" s="1">
        <v>0</v>
      </c>
      <c r="G242" s="1">
        <v>0</v>
      </c>
      <c r="H242" s="1">
        <v>0</v>
      </c>
      <c r="I242" s="1">
        <v>0</v>
      </c>
    </row>
    <row r="243" spans="1:9" ht="23.25">
      <c r="A243" s="4" t="s">
        <v>53</v>
      </c>
      <c r="B243" s="4"/>
      <c r="C243" s="4" t="s">
        <v>11</v>
      </c>
      <c r="D243" s="4"/>
      <c r="E243" s="1">
        <v>19</v>
      </c>
      <c r="F243" s="1">
        <v>0</v>
      </c>
      <c r="G243" s="1">
        <v>0</v>
      </c>
      <c r="H243" s="1">
        <v>0</v>
      </c>
      <c r="I243" s="1">
        <v>0</v>
      </c>
    </row>
    <row r="244" spans="1:9" ht="23.25">
      <c r="A244" s="4" t="s">
        <v>54</v>
      </c>
      <c r="B244" s="4"/>
      <c r="C244" s="4" t="s">
        <v>11</v>
      </c>
      <c r="D244" s="4"/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 spans="1:9" ht="23.25">
      <c r="A245" s="4" t="s">
        <v>55</v>
      </c>
      <c r="B245" s="4"/>
      <c r="C245" s="4" t="s">
        <v>11</v>
      </c>
      <c r="D245" s="4"/>
      <c r="E245" s="1">
        <v>0</v>
      </c>
      <c r="F245" s="1">
        <v>0</v>
      </c>
      <c r="G245" s="1">
        <v>0</v>
      </c>
      <c r="H245" s="1">
        <v>0</v>
      </c>
      <c r="I245" s="1">
        <v>0</v>
      </c>
    </row>
    <row r="246" spans="1:9" ht="23.25">
      <c r="A246" s="4" t="s">
        <v>56</v>
      </c>
      <c r="B246" s="4"/>
      <c r="C246" s="4" t="s">
        <v>11</v>
      </c>
      <c r="D246" s="4"/>
      <c r="E246" s="1">
        <v>0</v>
      </c>
      <c r="F246" s="1">
        <v>-100806</v>
      </c>
      <c r="G246" s="1">
        <v>-99442</v>
      </c>
      <c r="H246" s="1">
        <v>0</v>
      </c>
      <c r="I246" s="1">
        <v>0</v>
      </c>
    </row>
    <row r="247" spans="1:9" ht="23.25">
      <c r="A247" s="4" t="s">
        <v>57</v>
      </c>
      <c r="B247" s="4"/>
      <c r="C247" s="4" t="s">
        <v>11</v>
      </c>
      <c r="D247" s="4"/>
      <c r="E247" s="1">
        <v>0</v>
      </c>
      <c r="F247" s="1">
        <v>0</v>
      </c>
      <c r="G247" s="1">
        <v>0</v>
      </c>
      <c r="H247" s="1">
        <v>0</v>
      </c>
      <c r="I247" s="1">
        <v>0</v>
      </c>
    </row>
    <row r="248" spans="1:9" ht="23.25">
      <c r="A248" s="4" t="s">
        <v>58</v>
      </c>
      <c r="B248" s="4"/>
      <c r="C248" s="4" t="s">
        <v>11</v>
      </c>
      <c r="D248" s="4"/>
      <c r="E248" s="1">
        <v>1414</v>
      </c>
      <c r="F248" s="1">
        <v>0</v>
      </c>
      <c r="G248" s="1">
        <v>0</v>
      </c>
      <c r="H248" s="1">
        <v>-27831</v>
      </c>
      <c r="I248" s="1">
        <v>0</v>
      </c>
    </row>
    <row r="249" spans="1:9" ht="23.25">
      <c r="A249" s="4" t="s">
        <v>59</v>
      </c>
      <c r="B249" s="4"/>
      <c r="C249" s="4" t="s">
        <v>11</v>
      </c>
      <c r="D249" s="4"/>
      <c r="E249" s="1">
        <v>211</v>
      </c>
      <c r="F249" s="1">
        <v>0</v>
      </c>
      <c r="G249" s="1">
        <v>0</v>
      </c>
      <c r="H249" s="1">
        <v>0</v>
      </c>
      <c r="I249" s="1">
        <v>0</v>
      </c>
    </row>
    <row r="250" spans="1:9" ht="23.25">
      <c r="A250" s="4" t="s">
        <v>60</v>
      </c>
      <c r="B250" s="4"/>
      <c r="C250" s="4" t="s">
        <v>11</v>
      </c>
      <c r="D250" s="4"/>
      <c r="E250" s="1">
        <v>141951</v>
      </c>
      <c r="F250" s="1">
        <v>0</v>
      </c>
      <c r="G250" s="1">
        <v>0</v>
      </c>
      <c r="H250" s="1">
        <v>0</v>
      </c>
      <c r="I250" s="1">
        <v>0</v>
      </c>
    </row>
    <row r="251" spans="1:9" ht="23.25">
      <c r="A251" s="4" t="s">
        <v>61</v>
      </c>
      <c r="B251" s="4"/>
      <c r="C251" s="4" t="s">
        <v>11</v>
      </c>
      <c r="D251" s="4"/>
      <c r="E251" s="1">
        <v>0</v>
      </c>
      <c r="F251" s="1">
        <v>0</v>
      </c>
      <c r="G251" s="1">
        <v>0</v>
      </c>
      <c r="H251" s="1">
        <v>0</v>
      </c>
      <c r="I251" s="1">
        <v>0</v>
      </c>
    </row>
    <row r="252" spans="1:9" ht="23.25">
      <c r="A252" s="4" t="s">
        <v>62</v>
      </c>
      <c r="B252" s="4"/>
      <c r="C252" s="4" t="s">
        <v>11</v>
      </c>
      <c r="D252" s="4"/>
      <c r="E252" s="1">
        <v>0</v>
      </c>
      <c r="F252" s="1">
        <v>0</v>
      </c>
      <c r="G252" s="1">
        <v>0</v>
      </c>
      <c r="H252" s="1">
        <v>0</v>
      </c>
      <c r="I252" s="1">
        <v>0</v>
      </c>
    </row>
    <row r="253" spans="1:9" ht="23.25">
      <c r="A253" s="4" t="s">
        <v>63</v>
      </c>
      <c r="B253" s="4"/>
      <c r="C253" s="4" t="s">
        <v>11</v>
      </c>
      <c r="D253" s="4"/>
      <c r="E253" s="1">
        <v>0</v>
      </c>
      <c r="F253" s="1">
        <v>0</v>
      </c>
      <c r="G253" s="1">
        <v>0</v>
      </c>
      <c r="H253" s="1">
        <v>0</v>
      </c>
      <c r="I253" s="1">
        <v>0</v>
      </c>
    </row>
    <row r="254" spans="1:9" ht="23.25">
      <c r="A254" s="4" t="s">
        <v>64</v>
      </c>
      <c r="B254" s="4"/>
      <c r="C254" s="4" t="s">
        <v>11</v>
      </c>
      <c r="D254" s="4"/>
      <c r="E254" s="1">
        <v>9427</v>
      </c>
      <c r="F254" s="1">
        <v>0</v>
      </c>
      <c r="G254" s="1">
        <v>0</v>
      </c>
      <c r="H254" s="1">
        <v>0</v>
      </c>
      <c r="I254" s="1">
        <v>0</v>
      </c>
    </row>
    <row r="255" spans="1:9" ht="23.25">
      <c r="A255" s="4" t="s">
        <v>65</v>
      </c>
      <c r="B255" s="4"/>
      <c r="C255" s="4" t="s">
        <v>11</v>
      </c>
      <c r="D255" s="4"/>
      <c r="E255" s="1">
        <v>2212</v>
      </c>
      <c r="F255" s="1">
        <v>0</v>
      </c>
      <c r="G255" s="1">
        <v>0</v>
      </c>
      <c r="H255" s="1">
        <v>0</v>
      </c>
      <c r="I255" s="1">
        <v>221</v>
      </c>
    </row>
    <row r="256" spans="1:9" ht="23.25">
      <c r="A256" s="4" t="s">
        <v>66</v>
      </c>
      <c r="B256" s="4"/>
      <c r="C256" s="4" t="s">
        <v>11</v>
      </c>
      <c r="D256" s="4"/>
      <c r="E256" s="1">
        <v>2062686</v>
      </c>
      <c r="F256" s="1">
        <v>0</v>
      </c>
      <c r="G256" s="1">
        <v>0</v>
      </c>
      <c r="H256" s="1">
        <v>0</v>
      </c>
      <c r="I256" s="1">
        <v>560283</v>
      </c>
    </row>
    <row r="257" spans="1:9" ht="23.25">
      <c r="A257" s="4" t="s">
        <v>67</v>
      </c>
      <c r="B257" s="4"/>
      <c r="C257" s="4" t="s">
        <v>11</v>
      </c>
      <c r="D257" s="4"/>
      <c r="E257" s="1">
        <v>767311</v>
      </c>
      <c r="F257" s="1">
        <v>0</v>
      </c>
      <c r="G257" s="1">
        <v>0</v>
      </c>
      <c r="H257" s="1">
        <v>0</v>
      </c>
      <c r="I257" s="1">
        <v>0</v>
      </c>
    </row>
    <row r="258" spans="1:9" ht="23.25">
      <c r="A258" s="4" t="s">
        <v>68</v>
      </c>
      <c r="B258" s="4"/>
      <c r="C258" s="4" t="s">
        <v>11</v>
      </c>
      <c r="D258" s="4"/>
      <c r="E258" s="1">
        <v>1495111</v>
      </c>
      <c r="F258" s="1">
        <v>0</v>
      </c>
      <c r="G258" s="1">
        <v>0</v>
      </c>
      <c r="H258" s="1">
        <v>0</v>
      </c>
      <c r="I258" s="1">
        <v>0</v>
      </c>
    </row>
    <row r="259" spans="1:9" ht="23.25">
      <c r="A259" s="4" t="s">
        <v>69</v>
      </c>
      <c r="B259" s="4"/>
      <c r="C259" s="4" t="s">
        <v>11</v>
      </c>
      <c r="D259" s="4"/>
      <c r="E259" s="1">
        <v>55352</v>
      </c>
      <c r="F259" s="1">
        <v>0</v>
      </c>
      <c r="G259" s="1">
        <v>0</v>
      </c>
      <c r="H259" s="1">
        <v>0</v>
      </c>
      <c r="I259" s="1">
        <v>0</v>
      </c>
    </row>
    <row r="260" spans="1:9" ht="23.25">
      <c r="A260" s="4" t="s">
        <v>70</v>
      </c>
      <c r="B260" s="4"/>
      <c r="C260" s="4" t="s">
        <v>11</v>
      </c>
      <c r="D260" s="4"/>
      <c r="E260" s="1">
        <v>2178</v>
      </c>
      <c r="F260" s="1">
        <v>0</v>
      </c>
      <c r="G260" s="1">
        <v>0</v>
      </c>
      <c r="H260" s="1">
        <v>0</v>
      </c>
      <c r="I260" s="1">
        <v>0</v>
      </c>
    </row>
    <row r="261" spans="1:9" ht="23.25">
      <c r="A261" s="4" t="s">
        <v>71</v>
      </c>
      <c r="B261" s="4"/>
      <c r="C261" s="4" t="s">
        <v>11</v>
      </c>
      <c r="D261" s="4"/>
      <c r="E261" s="1">
        <v>2319952</v>
      </c>
      <c r="F261" s="1">
        <v>0</v>
      </c>
      <c r="G261" s="1">
        <v>0</v>
      </c>
      <c r="H261" s="1">
        <v>0</v>
      </c>
      <c r="I261" s="1">
        <v>0</v>
      </c>
    </row>
    <row r="262" spans="1:9" ht="23.25">
      <c r="A262" s="4" t="s">
        <v>72</v>
      </c>
      <c r="B262" s="4"/>
      <c r="C262" s="4" t="s">
        <v>11</v>
      </c>
      <c r="D262" s="4"/>
      <c r="E262" s="1">
        <v>4382638</v>
      </c>
      <c r="F262" s="1">
        <v>0</v>
      </c>
      <c r="G262" s="1">
        <v>0</v>
      </c>
      <c r="H262" s="1">
        <v>0</v>
      </c>
      <c r="I262" s="1">
        <v>0</v>
      </c>
    </row>
    <row r="263" spans="1:9" ht="23.25">
      <c r="A263" s="4" t="s">
        <v>8</v>
      </c>
      <c r="B263" s="4"/>
      <c r="C263" s="4" t="s">
        <v>12</v>
      </c>
      <c r="D263" s="4"/>
      <c r="E263" s="1">
        <v>3226116</v>
      </c>
      <c r="F263" s="1">
        <v>0</v>
      </c>
      <c r="G263" s="1">
        <v>0</v>
      </c>
      <c r="H263" s="1">
        <v>17913</v>
      </c>
      <c r="I263" s="1">
        <v>0</v>
      </c>
    </row>
    <row r="264" spans="1:9" ht="23.25">
      <c r="A264" s="4" t="s">
        <v>9</v>
      </c>
      <c r="B264" s="4"/>
      <c r="C264" s="4" t="s">
        <v>12</v>
      </c>
      <c r="D264" s="4"/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 spans="1:9" ht="23.25">
      <c r="A265" s="4" t="s">
        <v>10</v>
      </c>
      <c r="B265" s="4"/>
      <c r="C265" s="4" t="s">
        <v>12</v>
      </c>
      <c r="D265" s="4"/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 spans="1:9" ht="23.25">
      <c r="A266" s="4" t="s">
        <v>11</v>
      </c>
      <c r="B266" s="4"/>
      <c r="C266" s="4" t="s">
        <v>12</v>
      </c>
      <c r="D266" s="4"/>
      <c r="E266" s="1">
        <v>3018992</v>
      </c>
      <c r="F266" s="1">
        <v>72512</v>
      </c>
      <c r="G266" s="1">
        <v>109042</v>
      </c>
      <c r="H266" s="1">
        <v>4381</v>
      </c>
      <c r="I266" s="1">
        <v>2154577</v>
      </c>
    </row>
    <row r="267" spans="1:9" ht="23.25">
      <c r="A267" s="4" t="s">
        <v>12</v>
      </c>
      <c r="B267" s="4"/>
      <c r="C267" s="4" t="s">
        <v>12</v>
      </c>
      <c r="D267" s="4"/>
      <c r="E267" s="1">
        <v>260340</v>
      </c>
      <c r="F267" s="1">
        <v>22337</v>
      </c>
      <c r="G267" s="1">
        <v>0</v>
      </c>
      <c r="H267" s="1">
        <v>0</v>
      </c>
      <c r="I267" s="1">
        <v>0</v>
      </c>
    </row>
    <row r="268" spans="1:9" ht="23.25">
      <c r="A268" s="4" t="s">
        <v>13</v>
      </c>
      <c r="B268" s="4"/>
      <c r="C268" s="4" t="s">
        <v>12</v>
      </c>
      <c r="D268" s="4"/>
      <c r="E268" s="1">
        <v>0</v>
      </c>
      <c r="F268" s="1">
        <v>0</v>
      </c>
      <c r="G268" s="1">
        <v>0</v>
      </c>
      <c r="H268" s="1">
        <v>0</v>
      </c>
      <c r="I268" s="1">
        <v>0</v>
      </c>
    </row>
    <row r="269" spans="1:9" ht="23.25">
      <c r="A269" s="4" t="s">
        <v>14</v>
      </c>
      <c r="B269" s="4"/>
      <c r="C269" s="4" t="s">
        <v>12</v>
      </c>
      <c r="D269" s="4"/>
      <c r="E269" s="1">
        <v>0</v>
      </c>
      <c r="F269" s="1">
        <v>0</v>
      </c>
      <c r="G269" s="1">
        <v>0</v>
      </c>
      <c r="H269" s="1">
        <v>0</v>
      </c>
      <c r="I269" s="1">
        <v>0</v>
      </c>
    </row>
    <row r="270" spans="1:9" ht="23.25">
      <c r="A270" s="4" t="s">
        <v>15</v>
      </c>
      <c r="B270" s="4"/>
      <c r="C270" s="4" t="s">
        <v>12</v>
      </c>
      <c r="D270" s="4"/>
      <c r="E270" s="1">
        <v>50313291</v>
      </c>
      <c r="F270" s="1">
        <v>2628181</v>
      </c>
      <c r="G270" s="1">
        <v>4887213</v>
      </c>
      <c r="H270" s="1">
        <v>589156</v>
      </c>
      <c r="I270" s="1">
        <v>2814845</v>
      </c>
    </row>
    <row r="271" spans="1:9" ht="23.25">
      <c r="A271" s="4" t="s">
        <v>16</v>
      </c>
      <c r="B271" s="4"/>
      <c r="C271" s="4" t="s">
        <v>12</v>
      </c>
      <c r="D271" s="4"/>
      <c r="E271" s="1">
        <v>649482</v>
      </c>
      <c r="F271" s="1">
        <v>23922</v>
      </c>
      <c r="G271" s="1">
        <v>0</v>
      </c>
      <c r="H271" s="1">
        <v>1847</v>
      </c>
      <c r="I271" s="1">
        <v>0</v>
      </c>
    </row>
    <row r="272" spans="1:9" ht="23.25">
      <c r="A272" s="4" t="s">
        <v>17</v>
      </c>
      <c r="B272" s="4"/>
      <c r="C272" s="4" t="s">
        <v>12</v>
      </c>
      <c r="D272" s="4"/>
      <c r="E272" s="1">
        <v>95611</v>
      </c>
      <c r="F272" s="1">
        <v>8294</v>
      </c>
      <c r="G272" s="1">
        <v>12200</v>
      </c>
      <c r="H272" s="1">
        <v>2453</v>
      </c>
      <c r="I272" s="1">
        <v>0</v>
      </c>
    </row>
    <row r="273" spans="1:9" ht="23.25">
      <c r="A273" s="4" t="s">
        <v>18</v>
      </c>
      <c r="B273" s="4"/>
      <c r="C273" s="4" t="s">
        <v>12</v>
      </c>
      <c r="D273" s="4"/>
      <c r="E273" s="1">
        <v>0</v>
      </c>
      <c r="F273" s="1">
        <v>0</v>
      </c>
      <c r="G273" s="1">
        <v>0</v>
      </c>
      <c r="H273" s="1">
        <v>0</v>
      </c>
      <c r="I273" s="1">
        <v>0</v>
      </c>
    </row>
    <row r="274" spans="1:9" ht="23.25">
      <c r="A274" s="4" t="s">
        <v>19</v>
      </c>
      <c r="B274" s="4"/>
      <c r="C274" s="4" t="s">
        <v>12</v>
      </c>
      <c r="D274" s="4"/>
      <c r="E274" s="1">
        <v>0</v>
      </c>
      <c r="F274" s="1">
        <v>0</v>
      </c>
      <c r="G274" s="1">
        <v>0</v>
      </c>
      <c r="H274" s="1">
        <v>0</v>
      </c>
      <c r="I274" s="1">
        <v>0</v>
      </c>
    </row>
    <row r="275" spans="1:9" ht="23.25">
      <c r="A275" s="4" t="s">
        <v>20</v>
      </c>
      <c r="B275" s="4"/>
      <c r="C275" s="4" t="s">
        <v>12</v>
      </c>
      <c r="D275" s="4"/>
      <c r="E275" s="1">
        <v>0</v>
      </c>
      <c r="F275" s="1">
        <v>0</v>
      </c>
      <c r="G275" s="1">
        <v>0</v>
      </c>
      <c r="H275" s="1">
        <v>0</v>
      </c>
      <c r="I275" s="1">
        <v>0</v>
      </c>
    </row>
    <row r="276" spans="1:9" ht="23.25">
      <c r="A276" s="4" t="s">
        <v>21</v>
      </c>
      <c r="B276" s="4"/>
      <c r="C276" s="4" t="s">
        <v>12</v>
      </c>
      <c r="D276" s="4"/>
      <c r="E276" s="1">
        <v>190889</v>
      </c>
      <c r="F276" s="1">
        <v>8734</v>
      </c>
      <c r="G276" s="1">
        <v>670</v>
      </c>
      <c r="H276" s="1">
        <v>12504</v>
      </c>
      <c r="I276" s="1">
        <v>0</v>
      </c>
    </row>
    <row r="277" spans="1:9" ht="23.25">
      <c r="A277" s="4" t="s">
        <v>22</v>
      </c>
      <c r="B277" s="4"/>
      <c r="C277" s="4" t="s">
        <v>12</v>
      </c>
      <c r="D277" s="4"/>
      <c r="E277" s="1">
        <v>0</v>
      </c>
      <c r="F277" s="1">
        <v>0</v>
      </c>
      <c r="G277" s="1">
        <v>0</v>
      </c>
      <c r="H277" s="1">
        <v>0</v>
      </c>
      <c r="I277" s="1">
        <v>0</v>
      </c>
    </row>
    <row r="278" spans="1:9" ht="23.25">
      <c r="A278" s="4" t="s">
        <v>23</v>
      </c>
      <c r="B278" s="4"/>
      <c r="C278" s="4" t="s">
        <v>12</v>
      </c>
      <c r="D278" s="4"/>
      <c r="E278" s="1">
        <v>0</v>
      </c>
      <c r="F278" s="1">
        <v>0</v>
      </c>
      <c r="G278" s="1">
        <v>0</v>
      </c>
      <c r="H278" s="1">
        <v>0</v>
      </c>
      <c r="I278" s="1">
        <v>0</v>
      </c>
    </row>
    <row r="279" spans="1:9" ht="23.25">
      <c r="A279" s="4" t="s">
        <v>24</v>
      </c>
      <c r="B279" s="4"/>
      <c r="C279" s="4" t="s">
        <v>12</v>
      </c>
      <c r="D279" s="4"/>
      <c r="E279" s="1">
        <v>383515</v>
      </c>
      <c r="F279" s="1">
        <v>11109</v>
      </c>
      <c r="G279" s="1">
        <v>13168</v>
      </c>
      <c r="H279" s="1">
        <v>7517</v>
      </c>
      <c r="I279" s="1">
        <v>0</v>
      </c>
    </row>
    <row r="280" spans="1:9" ht="23.25">
      <c r="A280" s="4" t="s">
        <v>25</v>
      </c>
      <c r="B280" s="4"/>
      <c r="C280" s="4" t="s">
        <v>12</v>
      </c>
      <c r="D280" s="4"/>
      <c r="E280" s="1">
        <v>0</v>
      </c>
      <c r="F280" s="1">
        <v>0</v>
      </c>
      <c r="G280" s="1">
        <v>0</v>
      </c>
      <c r="H280" s="1">
        <v>0</v>
      </c>
      <c r="I280" s="1">
        <v>0</v>
      </c>
    </row>
    <row r="281" spans="1:9" ht="23.25">
      <c r="A281" s="4" t="s">
        <v>26</v>
      </c>
      <c r="B281" s="4"/>
      <c r="C281" s="4" t="s">
        <v>12</v>
      </c>
      <c r="D281" s="4"/>
      <c r="E281" s="1">
        <v>0</v>
      </c>
      <c r="F281" s="1">
        <v>0</v>
      </c>
      <c r="G281" s="1">
        <v>0</v>
      </c>
      <c r="H281" s="1">
        <v>0</v>
      </c>
      <c r="I281" s="1">
        <v>0</v>
      </c>
    </row>
    <row r="282" spans="1:9" ht="23.25">
      <c r="A282" s="4" t="s">
        <v>27</v>
      </c>
      <c r="B282" s="4"/>
      <c r="C282" s="4" t="s">
        <v>12</v>
      </c>
      <c r="D282" s="4"/>
      <c r="E282" s="1">
        <v>0</v>
      </c>
      <c r="F282" s="1">
        <v>0</v>
      </c>
      <c r="G282" s="1">
        <v>0</v>
      </c>
      <c r="H282" s="1">
        <v>0</v>
      </c>
      <c r="I282" s="1">
        <v>0</v>
      </c>
    </row>
    <row r="283" spans="1:9" ht="23.25">
      <c r="A283" s="4" t="s">
        <v>28</v>
      </c>
      <c r="B283" s="4"/>
      <c r="C283" s="4" t="s">
        <v>12</v>
      </c>
      <c r="D283" s="4"/>
      <c r="E283" s="1">
        <v>0</v>
      </c>
      <c r="F283" s="1">
        <v>0</v>
      </c>
      <c r="G283" s="1">
        <v>0</v>
      </c>
      <c r="H283" s="1">
        <v>0</v>
      </c>
      <c r="I283" s="1">
        <v>0</v>
      </c>
    </row>
    <row r="284" spans="1:9" ht="23.25">
      <c r="A284" s="4" t="s">
        <v>29</v>
      </c>
      <c r="B284" s="4"/>
      <c r="C284" s="4" t="s">
        <v>12</v>
      </c>
      <c r="D284" s="4"/>
      <c r="E284" s="1">
        <v>0</v>
      </c>
      <c r="F284" s="1">
        <v>0</v>
      </c>
      <c r="G284" s="1">
        <v>0</v>
      </c>
      <c r="H284" s="1">
        <v>0</v>
      </c>
      <c r="I284" s="1">
        <v>0</v>
      </c>
    </row>
    <row r="285" spans="1:9" ht="23.25">
      <c r="A285" s="4" t="s">
        <v>30</v>
      </c>
      <c r="B285" s="4"/>
      <c r="C285" s="4" t="s">
        <v>12</v>
      </c>
      <c r="D285" s="4"/>
      <c r="E285" s="1">
        <v>0</v>
      </c>
      <c r="F285" s="1">
        <v>0</v>
      </c>
      <c r="G285" s="1">
        <v>0</v>
      </c>
      <c r="H285" s="1">
        <v>0</v>
      </c>
      <c r="I285" s="1">
        <v>0</v>
      </c>
    </row>
    <row r="286" spans="1:9" ht="23.25">
      <c r="A286" s="4" t="s">
        <v>31</v>
      </c>
      <c r="B286" s="4"/>
      <c r="C286" s="4" t="s">
        <v>12</v>
      </c>
      <c r="D286" s="4"/>
      <c r="E286" s="1">
        <v>230080</v>
      </c>
      <c r="F286" s="1">
        <v>11737</v>
      </c>
      <c r="G286" s="1">
        <v>2226</v>
      </c>
      <c r="H286" s="1">
        <v>901</v>
      </c>
      <c r="I286" s="1">
        <v>0</v>
      </c>
    </row>
    <row r="287" spans="1:9" ht="23.25">
      <c r="A287" s="4" t="s">
        <v>32</v>
      </c>
      <c r="B287" s="4"/>
      <c r="C287" s="4" t="s">
        <v>12</v>
      </c>
      <c r="D287" s="4"/>
      <c r="E287" s="1">
        <v>452221</v>
      </c>
      <c r="F287" s="1">
        <v>15384</v>
      </c>
      <c r="G287" s="1">
        <v>11439</v>
      </c>
      <c r="H287" s="1">
        <v>3974</v>
      </c>
      <c r="I287" s="1">
        <v>0</v>
      </c>
    </row>
    <row r="288" spans="1:9" ht="23.25">
      <c r="A288" s="4" t="s">
        <v>33</v>
      </c>
      <c r="B288" s="4"/>
      <c r="C288" s="4" t="s">
        <v>12</v>
      </c>
      <c r="D288" s="4"/>
      <c r="E288" s="1">
        <v>0</v>
      </c>
      <c r="F288" s="1">
        <v>0</v>
      </c>
      <c r="G288" s="1">
        <v>0</v>
      </c>
      <c r="H288" s="1">
        <v>0</v>
      </c>
      <c r="I288" s="1">
        <v>0</v>
      </c>
    </row>
    <row r="289" spans="1:9" ht="23.25">
      <c r="A289" s="4" t="s">
        <v>34</v>
      </c>
      <c r="B289" s="4"/>
      <c r="C289" s="4" t="s">
        <v>12</v>
      </c>
      <c r="D289" s="4"/>
      <c r="E289" s="1">
        <v>1092982</v>
      </c>
      <c r="F289" s="1">
        <v>75988</v>
      </c>
      <c r="G289" s="1">
        <v>32159</v>
      </c>
      <c r="H289" s="1">
        <v>19048</v>
      </c>
      <c r="I289" s="1">
        <v>599745</v>
      </c>
    </row>
    <row r="290" spans="1:9" ht="23.25">
      <c r="A290" s="4" t="s">
        <v>35</v>
      </c>
      <c r="B290" s="4"/>
      <c r="C290" s="4" t="s">
        <v>12</v>
      </c>
      <c r="D290" s="4"/>
      <c r="E290" s="1">
        <v>90687025</v>
      </c>
      <c r="F290" s="1">
        <v>11673662</v>
      </c>
      <c r="G290" s="1">
        <v>9518842</v>
      </c>
      <c r="H290" s="1">
        <v>3003197</v>
      </c>
      <c r="I290" s="1">
        <v>43103998</v>
      </c>
    </row>
    <row r="291" spans="1:9" ht="23.25">
      <c r="A291" s="4" t="s">
        <v>36</v>
      </c>
      <c r="B291" s="4"/>
      <c r="C291" s="4" t="s">
        <v>12</v>
      </c>
      <c r="D291" s="4"/>
      <c r="E291" s="1">
        <v>830553</v>
      </c>
      <c r="F291" s="1">
        <v>84422</v>
      </c>
      <c r="G291" s="1">
        <v>105038</v>
      </c>
      <c r="H291" s="1">
        <v>5481</v>
      </c>
      <c r="I291" s="1">
        <v>0</v>
      </c>
    </row>
    <row r="292" spans="1:9" ht="23.25">
      <c r="A292" s="4" t="s">
        <v>37</v>
      </c>
      <c r="B292" s="4"/>
      <c r="C292" s="4" t="s">
        <v>12</v>
      </c>
      <c r="D292" s="4"/>
      <c r="E292" s="1">
        <v>15368361</v>
      </c>
      <c r="F292" s="1">
        <v>790314</v>
      </c>
      <c r="G292" s="1">
        <v>758482</v>
      </c>
      <c r="H292" s="1">
        <v>153029</v>
      </c>
      <c r="I292" s="1">
        <v>2844176</v>
      </c>
    </row>
    <row r="293" spans="1:9" ht="23.25">
      <c r="A293" s="4" t="s">
        <v>38</v>
      </c>
      <c r="B293" s="4"/>
      <c r="C293" s="4" t="s">
        <v>12</v>
      </c>
      <c r="D293" s="4"/>
      <c r="E293" s="1">
        <v>540882</v>
      </c>
      <c r="F293" s="1">
        <v>37162</v>
      </c>
      <c r="G293" s="1">
        <v>45984</v>
      </c>
      <c r="H293" s="1">
        <v>13345</v>
      </c>
      <c r="I293" s="1">
        <v>0</v>
      </c>
    </row>
    <row r="294" spans="1:9" ht="23.25">
      <c r="A294" s="4" t="s">
        <v>39</v>
      </c>
      <c r="B294" s="4"/>
      <c r="C294" s="4" t="s">
        <v>12</v>
      </c>
      <c r="D294" s="4"/>
      <c r="E294" s="1">
        <v>9345097</v>
      </c>
      <c r="F294" s="1">
        <v>224909</v>
      </c>
      <c r="G294" s="1">
        <v>478667</v>
      </c>
      <c r="H294" s="1">
        <v>67738</v>
      </c>
      <c r="I294" s="1">
        <v>3859425</v>
      </c>
    </row>
    <row r="295" spans="1:9" ht="23.25">
      <c r="A295" s="4" t="s">
        <v>40</v>
      </c>
      <c r="B295" s="4"/>
      <c r="C295" s="4" t="s">
        <v>12</v>
      </c>
      <c r="D295" s="4"/>
      <c r="E295" s="1">
        <v>389002</v>
      </c>
      <c r="F295" s="1">
        <v>26455</v>
      </c>
      <c r="G295" s="1">
        <v>15422</v>
      </c>
      <c r="H295" s="1">
        <v>5543</v>
      </c>
      <c r="I295" s="1">
        <v>0</v>
      </c>
    </row>
    <row r="296" spans="1:9" ht="23.25">
      <c r="A296" s="4" t="s">
        <v>41</v>
      </c>
      <c r="B296" s="4"/>
      <c r="C296" s="4" t="s">
        <v>12</v>
      </c>
      <c r="D296" s="4"/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 ht="23.25">
      <c r="A297" s="4" t="s">
        <v>42</v>
      </c>
      <c r="B297" s="4"/>
      <c r="C297" s="4" t="s">
        <v>12</v>
      </c>
      <c r="D297" s="4"/>
      <c r="E297" s="1">
        <v>196364</v>
      </c>
      <c r="F297" s="1">
        <v>9602</v>
      </c>
      <c r="G297" s="1">
        <v>7541</v>
      </c>
      <c r="H297" s="1">
        <v>2363</v>
      </c>
      <c r="I297" s="1">
        <v>1038</v>
      </c>
    </row>
    <row r="298" spans="1:9" ht="23.25">
      <c r="A298" s="4" t="s">
        <v>43</v>
      </c>
      <c r="B298" s="4"/>
      <c r="C298" s="4" t="s">
        <v>12</v>
      </c>
      <c r="D298" s="4"/>
      <c r="E298" s="1">
        <v>0</v>
      </c>
      <c r="F298" s="1">
        <v>0</v>
      </c>
      <c r="G298" s="1">
        <v>0</v>
      </c>
      <c r="H298" s="1">
        <v>0</v>
      </c>
      <c r="I298" s="1">
        <v>0</v>
      </c>
    </row>
    <row r="299" spans="1:9" ht="23.25">
      <c r="A299" s="4" t="s">
        <v>44</v>
      </c>
      <c r="B299" s="4"/>
      <c r="C299" s="4" t="s">
        <v>12</v>
      </c>
      <c r="D299" s="4"/>
      <c r="E299" s="1">
        <v>4954277</v>
      </c>
      <c r="F299" s="1">
        <v>130681</v>
      </c>
      <c r="G299" s="1">
        <v>259147</v>
      </c>
      <c r="H299" s="1">
        <v>24289</v>
      </c>
      <c r="I299" s="1">
        <v>2844111</v>
      </c>
    </row>
    <row r="300" spans="1:9" ht="23.25">
      <c r="A300" s="4" t="s">
        <v>45</v>
      </c>
      <c r="B300" s="4"/>
      <c r="C300" s="4" t="s">
        <v>12</v>
      </c>
      <c r="D300" s="4"/>
      <c r="E300" s="1">
        <v>4449849</v>
      </c>
      <c r="F300" s="1">
        <v>317395</v>
      </c>
      <c r="G300" s="1">
        <v>340680</v>
      </c>
      <c r="H300" s="1">
        <v>32471</v>
      </c>
      <c r="I300" s="1">
        <v>0</v>
      </c>
    </row>
    <row r="301" spans="1:9" ht="23.25">
      <c r="A301" s="4" t="s">
        <v>46</v>
      </c>
      <c r="B301" s="4"/>
      <c r="C301" s="4" t="s">
        <v>12</v>
      </c>
      <c r="D301" s="4"/>
      <c r="E301" s="1">
        <v>118132</v>
      </c>
      <c r="F301" s="1">
        <v>7263</v>
      </c>
      <c r="G301" s="1">
        <v>4808</v>
      </c>
      <c r="H301" s="1">
        <v>604</v>
      </c>
      <c r="I301" s="1">
        <v>0</v>
      </c>
    </row>
    <row r="302" spans="1:9" ht="23.25">
      <c r="A302" s="4" t="s">
        <v>47</v>
      </c>
      <c r="B302" s="4"/>
      <c r="C302" s="4" t="s">
        <v>12</v>
      </c>
      <c r="D302" s="4"/>
      <c r="E302" s="1">
        <v>8125579</v>
      </c>
      <c r="F302" s="1">
        <v>0</v>
      </c>
      <c r="G302" s="1">
        <v>0</v>
      </c>
      <c r="H302" s="1">
        <v>0</v>
      </c>
      <c r="I302" s="1">
        <v>0</v>
      </c>
    </row>
    <row r="303" spans="1:9" ht="23.25">
      <c r="A303" s="4" t="s">
        <v>48</v>
      </c>
      <c r="B303" s="4"/>
      <c r="C303" s="4" t="s">
        <v>12</v>
      </c>
      <c r="D303" s="4"/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 ht="23.25">
      <c r="A304" s="4" t="s">
        <v>49</v>
      </c>
      <c r="B304" s="4"/>
      <c r="C304" s="4" t="s">
        <v>12</v>
      </c>
      <c r="D304" s="4"/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ht="23.25">
      <c r="A305" s="4" t="s">
        <v>50</v>
      </c>
      <c r="B305" s="4"/>
      <c r="C305" s="4" t="s">
        <v>12</v>
      </c>
      <c r="D305" s="4"/>
      <c r="E305" s="1">
        <v>5501111</v>
      </c>
      <c r="F305" s="1">
        <v>547939</v>
      </c>
      <c r="G305" s="1">
        <v>415806</v>
      </c>
      <c r="H305" s="1">
        <v>40540</v>
      </c>
      <c r="I305" s="1">
        <v>606</v>
      </c>
    </row>
    <row r="306" spans="1:9" ht="23.25">
      <c r="A306" s="4" t="s">
        <v>51</v>
      </c>
      <c r="B306" s="4"/>
      <c r="C306" s="4" t="s">
        <v>12</v>
      </c>
      <c r="D306" s="4"/>
      <c r="E306" s="1">
        <v>143705</v>
      </c>
      <c r="F306" s="1">
        <v>12481</v>
      </c>
      <c r="G306" s="1">
        <v>10988</v>
      </c>
      <c r="H306" s="1">
        <v>1849</v>
      </c>
      <c r="I306" s="1">
        <v>0</v>
      </c>
    </row>
    <row r="307" spans="1:9" ht="23.25">
      <c r="A307" s="4" t="s">
        <v>52</v>
      </c>
      <c r="B307" s="4"/>
      <c r="C307" s="4" t="s">
        <v>12</v>
      </c>
      <c r="D307" s="4"/>
      <c r="E307" s="1">
        <v>2972218</v>
      </c>
      <c r="F307" s="1">
        <v>1301</v>
      </c>
      <c r="G307" s="1">
        <v>2650</v>
      </c>
      <c r="H307" s="1">
        <v>245</v>
      </c>
      <c r="I307" s="1">
        <v>0</v>
      </c>
    </row>
    <row r="308" spans="1:9" ht="23.25">
      <c r="A308" s="4" t="s">
        <v>53</v>
      </c>
      <c r="B308" s="4"/>
      <c r="C308" s="4" t="s">
        <v>12</v>
      </c>
      <c r="D308" s="4"/>
      <c r="E308" s="1">
        <v>1026394</v>
      </c>
      <c r="F308" s="1">
        <v>0</v>
      </c>
      <c r="G308" s="1">
        <v>0</v>
      </c>
      <c r="H308" s="1">
        <v>0</v>
      </c>
      <c r="I308" s="1">
        <v>0</v>
      </c>
    </row>
    <row r="309" spans="1:9" ht="23.25">
      <c r="A309" s="4" t="s">
        <v>54</v>
      </c>
      <c r="B309" s="4"/>
      <c r="C309" s="4" t="s">
        <v>12</v>
      </c>
      <c r="D309" s="4"/>
      <c r="E309" s="1">
        <v>64535</v>
      </c>
      <c r="F309" s="1">
        <v>0</v>
      </c>
      <c r="G309" s="1">
        <v>0</v>
      </c>
      <c r="H309" s="1">
        <v>0</v>
      </c>
      <c r="I309" s="1">
        <v>0</v>
      </c>
    </row>
    <row r="310" spans="1:9" ht="23.25">
      <c r="A310" s="4" t="s">
        <v>55</v>
      </c>
      <c r="B310" s="4"/>
      <c r="C310" s="4" t="s">
        <v>12</v>
      </c>
      <c r="D310" s="4"/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 ht="23.25">
      <c r="A311" s="4" t="s">
        <v>56</v>
      </c>
      <c r="B311" s="4"/>
      <c r="C311" s="4" t="s">
        <v>12</v>
      </c>
      <c r="D311" s="4"/>
      <c r="E311" s="1">
        <v>0</v>
      </c>
      <c r="F311" s="1">
        <v>-16741784</v>
      </c>
      <c r="G311" s="1">
        <v>-17032172</v>
      </c>
      <c r="H311" s="1">
        <v>0</v>
      </c>
      <c r="I311" s="1">
        <v>0</v>
      </c>
    </row>
    <row r="312" spans="1:9" ht="23.25">
      <c r="A312" s="4" t="s">
        <v>57</v>
      </c>
      <c r="B312" s="4"/>
      <c r="C312" s="4" t="s">
        <v>12</v>
      </c>
      <c r="D312" s="4"/>
      <c r="E312" s="1">
        <v>4789505</v>
      </c>
      <c r="F312" s="1">
        <v>0</v>
      </c>
      <c r="G312" s="1">
        <v>0</v>
      </c>
      <c r="H312" s="1">
        <v>0</v>
      </c>
      <c r="I312" s="1">
        <v>0</v>
      </c>
    </row>
    <row r="313" spans="1:9" ht="23.25">
      <c r="A313" s="4" t="s">
        <v>58</v>
      </c>
      <c r="B313" s="4"/>
      <c r="C313" s="4" t="s">
        <v>12</v>
      </c>
      <c r="D313" s="4"/>
      <c r="E313" s="1">
        <v>2826207</v>
      </c>
      <c r="F313" s="1">
        <v>0</v>
      </c>
      <c r="G313" s="1">
        <v>0</v>
      </c>
      <c r="H313" s="1">
        <v>-4010388</v>
      </c>
      <c r="I313" s="1">
        <v>0</v>
      </c>
    </row>
    <row r="314" spans="1:9" ht="23.25">
      <c r="A314" s="4" t="s">
        <v>59</v>
      </c>
      <c r="B314" s="4"/>
      <c r="C314" s="4" t="s">
        <v>12</v>
      </c>
      <c r="D314" s="4"/>
      <c r="E314" s="1">
        <v>3193366</v>
      </c>
      <c r="F314" s="1">
        <v>0</v>
      </c>
      <c r="G314" s="1">
        <v>0</v>
      </c>
      <c r="H314" s="1">
        <v>0</v>
      </c>
      <c r="I314" s="1">
        <v>0</v>
      </c>
    </row>
    <row r="315" spans="1:9" ht="23.25">
      <c r="A315" s="4" t="s">
        <v>60</v>
      </c>
      <c r="B315" s="4"/>
      <c r="C315" s="4" t="s">
        <v>12</v>
      </c>
      <c r="D315" s="4"/>
      <c r="E315" s="1">
        <v>20344778</v>
      </c>
      <c r="F315" s="1">
        <v>0</v>
      </c>
      <c r="G315" s="1">
        <v>0</v>
      </c>
      <c r="H315" s="1">
        <v>0</v>
      </c>
      <c r="I315" s="1">
        <v>0</v>
      </c>
    </row>
    <row r="316" spans="1:9" ht="23.25">
      <c r="A316" s="4" t="s">
        <v>61</v>
      </c>
      <c r="B316" s="4"/>
      <c r="C316" s="4" t="s">
        <v>12</v>
      </c>
      <c r="D316" s="4"/>
      <c r="E316" s="1">
        <v>137254</v>
      </c>
      <c r="F316" s="1">
        <v>0</v>
      </c>
      <c r="G316" s="1">
        <v>0</v>
      </c>
      <c r="H316" s="1">
        <v>0</v>
      </c>
      <c r="I316" s="1">
        <v>0</v>
      </c>
    </row>
    <row r="317" spans="1:9" ht="23.25">
      <c r="A317" s="4" t="s">
        <v>62</v>
      </c>
      <c r="B317" s="4"/>
      <c r="C317" s="4" t="s">
        <v>12</v>
      </c>
      <c r="D317" s="4"/>
      <c r="E317" s="1">
        <v>2565210</v>
      </c>
      <c r="F317" s="1">
        <v>0</v>
      </c>
      <c r="G317" s="1">
        <v>0</v>
      </c>
      <c r="H317" s="1">
        <v>0</v>
      </c>
      <c r="I317" s="1">
        <v>0</v>
      </c>
    </row>
    <row r="318" spans="1:9" ht="23.25">
      <c r="A318" s="4" t="s">
        <v>63</v>
      </c>
      <c r="B318" s="4"/>
      <c r="C318" s="4" t="s">
        <v>12</v>
      </c>
      <c r="D318" s="4"/>
      <c r="E318" s="1">
        <v>1826</v>
      </c>
      <c r="F318" s="1">
        <v>0</v>
      </c>
      <c r="G318" s="1">
        <v>0</v>
      </c>
      <c r="H318" s="1">
        <v>0</v>
      </c>
      <c r="I318" s="1">
        <v>0</v>
      </c>
    </row>
    <row r="319" spans="1:9" ht="23.25">
      <c r="A319" s="4" t="s">
        <v>64</v>
      </c>
      <c r="B319" s="4"/>
      <c r="C319" s="4" t="s">
        <v>12</v>
      </c>
      <c r="D319" s="4"/>
      <c r="E319" s="1">
        <v>279364</v>
      </c>
      <c r="F319" s="1">
        <v>0</v>
      </c>
      <c r="G319" s="1">
        <v>0</v>
      </c>
      <c r="H319" s="1">
        <v>0</v>
      </c>
      <c r="I319" s="1">
        <v>0</v>
      </c>
    </row>
    <row r="320" spans="1:9" ht="23.25">
      <c r="A320" s="4" t="s">
        <v>65</v>
      </c>
      <c r="B320" s="4"/>
      <c r="C320" s="4" t="s">
        <v>12</v>
      </c>
      <c r="D320" s="4"/>
      <c r="E320" s="1">
        <v>487518</v>
      </c>
      <c r="F320" s="1">
        <v>0</v>
      </c>
      <c r="G320" s="1">
        <v>0</v>
      </c>
      <c r="H320" s="1">
        <v>0</v>
      </c>
      <c r="I320" s="1">
        <v>42724</v>
      </c>
    </row>
    <row r="321" spans="1:9" ht="23.25">
      <c r="A321" s="4" t="s">
        <v>66</v>
      </c>
      <c r="B321" s="4"/>
      <c r="C321" s="4" t="s">
        <v>12</v>
      </c>
      <c r="D321" s="4"/>
      <c r="E321" s="1">
        <v>239251631</v>
      </c>
      <c r="F321" s="1">
        <v>0</v>
      </c>
      <c r="G321" s="1">
        <v>0</v>
      </c>
      <c r="H321" s="1">
        <v>0</v>
      </c>
      <c r="I321" s="1">
        <v>58265245</v>
      </c>
    </row>
    <row r="322" spans="1:9" ht="23.25">
      <c r="A322" s="4" t="s">
        <v>67</v>
      </c>
      <c r="B322" s="4"/>
      <c r="C322" s="4" t="s">
        <v>12</v>
      </c>
      <c r="D322" s="4"/>
      <c r="E322" s="1">
        <v>136013312</v>
      </c>
      <c r="F322" s="1">
        <v>0</v>
      </c>
      <c r="G322" s="1">
        <v>0</v>
      </c>
      <c r="H322" s="1">
        <v>0</v>
      </c>
      <c r="I322" s="1">
        <v>0</v>
      </c>
    </row>
    <row r="323" spans="1:9" ht="23.25">
      <c r="A323" s="4" t="s">
        <v>68</v>
      </c>
      <c r="B323" s="4"/>
      <c r="C323" s="4" t="s">
        <v>12</v>
      </c>
      <c r="D323" s="4"/>
      <c r="E323" s="1">
        <v>236904462</v>
      </c>
      <c r="F323" s="1">
        <v>0</v>
      </c>
      <c r="G323" s="1">
        <v>0</v>
      </c>
      <c r="H323" s="1">
        <v>0</v>
      </c>
      <c r="I323" s="1">
        <v>0</v>
      </c>
    </row>
    <row r="324" spans="1:9" ht="23.25">
      <c r="A324" s="4" t="s">
        <v>69</v>
      </c>
      <c r="B324" s="4"/>
      <c r="C324" s="4" t="s">
        <v>12</v>
      </c>
      <c r="D324" s="4"/>
      <c r="E324" s="1">
        <v>33149151</v>
      </c>
      <c r="F324" s="1">
        <v>0</v>
      </c>
      <c r="G324" s="1">
        <v>0</v>
      </c>
      <c r="H324" s="1">
        <v>0</v>
      </c>
      <c r="I324" s="1">
        <v>0</v>
      </c>
    </row>
    <row r="325" spans="1:9" ht="23.25">
      <c r="A325" s="4" t="s">
        <v>70</v>
      </c>
      <c r="B325" s="4"/>
      <c r="C325" s="4" t="s">
        <v>12</v>
      </c>
      <c r="D325" s="4"/>
      <c r="E325" s="1">
        <v>320915</v>
      </c>
      <c r="F325" s="1">
        <v>0</v>
      </c>
      <c r="G325" s="1">
        <v>0</v>
      </c>
      <c r="H325" s="1">
        <v>0</v>
      </c>
      <c r="I325" s="1">
        <v>0</v>
      </c>
    </row>
    <row r="326" spans="1:9" ht="23.25">
      <c r="A326" s="4" t="s">
        <v>71</v>
      </c>
      <c r="B326" s="4"/>
      <c r="C326" s="4" t="s">
        <v>12</v>
      </c>
      <c r="D326" s="4"/>
      <c r="E326" s="1">
        <v>406387840</v>
      </c>
      <c r="F326" s="1">
        <v>0</v>
      </c>
      <c r="G326" s="1">
        <v>0</v>
      </c>
      <c r="H326" s="1">
        <v>0</v>
      </c>
      <c r="I326" s="1">
        <v>0</v>
      </c>
    </row>
    <row r="327" spans="1:9" ht="23.25">
      <c r="A327" s="4" t="s">
        <v>72</v>
      </c>
      <c r="B327" s="4"/>
      <c r="C327" s="4" t="s">
        <v>12</v>
      </c>
      <c r="D327" s="4"/>
      <c r="E327" s="1">
        <v>645639471</v>
      </c>
      <c r="F327" s="1">
        <v>0</v>
      </c>
      <c r="G327" s="1">
        <v>0</v>
      </c>
      <c r="H327" s="1">
        <v>0</v>
      </c>
      <c r="I327" s="1">
        <v>0</v>
      </c>
    </row>
    <row r="328" spans="1:9" ht="23.25">
      <c r="A328" s="4" t="s">
        <v>8</v>
      </c>
      <c r="B328" s="4"/>
      <c r="C328" s="4" t="s">
        <v>13</v>
      </c>
      <c r="D328" s="4"/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 spans="1:9" ht="23.25">
      <c r="A329" s="4" t="s">
        <v>9</v>
      </c>
      <c r="B329" s="4"/>
      <c r="C329" s="4" t="s">
        <v>13</v>
      </c>
      <c r="D329" s="4"/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ht="23.25">
      <c r="A330" s="4" t="s">
        <v>10</v>
      </c>
      <c r="B330" s="4"/>
      <c r="C330" s="4" t="s">
        <v>13</v>
      </c>
      <c r="D330" s="4"/>
      <c r="E330" s="1">
        <v>0</v>
      </c>
      <c r="F330" s="1">
        <v>0</v>
      </c>
      <c r="G330" s="1">
        <v>0</v>
      </c>
      <c r="H330" s="1">
        <v>0</v>
      </c>
      <c r="I330" s="1">
        <v>0</v>
      </c>
    </row>
    <row r="331" spans="1:9" ht="23.25">
      <c r="A331" s="4" t="s">
        <v>11</v>
      </c>
      <c r="B331" s="4"/>
      <c r="C331" s="4" t="s">
        <v>13</v>
      </c>
      <c r="D331" s="4"/>
      <c r="E331" s="1">
        <v>0</v>
      </c>
      <c r="F331" s="1">
        <v>0</v>
      </c>
      <c r="G331" s="1">
        <v>0</v>
      </c>
      <c r="H331" s="1">
        <v>0</v>
      </c>
      <c r="I331" s="1">
        <v>0</v>
      </c>
    </row>
    <row r="332" spans="1:9" ht="23.25">
      <c r="A332" s="4" t="s">
        <v>12</v>
      </c>
      <c r="B332" s="4"/>
      <c r="C332" s="4" t="s">
        <v>13</v>
      </c>
      <c r="D332" s="4"/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 spans="1:9" ht="23.25">
      <c r="A333" s="4" t="s">
        <v>13</v>
      </c>
      <c r="B333" s="4"/>
      <c r="C333" s="4" t="s">
        <v>13</v>
      </c>
      <c r="D333" s="4"/>
      <c r="E333" s="1">
        <v>4490083</v>
      </c>
      <c r="F333" s="1">
        <v>172345</v>
      </c>
      <c r="G333" s="1">
        <v>0</v>
      </c>
      <c r="H333" s="1">
        <v>135524</v>
      </c>
      <c r="I333" s="1">
        <v>2</v>
      </c>
    </row>
    <row r="334" spans="1:9" ht="23.25">
      <c r="A334" s="4" t="s">
        <v>14</v>
      </c>
      <c r="B334" s="4"/>
      <c r="C334" s="4" t="s">
        <v>13</v>
      </c>
      <c r="D334" s="4"/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ht="23.25">
      <c r="A335" s="4" t="s">
        <v>15</v>
      </c>
      <c r="B335" s="4"/>
      <c r="C335" s="4" t="s">
        <v>13</v>
      </c>
      <c r="D335" s="4"/>
      <c r="E335" s="1">
        <v>3021059</v>
      </c>
      <c r="F335" s="1">
        <v>0</v>
      </c>
      <c r="G335" s="1">
        <v>0</v>
      </c>
      <c r="H335" s="1">
        <v>0</v>
      </c>
      <c r="I335" s="1">
        <v>0</v>
      </c>
    </row>
    <row r="336" spans="1:9" ht="23.25">
      <c r="A336" s="4" t="s">
        <v>16</v>
      </c>
      <c r="B336" s="4"/>
      <c r="C336" s="4" t="s">
        <v>13</v>
      </c>
      <c r="D336" s="4"/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 spans="1:9" ht="23.25">
      <c r="A337" s="4" t="s">
        <v>17</v>
      </c>
      <c r="B337" s="4"/>
      <c r="C337" s="4" t="s">
        <v>13</v>
      </c>
      <c r="D337" s="4"/>
      <c r="E337" s="1">
        <v>0</v>
      </c>
      <c r="F337" s="1">
        <v>0</v>
      </c>
      <c r="G337" s="1">
        <v>0</v>
      </c>
      <c r="H337" s="1">
        <v>0</v>
      </c>
      <c r="I337" s="1">
        <v>0</v>
      </c>
    </row>
    <row r="338" spans="1:9" ht="23.25">
      <c r="A338" s="4" t="s">
        <v>18</v>
      </c>
      <c r="B338" s="4"/>
      <c r="C338" s="4" t="s">
        <v>13</v>
      </c>
      <c r="D338" s="4"/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 ht="23.25">
      <c r="A339" s="4" t="s">
        <v>19</v>
      </c>
      <c r="B339" s="4"/>
      <c r="C339" s="4" t="s">
        <v>13</v>
      </c>
      <c r="D339" s="4"/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ht="23.25">
      <c r="A340" s="4" t="s">
        <v>20</v>
      </c>
      <c r="B340" s="4"/>
      <c r="C340" s="4" t="s">
        <v>13</v>
      </c>
      <c r="D340" s="4"/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 spans="1:9" ht="23.25">
      <c r="A341" s="4" t="s">
        <v>21</v>
      </c>
      <c r="B341" s="4"/>
      <c r="C341" s="4" t="s">
        <v>13</v>
      </c>
      <c r="D341" s="4"/>
      <c r="E341" s="1">
        <v>0</v>
      </c>
      <c r="F341" s="1">
        <v>0</v>
      </c>
      <c r="G341" s="1">
        <v>0</v>
      </c>
      <c r="H341" s="1">
        <v>0</v>
      </c>
      <c r="I341" s="1">
        <v>0</v>
      </c>
    </row>
    <row r="342" spans="1:9" ht="23.25">
      <c r="A342" s="4" t="s">
        <v>22</v>
      </c>
      <c r="B342" s="4"/>
      <c r="C342" s="4" t="s">
        <v>13</v>
      </c>
      <c r="D342" s="4"/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 spans="1:9" ht="23.25">
      <c r="A343" s="4" t="s">
        <v>23</v>
      </c>
      <c r="B343" s="4"/>
      <c r="C343" s="4" t="s">
        <v>13</v>
      </c>
      <c r="D343" s="4"/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 spans="1:9" ht="23.25">
      <c r="A344" s="4" t="s">
        <v>24</v>
      </c>
      <c r="B344" s="4"/>
      <c r="C344" s="4" t="s">
        <v>13</v>
      </c>
      <c r="D344" s="4"/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 spans="1:9" ht="23.25">
      <c r="A345" s="4" t="s">
        <v>25</v>
      </c>
      <c r="B345" s="4"/>
      <c r="C345" s="4" t="s">
        <v>13</v>
      </c>
      <c r="D345" s="4"/>
      <c r="E345" s="1">
        <v>0</v>
      </c>
      <c r="F345" s="1">
        <v>0</v>
      </c>
      <c r="G345" s="1">
        <v>0</v>
      </c>
      <c r="H345" s="1">
        <v>0</v>
      </c>
      <c r="I345" s="1">
        <v>0</v>
      </c>
    </row>
    <row r="346" spans="1:9" ht="23.25">
      <c r="A346" s="4" t="s">
        <v>26</v>
      </c>
      <c r="B346" s="4"/>
      <c r="C346" s="4" t="s">
        <v>13</v>
      </c>
      <c r="D346" s="4"/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ht="23.25">
      <c r="A347" s="4" t="s">
        <v>27</v>
      </c>
      <c r="B347" s="4"/>
      <c r="C347" s="4" t="s">
        <v>13</v>
      </c>
      <c r="D347" s="4"/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 spans="1:9" ht="23.25">
      <c r="A348" s="4" t="s">
        <v>28</v>
      </c>
      <c r="B348" s="4"/>
      <c r="C348" s="4" t="s">
        <v>13</v>
      </c>
      <c r="D348" s="4"/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 spans="1:9" ht="23.25">
      <c r="A349" s="4" t="s">
        <v>29</v>
      </c>
      <c r="B349" s="4"/>
      <c r="C349" s="4" t="s">
        <v>13</v>
      </c>
      <c r="D349" s="4"/>
      <c r="E349" s="1">
        <v>0</v>
      </c>
      <c r="F349" s="1">
        <v>0</v>
      </c>
      <c r="G349" s="1">
        <v>0</v>
      </c>
      <c r="H349" s="1">
        <v>0</v>
      </c>
      <c r="I349" s="1">
        <v>0</v>
      </c>
    </row>
    <row r="350" spans="1:9" ht="23.25">
      <c r="A350" s="4" t="s">
        <v>30</v>
      </c>
      <c r="B350" s="4"/>
      <c r="C350" s="4" t="s">
        <v>13</v>
      </c>
      <c r="D350" s="4"/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ht="23.25">
      <c r="A351" s="4" t="s">
        <v>31</v>
      </c>
      <c r="B351" s="4"/>
      <c r="C351" s="4" t="s">
        <v>13</v>
      </c>
      <c r="D351" s="4"/>
      <c r="E351" s="1">
        <v>1447</v>
      </c>
      <c r="F351" s="1">
        <v>37</v>
      </c>
      <c r="G351" s="1">
        <v>8</v>
      </c>
      <c r="H351" s="1">
        <v>5</v>
      </c>
      <c r="I351" s="1">
        <v>0</v>
      </c>
    </row>
    <row r="352" spans="1:9" ht="23.25">
      <c r="A352" s="4" t="s">
        <v>32</v>
      </c>
      <c r="B352" s="4"/>
      <c r="C352" s="4" t="s">
        <v>13</v>
      </c>
      <c r="D352" s="4"/>
      <c r="E352" s="1">
        <v>558</v>
      </c>
      <c r="F352" s="1">
        <v>20</v>
      </c>
      <c r="G352" s="1">
        <v>14</v>
      </c>
      <c r="H352" s="1">
        <v>5</v>
      </c>
      <c r="I352" s="1">
        <v>0</v>
      </c>
    </row>
    <row r="353" spans="1:9" ht="23.25">
      <c r="A353" s="4" t="s">
        <v>33</v>
      </c>
      <c r="B353" s="4"/>
      <c r="C353" s="4" t="s">
        <v>13</v>
      </c>
      <c r="D353" s="4"/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ht="23.25">
      <c r="A354" s="4" t="s">
        <v>34</v>
      </c>
      <c r="B354" s="4"/>
      <c r="C354" s="4" t="s">
        <v>13</v>
      </c>
      <c r="D354" s="4"/>
      <c r="E354" s="1">
        <v>0</v>
      </c>
      <c r="F354" s="1">
        <v>0</v>
      </c>
      <c r="G354" s="1">
        <v>0</v>
      </c>
      <c r="H354" s="1">
        <v>0</v>
      </c>
      <c r="I354" s="1">
        <v>0</v>
      </c>
    </row>
    <row r="355" spans="1:9" ht="23.25">
      <c r="A355" s="4" t="s">
        <v>35</v>
      </c>
      <c r="B355" s="4"/>
      <c r="C355" s="4" t="s">
        <v>13</v>
      </c>
      <c r="D355" s="4"/>
      <c r="E355" s="1">
        <v>13310604</v>
      </c>
      <c r="F355" s="1">
        <v>1733841</v>
      </c>
      <c r="G355" s="1">
        <v>2213286</v>
      </c>
      <c r="H355" s="1">
        <v>581844</v>
      </c>
      <c r="I355" s="1">
        <v>6370195</v>
      </c>
    </row>
    <row r="356" spans="1:9" ht="23.25">
      <c r="A356" s="4" t="s">
        <v>36</v>
      </c>
      <c r="B356" s="4"/>
      <c r="C356" s="4" t="s">
        <v>13</v>
      </c>
      <c r="D356" s="4"/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ht="23.25">
      <c r="A357" s="4" t="s">
        <v>37</v>
      </c>
      <c r="B357" s="4"/>
      <c r="C357" s="4" t="s">
        <v>13</v>
      </c>
      <c r="D357" s="4"/>
      <c r="E357" s="1">
        <v>2064006</v>
      </c>
      <c r="F357" s="1">
        <v>111718</v>
      </c>
      <c r="G357" s="1">
        <v>115121</v>
      </c>
      <c r="H357" s="1">
        <v>19481</v>
      </c>
      <c r="I357" s="1">
        <v>328407</v>
      </c>
    </row>
    <row r="358" spans="1:9" ht="23.25">
      <c r="A358" s="4" t="s">
        <v>38</v>
      </c>
      <c r="B358" s="4"/>
      <c r="C358" s="4" t="s">
        <v>13</v>
      </c>
      <c r="D358" s="4"/>
      <c r="E358" s="1">
        <v>0</v>
      </c>
      <c r="F358" s="1">
        <v>0</v>
      </c>
      <c r="G358" s="1">
        <v>0</v>
      </c>
      <c r="H358" s="1">
        <v>0</v>
      </c>
      <c r="I358" s="1">
        <v>0</v>
      </c>
    </row>
    <row r="359" spans="1:9" ht="23.25">
      <c r="A359" s="4" t="s">
        <v>39</v>
      </c>
      <c r="B359" s="4"/>
      <c r="C359" s="4" t="s">
        <v>13</v>
      </c>
      <c r="D359" s="4"/>
      <c r="E359" s="1">
        <v>7164</v>
      </c>
      <c r="F359" s="1">
        <v>209</v>
      </c>
      <c r="G359" s="1">
        <v>251</v>
      </c>
      <c r="H359" s="1">
        <v>52</v>
      </c>
      <c r="I359" s="1">
        <v>1762</v>
      </c>
    </row>
    <row r="360" spans="1:9" ht="23.25">
      <c r="A360" s="4" t="s">
        <v>40</v>
      </c>
      <c r="B360" s="4"/>
      <c r="C360" s="4" t="s">
        <v>13</v>
      </c>
      <c r="D360" s="4"/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 spans="1:9" ht="23.25">
      <c r="A361" s="4" t="s">
        <v>41</v>
      </c>
      <c r="B361" s="4"/>
      <c r="C361" s="4" t="s">
        <v>13</v>
      </c>
      <c r="D361" s="4"/>
      <c r="E361" s="1">
        <v>0</v>
      </c>
      <c r="F361" s="1">
        <v>0</v>
      </c>
      <c r="G361" s="1">
        <v>0</v>
      </c>
      <c r="H361" s="1">
        <v>0</v>
      </c>
      <c r="I361" s="1">
        <v>0</v>
      </c>
    </row>
    <row r="362" spans="1:9" ht="23.25">
      <c r="A362" s="4" t="s">
        <v>42</v>
      </c>
      <c r="B362" s="4"/>
      <c r="C362" s="4" t="s">
        <v>13</v>
      </c>
      <c r="D362" s="4"/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ht="23.25">
      <c r="A363" s="4" t="s">
        <v>43</v>
      </c>
      <c r="B363" s="4"/>
      <c r="C363" s="4" t="s">
        <v>13</v>
      </c>
      <c r="D363" s="4"/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ht="23.25">
      <c r="A364" s="4" t="s">
        <v>44</v>
      </c>
      <c r="B364" s="4"/>
      <c r="C364" s="4" t="s">
        <v>13</v>
      </c>
      <c r="D364" s="4"/>
      <c r="E364" s="1">
        <v>888590</v>
      </c>
      <c r="F364" s="1">
        <v>41995</v>
      </c>
      <c r="G364" s="1">
        <v>97841</v>
      </c>
      <c r="H364" s="1">
        <v>5948</v>
      </c>
      <c r="I364" s="1">
        <v>176699</v>
      </c>
    </row>
    <row r="365" spans="1:9" ht="23.25">
      <c r="A365" s="4" t="s">
        <v>45</v>
      </c>
      <c r="B365" s="4"/>
      <c r="C365" s="4" t="s">
        <v>13</v>
      </c>
      <c r="D365" s="4"/>
      <c r="E365" s="1">
        <v>1118367</v>
      </c>
      <c r="F365" s="1">
        <v>79080</v>
      </c>
      <c r="G365" s="1">
        <v>108621</v>
      </c>
      <c r="H365" s="1">
        <v>9241</v>
      </c>
      <c r="I365" s="1">
        <v>0</v>
      </c>
    </row>
    <row r="366" spans="1:9" ht="23.25">
      <c r="A366" s="4" t="s">
        <v>46</v>
      </c>
      <c r="B366" s="4"/>
      <c r="C366" s="4" t="s">
        <v>13</v>
      </c>
      <c r="D366" s="4"/>
      <c r="E366" s="1">
        <v>0</v>
      </c>
      <c r="F366" s="1">
        <v>0</v>
      </c>
      <c r="G366" s="1">
        <v>0</v>
      </c>
      <c r="H366" s="1">
        <v>0</v>
      </c>
      <c r="I366" s="1">
        <v>0</v>
      </c>
    </row>
    <row r="367" spans="1:9" ht="23.25">
      <c r="A367" s="4" t="s">
        <v>47</v>
      </c>
      <c r="B367" s="4"/>
      <c r="C367" s="4" t="s">
        <v>13</v>
      </c>
      <c r="D367" s="4"/>
      <c r="E367" s="1">
        <v>52638</v>
      </c>
      <c r="F367" s="1">
        <v>0</v>
      </c>
      <c r="G367" s="1">
        <v>0</v>
      </c>
      <c r="H367" s="1">
        <v>0</v>
      </c>
      <c r="I367" s="1">
        <v>0</v>
      </c>
    </row>
    <row r="368" spans="1:9" ht="23.25">
      <c r="A368" s="4" t="s">
        <v>48</v>
      </c>
      <c r="B368" s="4"/>
      <c r="C368" s="4" t="s">
        <v>13</v>
      </c>
      <c r="D368" s="4"/>
      <c r="E368" s="1">
        <v>0</v>
      </c>
      <c r="F368" s="1">
        <v>0</v>
      </c>
      <c r="G368" s="1">
        <v>0</v>
      </c>
      <c r="H368" s="1">
        <v>0</v>
      </c>
      <c r="I368" s="1">
        <v>0</v>
      </c>
    </row>
    <row r="369" spans="1:9" ht="23.25">
      <c r="A369" s="4" t="s">
        <v>49</v>
      </c>
      <c r="B369" s="4"/>
      <c r="C369" s="4" t="s">
        <v>13</v>
      </c>
      <c r="D369" s="4"/>
      <c r="E369" s="1">
        <v>0</v>
      </c>
      <c r="F369" s="1">
        <v>0</v>
      </c>
      <c r="G369" s="1">
        <v>0</v>
      </c>
      <c r="H369" s="1">
        <v>0</v>
      </c>
      <c r="I369" s="1">
        <v>0</v>
      </c>
    </row>
    <row r="370" spans="1:9" ht="23.25">
      <c r="A370" s="4" t="s">
        <v>50</v>
      </c>
      <c r="B370" s="4"/>
      <c r="C370" s="4" t="s">
        <v>13</v>
      </c>
      <c r="D370" s="4"/>
      <c r="E370" s="1">
        <v>0</v>
      </c>
      <c r="F370" s="1">
        <v>0</v>
      </c>
      <c r="G370" s="1">
        <v>0</v>
      </c>
      <c r="H370" s="1">
        <v>0</v>
      </c>
      <c r="I370" s="1">
        <v>0</v>
      </c>
    </row>
    <row r="371" spans="1:9" ht="23.25">
      <c r="A371" s="4" t="s">
        <v>51</v>
      </c>
      <c r="B371" s="4"/>
      <c r="C371" s="4" t="s">
        <v>13</v>
      </c>
      <c r="D371" s="4"/>
      <c r="E371" s="1">
        <v>0</v>
      </c>
      <c r="F371" s="1">
        <v>0</v>
      </c>
      <c r="G371" s="1">
        <v>0</v>
      </c>
      <c r="H371" s="1">
        <v>0</v>
      </c>
      <c r="I371" s="1">
        <v>0</v>
      </c>
    </row>
    <row r="372" spans="1:9" ht="23.25">
      <c r="A372" s="4" t="s">
        <v>52</v>
      </c>
      <c r="B372" s="4"/>
      <c r="C372" s="4" t="s">
        <v>13</v>
      </c>
      <c r="D372" s="4"/>
      <c r="E372" s="1">
        <v>117630</v>
      </c>
      <c r="F372" s="1">
        <v>0</v>
      </c>
      <c r="G372" s="1">
        <v>0</v>
      </c>
      <c r="H372" s="1">
        <v>0</v>
      </c>
      <c r="I372" s="1">
        <v>0</v>
      </c>
    </row>
    <row r="373" spans="1:9" ht="23.25">
      <c r="A373" s="4" t="s">
        <v>53</v>
      </c>
      <c r="B373" s="4"/>
      <c r="C373" s="4" t="s">
        <v>13</v>
      </c>
      <c r="D373" s="4"/>
      <c r="E373" s="1">
        <v>15122</v>
      </c>
      <c r="F373" s="1">
        <v>0</v>
      </c>
      <c r="G373" s="1">
        <v>0</v>
      </c>
      <c r="H373" s="1">
        <v>0</v>
      </c>
      <c r="I373" s="1">
        <v>0</v>
      </c>
    </row>
    <row r="374" spans="1:9" ht="23.25">
      <c r="A374" s="4" t="s">
        <v>54</v>
      </c>
      <c r="B374" s="4"/>
      <c r="C374" s="4" t="s">
        <v>13</v>
      </c>
      <c r="D374" s="4"/>
      <c r="E374" s="1">
        <v>0</v>
      </c>
      <c r="F374" s="1">
        <v>0</v>
      </c>
      <c r="G374" s="1">
        <v>0</v>
      </c>
      <c r="H374" s="1">
        <v>0</v>
      </c>
      <c r="I374" s="1">
        <v>0</v>
      </c>
    </row>
    <row r="375" spans="1:9" ht="23.25">
      <c r="A375" s="4" t="s">
        <v>55</v>
      </c>
      <c r="B375" s="4"/>
      <c r="C375" s="4" t="s">
        <v>13</v>
      </c>
      <c r="D375" s="4"/>
      <c r="E375" s="1">
        <v>0</v>
      </c>
      <c r="F375" s="1">
        <v>0</v>
      </c>
      <c r="G375" s="1">
        <v>0</v>
      </c>
      <c r="H375" s="1">
        <v>0</v>
      </c>
      <c r="I375" s="1">
        <v>0</v>
      </c>
    </row>
    <row r="376" spans="1:9" ht="23.25">
      <c r="A376" s="4" t="s">
        <v>56</v>
      </c>
      <c r="B376" s="4"/>
      <c r="C376" s="4" t="s">
        <v>13</v>
      </c>
      <c r="D376" s="4"/>
      <c r="E376" s="1">
        <v>0</v>
      </c>
      <c r="F376" s="1">
        <v>-2139245</v>
      </c>
      <c r="G376" s="1">
        <v>-2535142</v>
      </c>
      <c r="H376" s="1">
        <v>0</v>
      </c>
      <c r="I376" s="1">
        <v>0</v>
      </c>
    </row>
    <row r="377" spans="1:9" ht="23.25">
      <c r="A377" s="4" t="s">
        <v>57</v>
      </c>
      <c r="B377" s="4"/>
      <c r="C377" s="4" t="s">
        <v>13</v>
      </c>
      <c r="D377" s="4"/>
      <c r="E377" s="1">
        <v>0</v>
      </c>
      <c r="F377" s="1">
        <v>0</v>
      </c>
      <c r="G377" s="1">
        <v>0</v>
      </c>
      <c r="H377" s="1">
        <v>0</v>
      </c>
      <c r="I377" s="1">
        <v>0</v>
      </c>
    </row>
    <row r="378" spans="1:9" ht="23.25">
      <c r="A378" s="4" t="s">
        <v>58</v>
      </c>
      <c r="B378" s="4"/>
      <c r="C378" s="4" t="s">
        <v>13</v>
      </c>
      <c r="D378" s="4"/>
      <c r="E378" s="1">
        <v>94915</v>
      </c>
      <c r="F378" s="1">
        <v>0</v>
      </c>
      <c r="G378" s="1">
        <v>0</v>
      </c>
      <c r="H378" s="1">
        <v>-752100</v>
      </c>
      <c r="I378" s="1">
        <v>0</v>
      </c>
    </row>
    <row r="379" spans="1:9" ht="23.25">
      <c r="A379" s="4" t="s">
        <v>59</v>
      </c>
      <c r="B379" s="4"/>
      <c r="C379" s="4" t="s">
        <v>13</v>
      </c>
      <c r="D379" s="4"/>
      <c r="E379" s="1">
        <v>13439</v>
      </c>
      <c r="F379" s="1">
        <v>0</v>
      </c>
      <c r="G379" s="1">
        <v>0</v>
      </c>
      <c r="H379" s="1">
        <v>0</v>
      </c>
      <c r="I379" s="1">
        <v>0</v>
      </c>
    </row>
    <row r="380" spans="1:9" ht="23.25">
      <c r="A380" s="4" t="s">
        <v>60</v>
      </c>
      <c r="B380" s="4"/>
      <c r="C380" s="4" t="s">
        <v>13</v>
      </c>
      <c r="D380" s="4"/>
      <c r="E380" s="1">
        <v>3124540</v>
      </c>
      <c r="F380" s="1">
        <v>0</v>
      </c>
      <c r="G380" s="1">
        <v>0</v>
      </c>
      <c r="H380" s="1">
        <v>0</v>
      </c>
      <c r="I380" s="1">
        <v>0</v>
      </c>
    </row>
    <row r="381" spans="1:9" ht="23.25">
      <c r="A381" s="4" t="s">
        <v>61</v>
      </c>
      <c r="B381" s="4"/>
      <c r="C381" s="4" t="s">
        <v>13</v>
      </c>
      <c r="D381" s="4"/>
      <c r="E381" s="1">
        <v>0</v>
      </c>
      <c r="F381" s="1">
        <v>0</v>
      </c>
      <c r="G381" s="1">
        <v>0</v>
      </c>
      <c r="H381" s="1">
        <v>0</v>
      </c>
      <c r="I381" s="1">
        <v>0</v>
      </c>
    </row>
    <row r="382" spans="1:9" ht="23.25">
      <c r="A382" s="4" t="s">
        <v>62</v>
      </c>
      <c r="B382" s="4"/>
      <c r="C382" s="4" t="s">
        <v>13</v>
      </c>
      <c r="D382" s="4"/>
      <c r="E382" s="1">
        <v>6600</v>
      </c>
      <c r="F382" s="1">
        <v>0</v>
      </c>
      <c r="G382" s="1">
        <v>0</v>
      </c>
      <c r="H382" s="1">
        <v>0</v>
      </c>
      <c r="I382" s="1">
        <v>0</v>
      </c>
    </row>
    <row r="383" spans="1:9" ht="23.25">
      <c r="A383" s="4" t="s">
        <v>63</v>
      </c>
      <c r="B383" s="4"/>
      <c r="C383" s="4" t="s">
        <v>13</v>
      </c>
      <c r="D383" s="4"/>
      <c r="E383" s="1">
        <v>0</v>
      </c>
      <c r="F383" s="1">
        <v>0</v>
      </c>
      <c r="G383" s="1">
        <v>0</v>
      </c>
      <c r="H383" s="1">
        <v>0</v>
      </c>
      <c r="I383" s="1">
        <v>0</v>
      </c>
    </row>
    <row r="384" spans="1:9" ht="23.25">
      <c r="A384" s="4" t="s">
        <v>64</v>
      </c>
      <c r="B384" s="4"/>
      <c r="C384" s="4" t="s">
        <v>13</v>
      </c>
      <c r="D384" s="4"/>
      <c r="E384" s="1">
        <v>0</v>
      </c>
      <c r="F384" s="1">
        <v>0</v>
      </c>
      <c r="G384" s="1">
        <v>0</v>
      </c>
      <c r="H384" s="1">
        <v>0</v>
      </c>
      <c r="I384" s="1">
        <v>0</v>
      </c>
    </row>
    <row r="385" spans="1:9" ht="23.25">
      <c r="A385" s="4" t="s">
        <v>65</v>
      </c>
      <c r="B385" s="4"/>
      <c r="C385" s="4" t="s">
        <v>13</v>
      </c>
      <c r="D385" s="4"/>
      <c r="E385" s="1">
        <v>0</v>
      </c>
      <c r="F385" s="1">
        <v>0</v>
      </c>
      <c r="G385" s="1">
        <v>0</v>
      </c>
      <c r="H385" s="1">
        <v>0</v>
      </c>
      <c r="I385" s="1">
        <v>0</v>
      </c>
    </row>
    <row r="386" spans="1:9" ht="23.25">
      <c r="A386" s="4" t="s">
        <v>66</v>
      </c>
      <c r="B386" s="4"/>
      <c r="C386" s="4" t="s">
        <v>13</v>
      </c>
      <c r="D386" s="4"/>
      <c r="E386" s="1">
        <v>28326762</v>
      </c>
      <c r="F386" s="1">
        <v>0</v>
      </c>
      <c r="G386" s="1">
        <v>0</v>
      </c>
      <c r="H386" s="1">
        <v>0</v>
      </c>
      <c r="I386" s="1">
        <v>6877065</v>
      </c>
    </row>
    <row r="387" spans="1:9" ht="23.25">
      <c r="A387" s="4" t="s">
        <v>67</v>
      </c>
      <c r="B387" s="4"/>
      <c r="C387" s="4" t="s">
        <v>13</v>
      </c>
      <c r="D387" s="4"/>
      <c r="E387" s="1">
        <v>18783938</v>
      </c>
      <c r="F387" s="1">
        <v>0</v>
      </c>
      <c r="G387" s="1">
        <v>0</v>
      </c>
      <c r="H387" s="1">
        <v>0</v>
      </c>
      <c r="I387" s="1">
        <v>0</v>
      </c>
    </row>
    <row r="388" spans="1:9" ht="23.25">
      <c r="A388" s="4" t="s">
        <v>68</v>
      </c>
      <c r="B388" s="4"/>
      <c r="C388" s="4" t="s">
        <v>13</v>
      </c>
      <c r="D388" s="4"/>
      <c r="E388" s="1">
        <v>28074623</v>
      </c>
      <c r="F388" s="1">
        <v>0</v>
      </c>
      <c r="G388" s="1">
        <v>0</v>
      </c>
      <c r="H388" s="1">
        <v>0</v>
      </c>
      <c r="I388" s="1">
        <v>0</v>
      </c>
    </row>
    <row r="389" spans="1:9" ht="23.25">
      <c r="A389" s="4" t="s">
        <v>69</v>
      </c>
      <c r="B389" s="4"/>
      <c r="C389" s="4" t="s">
        <v>13</v>
      </c>
      <c r="D389" s="4"/>
      <c r="E389" s="1">
        <v>7826419</v>
      </c>
      <c r="F389" s="1">
        <v>0</v>
      </c>
      <c r="G389" s="1">
        <v>0</v>
      </c>
      <c r="H389" s="1">
        <v>0</v>
      </c>
      <c r="I389" s="1">
        <v>0</v>
      </c>
    </row>
    <row r="390" spans="1:9" ht="23.25">
      <c r="A390" s="4" t="s">
        <v>70</v>
      </c>
      <c r="B390" s="4"/>
      <c r="C390" s="4" t="s">
        <v>13</v>
      </c>
      <c r="D390" s="4"/>
      <c r="E390" s="1">
        <v>-15206341</v>
      </c>
      <c r="F390" s="1">
        <v>0</v>
      </c>
      <c r="G390" s="1">
        <v>0</v>
      </c>
      <c r="H390" s="1">
        <v>0</v>
      </c>
      <c r="I390" s="1">
        <v>0</v>
      </c>
    </row>
    <row r="391" spans="1:9" ht="23.25">
      <c r="A391" s="4" t="s">
        <v>71</v>
      </c>
      <c r="B391" s="4"/>
      <c r="C391" s="4" t="s">
        <v>13</v>
      </c>
      <c r="D391" s="4"/>
      <c r="E391" s="1">
        <v>39478639</v>
      </c>
      <c r="F391" s="1">
        <v>0</v>
      </c>
      <c r="G391" s="1">
        <v>0</v>
      </c>
      <c r="H391" s="1">
        <v>0</v>
      </c>
      <c r="I391" s="1">
        <v>0</v>
      </c>
    </row>
    <row r="392" spans="1:9" ht="23.25">
      <c r="A392" s="4" t="s">
        <v>72</v>
      </c>
      <c r="B392" s="4"/>
      <c r="C392" s="4" t="s">
        <v>13</v>
      </c>
      <c r="D392" s="4"/>
      <c r="E392" s="1">
        <v>67805401</v>
      </c>
      <c r="F392" s="1">
        <v>0</v>
      </c>
      <c r="G392" s="1">
        <v>0</v>
      </c>
      <c r="H392" s="1">
        <v>0</v>
      </c>
      <c r="I392" s="1">
        <v>0</v>
      </c>
    </row>
    <row r="393" spans="1:9" ht="23.25">
      <c r="A393" s="4" t="s">
        <v>8</v>
      </c>
      <c r="B393" s="4"/>
      <c r="C393" s="4" t="s">
        <v>14</v>
      </c>
      <c r="D393" s="4"/>
      <c r="E393" s="1">
        <v>0</v>
      </c>
      <c r="F393" s="1">
        <v>0</v>
      </c>
      <c r="G393" s="1">
        <v>0</v>
      </c>
      <c r="H393" s="1">
        <v>0</v>
      </c>
      <c r="I393" s="1">
        <v>0</v>
      </c>
    </row>
    <row r="394" spans="1:9" ht="23.25">
      <c r="A394" s="4" t="s">
        <v>9</v>
      </c>
      <c r="B394" s="4"/>
      <c r="C394" s="4" t="s">
        <v>14</v>
      </c>
      <c r="D394" s="4"/>
      <c r="E394" s="1">
        <v>0</v>
      </c>
      <c r="F394" s="1">
        <v>0</v>
      </c>
      <c r="G394" s="1">
        <v>0</v>
      </c>
      <c r="H394" s="1">
        <v>0</v>
      </c>
      <c r="I394" s="1">
        <v>0</v>
      </c>
    </row>
    <row r="395" spans="1:9" ht="23.25">
      <c r="A395" s="4" t="s">
        <v>10</v>
      </c>
      <c r="B395" s="4"/>
      <c r="C395" s="4" t="s">
        <v>14</v>
      </c>
      <c r="D395" s="4"/>
      <c r="E395" s="1">
        <v>0</v>
      </c>
      <c r="F395" s="1">
        <v>0</v>
      </c>
      <c r="G395" s="1">
        <v>0</v>
      </c>
      <c r="H395" s="1">
        <v>0</v>
      </c>
      <c r="I395" s="1">
        <v>0</v>
      </c>
    </row>
    <row r="396" spans="1:9" ht="23.25">
      <c r="A396" s="4" t="s">
        <v>11</v>
      </c>
      <c r="B396" s="4"/>
      <c r="C396" s="4" t="s">
        <v>14</v>
      </c>
      <c r="D396" s="4"/>
      <c r="E396" s="1">
        <v>0</v>
      </c>
      <c r="F396" s="1">
        <v>0</v>
      </c>
      <c r="G396" s="1">
        <v>0</v>
      </c>
      <c r="H396" s="1">
        <v>0</v>
      </c>
      <c r="I396" s="1">
        <v>0</v>
      </c>
    </row>
    <row r="397" spans="1:9" ht="23.25">
      <c r="A397" s="4" t="s">
        <v>12</v>
      </c>
      <c r="B397" s="4"/>
      <c r="C397" s="4" t="s">
        <v>14</v>
      </c>
      <c r="D397" s="4"/>
      <c r="E397" s="1">
        <v>0</v>
      </c>
      <c r="F397" s="1">
        <v>0</v>
      </c>
      <c r="G397" s="1">
        <v>0</v>
      </c>
      <c r="H397" s="1">
        <v>0</v>
      </c>
      <c r="I397" s="1">
        <v>0</v>
      </c>
    </row>
    <row r="398" spans="1:9" ht="23.25">
      <c r="A398" s="4" t="s">
        <v>13</v>
      </c>
      <c r="B398" s="4"/>
      <c r="C398" s="4" t="s">
        <v>14</v>
      </c>
      <c r="D398" s="4"/>
      <c r="E398" s="1">
        <v>0</v>
      </c>
      <c r="F398" s="1">
        <v>0</v>
      </c>
      <c r="G398" s="1">
        <v>0</v>
      </c>
      <c r="H398" s="1">
        <v>0</v>
      </c>
      <c r="I398" s="1">
        <v>0</v>
      </c>
    </row>
    <row r="399" spans="1:9" ht="23.25">
      <c r="A399" s="4" t="s">
        <v>14</v>
      </c>
      <c r="B399" s="4"/>
      <c r="C399" s="4" t="s">
        <v>14</v>
      </c>
      <c r="D399" s="4"/>
      <c r="E399" s="1">
        <v>9953834</v>
      </c>
      <c r="F399" s="1">
        <v>577309</v>
      </c>
      <c r="G399" s="1">
        <v>0</v>
      </c>
      <c r="H399" s="1">
        <v>68761</v>
      </c>
      <c r="I399" s="1">
        <v>35141</v>
      </c>
    </row>
    <row r="400" spans="1:9" ht="23.25">
      <c r="A400" s="4" t="s">
        <v>15</v>
      </c>
      <c r="B400" s="4"/>
      <c r="C400" s="4" t="s">
        <v>14</v>
      </c>
      <c r="D400" s="4"/>
      <c r="E400" s="1">
        <v>2246407</v>
      </c>
      <c r="F400" s="1">
        <v>0</v>
      </c>
      <c r="G400" s="1">
        <v>0</v>
      </c>
      <c r="H400" s="1">
        <v>0</v>
      </c>
      <c r="I400" s="1">
        <v>0</v>
      </c>
    </row>
    <row r="401" spans="1:9" ht="23.25">
      <c r="A401" s="4" t="s">
        <v>16</v>
      </c>
      <c r="B401" s="4"/>
      <c r="C401" s="4" t="s">
        <v>14</v>
      </c>
      <c r="D401" s="4"/>
      <c r="E401" s="1">
        <v>0</v>
      </c>
      <c r="F401" s="1">
        <v>0</v>
      </c>
      <c r="G401" s="1">
        <v>0</v>
      </c>
      <c r="H401" s="1">
        <v>0</v>
      </c>
      <c r="I401" s="1">
        <v>0</v>
      </c>
    </row>
    <row r="402" spans="1:9" ht="23.25">
      <c r="A402" s="4" t="s">
        <v>17</v>
      </c>
      <c r="B402" s="4"/>
      <c r="C402" s="4" t="s">
        <v>14</v>
      </c>
      <c r="D402" s="4"/>
      <c r="E402" s="1">
        <v>0</v>
      </c>
      <c r="F402" s="1">
        <v>0</v>
      </c>
      <c r="G402" s="1">
        <v>0</v>
      </c>
      <c r="H402" s="1">
        <v>0</v>
      </c>
      <c r="I402" s="1">
        <v>0</v>
      </c>
    </row>
    <row r="403" spans="1:9" ht="23.25">
      <c r="A403" s="4" t="s">
        <v>18</v>
      </c>
      <c r="B403" s="4"/>
      <c r="C403" s="4" t="s">
        <v>14</v>
      </c>
      <c r="D403" s="4"/>
      <c r="E403" s="1">
        <v>0</v>
      </c>
      <c r="F403" s="1">
        <v>0</v>
      </c>
      <c r="G403" s="1">
        <v>0</v>
      </c>
      <c r="H403" s="1">
        <v>0</v>
      </c>
      <c r="I403" s="1">
        <v>0</v>
      </c>
    </row>
    <row r="404" spans="1:9" ht="23.25">
      <c r="A404" s="4" t="s">
        <v>19</v>
      </c>
      <c r="B404" s="4"/>
      <c r="C404" s="4" t="s">
        <v>14</v>
      </c>
      <c r="D404" s="4"/>
      <c r="E404" s="1">
        <v>0</v>
      </c>
      <c r="F404" s="1">
        <v>0</v>
      </c>
      <c r="G404" s="1">
        <v>0</v>
      </c>
      <c r="H404" s="1">
        <v>0</v>
      </c>
      <c r="I404" s="1">
        <v>0</v>
      </c>
    </row>
    <row r="405" spans="1:9" ht="23.25">
      <c r="A405" s="4" t="s">
        <v>20</v>
      </c>
      <c r="B405" s="4"/>
      <c r="C405" s="4" t="s">
        <v>14</v>
      </c>
      <c r="D405" s="4"/>
      <c r="E405" s="1">
        <v>0</v>
      </c>
      <c r="F405" s="1">
        <v>0</v>
      </c>
      <c r="G405" s="1">
        <v>0</v>
      </c>
      <c r="H405" s="1">
        <v>0</v>
      </c>
      <c r="I405" s="1">
        <v>0</v>
      </c>
    </row>
    <row r="406" spans="1:9" ht="23.25">
      <c r="A406" s="4" t="s">
        <v>21</v>
      </c>
      <c r="B406" s="4"/>
      <c r="C406" s="4" t="s">
        <v>14</v>
      </c>
      <c r="D406" s="4"/>
      <c r="E406" s="1">
        <v>19485</v>
      </c>
      <c r="F406" s="1">
        <v>929</v>
      </c>
      <c r="G406" s="1">
        <v>239</v>
      </c>
      <c r="H406" s="1">
        <v>2585</v>
      </c>
      <c r="I406" s="1">
        <v>0</v>
      </c>
    </row>
    <row r="407" spans="1:9" ht="23.25">
      <c r="A407" s="4" t="s">
        <v>22</v>
      </c>
      <c r="B407" s="4"/>
      <c r="C407" s="4" t="s">
        <v>14</v>
      </c>
      <c r="D407" s="4"/>
      <c r="E407" s="1">
        <v>0</v>
      </c>
      <c r="F407" s="1">
        <v>0</v>
      </c>
      <c r="G407" s="1">
        <v>0</v>
      </c>
      <c r="H407" s="1">
        <v>0</v>
      </c>
      <c r="I407" s="1">
        <v>0</v>
      </c>
    </row>
    <row r="408" spans="1:9" ht="23.25">
      <c r="A408" s="4" t="s">
        <v>23</v>
      </c>
      <c r="B408" s="4"/>
      <c r="C408" s="4" t="s">
        <v>14</v>
      </c>
      <c r="D408" s="4"/>
      <c r="E408" s="1">
        <v>0</v>
      </c>
      <c r="F408" s="1">
        <v>0</v>
      </c>
      <c r="G408" s="1">
        <v>0</v>
      </c>
      <c r="H408" s="1">
        <v>0</v>
      </c>
      <c r="I408" s="1">
        <v>0</v>
      </c>
    </row>
    <row r="409" spans="1:9" ht="23.25">
      <c r="A409" s="4" t="s">
        <v>24</v>
      </c>
      <c r="B409" s="4"/>
      <c r="C409" s="4" t="s">
        <v>14</v>
      </c>
      <c r="D409" s="4"/>
      <c r="E409" s="1">
        <v>0</v>
      </c>
      <c r="F409" s="1">
        <v>0</v>
      </c>
      <c r="G409" s="1">
        <v>0</v>
      </c>
      <c r="H409" s="1">
        <v>0</v>
      </c>
      <c r="I409" s="1">
        <v>0</v>
      </c>
    </row>
    <row r="410" spans="1:9" ht="23.25">
      <c r="A410" s="4" t="s">
        <v>25</v>
      </c>
      <c r="B410" s="4"/>
      <c r="C410" s="4" t="s">
        <v>14</v>
      </c>
      <c r="D410" s="4"/>
      <c r="E410" s="1">
        <v>0</v>
      </c>
      <c r="F410" s="1">
        <v>0</v>
      </c>
      <c r="G410" s="1">
        <v>0</v>
      </c>
      <c r="H410" s="1">
        <v>0</v>
      </c>
      <c r="I410" s="1">
        <v>0</v>
      </c>
    </row>
    <row r="411" spans="1:9" ht="23.25">
      <c r="A411" s="4" t="s">
        <v>26</v>
      </c>
      <c r="B411" s="4"/>
      <c r="C411" s="4" t="s">
        <v>14</v>
      </c>
      <c r="D411" s="4"/>
      <c r="E411" s="1">
        <v>0</v>
      </c>
      <c r="F411" s="1">
        <v>0</v>
      </c>
      <c r="G411" s="1">
        <v>0</v>
      </c>
      <c r="H411" s="1">
        <v>0</v>
      </c>
      <c r="I411" s="1">
        <v>0</v>
      </c>
    </row>
    <row r="412" spans="1:9" ht="23.25">
      <c r="A412" s="4" t="s">
        <v>27</v>
      </c>
      <c r="B412" s="4"/>
      <c r="C412" s="4" t="s">
        <v>14</v>
      </c>
      <c r="D412" s="4"/>
      <c r="E412" s="1">
        <v>0</v>
      </c>
      <c r="F412" s="1">
        <v>0</v>
      </c>
      <c r="G412" s="1">
        <v>0</v>
      </c>
      <c r="H412" s="1">
        <v>0</v>
      </c>
      <c r="I412" s="1">
        <v>0</v>
      </c>
    </row>
    <row r="413" spans="1:9" ht="23.25">
      <c r="A413" s="4" t="s">
        <v>28</v>
      </c>
      <c r="B413" s="4"/>
      <c r="C413" s="4" t="s">
        <v>14</v>
      </c>
      <c r="D413" s="4"/>
      <c r="E413" s="1">
        <v>0</v>
      </c>
      <c r="F413" s="1">
        <v>0</v>
      </c>
      <c r="G413" s="1">
        <v>0</v>
      </c>
      <c r="H413" s="1">
        <v>0</v>
      </c>
      <c r="I413" s="1">
        <v>0</v>
      </c>
    </row>
    <row r="414" spans="1:9" ht="23.25">
      <c r="A414" s="4" t="s">
        <v>29</v>
      </c>
      <c r="B414" s="4"/>
      <c r="C414" s="4" t="s">
        <v>14</v>
      </c>
      <c r="D414" s="4"/>
      <c r="E414" s="1">
        <v>0</v>
      </c>
      <c r="F414" s="1">
        <v>0</v>
      </c>
      <c r="G414" s="1">
        <v>0</v>
      </c>
      <c r="H414" s="1">
        <v>0</v>
      </c>
      <c r="I414" s="1">
        <v>0</v>
      </c>
    </row>
    <row r="415" spans="1:9" ht="23.25">
      <c r="A415" s="4" t="s">
        <v>30</v>
      </c>
      <c r="B415" s="4"/>
      <c r="C415" s="4" t="s">
        <v>14</v>
      </c>
      <c r="D415" s="4"/>
      <c r="E415" s="1">
        <v>0</v>
      </c>
      <c r="F415" s="1">
        <v>0</v>
      </c>
      <c r="G415" s="1">
        <v>0</v>
      </c>
      <c r="H415" s="1">
        <v>0</v>
      </c>
      <c r="I415" s="1">
        <v>0</v>
      </c>
    </row>
    <row r="416" spans="1:9" ht="23.25">
      <c r="A416" s="4" t="s">
        <v>31</v>
      </c>
      <c r="B416" s="4"/>
      <c r="C416" s="4" t="s">
        <v>14</v>
      </c>
      <c r="D416" s="4"/>
      <c r="E416" s="1">
        <v>0</v>
      </c>
      <c r="F416" s="1">
        <v>0</v>
      </c>
      <c r="G416" s="1">
        <v>0</v>
      </c>
      <c r="H416" s="1">
        <v>0</v>
      </c>
      <c r="I416" s="1">
        <v>0</v>
      </c>
    </row>
    <row r="417" spans="1:9" ht="23.25">
      <c r="A417" s="4" t="s">
        <v>32</v>
      </c>
      <c r="B417" s="4"/>
      <c r="C417" s="4" t="s">
        <v>14</v>
      </c>
      <c r="D417" s="4"/>
      <c r="E417" s="1">
        <v>1951</v>
      </c>
      <c r="F417" s="1">
        <v>72</v>
      </c>
      <c r="G417" s="1">
        <v>51</v>
      </c>
      <c r="H417" s="1">
        <v>17</v>
      </c>
      <c r="I417" s="1">
        <v>0</v>
      </c>
    </row>
    <row r="418" spans="1:9" ht="23.25">
      <c r="A418" s="4" t="s">
        <v>33</v>
      </c>
      <c r="B418" s="4"/>
      <c r="C418" s="4" t="s">
        <v>14</v>
      </c>
      <c r="D418" s="4"/>
      <c r="E418" s="1">
        <v>0</v>
      </c>
      <c r="F418" s="1">
        <v>0</v>
      </c>
      <c r="G418" s="1">
        <v>0</v>
      </c>
      <c r="H418" s="1">
        <v>0</v>
      </c>
      <c r="I418" s="1">
        <v>0</v>
      </c>
    </row>
    <row r="419" spans="1:9" ht="23.25">
      <c r="A419" s="4" t="s">
        <v>34</v>
      </c>
      <c r="B419" s="4"/>
      <c r="C419" s="4" t="s">
        <v>14</v>
      </c>
      <c r="D419" s="4"/>
      <c r="E419" s="1">
        <v>1058974</v>
      </c>
      <c r="F419" s="1">
        <v>205138</v>
      </c>
      <c r="G419" s="1">
        <v>124328</v>
      </c>
      <c r="H419" s="1">
        <v>23717</v>
      </c>
      <c r="I419" s="1">
        <v>573582</v>
      </c>
    </row>
    <row r="420" spans="1:9" ht="23.25">
      <c r="A420" s="4" t="s">
        <v>35</v>
      </c>
      <c r="B420" s="4"/>
      <c r="C420" s="4" t="s">
        <v>14</v>
      </c>
      <c r="D420" s="4"/>
      <c r="E420" s="1">
        <v>20316356</v>
      </c>
      <c r="F420" s="1">
        <v>2120883</v>
      </c>
      <c r="G420" s="1">
        <v>1335886</v>
      </c>
      <c r="H420" s="1">
        <v>661464</v>
      </c>
      <c r="I420" s="1">
        <v>8753832</v>
      </c>
    </row>
    <row r="421" spans="1:9" ht="23.25">
      <c r="A421" s="4" t="s">
        <v>36</v>
      </c>
      <c r="B421" s="4"/>
      <c r="C421" s="4" t="s">
        <v>14</v>
      </c>
      <c r="D421" s="4"/>
      <c r="E421" s="1">
        <v>1017</v>
      </c>
      <c r="F421" s="1">
        <v>137</v>
      </c>
      <c r="G421" s="1">
        <v>169</v>
      </c>
      <c r="H421" s="1">
        <v>7</v>
      </c>
      <c r="I421" s="1">
        <v>0</v>
      </c>
    </row>
    <row r="422" spans="1:9" ht="23.25">
      <c r="A422" s="4" t="s">
        <v>37</v>
      </c>
      <c r="B422" s="4"/>
      <c r="C422" s="4" t="s">
        <v>14</v>
      </c>
      <c r="D422" s="4"/>
      <c r="E422" s="1">
        <v>1936966</v>
      </c>
      <c r="F422" s="1">
        <v>103433</v>
      </c>
      <c r="G422" s="1">
        <v>166316</v>
      </c>
      <c r="H422" s="1">
        <v>18643</v>
      </c>
      <c r="I422" s="1">
        <v>327790</v>
      </c>
    </row>
    <row r="423" spans="1:9" ht="23.25">
      <c r="A423" s="4" t="s">
        <v>38</v>
      </c>
      <c r="B423" s="4"/>
      <c r="C423" s="4" t="s">
        <v>14</v>
      </c>
      <c r="D423" s="4"/>
      <c r="E423" s="1">
        <v>2950</v>
      </c>
      <c r="F423" s="1">
        <v>316</v>
      </c>
      <c r="G423" s="1">
        <v>178</v>
      </c>
      <c r="H423" s="1">
        <v>80</v>
      </c>
      <c r="I423" s="1">
        <v>0</v>
      </c>
    </row>
    <row r="424" spans="1:9" ht="23.25">
      <c r="A424" s="4" t="s">
        <v>39</v>
      </c>
      <c r="B424" s="4"/>
      <c r="C424" s="4" t="s">
        <v>14</v>
      </c>
      <c r="D424" s="4"/>
      <c r="E424" s="1">
        <v>2195573</v>
      </c>
      <c r="F424" s="1">
        <v>153464</v>
      </c>
      <c r="G424" s="1">
        <v>212342</v>
      </c>
      <c r="H424" s="1">
        <v>18291</v>
      </c>
      <c r="I424" s="1">
        <v>1151310</v>
      </c>
    </row>
    <row r="425" spans="1:9" ht="23.25">
      <c r="A425" s="4" t="s">
        <v>40</v>
      </c>
      <c r="B425" s="4"/>
      <c r="C425" s="4" t="s">
        <v>14</v>
      </c>
      <c r="D425" s="4"/>
      <c r="E425" s="1">
        <v>0</v>
      </c>
      <c r="F425" s="1">
        <v>0</v>
      </c>
      <c r="G425" s="1">
        <v>0</v>
      </c>
      <c r="H425" s="1">
        <v>0</v>
      </c>
      <c r="I425" s="1">
        <v>0</v>
      </c>
    </row>
    <row r="426" spans="1:9" ht="23.25">
      <c r="A426" s="4" t="s">
        <v>41</v>
      </c>
      <c r="B426" s="4"/>
      <c r="C426" s="4" t="s">
        <v>14</v>
      </c>
      <c r="D426" s="4"/>
      <c r="E426" s="1">
        <v>17780</v>
      </c>
      <c r="F426" s="1">
        <v>861</v>
      </c>
      <c r="G426" s="1">
        <v>1019</v>
      </c>
      <c r="H426" s="1">
        <v>111</v>
      </c>
      <c r="I426" s="1">
        <v>0</v>
      </c>
    </row>
    <row r="427" spans="1:9" ht="23.25">
      <c r="A427" s="4" t="s">
        <v>42</v>
      </c>
      <c r="B427" s="4"/>
      <c r="C427" s="4" t="s">
        <v>14</v>
      </c>
      <c r="D427" s="4"/>
      <c r="E427" s="1">
        <v>0</v>
      </c>
      <c r="F427" s="1">
        <v>0</v>
      </c>
      <c r="G427" s="1">
        <v>0</v>
      </c>
      <c r="H427" s="1">
        <v>0</v>
      </c>
      <c r="I427" s="1">
        <v>0</v>
      </c>
    </row>
    <row r="428" spans="1:9" ht="23.25">
      <c r="A428" s="4" t="s">
        <v>43</v>
      </c>
      <c r="B428" s="4"/>
      <c r="C428" s="4" t="s">
        <v>14</v>
      </c>
      <c r="D428" s="4"/>
      <c r="E428" s="1">
        <v>3140</v>
      </c>
      <c r="F428" s="1">
        <v>165</v>
      </c>
      <c r="G428" s="1">
        <v>78</v>
      </c>
      <c r="H428" s="1">
        <v>5</v>
      </c>
      <c r="I428" s="1">
        <v>1868</v>
      </c>
    </row>
    <row r="429" spans="1:9" ht="23.25">
      <c r="A429" s="4" t="s">
        <v>44</v>
      </c>
      <c r="B429" s="4"/>
      <c r="C429" s="4" t="s">
        <v>14</v>
      </c>
      <c r="D429" s="4"/>
      <c r="E429" s="1">
        <v>1071536</v>
      </c>
      <c r="F429" s="1">
        <v>29273</v>
      </c>
      <c r="G429" s="1">
        <v>69145</v>
      </c>
      <c r="H429" s="1">
        <v>5082</v>
      </c>
      <c r="I429" s="1">
        <v>400674</v>
      </c>
    </row>
    <row r="430" spans="1:9" ht="23.25">
      <c r="A430" s="4" t="s">
        <v>45</v>
      </c>
      <c r="B430" s="4"/>
      <c r="C430" s="4" t="s">
        <v>14</v>
      </c>
      <c r="D430" s="4"/>
      <c r="E430" s="1">
        <v>743840</v>
      </c>
      <c r="F430" s="1">
        <v>63172</v>
      </c>
      <c r="G430" s="1">
        <v>29410</v>
      </c>
      <c r="H430" s="1">
        <v>5170</v>
      </c>
      <c r="I430" s="1">
        <v>0</v>
      </c>
    </row>
    <row r="431" spans="1:9" ht="23.25">
      <c r="A431" s="4" t="s">
        <v>46</v>
      </c>
      <c r="B431" s="4"/>
      <c r="C431" s="4" t="s">
        <v>14</v>
      </c>
      <c r="D431" s="4"/>
      <c r="E431" s="1">
        <v>109717</v>
      </c>
      <c r="F431" s="1">
        <v>7106</v>
      </c>
      <c r="G431" s="1">
        <v>7149</v>
      </c>
      <c r="H431" s="1">
        <v>306</v>
      </c>
      <c r="I431" s="1">
        <v>0</v>
      </c>
    </row>
    <row r="432" spans="1:9" ht="23.25">
      <c r="A432" s="4" t="s">
        <v>47</v>
      </c>
      <c r="B432" s="4"/>
      <c r="C432" s="4" t="s">
        <v>14</v>
      </c>
      <c r="D432" s="4"/>
      <c r="E432" s="1">
        <v>93414</v>
      </c>
      <c r="F432" s="1">
        <v>0</v>
      </c>
      <c r="G432" s="1">
        <v>0</v>
      </c>
      <c r="H432" s="1">
        <v>0</v>
      </c>
      <c r="I432" s="1">
        <v>0</v>
      </c>
    </row>
    <row r="433" spans="1:9" ht="23.25">
      <c r="A433" s="4" t="s">
        <v>48</v>
      </c>
      <c r="B433" s="4"/>
      <c r="C433" s="4" t="s">
        <v>14</v>
      </c>
      <c r="D433" s="4"/>
      <c r="E433" s="1">
        <v>0</v>
      </c>
      <c r="F433" s="1">
        <v>0</v>
      </c>
      <c r="G433" s="1">
        <v>0</v>
      </c>
      <c r="H433" s="1">
        <v>0</v>
      </c>
      <c r="I433" s="1">
        <v>0</v>
      </c>
    </row>
    <row r="434" spans="1:9" ht="23.25">
      <c r="A434" s="4" t="s">
        <v>49</v>
      </c>
      <c r="B434" s="4"/>
      <c r="C434" s="4" t="s">
        <v>14</v>
      </c>
      <c r="D434" s="4"/>
      <c r="E434" s="1">
        <v>0</v>
      </c>
      <c r="F434" s="1">
        <v>0</v>
      </c>
      <c r="G434" s="1">
        <v>0</v>
      </c>
      <c r="H434" s="1">
        <v>0</v>
      </c>
      <c r="I434" s="1">
        <v>0</v>
      </c>
    </row>
    <row r="435" spans="1:9" ht="23.25">
      <c r="A435" s="4" t="s">
        <v>50</v>
      </c>
      <c r="B435" s="4"/>
      <c r="C435" s="4" t="s">
        <v>14</v>
      </c>
      <c r="D435" s="4"/>
      <c r="E435" s="1">
        <v>0</v>
      </c>
      <c r="F435" s="1">
        <v>0</v>
      </c>
      <c r="G435" s="1">
        <v>0</v>
      </c>
      <c r="H435" s="1">
        <v>0</v>
      </c>
      <c r="I435" s="1">
        <v>0</v>
      </c>
    </row>
    <row r="436" spans="1:9" ht="23.25">
      <c r="A436" s="4" t="s">
        <v>51</v>
      </c>
      <c r="B436" s="4"/>
      <c r="C436" s="4" t="s">
        <v>14</v>
      </c>
      <c r="D436" s="4"/>
      <c r="E436" s="1">
        <v>5065</v>
      </c>
      <c r="F436" s="1">
        <v>421</v>
      </c>
      <c r="G436" s="1">
        <v>652</v>
      </c>
      <c r="H436" s="1">
        <v>54</v>
      </c>
      <c r="I436" s="1">
        <v>0</v>
      </c>
    </row>
    <row r="437" spans="1:9" ht="23.25">
      <c r="A437" s="4" t="s">
        <v>52</v>
      </c>
      <c r="B437" s="4"/>
      <c r="C437" s="4" t="s">
        <v>14</v>
      </c>
      <c r="D437" s="4"/>
      <c r="E437" s="1">
        <v>306378</v>
      </c>
      <c r="F437" s="1">
        <v>0</v>
      </c>
      <c r="G437" s="1">
        <v>0</v>
      </c>
      <c r="H437" s="1">
        <v>0</v>
      </c>
      <c r="I437" s="1">
        <v>0</v>
      </c>
    </row>
    <row r="438" spans="1:9" ht="23.25">
      <c r="A438" s="4" t="s">
        <v>53</v>
      </c>
      <c r="B438" s="4"/>
      <c r="C438" s="4" t="s">
        <v>14</v>
      </c>
      <c r="D438" s="4"/>
      <c r="E438" s="1">
        <v>30349</v>
      </c>
      <c r="F438" s="1">
        <v>0</v>
      </c>
      <c r="G438" s="1">
        <v>0</v>
      </c>
      <c r="H438" s="1">
        <v>0</v>
      </c>
      <c r="I438" s="1">
        <v>0</v>
      </c>
    </row>
    <row r="439" spans="1:9" ht="23.25">
      <c r="A439" s="4" t="s">
        <v>54</v>
      </c>
      <c r="B439" s="4"/>
      <c r="C439" s="4" t="s">
        <v>14</v>
      </c>
      <c r="D439" s="4"/>
      <c r="E439" s="1">
        <v>1481</v>
      </c>
      <c r="F439" s="1">
        <v>0</v>
      </c>
      <c r="G439" s="1">
        <v>0</v>
      </c>
      <c r="H439" s="1">
        <v>0</v>
      </c>
      <c r="I439" s="1">
        <v>0</v>
      </c>
    </row>
    <row r="440" spans="1:9" ht="23.25">
      <c r="A440" s="4" t="s">
        <v>55</v>
      </c>
      <c r="B440" s="4"/>
      <c r="C440" s="4" t="s">
        <v>14</v>
      </c>
      <c r="D440" s="4"/>
      <c r="E440" s="1">
        <v>0</v>
      </c>
      <c r="F440" s="1">
        <v>0</v>
      </c>
      <c r="G440" s="1">
        <v>0</v>
      </c>
      <c r="H440" s="1">
        <v>0</v>
      </c>
      <c r="I440" s="1">
        <v>0</v>
      </c>
    </row>
    <row r="441" spans="1:9" ht="23.25">
      <c r="A441" s="4" t="s">
        <v>56</v>
      </c>
      <c r="B441" s="4"/>
      <c r="C441" s="4" t="s">
        <v>14</v>
      </c>
      <c r="D441" s="4"/>
      <c r="E441" s="1">
        <v>0</v>
      </c>
      <c r="F441" s="1">
        <v>-3262679</v>
      </c>
      <c r="G441" s="1">
        <v>-1946962</v>
      </c>
      <c r="H441" s="1">
        <v>0</v>
      </c>
      <c r="I441" s="1">
        <v>0</v>
      </c>
    </row>
    <row r="442" spans="1:9" ht="23.25">
      <c r="A442" s="4" t="s">
        <v>57</v>
      </c>
      <c r="B442" s="4"/>
      <c r="C442" s="4" t="s">
        <v>14</v>
      </c>
      <c r="D442" s="4"/>
      <c r="E442" s="1">
        <v>0</v>
      </c>
      <c r="F442" s="1">
        <v>0</v>
      </c>
      <c r="G442" s="1">
        <v>0</v>
      </c>
      <c r="H442" s="1">
        <v>0</v>
      </c>
      <c r="I442" s="1">
        <v>0</v>
      </c>
    </row>
    <row r="443" spans="1:9" ht="23.25">
      <c r="A443" s="4" t="s">
        <v>58</v>
      </c>
      <c r="B443" s="4"/>
      <c r="C443" s="4" t="s">
        <v>14</v>
      </c>
      <c r="D443" s="4"/>
      <c r="E443" s="1">
        <v>711810</v>
      </c>
      <c r="F443" s="1">
        <v>0</v>
      </c>
      <c r="G443" s="1">
        <v>0</v>
      </c>
      <c r="H443" s="1">
        <v>-804293</v>
      </c>
      <c r="I443" s="1">
        <v>0</v>
      </c>
    </row>
    <row r="444" spans="1:9" ht="23.25">
      <c r="A444" s="4" t="s">
        <v>59</v>
      </c>
      <c r="B444" s="4"/>
      <c r="C444" s="4" t="s">
        <v>14</v>
      </c>
      <c r="D444" s="4"/>
      <c r="E444" s="1">
        <v>696420</v>
      </c>
      <c r="F444" s="1">
        <v>0</v>
      </c>
      <c r="G444" s="1">
        <v>0</v>
      </c>
      <c r="H444" s="1">
        <v>0</v>
      </c>
      <c r="I444" s="1">
        <v>0</v>
      </c>
    </row>
    <row r="445" spans="1:9" ht="23.25">
      <c r="A445" s="4" t="s">
        <v>60</v>
      </c>
      <c r="B445" s="4"/>
      <c r="C445" s="4" t="s">
        <v>14</v>
      </c>
      <c r="D445" s="4"/>
      <c r="E445" s="1">
        <v>7237899</v>
      </c>
      <c r="F445" s="1">
        <v>0</v>
      </c>
      <c r="G445" s="1">
        <v>0</v>
      </c>
      <c r="H445" s="1">
        <v>0</v>
      </c>
      <c r="I445" s="1">
        <v>0</v>
      </c>
    </row>
    <row r="446" spans="1:9" ht="23.25">
      <c r="A446" s="4" t="s">
        <v>61</v>
      </c>
      <c r="B446" s="4"/>
      <c r="C446" s="4" t="s">
        <v>14</v>
      </c>
      <c r="D446" s="4"/>
      <c r="E446" s="1">
        <v>3236</v>
      </c>
      <c r="F446" s="1">
        <v>0</v>
      </c>
      <c r="G446" s="1">
        <v>0</v>
      </c>
      <c r="H446" s="1">
        <v>0</v>
      </c>
      <c r="I446" s="1">
        <v>0</v>
      </c>
    </row>
    <row r="447" spans="1:9" ht="23.25">
      <c r="A447" s="4" t="s">
        <v>62</v>
      </c>
      <c r="B447" s="4"/>
      <c r="C447" s="4" t="s">
        <v>14</v>
      </c>
      <c r="D447" s="4"/>
      <c r="E447" s="1">
        <v>1909564</v>
      </c>
      <c r="F447" s="1">
        <v>0</v>
      </c>
      <c r="G447" s="1">
        <v>0</v>
      </c>
      <c r="H447" s="1">
        <v>0</v>
      </c>
      <c r="I447" s="1">
        <v>0</v>
      </c>
    </row>
    <row r="448" spans="1:9" ht="23.25">
      <c r="A448" s="4" t="s">
        <v>63</v>
      </c>
      <c r="B448" s="4"/>
      <c r="C448" s="4" t="s">
        <v>14</v>
      </c>
      <c r="D448" s="4"/>
      <c r="E448" s="1">
        <v>0</v>
      </c>
      <c r="F448" s="1">
        <v>0</v>
      </c>
      <c r="G448" s="1">
        <v>0</v>
      </c>
      <c r="H448" s="1">
        <v>0</v>
      </c>
      <c r="I448" s="1">
        <v>0</v>
      </c>
    </row>
    <row r="449" spans="1:9" ht="23.25">
      <c r="A449" s="4" t="s">
        <v>64</v>
      </c>
      <c r="B449" s="4"/>
      <c r="C449" s="4" t="s">
        <v>14</v>
      </c>
      <c r="D449" s="4"/>
      <c r="E449" s="1">
        <v>292546</v>
      </c>
      <c r="F449" s="1">
        <v>0</v>
      </c>
      <c r="G449" s="1">
        <v>0</v>
      </c>
      <c r="H449" s="1">
        <v>0</v>
      </c>
      <c r="I449" s="1">
        <v>0</v>
      </c>
    </row>
    <row r="450" spans="1:9" ht="23.25">
      <c r="A450" s="4" t="s">
        <v>65</v>
      </c>
      <c r="B450" s="4"/>
      <c r="C450" s="4" t="s">
        <v>14</v>
      </c>
      <c r="D450" s="4"/>
      <c r="E450" s="1">
        <v>25570</v>
      </c>
      <c r="F450" s="1">
        <v>0</v>
      </c>
      <c r="G450" s="1">
        <v>0</v>
      </c>
      <c r="H450" s="1">
        <v>0</v>
      </c>
      <c r="I450" s="1">
        <v>2632</v>
      </c>
    </row>
    <row r="451" spans="1:9" ht="23.25">
      <c r="A451" s="4" t="s">
        <v>66</v>
      </c>
      <c r="B451" s="4"/>
      <c r="C451" s="4" t="s">
        <v>14</v>
      </c>
      <c r="D451" s="4"/>
      <c r="E451" s="1">
        <v>50993258</v>
      </c>
      <c r="F451" s="1">
        <v>0</v>
      </c>
      <c r="G451" s="1">
        <v>0</v>
      </c>
      <c r="H451" s="1">
        <v>0</v>
      </c>
      <c r="I451" s="1">
        <v>11246829</v>
      </c>
    </row>
    <row r="452" spans="1:9" ht="23.25">
      <c r="A452" s="4" t="s">
        <v>67</v>
      </c>
      <c r="B452" s="4"/>
      <c r="C452" s="4" t="s">
        <v>14</v>
      </c>
      <c r="D452" s="4"/>
      <c r="E452" s="1">
        <v>64784079</v>
      </c>
      <c r="F452" s="1">
        <v>0</v>
      </c>
      <c r="G452" s="1">
        <v>0</v>
      </c>
      <c r="H452" s="1">
        <v>0</v>
      </c>
      <c r="I452" s="1">
        <v>0</v>
      </c>
    </row>
    <row r="453" spans="1:9" ht="23.25">
      <c r="A453" s="4" t="s">
        <v>68</v>
      </c>
      <c r="B453" s="4"/>
      <c r="C453" s="4" t="s">
        <v>14</v>
      </c>
      <c r="D453" s="4"/>
      <c r="E453" s="1">
        <v>97839571</v>
      </c>
      <c r="F453" s="1">
        <v>0</v>
      </c>
      <c r="G453" s="1">
        <v>0</v>
      </c>
      <c r="H453" s="1">
        <v>0</v>
      </c>
      <c r="I453" s="1">
        <v>0</v>
      </c>
    </row>
    <row r="454" spans="1:9" ht="23.25">
      <c r="A454" s="4" t="s">
        <v>69</v>
      </c>
      <c r="B454" s="4"/>
      <c r="C454" s="4" t="s">
        <v>14</v>
      </c>
      <c r="D454" s="4"/>
      <c r="E454" s="1">
        <v>7305765</v>
      </c>
      <c r="F454" s="1">
        <v>0</v>
      </c>
      <c r="G454" s="1">
        <v>0</v>
      </c>
      <c r="H454" s="1">
        <v>0</v>
      </c>
      <c r="I454" s="1">
        <v>0</v>
      </c>
    </row>
    <row r="455" spans="1:9" ht="23.25">
      <c r="A455" s="4" t="s">
        <v>70</v>
      </c>
      <c r="B455" s="4"/>
      <c r="C455" s="4" t="s">
        <v>14</v>
      </c>
      <c r="D455" s="4"/>
      <c r="E455" s="1">
        <v>119730</v>
      </c>
      <c r="F455" s="1">
        <v>0</v>
      </c>
      <c r="G455" s="1">
        <v>0</v>
      </c>
      <c r="H455" s="1">
        <v>0</v>
      </c>
      <c r="I455" s="1">
        <v>0</v>
      </c>
    </row>
    <row r="456" spans="1:9" ht="23.25">
      <c r="A456" s="4" t="s">
        <v>71</v>
      </c>
      <c r="B456" s="4"/>
      <c r="C456" s="4" t="s">
        <v>14</v>
      </c>
      <c r="D456" s="4"/>
      <c r="E456" s="1">
        <v>170049145</v>
      </c>
      <c r="F456" s="1">
        <v>0</v>
      </c>
      <c r="G456" s="1">
        <v>0</v>
      </c>
      <c r="H456" s="1">
        <v>0</v>
      </c>
      <c r="I456" s="1">
        <v>0</v>
      </c>
    </row>
    <row r="457" spans="1:9" ht="23.25">
      <c r="A457" s="4" t="s">
        <v>72</v>
      </c>
      <c r="B457" s="4"/>
      <c r="C457" s="4" t="s">
        <v>14</v>
      </c>
      <c r="D457" s="4"/>
      <c r="E457" s="1">
        <v>221042403</v>
      </c>
      <c r="F457" s="1">
        <v>0</v>
      </c>
      <c r="G457" s="1">
        <v>0</v>
      </c>
      <c r="H457" s="1">
        <v>0</v>
      </c>
      <c r="I457" s="1">
        <v>0</v>
      </c>
    </row>
    <row r="458" spans="1:9" ht="23.25">
      <c r="A458" s="4" t="s">
        <v>8</v>
      </c>
      <c r="B458" s="4"/>
      <c r="C458" s="4" t="s">
        <v>15</v>
      </c>
      <c r="D458" s="4"/>
      <c r="E458" s="1">
        <v>13272</v>
      </c>
      <c r="F458" s="1">
        <v>0</v>
      </c>
      <c r="G458" s="1">
        <v>0</v>
      </c>
      <c r="H458" s="1">
        <v>94</v>
      </c>
      <c r="I458" s="1">
        <v>0</v>
      </c>
    </row>
    <row r="459" spans="1:9" ht="23.25">
      <c r="A459" s="4" t="s">
        <v>9</v>
      </c>
      <c r="B459" s="4"/>
      <c r="C459" s="4" t="s">
        <v>15</v>
      </c>
      <c r="D459" s="4"/>
      <c r="E459" s="1">
        <v>0</v>
      </c>
      <c r="F459" s="1">
        <v>0</v>
      </c>
      <c r="G459" s="1">
        <v>0</v>
      </c>
      <c r="H459" s="1">
        <v>0</v>
      </c>
      <c r="I459" s="1">
        <v>0</v>
      </c>
    </row>
    <row r="460" spans="1:9" ht="23.25">
      <c r="A460" s="4" t="s">
        <v>10</v>
      </c>
      <c r="B460" s="4"/>
      <c r="C460" s="4" t="s">
        <v>15</v>
      </c>
      <c r="D460" s="4"/>
      <c r="E460" s="1">
        <v>0</v>
      </c>
      <c r="F460" s="1">
        <v>0</v>
      </c>
      <c r="G460" s="1">
        <v>0</v>
      </c>
      <c r="H460" s="1">
        <v>0</v>
      </c>
      <c r="I460" s="1">
        <v>0</v>
      </c>
    </row>
    <row r="461" spans="1:9" ht="23.25">
      <c r="A461" s="4" t="s">
        <v>11</v>
      </c>
      <c r="B461" s="4"/>
      <c r="C461" s="4" t="s">
        <v>15</v>
      </c>
      <c r="D461" s="4"/>
      <c r="E461" s="1">
        <v>0</v>
      </c>
      <c r="F461" s="1">
        <v>0</v>
      </c>
      <c r="G461" s="1">
        <v>0</v>
      </c>
      <c r="H461" s="1">
        <v>0</v>
      </c>
      <c r="I461" s="1">
        <v>0</v>
      </c>
    </row>
    <row r="462" spans="1:9" ht="23.25">
      <c r="A462" s="4" t="s">
        <v>12</v>
      </c>
      <c r="B462" s="4"/>
      <c r="C462" s="4" t="s">
        <v>15</v>
      </c>
      <c r="D462" s="4"/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 spans="1:9" ht="23.25">
      <c r="A463" s="4" t="s">
        <v>13</v>
      </c>
      <c r="B463" s="4"/>
      <c r="C463" s="4" t="s">
        <v>15</v>
      </c>
      <c r="D463" s="4"/>
      <c r="E463" s="1">
        <v>0</v>
      </c>
      <c r="F463" s="1">
        <v>0</v>
      </c>
      <c r="G463" s="1">
        <v>0</v>
      </c>
      <c r="H463" s="1">
        <v>0</v>
      </c>
      <c r="I463" s="1">
        <v>0</v>
      </c>
    </row>
    <row r="464" spans="1:9" ht="23.25">
      <c r="A464" s="4" t="s">
        <v>14</v>
      </c>
      <c r="B464" s="4"/>
      <c r="C464" s="4" t="s">
        <v>15</v>
      </c>
      <c r="D464" s="4"/>
      <c r="E464" s="1">
        <v>0</v>
      </c>
      <c r="F464" s="1">
        <v>0</v>
      </c>
      <c r="G464" s="1">
        <v>0</v>
      </c>
      <c r="H464" s="1">
        <v>0</v>
      </c>
      <c r="I464" s="1">
        <v>0</v>
      </c>
    </row>
    <row r="465" spans="1:9" ht="23.25">
      <c r="A465" s="4" t="s">
        <v>15</v>
      </c>
      <c r="B465" s="4"/>
      <c r="C465" s="4" t="s">
        <v>15</v>
      </c>
      <c r="D465" s="4"/>
      <c r="E465" s="1">
        <v>14706240</v>
      </c>
      <c r="F465" s="1">
        <v>636943</v>
      </c>
      <c r="G465" s="1">
        <v>118009</v>
      </c>
      <c r="H465" s="1">
        <v>163871</v>
      </c>
      <c r="I465" s="1">
        <v>1162703</v>
      </c>
    </row>
    <row r="466" spans="1:9" ht="23.25">
      <c r="A466" s="4" t="s">
        <v>16</v>
      </c>
      <c r="B466" s="4"/>
      <c r="C466" s="4" t="s">
        <v>15</v>
      </c>
      <c r="D466" s="4"/>
      <c r="E466" s="1">
        <v>10772</v>
      </c>
      <c r="F466" s="1">
        <v>657</v>
      </c>
      <c r="G466" s="1">
        <v>0</v>
      </c>
      <c r="H466" s="1">
        <v>21</v>
      </c>
      <c r="I466" s="1">
        <v>0</v>
      </c>
    </row>
    <row r="467" spans="1:9" ht="23.25">
      <c r="A467" s="4" t="s">
        <v>17</v>
      </c>
      <c r="B467" s="4"/>
      <c r="C467" s="4" t="s">
        <v>15</v>
      </c>
      <c r="D467" s="4"/>
      <c r="E467" s="1">
        <v>6674</v>
      </c>
      <c r="F467" s="1">
        <v>418</v>
      </c>
      <c r="G467" s="1">
        <v>642</v>
      </c>
      <c r="H467" s="1">
        <v>106</v>
      </c>
      <c r="I467" s="1">
        <v>0</v>
      </c>
    </row>
    <row r="468" spans="1:9" ht="23.25">
      <c r="A468" s="4" t="s">
        <v>18</v>
      </c>
      <c r="B468" s="4"/>
      <c r="C468" s="4" t="s">
        <v>15</v>
      </c>
      <c r="D468" s="4"/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 spans="1:9" ht="23.25">
      <c r="A469" s="4" t="s">
        <v>19</v>
      </c>
      <c r="B469" s="4"/>
      <c r="C469" s="4" t="s">
        <v>15</v>
      </c>
      <c r="D469" s="4"/>
      <c r="E469" s="1">
        <v>0</v>
      </c>
      <c r="F469" s="1">
        <v>0</v>
      </c>
      <c r="G469" s="1">
        <v>0</v>
      </c>
      <c r="H469" s="1">
        <v>0</v>
      </c>
      <c r="I469" s="1">
        <v>0</v>
      </c>
    </row>
    <row r="470" spans="1:9" ht="23.25">
      <c r="A470" s="4" t="s">
        <v>20</v>
      </c>
      <c r="B470" s="4"/>
      <c r="C470" s="4" t="s">
        <v>15</v>
      </c>
      <c r="D470" s="4"/>
      <c r="E470" s="1">
        <v>0</v>
      </c>
      <c r="F470" s="1">
        <v>0</v>
      </c>
      <c r="G470" s="1">
        <v>0</v>
      </c>
      <c r="H470" s="1">
        <v>0</v>
      </c>
      <c r="I470" s="1">
        <v>0</v>
      </c>
    </row>
    <row r="471" spans="1:9" ht="23.25">
      <c r="A471" s="4" t="s">
        <v>21</v>
      </c>
      <c r="B471" s="4"/>
      <c r="C471" s="4" t="s">
        <v>15</v>
      </c>
      <c r="D471" s="4"/>
      <c r="E471" s="1">
        <v>40766</v>
      </c>
      <c r="F471" s="1">
        <v>1347</v>
      </c>
      <c r="G471" s="1">
        <v>321</v>
      </c>
      <c r="H471" s="1">
        <v>5155</v>
      </c>
      <c r="I471" s="1">
        <v>0</v>
      </c>
    </row>
    <row r="472" spans="1:9" ht="23.25">
      <c r="A472" s="4" t="s">
        <v>22</v>
      </c>
      <c r="B472" s="4"/>
      <c r="C472" s="4" t="s">
        <v>15</v>
      </c>
      <c r="D472" s="4"/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 spans="1:9" ht="23.25">
      <c r="A473" s="4" t="s">
        <v>23</v>
      </c>
      <c r="B473" s="4"/>
      <c r="C473" s="4" t="s">
        <v>15</v>
      </c>
      <c r="D473" s="4"/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 spans="1:9" ht="23.25">
      <c r="A474" s="4" t="s">
        <v>24</v>
      </c>
      <c r="B474" s="4"/>
      <c r="C474" s="4" t="s">
        <v>15</v>
      </c>
      <c r="D474" s="4"/>
      <c r="E474" s="1">
        <v>40404</v>
      </c>
      <c r="F474" s="1">
        <v>2174</v>
      </c>
      <c r="G474" s="1">
        <v>1600</v>
      </c>
      <c r="H474" s="1">
        <v>791</v>
      </c>
      <c r="I474" s="1">
        <v>0</v>
      </c>
    </row>
    <row r="475" spans="1:9" ht="23.25">
      <c r="A475" s="4" t="s">
        <v>25</v>
      </c>
      <c r="B475" s="4"/>
      <c r="C475" s="4" t="s">
        <v>15</v>
      </c>
      <c r="D475" s="4"/>
      <c r="E475" s="1">
        <v>0</v>
      </c>
      <c r="F475" s="1">
        <v>0</v>
      </c>
      <c r="G475" s="1">
        <v>0</v>
      </c>
      <c r="H475" s="1">
        <v>0</v>
      </c>
      <c r="I475" s="1">
        <v>0</v>
      </c>
    </row>
    <row r="476" spans="1:9" ht="23.25">
      <c r="A476" s="4" t="s">
        <v>26</v>
      </c>
      <c r="B476" s="4"/>
      <c r="C476" s="4" t="s">
        <v>15</v>
      </c>
      <c r="D476" s="4"/>
      <c r="E476" s="1">
        <v>0</v>
      </c>
      <c r="F476" s="1">
        <v>0</v>
      </c>
      <c r="G476" s="1">
        <v>0</v>
      </c>
      <c r="H476" s="1">
        <v>0</v>
      </c>
      <c r="I476" s="1">
        <v>0</v>
      </c>
    </row>
    <row r="477" spans="1:9" ht="23.25">
      <c r="A477" s="4" t="s">
        <v>27</v>
      </c>
      <c r="B477" s="4"/>
      <c r="C477" s="4" t="s">
        <v>15</v>
      </c>
      <c r="D477" s="4"/>
      <c r="E477" s="1">
        <v>0</v>
      </c>
      <c r="F477" s="1">
        <v>0</v>
      </c>
      <c r="G477" s="1">
        <v>0</v>
      </c>
      <c r="H477" s="1">
        <v>0</v>
      </c>
      <c r="I477" s="1">
        <v>0</v>
      </c>
    </row>
    <row r="478" spans="1:9" ht="23.25">
      <c r="A478" s="4" t="s">
        <v>28</v>
      </c>
      <c r="B478" s="4"/>
      <c r="C478" s="4" t="s">
        <v>15</v>
      </c>
      <c r="D478" s="4"/>
      <c r="E478" s="1">
        <v>0</v>
      </c>
      <c r="F478" s="1">
        <v>0</v>
      </c>
      <c r="G478" s="1">
        <v>0</v>
      </c>
      <c r="H478" s="1">
        <v>0</v>
      </c>
      <c r="I478" s="1">
        <v>0</v>
      </c>
    </row>
    <row r="479" spans="1:9" ht="23.25">
      <c r="A479" s="4" t="s">
        <v>29</v>
      </c>
      <c r="B479" s="4"/>
      <c r="C479" s="4" t="s">
        <v>15</v>
      </c>
      <c r="D479" s="4"/>
      <c r="E479" s="1">
        <v>0</v>
      </c>
      <c r="F479" s="1">
        <v>0</v>
      </c>
      <c r="G479" s="1">
        <v>0</v>
      </c>
      <c r="H479" s="1">
        <v>0</v>
      </c>
      <c r="I479" s="1">
        <v>0</v>
      </c>
    </row>
    <row r="480" spans="1:9" ht="23.25">
      <c r="A480" s="4" t="s">
        <v>30</v>
      </c>
      <c r="B480" s="4"/>
      <c r="C480" s="4" t="s">
        <v>15</v>
      </c>
      <c r="D480" s="4"/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 spans="1:9" ht="23.25">
      <c r="A481" s="4" t="s">
        <v>31</v>
      </c>
      <c r="B481" s="4"/>
      <c r="C481" s="4" t="s">
        <v>15</v>
      </c>
      <c r="D481" s="4"/>
      <c r="E481" s="1">
        <v>165333</v>
      </c>
      <c r="F481" s="1">
        <v>6085</v>
      </c>
      <c r="G481" s="1">
        <v>2593</v>
      </c>
      <c r="H481" s="1">
        <v>592</v>
      </c>
      <c r="I481" s="1">
        <v>0</v>
      </c>
    </row>
    <row r="482" spans="1:9" ht="23.25">
      <c r="A482" s="4" t="s">
        <v>32</v>
      </c>
      <c r="B482" s="4"/>
      <c r="C482" s="4" t="s">
        <v>15</v>
      </c>
      <c r="D482" s="4"/>
      <c r="E482" s="1">
        <v>38753</v>
      </c>
      <c r="F482" s="1">
        <v>1498</v>
      </c>
      <c r="G482" s="1">
        <v>933</v>
      </c>
      <c r="H482" s="1">
        <v>337</v>
      </c>
      <c r="I482" s="1">
        <v>0</v>
      </c>
    </row>
    <row r="483" spans="1:9" ht="23.25">
      <c r="A483" s="4" t="s">
        <v>33</v>
      </c>
      <c r="B483" s="4"/>
      <c r="C483" s="4" t="s">
        <v>15</v>
      </c>
      <c r="D483" s="4"/>
      <c r="E483" s="1">
        <v>41571</v>
      </c>
      <c r="F483" s="1">
        <v>639</v>
      </c>
      <c r="G483" s="1">
        <v>1474</v>
      </c>
      <c r="H483" s="1">
        <v>325</v>
      </c>
      <c r="I483" s="1">
        <v>0</v>
      </c>
    </row>
    <row r="484" spans="1:9" ht="23.25">
      <c r="A484" s="4" t="s">
        <v>34</v>
      </c>
      <c r="B484" s="4"/>
      <c r="C484" s="4" t="s">
        <v>15</v>
      </c>
      <c r="D484" s="4"/>
      <c r="E484" s="1">
        <v>6999</v>
      </c>
      <c r="F484" s="1">
        <v>469</v>
      </c>
      <c r="G484" s="1">
        <v>217</v>
      </c>
      <c r="H484" s="1">
        <v>134</v>
      </c>
      <c r="I484" s="1">
        <v>4235</v>
      </c>
    </row>
    <row r="485" spans="1:9" ht="23.25">
      <c r="A485" s="4" t="s">
        <v>35</v>
      </c>
      <c r="B485" s="4"/>
      <c r="C485" s="4" t="s">
        <v>15</v>
      </c>
      <c r="D485" s="4"/>
      <c r="E485" s="1">
        <v>33951556</v>
      </c>
      <c r="F485" s="1">
        <v>1385985</v>
      </c>
      <c r="G485" s="1">
        <v>4203210</v>
      </c>
      <c r="H485" s="1">
        <v>1206451</v>
      </c>
      <c r="I485" s="1">
        <v>178411</v>
      </c>
    </row>
    <row r="486" spans="1:9" ht="23.25">
      <c r="A486" s="4" t="s">
        <v>36</v>
      </c>
      <c r="B486" s="4"/>
      <c r="C486" s="4" t="s">
        <v>15</v>
      </c>
      <c r="D486" s="4"/>
      <c r="E486" s="1">
        <v>180533</v>
      </c>
      <c r="F486" s="1">
        <v>17311</v>
      </c>
      <c r="G486" s="1">
        <v>29177</v>
      </c>
      <c r="H486" s="1">
        <v>1240</v>
      </c>
      <c r="I486" s="1">
        <v>500</v>
      </c>
    </row>
    <row r="487" spans="1:9" ht="23.25">
      <c r="A487" s="4" t="s">
        <v>37</v>
      </c>
      <c r="B487" s="4"/>
      <c r="C487" s="4" t="s">
        <v>15</v>
      </c>
      <c r="D487" s="4"/>
      <c r="E487" s="1">
        <v>10831345</v>
      </c>
      <c r="F487" s="1">
        <v>534167</v>
      </c>
      <c r="G487" s="1">
        <v>555665</v>
      </c>
      <c r="H487" s="1">
        <v>98455</v>
      </c>
      <c r="I487" s="1">
        <v>2075098</v>
      </c>
    </row>
    <row r="488" spans="1:9" ht="23.25">
      <c r="A488" s="4" t="s">
        <v>38</v>
      </c>
      <c r="B488" s="4"/>
      <c r="C488" s="4" t="s">
        <v>15</v>
      </c>
      <c r="D488" s="4"/>
      <c r="E488" s="1">
        <v>25188</v>
      </c>
      <c r="F488" s="1">
        <v>2885</v>
      </c>
      <c r="G488" s="1">
        <v>3235</v>
      </c>
      <c r="H488" s="1">
        <v>642</v>
      </c>
      <c r="I488" s="1">
        <v>0</v>
      </c>
    </row>
    <row r="489" spans="1:9" ht="23.25">
      <c r="A489" s="4" t="s">
        <v>39</v>
      </c>
      <c r="B489" s="4"/>
      <c r="C489" s="4" t="s">
        <v>15</v>
      </c>
      <c r="D489" s="4"/>
      <c r="E489" s="1">
        <v>2015744</v>
      </c>
      <c r="F489" s="1">
        <v>69186</v>
      </c>
      <c r="G489" s="1">
        <v>141949</v>
      </c>
      <c r="H489" s="1">
        <v>14583</v>
      </c>
      <c r="I489" s="1">
        <v>984180</v>
      </c>
    </row>
    <row r="490" spans="1:9" ht="23.25">
      <c r="A490" s="4" t="s">
        <v>40</v>
      </c>
      <c r="B490" s="4"/>
      <c r="C490" s="4" t="s">
        <v>15</v>
      </c>
      <c r="D490" s="4"/>
      <c r="E490" s="1">
        <v>150638</v>
      </c>
      <c r="F490" s="1">
        <v>7516</v>
      </c>
      <c r="G490" s="1">
        <v>8690</v>
      </c>
      <c r="H490" s="1">
        <v>2313</v>
      </c>
      <c r="I490" s="1">
        <v>0</v>
      </c>
    </row>
    <row r="491" spans="1:9" ht="23.25">
      <c r="A491" s="4" t="s">
        <v>41</v>
      </c>
      <c r="B491" s="4"/>
      <c r="C491" s="4" t="s">
        <v>15</v>
      </c>
      <c r="D491" s="4"/>
      <c r="E491" s="1">
        <v>403870</v>
      </c>
      <c r="F491" s="1">
        <v>14795</v>
      </c>
      <c r="G491" s="1">
        <v>16782</v>
      </c>
      <c r="H491" s="1">
        <v>4623</v>
      </c>
      <c r="I491" s="1">
        <v>0</v>
      </c>
    </row>
    <row r="492" spans="1:9" ht="23.25">
      <c r="A492" s="4" t="s">
        <v>42</v>
      </c>
      <c r="B492" s="4"/>
      <c r="C492" s="4" t="s">
        <v>15</v>
      </c>
      <c r="D492" s="4"/>
      <c r="E492" s="1">
        <v>11823</v>
      </c>
      <c r="F492" s="1">
        <v>548</v>
      </c>
      <c r="G492" s="1">
        <v>750</v>
      </c>
      <c r="H492" s="1">
        <v>140</v>
      </c>
      <c r="I492" s="1">
        <v>0</v>
      </c>
    </row>
    <row r="493" spans="1:9" ht="23.25">
      <c r="A493" s="4" t="s">
        <v>43</v>
      </c>
      <c r="B493" s="4"/>
      <c r="C493" s="4" t="s">
        <v>15</v>
      </c>
      <c r="D493" s="4"/>
      <c r="E493" s="1">
        <v>0</v>
      </c>
      <c r="F493" s="1">
        <v>0</v>
      </c>
      <c r="G493" s="1">
        <v>0</v>
      </c>
      <c r="H493" s="1">
        <v>0</v>
      </c>
      <c r="I493" s="1">
        <v>0</v>
      </c>
    </row>
    <row r="494" spans="1:9" ht="23.25">
      <c r="A494" s="4" t="s">
        <v>44</v>
      </c>
      <c r="B494" s="4"/>
      <c r="C494" s="4" t="s">
        <v>15</v>
      </c>
      <c r="D494" s="4"/>
      <c r="E494" s="1">
        <v>4898604</v>
      </c>
      <c r="F494" s="1">
        <v>59080</v>
      </c>
      <c r="G494" s="1">
        <v>139598</v>
      </c>
      <c r="H494" s="1">
        <v>22119</v>
      </c>
      <c r="I494" s="1">
        <v>1605714</v>
      </c>
    </row>
    <row r="495" spans="1:9" ht="23.25">
      <c r="A495" s="4" t="s">
        <v>45</v>
      </c>
      <c r="B495" s="4"/>
      <c r="C495" s="4" t="s">
        <v>15</v>
      </c>
      <c r="D495" s="4"/>
      <c r="E495" s="1">
        <v>1569581</v>
      </c>
      <c r="F495" s="1">
        <v>160507</v>
      </c>
      <c r="G495" s="1">
        <v>100026</v>
      </c>
      <c r="H495" s="1">
        <v>12532</v>
      </c>
      <c r="I495" s="1">
        <v>0</v>
      </c>
    </row>
    <row r="496" spans="1:9" ht="23.25">
      <c r="A496" s="4" t="s">
        <v>46</v>
      </c>
      <c r="B496" s="4"/>
      <c r="C496" s="4" t="s">
        <v>15</v>
      </c>
      <c r="D496" s="4"/>
      <c r="E496" s="1">
        <v>208403</v>
      </c>
      <c r="F496" s="1">
        <v>13784</v>
      </c>
      <c r="G496" s="1">
        <v>18440</v>
      </c>
      <c r="H496" s="1">
        <v>1988</v>
      </c>
      <c r="I496" s="1">
        <v>0</v>
      </c>
    </row>
    <row r="497" spans="1:9" ht="23.25">
      <c r="A497" s="4" t="s">
        <v>47</v>
      </c>
      <c r="B497" s="4"/>
      <c r="C497" s="4" t="s">
        <v>15</v>
      </c>
      <c r="D497" s="4"/>
      <c r="E497" s="1">
        <v>1862939</v>
      </c>
      <c r="F497" s="1">
        <v>0</v>
      </c>
      <c r="G497" s="1">
        <v>0</v>
      </c>
      <c r="H497" s="1">
        <v>0</v>
      </c>
      <c r="I497" s="1">
        <v>0</v>
      </c>
    </row>
    <row r="498" spans="1:9" ht="23.25">
      <c r="A498" s="4" t="s">
        <v>48</v>
      </c>
      <c r="B498" s="4"/>
      <c r="C498" s="4" t="s">
        <v>15</v>
      </c>
      <c r="D498" s="4"/>
      <c r="E498" s="1">
        <v>0</v>
      </c>
      <c r="F498" s="1">
        <v>0</v>
      </c>
      <c r="G498" s="1">
        <v>0</v>
      </c>
      <c r="H498" s="1">
        <v>0</v>
      </c>
      <c r="I498" s="1">
        <v>0</v>
      </c>
    </row>
    <row r="499" spans="1:9" ht="23.25">
      <c r="A499" s="4" t="s">
        <v>49</v>
      </c>
      <c r="B499" s="4"/>
      <c r="C499" s="4" t="s">
        <v>15</v>
      </c>
      <c r="D499" s="4"/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 spans="1:9" ht="23.25">
      <c r="A500" s="4" t="s">
        <v>50</v>
      </c>
      <c r="B500" s="4"/>
      <c r="C500" s="4" t="s">
        <v>15</v>
      </c>
      <c r="D500" s="4"/>
      <c r="E500" s="1">
        <v>1042918</v>
      </c>
      <c r="F500" s="1">
        <v>62936</v>
      </c>
      <c r="G500" s="1">
        <v>75879</v>
      </c>
      <c r="H500" s="1">
        <v>8171</v>
      </c>
      <c r="I500" s="1">
        <v>0</v>
      </c>
    </row>
    <row r="501" spans="1:9" ht="23.25">
      <c r="A501" s="4" t="s">
        <v>51</v>
      </c>
      <c r="B501" s="4"/>
      <c r="C501" s="4" t="s">
        <v>15</v>
      </c>
      <c r="D501" s="4"/>
      <c r="E501" s="1">
        <v>65555</v>
      </c>
      <c r="F501" s="1">
        <v>4774</v>
      </c>
      <c r="G501" s="1">
        <v>5208</v>
      </c>
      <c r="H501" s="1">
        <v>586</v>
      </c>
      <c r="I501" s="1">
        <v>0</v>
      </c>
    </row>
    <row r="502" spans="1:9" ht="23.25">
      <c r="A502" s="4" t="s">
        <v>52</v>
      </c>
      <c r="B502" s="4"/>
      <c r="C502" s="4" t="s">
        <v>15</v>
      </c>
      <c r="D502" s="4"/>
      <c r="E502" s="1">
        <v>636383</v>
      </c>
      <c r="F502" s="1">
        <v>126</v>
      </c>
      <c r="G502" s="1">
        <v>28</v>
      </c>
      <c r="H502" s="1">
        <v>73</v>
      </c>
      <c r="I502" s="1">
        <v>0</v>
      </c>
    </row>
    <row r="503" spans="1:9" ht="23.25">
      <c r="A503" s="4" t="s">
        <v>53</v>
      </c>
      <c r="B503" s="4"/>
      <c r="C503" s="4" t="s">
        <v>15</v>
      </c>
      <c r="D503" s="4"/>
      <c r="E503" s="1">
        <v>151888</v>
      </c>
      <c r="F503" s="1">
        <v>0</v>
      </c>
      <c r="G503" s="1">
        <v>0</v>
      </c>
      <c r="H503" s="1">
        <v>0</v>
      </c>
      <c r="I503" s="1">
        <v>0</v>
      </c>
    </row>
    <row r="504" spans="1:9" ht="23.25">
      <c r="A504" s="4" t="s">
        <v>54</v>
      </c>
      <c r="B504" s="4"/>
      <c r="C504" s="4" t="s">
        <v>15</v>
      </c>
      <c r="D504" s="4"/>
      <c r="E504" s="1">
        <v>118811</v>
      </c>
      <c r="F504" s="1">
        <v>0</v>
      </c>
      <c r="G504" s="1">
        <v>0</v>
      </c>
      <c r="H504" s="1">
        <v>0</v>
      </c>
      <c r="I504" s="1">
        <v>0</v>
      </c>
    </row>
    <row r="505" spans="1:9" ht="23.25">
      <c r="A505" s="4" t="s">
        <v>55</v>
      </c>
      <c r="B505" s="4"/>
      <c r="C505" s="4" t="s">
        <v>15</v>
      </c>
      <c r="D505" s="4"/>
      <c r="E505" s="1">
        <v>0</v>
      </c>
      <c r="F505" s="1">
        <v>0</v>
      </c>
      <c r="G505" s="1">
        <v>0</v>
      </c>
      <c r="H505" s="1">
        <v>0</v>
      </c>
      <c r="I505" s="1">
        <v>0</v>
      </c>
    </row>
    <row r="506" spans="1:9" ht="23.25">
      <c r="A506" s="4" t="s">
        <v>56</v>
      </c>
      <c r="B506" s="4"/>
      <c r="C506" s="4" t="s">
        <v>15</v>
      </c>
      <c r="D506" s="4"/>
      <c r="E506" s="1">
        <v>0</v>
      </c>
      <c r="F506" s="1">
        <v>-2983830</v>
      </c>
      <c r="G506" s="1">
        <v>-5424426</v>
      </c>
      <c r="H506" s="1">
        <v>0</v>
      </c>
      <c r="I506" s="1">
        <v>0</v>
      </c>
    </row>
    <row r="507" spans="1:9" ht="23.25">
      <c r="A507" s="4" t="s">
        <v>57</v>
      </c>
      <c r="B507" s="4"/>
      <c r="C507" s="4" t="s">
        <v>15</v>
      </c>
      <c r="D507" s="4"/>
      <c r="E507" s="1">
        <v>995518</v>
      </c>
      <c r="F507" s="1">
        <v>0</v>
      </c>
      <c r="G507" s="1">
        <v>0</v>
      </c>
      <c r="H507" s="1">
        <v>0</v>
      </c>
      <c r="I507" s="1">
        <v>0</v>
      </c>
    </row>
    <row r="508" spans="1:9" ht="23.25">
      <c r="A508" s="4" t="s">
        <v>58</v>
      </c>
      <c r="B508" s="4"/>
      <c r="C508" s="4" t="s">
        <v>15</v>
      </c>
      <c r="D508" s="4"/>
      <c r="E508" s="1">
        <v>580414</v>
      </c>
      <c r="F508" s="1">
        <v>0</v>
      </c>
      <c r="G508" s="1">
        <v>0</v>
      </c>
      <c r="H508" s="1">
        <v>-1545342</v>
      </c>
      <c r="I508" s="1">
        <v>0</v>
      </c>
    </row>
    <row r="509" spans="1:9" ht="23.25">
      <c r="A509" s="4" t="s">
        <v>59</v>
      </c>
      <c r="B509" s="4"/>
      <c r="C509" s="4" t="s">
        <v>15</v>
      </c>
      <c r="D509" s="4"/>
      <c r="E509" s="1">
        <v>848566</v>
      </c>
      <c r="F509" s="1">
        <v>0</v>
      </c>
      <c r="G509" s="1">
        <v>0</v>
      </c>
      <c r="H509" s="1">
        <v>0</v>
      </c>
      <c r="I509" s="1">
        <v>0</v>
      </c>
    </row>
    <row r="510" spans="1:9" ht="23.25">
      <c r="A510" s="4" t="s">
        <v>60</v>
      </c>
      <c r="B510" s="4"/>
      <c r="C510" s="4" t="s">
        <v>15</v>
      </c>
      <c r="D510" s="4"/>
      <c r="E510" s="1">
        <v>4194703</v>
      </c>
      <c r="F510" s="1">
        <v>0</v>
      </c>
      <c r="G510" s="1">
        <v>0</v>
      </c>
      <c r="H510" s="1">
        <v>0</v>
      </c>
      <c r="I510" s="1">
        <v>0</v>
      </c>
    </row>
    <row r="511" spans="1:9" ht="23.25">
      <c r="A511" s="4" t="s">
        <v>61</v>
      </c>
      <c r="B511" s="4"/>
      <c r="C511" s="4" t="s">
        <v>15</v>
      </c>
      <c r="D511" s="4"/>
      <c r="E511" s="1">
        <v>46152</v>
      </c>
      <c r="F511" s="1">
        <v>0</v>
      </c>
      <c r="G511" s="1">
        <v>0</v>
      </c>
      <c r="H511" s="1">
        <v>0</v>
      </c>
      <c r="I511" s="1">
        <v>0</v>
      </c>
    </row>
    <row r="512" spans="1:9" ht="23.25">
      <c r="A512" s="4" t="s">
        <v>62</v>
      </c>
      <c r="B512" s="4"/>
      <c r="C512" s="4" t="s">
        <v>15</v>
      </c>
      <c r="D512" s="4"/>
      <c r="E512" s="1">
        <v>193379</v>
      </c>
      <c r="F512" s="1">
        <v>0</v>
      </c>
      <c r="G512" s="1">
        <v>0</v>
      </c>
      <c r="H512" s="1">
        <v>0</v>
      </c>
      <c r="I512" s="1">
        <v>0</v>
      </c>
    </row>
    <row r="513" spans="1:9" ht="23.25">
      <c r="A513" s="4" t="s">
        <v>63</v>
      </c>
      <c r="B513" s="4"/>
      <c r="C513" s="4" t="s">
        <v>15</v>
      </c>
      <c r="D513" s="4"/>
      <c r="E513" s="1">
        <v>819</v>
      </c>
      <c r="F513" s="1">
        <v>0</v>
      </c>
      <c r="G513" s="1">
        <v>0</v>
      </c>
      <c r="H513" s="1">
        <v>0</v>
      </c>
      <c r="I513" s="1">
        <v>0</v>
      </c>
    </row>
    <row r="514" spans="1:9" ht="23.25">
      <c r="A514" s="4" t="s">
        <v>64</v>
      </c>
      <c r="B514" s="4"/>
      <c r="C514" s="4" t="s">
        <v>15</v>
      </c>
      <c r="D514" s="4"/>
      <c r="E514" s="1">
        <v>90673</v>
      </c>
      <c r="F514" s="1">
        <v>0</v>
      </c>
      <c r="G514" s="1">
        <v>0</v>
      </c>
      <c r="H514" s="1">
        <v>0</v>
      </c>
      <c r="I514" s="1">
        <v>0</v>
      </c>
    </row>
    <row r="515" spans="1:9" ht="23.25">
      <c r="A515" s="4" t="s">
        <v>65</v>
      </c>
      <c r="B515" s="4"/>
      <c r="C515" s="4" t="s">
        <v>15</v>
      </c>
      <c r="D515" s="4"/>
      <c r="E515" s="1">
        <v>319755</v>
      </c>
      <c r="F515" s="1">
        <v>0</v>
      </c>
      <c r="G515" s="1">
        <v>0</v>
      </c>
      <c r="H515" s="1">
        <v>0</v>
      </c>
      <c r="I515" s="1">
        <v>33213</v>
      </c>
    </row>
    <row r="516" spans="1:9" ht="23.25">
      <c r="A516" s="4" t="s">
        <v>66</v>
      </c>
      <c r="B516" s="4"/>
      <c r="C516" s="4" t="s">
        <v>15</v>
      </c>
      <c r="D516" s="4"/>
      <c r="E516" s="1">
        <v>80466542</v>
      </c>
      <c r="F516" s="1">
        <v>0</v>
      </c>
      <c r="G516" s="1">
        <v>0</v>
      </c>
      <c r="H516" s="1">
        <v>0</v>
      </c>
      <c r="I516" s="1">
        <v>6044054</v>
      </c>
    </row>
    <row r="517" spans="1:9" ht="23.25">
      <c r="A517" s="4" t="s">
        <v>67</v>
      </c>
      <c r="B517" s="4"/>
      <c r="C517" s="4" t="s">
        <v>15</v>
      </c>
      <c r="D517" s="4"/>
      <c r="E517" s="1">
        <v>35413750</v>
      </c>
      <c r="F517" s="1">
        <v>0</v>
      </c>
      <c r="G517" s="1">
        <v>0</v>
      </c>
      <c r="H517" s="1">
        <v>0</v>
      </c>
      <c r="I517" s="1">
        <v>0</v>
      </c>
    </row>
    <row r="518" spans="1:9" ht="23.25">
      <c r="A518" s="4" t="s">
        <v>68</v>
      </c>
      <c r="B518" s="4"/>
      <c r="C518" s="4" t="s">
        <v>15</v>
      </c>
      <c r="D518" s="4"/>
      <c r="E518" s="1">
        <v>74033448</v>
      </c>
      <c r="F518" s="1">
        <v>0</v>
      </c>
      <c r="G518" s="1">
        <v>0</v>
      </c>
      <c r="H518" s="1">
        <v>0</v>
      </c>
      <c r="I518" s="1">
        <v>0</v>
      </c>
    </row>
    <row r="519" spans="1:9" ht="23.25">
      <c r="A519" s="4" t="s">
        <v>69</v>
      </c>
      <c r="B519" s="4"/>
      <c r="C519" s="4" t="s">
        <v>15</v>
      </c>
      <c r="D519" s="4"/>
      <c r="E519" s="1">
        <v>8717527</v>
      </c>
      <c r="F519" s="1">
        <v>0</v>
      </c>
      <c r="G519" s="1">
        <v>0</v>
      </c>
      <c r="H519" s="1">
        <v>0</v>
      </c>
      <c r="I519" s="1">
        <v>0</v>
      </c>
    </row>
    <row r="520" spans="1:9" ht="23.25">
      <c r="A520" s="4" t="s">
        <v>70</v>
      </c>
      <c r="B520" s="4"/>
      <c r="C520" s="4" t="s">
        <v>15</v>
      </c>
      <c r="D520" s="4"/>
      <c r="E520" s="1">
        <v>98778</v>
      </c>
      <c r="F520" s="1">
        <v>0</v>
      </c>
      <c r="G520" s="1">
        <v>0</v>
      </c>
      <c r="H520" s="1">
        <v>0</v>
      </c>
      <c r="I520" s="1">
        <v>0</v>
      </c>
    </row>
    <row r="521" spans="1:9" ht="23.25">
      <c r="A521" s="4" t="s">
        <v>71</v>
      </c>
      <c r="B521" s="4"/>
      <c r="C521" s="4" t="s">
        <v>15</v>
      </c>
      <c r="D521" s="4"/>
      <c r="E521" s="1">
        <v>118263503</v>
      </c>
      <c r="F521" s="1">
        <v>0</v>
      </c>
      <c r="G521" s="1">
        <v>0</v>
      </c>
      <c r="H521" s="1">
        <v>0</v>
      </c>
      <c r="I521" s="1">
        <v>0</v>
      </c>
    </row>
    <row r="522" spans="1:9" ht="23.25">
      <c r="A522" s="4" t="s">
        <v>72</v>
      </c>
      <c r="B522" s="4"/>
      <c r="C522" s="4" t="s">
        <v>15</v>
      </c>
      <c r="D522" s="4"/>
      <c r="E522" s="1">
        <v>198730045</v>
      </c>
      <c r="F522" s="1">
        <v>0</v>
      </c>
      <c r="G522" s="1">
        <v>0</v>
      </c>
      <c r="H522" s="1">
        <v>0</v>
      </c>
      <c r="I522" s="1">
        <v>0</v>
      </c>
    </row>
    <row r="523" spans="1:9" ht="23.25">
      <c r="A523" s="4" t="s">
        <v>8</v>
      </c>
      <c r="B523" s="4"/>
      <c r="C523" s="4" t="s">
        <v>16</v>
      </c>
      <c r="D523" s="4"/>
      <c r="E523" s="1">
        <v>9677525</v>
      </c>
      <c r="F523" s="1">
        <v>220415</v>
      </c>
      <c r="G523" s="1">
        <v>695471</v>
      </c>
      <c r="H523" s="1">
        <v>59159</v>
      </c>
      <c r="I523" s="1">
        <v>0</v>
      </c>
    </row>
    <row r="524" spans="1:9" ht="23.25">
      <c r="A524" s="4" t="s">
        <v>9</v>
      </c>
      <c r="B524" s="4"/>
      <c r="C524" s="4" t="s">
        <v>16</v>
      </c>
      <c r="D524" s="4"/>
      <c r="E524" s="1">
        <v>4296645</v>
      </c>
      <c r="F524" s="1">
        <v>142736</v>
      </c>
      <c r="G524" s="1">
        <v>0</v>
      </c>
      <c r="H524" s="1">
        <v>30551</v>
      </c>
      <c r="I524" s="1">
        <v>894709</v>
      </c>
    </row>
    <row r="525" spans="1:9" ht="23.25">
      <c r="A525" s="4" t="s">
        <v>10</v>
      </c>
      <c r="B525" s="4"/>
      <c r="C525" s="4" t="s">
        <v>16</v>
      </c>
      <c r="D525" s="4"/>
      <c r="E525" s="1">
        <v>12372</v>
      </c>
      <c r="F525" s="1">
        <v>107</v>
      </c>
      <c r="G525" s="1">
        <v>0</v>
      </c>
      <c r="H525" s="1">
        <v>70</v>
      </c>
      <c r="I525" s="1">
        <v>0</v>
      </c>
    </row>
    <row r="526" spans="1:9" ht="23.25">
      <c r="A526" s="4" t="s">
        <v>11</v>
      </c>
      <c r="B526" s="4"/>
      <c r="C526" s="4" t="s">
        <v>16</v>
      </c>
      <c r="D526" s="4"/>
      <c r="E526" s="1">
        <v>2388736</v>
      </c>
      <c r="F526" s="1">
        <v>26671</v>
      </c>
      <c r="G526" s="1">
        <v>25992</v>
      </c>
      <c r="H526" s="1">
        <v>3146</v>
      </c>
      <c r="I526" s="1">
        <v>1538577</v>
      </c>
    </row>
    <row r="527" spans="1:9" ht="23.25">
      <c r="A527" s="4" t="s">
        <v>12</v>
      </c>
      <c r="B527" s="4"/>
      <c r="C527" s="4" t="s">
        <v>16</v>
      </c>
      <c r="D527" s="4"/>
      <c r="E527" s="1">
        <v>2828602</v>
      </c>
      <c r="F527" s="1">
        <v>193186</v>
      </c>
      <c r="G527" s="1">
        <v>202278</v>
      </c>
      <c r="H527" s="1">
        <v>69130</v>
      </c>
      <c r="I527" s="1">
        <v>0</v>
      </c>
    </row>
    <row r="528" spans="1:9" ht="23.25">
      <c r="A528" s="4" t="s">
        <v>13</v>
      </c>
      <c r="B528" s="4"/>
      <c r="C528" s="4" t="s">
        <v>16</v>
      </c>
      <c r="D528" s="4"/>
      <c r="E528" s="1">
        <v>0</v>
      </c>
      <c r="F528" s="1">
        <v>0</v>
      </c>
      <c r="G528" s="1">
        <v>0</v>
      </c>
      <c r="H528" s="1">
        <v>0</v>
      </c>
      <c r="I528" s="1">
        <v>0</v>
      </c>
    </row>
    <row r="529" spans="1:9" ht="23.25">
      <c r="A529" s="4" t="s">
        <v>14</v>
      </c>
      <c r="B529" s="4"/>
      <c r="C529" s="4" t="s">
        <v>16</v>
      </c>
      <c r="D529" s="4"/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 spans="1:9" ht="23.25">
      <c r="A530" s="4" t="s">
        <v>15</v>
      </c>
      <c r="B530" s="4"/>
      <c r="C530" s="4" t="s">
        <v>16</v>
      </c>
      <c r="D530" s="4"/>
      <c r="E530" s="1">
        <v>848308</v>
      </c>
      <c r="F530" s="1">
        <v>30213</v>
      </c>
      <c r="G530" s="1">
        <v>0</v>
      </c>
      <c r="H530" s="1">
        <v>9756</v>
      </c>
      <c r="I530" s="1">
        <v>0</v>
      </c>
    </row>
    <row r="531" spans="1:9" ht="23.25">
      <c r="A531" s="4" t="s">
        <v>16</v>
      </c>
      <c r="B531" s="4"/>
      <c r="C531" s="4" t="s">
        <v>16</v>
      </c>
      <c r="D531" s="4"/>
      <c r="E531" s="1">
        <v>27489559</v>
      </c>
      <c r="F531" s="1">
        <v>1511504</v>
      </c>
      <c r="G531" s="1">
        <v>125794</v>
      </c>
      <c r="H531" s="1">
        <v>83309</v>
      </c>
      <c r="I531" s="1">
        <v>1072727</v>
      </c>
    </row>
    <row r="532" spans="1:9" ht="23.25">
      <c r="A532" s="4" t="s">
        <v>17</v>
      </c>
      <c r="B532" s="4"/>
      <c r="C532" s="4" t="s">
        <v>16</v>
      </c>
      <c r="D532" s="4"/>
      <c r="E532" s="1">
        <v>136453</v>
      </c>
      <c r="F532" s="1">
        <v>3716</v>
      </c>
      <c r="G532" s="1">
        <v>4902</v>
      </c>
      <c r="H532" s="1">
        <v>1976</v>
      </c>
      <c r="I532" s="1">
        <v>0</v>
      </c>
    </row>
    <row r="533" spans="1:9" ht="23.25">
      <c r="A533" s="4" t="s">
        <v>18</v>
      </c>
      <c r="B533" s="4"/>
      <c r="C533" s="4" t="s">
        <v>16</v>
      </c>
      <c r="D533" s="4"/>
      <c r="E533" s="1">
        <v>4224945</v>
      </c>
      <c r="F533" s="1">
        <v>249821</v>
      </c>
      <c r="G533" s="1">
        <v>221249</v>
      </c>
      <c r="H533" s="1">
        <v>70392</v>
      </c>
      <c r="I533" s="1">
        <v>0</v>
      </c>
    </row>
    <row r="534" spans="1:9" ht="23.25">
      <c r="A534" s="4" t="s">
        <v>19</v>
      </c>
      <c r="B534" s="4"/>
      <c r="C534" s="4" t="s">
        <v>16</v>
      </c>
      <c r="D534" s="4"/>
      <c r="E534" s="1">
        <v>0</v>
      </c>
      <c r="F534" s="1">
        <v>0</v>
      </c>
      <c r="G534" s="1">
        <v>0</v>
      </c>
      <c r="H534" s="1">
        <v>0</v>
      </c>
      <c r="I534" s="1">
        <v>0</v>
      </c>
    </row>
    <row r="535" spans="1:9" ht="23.25">
      <c r="A535" s="4" t="s">
        <v>20</v>
      </c>
      <c r="B535" s="4"/>
      <c r="C535" s="4" t="s">
        <v>16</v>
      </c>
      <c r="D535" s="4"/>
      <c r="E535" s="1">
        <v>0</v>
      </c>
      <c r="F535" s="1">
        <v>0</v>
      </c>
      <c r="G535" s="1">
        <v>0</v>
      </c>
      <c r="H535" s="1">
        <v>0</v>
      </c>
      <c r="I535" s="1">
        <v>0</v>
      </c>
    </row>
    <row r="536" spans="1:9" ht="23.25">
      <c r="A536" s="4" t="s">
        <v>21</v>
      </c>
      <c r="B536" s="4"/>
      <c r="C536" s="4" t="s">
        <v>16</v>
      </c>
      <c r="D536" s="4"/>
      <c r="E536" s="1">
        <v>83536</v>
      </c>
      <c r="F536" s="1">
        <v>911</v>
      </c>
      <c r="G536" s="1">
        <v>893</v>
      </c>
      <c r="H536" s="1">
        <v>1479</v>
      </c>
      <c r="I536" s="1">
        <v>0</v>
      </c>
    </row>
    <row r="537" spans="1:9" ht="23.25">
      <c r="A537" s="4" t="s">
        <v>22</v>
      </c>
      <c r="B537" s="4"/>
      <c r="C537" s="4" t="s">
        <v>16</v>
      </c>
      <c r="D537" s="4"/>
      <c r="E537" s="1">
        <v>121404</v>
      </c>
      <c r="F537" s="1">
        <v>3429</v>
      </c>
      <c r="G537" s="1">
        <v>6932</v>
      </c>
      <c r="H537" s="1">
        <v>493</v>
      </c>
      <c r="I537" s="1">
        <v>0</v>
      </c>
    </row>
    <row r="538" spans="1:9" ht="23.25">
      <c r="A538" s="4" t="s">
        <v>23</v>
      </c>
      <c r="B538" s="4"/>
      <c r="C538" s="4" t="s">
        <v>16</v>
      </c>
      <c r="D538" s="4"/>
      <c r="E538" s="1">
        <v>32006826</v>
      </c>
      <c r="F538" s="1">
        <v>683396</v>
      </c>
      <c r="G538" s="1">
        <v>541845</v>
      </c>
      <c r="H538" s="1">
        <v>245209</v>
      </c>
      <c r="I538" s="1">
        <v>29535667</v>
      </c>
    </row>
    <row r="539" spans="1:9" ht="23.25">
      <c r="A539" s="4" t="s">
        <v>24</v>
      </c>
      <c r="B539" s="4"/>
      <c r="C539" s="4" t="s">
        <v>16</v>
      </c>
      <c r="D539" s="4"/>
      <c r="E539" s="1">
        <v>27944542</v>
      </c>
      <c r="F539" s="1">
        <v>941200</v>
      </c>
      <c r="G539" s="1">
        <v>951031</v>
      </c>
      <c r="H539" s="1">
        <v>481876</v>
      </c>
      <c r="I539" s="1">
        <v>0</v>
      </c>
    </row>
    <row r="540" spans="1:9" ht="23.25">
      <c r="A540" s="4" t="s">
        <v>25</v>
      </c>
      <c r="B540" s="4"/>
      <c r="C540" s="4" t="s">
        <v>16</v>
      </c>
      <c r="D540" s="4"/>
      <c r="E540" s="1">
        <v>0</v>
      </c>
      <c r="F540" s="1">
        <v>0</v>
      </c>
      <c r="G540" s="1">
        <v>0</v>
      </c>
      <c r="H540" s="1">
        <v>0</v>
      </c>
      <c r="I540" s="1">
        <v>0</v>
      </c>
    </row>
    <row r="541" spans="1:9" ht="23.25">
      <c r="A541" s="4" t="s">
        <v>26</v>
      </c>
      <c r="B541" s="4"/>
      <c r="C541" s="4" t="s">
        <v>16</v>
      </c>
      <c r="D541" s="4"/>
      <c r="E541" s="1">
        <v>0</v>
      </c>
      <c r="F541" s="1">
        <v>0</v>
      </c>
      <c r="G541" s="1">
        <v>0</v>
      </c>
      <c r="H541" s="1">
        <v>0</v>
      </c>
      <c r="I541" s="1">
        <v>0</v>
      </c>
    </row>
    <row r="542" spans="1:9" ht="23.25">
      <c r="A542" s="4" t="s">
        <v>27</v>
      </c>
      <c r="B542" s="4"/>
      <c r="C542" s="4" t="s">
        <v>16</v>
      </c>
      <c r="D542" s="4"/>
      <c r="E542" s="1">
        <v>72942348</v>
      </c>
      <c r="F542" s="1">
        <v>3543985</v>
      </c>
      <c r="G542" s="1">
        <v>5846518</v>
      </c>
      <c r="H542" s="1">
        <v>675425</v>
      </c>
      <c r="I542" s="1">
        <v>14861845</v>
      </c>
    </row>
    <row r="543" spans="1:9" ht="23.25">
      <c r="A543" s="4" t="s">
        <v>28</v>
      </c>
      <c r="B543" s="4"/>
      <c r="C543" s="4" t="s">
        <v>16</v>
      </c>
      <c r="D543" s="4"/>
      <c r="E543" s="1">
        <v>6044</v>
      </c>
      <c r="F543" s="1">
        <v>0</v>
      </c>
      <c r="G543" s="1">
        <v>615</v>
      </c>
      <c r="H543" s="1">
        <v>133</v>
      </c>
      <c r="I543" s="1">
        <v>0</v>
      </c>
    </row>
    <row r="544" spans="1:9" ht="23.25">
      <c r="A544" s="4" t="s">
        <v>29</v>
      </c>
      <c r="B544" s="4"/>
      <c r="C544" s="4" t="s">
        <v>16</v>
      </c>
      <c r="D544" s="4"/>
      <c r="E544" s="1">
        <v>0</v>
      </c>
      <c r="F544" s="1">
        <v>0</v>
      </c>
      <c r="G544" s="1">
        <v>0</v>
      </c>
      <c r="H544" s="1">
        <v>0</v>
      </c>
      <c r="I544" s="1">
        <v>0</v>
      </c>
    </row>
    <row r="545" spans="1:9" ht="23.25">
      <c r="A545" s="4" t="s">
        <v>30</v>
      </c>
      <c r="B545" s="4"/>
      <c r="C545" s="4" t="s">
        <v>16</v>
      </c>
      <c r="D545" s="4"/>
      <c r="E545" s="1">
        <v>104</v>
      </c>
      <c r="F545" s="1">
        <v>14</v>
      </c>
      <c r="G545" s="1">
        <v>12</v>
      </c>
      <c r="H545" s="1">
        <v>2</v>
      </c>
      <c r="I545" s="1">
        <v>0</v>
      </c>
    </row>
    <row r="546" spans="1:9" ht="23.25">
      <c r="A546" s="4" t="s">
        <v>31</v>
      </c>
      <c r="B546" s="4"/>
      <c r="C546" s="4" t="s">
        <v>16</v>
      </c>
      <c r="D546" s="4"/>
      <c r="E546" s="1">
        <v>6707</v>
      </c>
      <c r="F546" s="1">
        <v>344</v>
      </c>
      <c r="G546" s="1">
        <v>577</v>
      </c>
      <c r="H546" s="1">
        <v>25</v>
      </c>
      <c r="I546" s="1">
        <v>0</v>
      </c>
    </row>
    <row r="547" spans="1:9" ht="23.25">
      <c r="A547" s="4" t="s">
        <v>32</v>
      </c>
      <c r="B547" s="4"/>
      <c r="C547" s="4" t="s">
        <v>16</v>
      </c>
      <c r="D547" s="4"/>
      <c r="E547" s="1">
        <v>57184</v>
      </c>
      <c r="F547" s="1">
        <v>3908</v>
      </c>
      <c r="G547" s="1">
        <v>3130</v>
      </c>
      <c r="H547" s="1">
        <v>672</v>
      </c>
      <c r="I547" s="1">
        <v>0</v>
      </c>
    </row>
    <row r="548" spans="1:9" ht="23.25">
      <c r="A548" s="4" t="s">
        <v>33</v>
      </c>
      <c r="B548" s="4"/>
      <c r="C548" s="4" t="s">
        <v>16</v>
      </c>
      <c r="D548" s="4"/>
      <c r="E548" s="1">
        <v>612</v>
      </c>
      <c r="F548" s="1">
        <v>25</v>
      </c>
      <c r="G548" s="1">
        <v>55</v>
      </c>
      <c r="H548" s="1">
        <v>5</v>
      </c>
      <c r="I548" s="1">
        <v>0</v>
      </c>
    </row>
    <row r="549" spans="1:9" ht="23.25">
      <c r="A549" s="4" t="s">
        <v>34</v>
      </c>
      <c r="B549" s="4"/>
      <c r="C549" s="4" t="s">
        <v>16</v>
      </c>
      <c r="D549" s="4"/>
      <c r="E549" s="1">
        <v>86250</v>
      </c>
      <c r="F549" s="1">
        <v>8358</v>
      </c>
      <c r="G549" s="1">
        <v>3768</v>
      </c>
      <c r="H549" s="1">
        <v>1704</v>
      </c>
      <c r="I549" s="1">
        <v>47420</v>
      </c>
    </row>
    <row r="550" spans="1:9" ht="23.25">
      <c r="A550" s="4" t="s">
        <v>35</v>
      </c>
      <c r="B550" s="4"/>
      <c r="C550" s="4" t="s">
        <v>16</v>
      </c>
      <c r="D550" s="4"/>
      <c r="E550" s="1">
        <v>499647</v>
      </c>
      <c r="F550" s="1">
        <v>46421</v>
      </c>
      <c r="G550" s="1">
        <v>44500</v>
      </c>
      <c r="H550" s="1">
        <v>17816</v>
      </c>
      <c r="I550" s="1">
        <v>0</v>
      </c>
    </row>
    <row r="551" spans="1:9" ht="23.25">
      <c r="A551" s="4" t="s">
        <v>36</v>
      </c>
      <c r="B551" s="4"/>
      <c r="C551" s="4" t="s">
        <v>16</v>
      </c>
      <c r="D551" s="4"/>
      <c r="E551" s="1">
        <v>14687983</v>
      </c>
      <c r="F551" s="1">
        <v>1429613</v>
      </c>
      <c r="G551" s="1">
        <v>2472607</v>
      </c>
      <c r="H551" s="1">
        <v>108413</v>
      </c>
      <c r="I551" s="1">
        <v>97155</v>
      </c>
    </row>
    <row r="552" spans="1:9" ht="23.25">
      <c r="A552" s="4" t="s">
        <v>37</v>
      </c>
      <c r="B552" s="4"/>
      <c r="C552" s="4" t="s">
        <v>16</v>
      </c>
      <c r="D552" s="4"/>
      <c r="E552" s="1">
        <v>2630089</v>
      </c>
      <c r="F552" s="1">
        <v>138672</v>
      </c>
      <c r="G552" s="1">
        <v>158870</v>
      </c>
      <c r="H552" s="1">
        <v>22961</v>
      </c>
      <c r="I552" s="1">
        <v>487755</v>
      </c>
    </row>
    <row r="553" spans="1:9" ht="23.25">
      <c r="A553" s="4" t="s">
        <v>38</v>
      </c>
      <c r="B553" s="4"/>
      <c r="C553" s="4" t="s">
        <v>16</v>
      </c>
      <c r="D553" s="4"/>
      <c r="E553" s="1">
        <v>24610</v>
      </c>
      <c r="F553" s="1">
        <v>2365</v>
      </c>
      <c r="G553" s="1">
        <v>2519</v>
      </c>
      <c r="H553" s="1">
        <v>696</v>
      </c>
      <c r="I553" s="1">
        <v>0</v>
      </c>
    </row>
    <row r="554" spans="1:9" ht="23.25">
      <c r="A554" s="4" t="s">
        <v>39</v>
      </c>
      <c r="B554" s="4"/>
      <c r="C554" s="4" t="s">
        <v>16</v>
      </c>
      <c r="D554" s="4"/>
      <c r="E554" s="1">
        <v>2627178</v>
      </c>
      <c r="F554" s="1">
        <v>151738</v>
      </c>
      <c r="G554" s="1">
        <v>179958</v>
      </c>
      <c r="H554" s="1">
        <v>20436</v>
      </c>
      <c r="I554" s="1">
        <v>1127158</v>
      </c>
    </row>
    <row r="555" spans="1:9" ht="23.25">
      <c r="A555" s="4" t="s">
        <v>40</v>
      </c>
      <c r="B555" s="4"/>
      <c r="C555" s="4" t="s">
        <v>16</v>
      </c>
      <c r="D555" s="4"/>
      <c r="E555" s="1">
        <v>187058</v>
      </c>
      <c r="F555" s="1">
        <v>20667</v>
      </c>
      <c r="G555" s="1">
        <v>13288</v>
      </c>
      <c r="H555" s="1">
        <v>2775</v>
      </c>
      <c r="I555" s="1">
        <v>0</v>
      </c>
    </row>
    <row r="556" spans="1:9" ht="23.25">
      <c r="A556" s="4" t="s">
        <v>41</v>
      </c>
      <c r="B556" s="4"/>
      <c r="C556" s="4" t="s">
        <v>16</v>
      </c>
      <c r="D556" s="4"/>
      <c r="E556" s="1">
        <v>0</v>
      </c>
      <c r="F556" s="1">
        <v>0</v>
      </c>
      <c r="G556" s="1">
        <v>0</v>
      </c>
      <c r="H556" s="1">
        <v>0</v>
      </c>
      <c r="I556" s="1">
        <v>0</v>
      </c>
    </row>
    <row r="557" spans="1:9" ht="23.25">
      <c r="A557" s="4" t="s">
        <v>42</v>
      </c>
      <c r="B557" s="4"/>
      <c r="C557" s="4" t="s">
        <v>16</v>
      </c>
      <c r="D557" s="4"/>
      <c r="E557" s="1">
        <v>0</v>
      </c>
      <c r="F557" s="1">
        <v>0</v>
      </c>
      <c r="G557" s="1">
        <v>0</v>
      </c>
      <c r="H557" s="1">
        <v>0</v>
      </c>
      <c r="I557" s="1">
        <v>0</v>
      </c>
    </row>
    <row r="558" spans="1:9" ht="23.25">
      <c r="A558" s="4" t="s">
        <v>43</v>
      </c>
      <c r="B558" s="4"/>
      <c r="C558" s="4" t="s">
        <v>16</v>
      </c>
      <c r="D558" s="4"/>
      <c r="E558" s="1">
        <v>0</v>
      </c>
      <c r="F558" s="1">
        <v>0</v>
      </c>
      <c r="G558" s="1">
        <v>0</v>
      </c>
      <c r="H558" s="1">
        <v>0</v>
      </c>
      <c r="I558" s="1">
        <v>0</v>
      </c>
    </row>
    <row r="559" spans="1:9" ht="23.25">
      <c r="A559" s="4" t="s">
        <v>44</v>
      </c>
      <c r="B559" s="4"/>
      <c r="C559" s="4" t="s">
        <v>16</v>
      </c>
      <c r="D559" s="4"/>
      <c r="E559" s="1">
        <v>1355011</v>
      </c>
      <c r="F559" s="1">
        <v>34877</v>
      </c>
      <c r="G559" s="1">
        <v>81802</v>
      </c>
      <c r="H559" s="1">
        <v>4048</v>
      </c>
      <c r="I559" s="1">
        <v>781670</v>
      </c>
    </row>
    <row r="560" spans="1:9" ht="23.25">
      <c r="A560" s="4" t="s">
        <v>45</v>
      </c>
      <c r="B560" s="4"/>
      <c r="C560" s="4" t="s">
        <v>16</v>
      </c>
      <c r="D560" s="4"/>
      <c r="E560" s="1">
        <v>212309</v>
      </c>
      <c r="F560" s="1">
        <v>16550</v>
      </c>
      <c r="G560" s="1">
        <v>6364</v>
      </c>
      <c r="H560" s="1">
        <v>1620</v>
      </c>
      <c r="I560" s="1">
        <v>0</v>
      </c>
    </row>
    <row r="561" spans="1:9" ht="23.25">
      <c r="A561" s="4" t="s">
        <v>46</v>
      </c>
      <c r="B561" s="4"/>
      <c r="C561" s="4" t="s">
        <v>16</v>
      </c>
      <c r="D561" s="4"/>
      <c r="E561" s="1">
        <v>368909</v>
      </c>
      <c r="F561" s="1">
        <v>21414</v>
      </c>
      <c r="G561" s="1">
        <v>27129</v>
      </c>
      <c r="H561" s="1">
        <v>2053</v>
      </c>
      <c r="I561" s="1">
        <v>0</v>
      </c>
    </row>
    <row r="562" spans="1:9" ht="23.25">
      <c r="A562" s="4" t="s">
        <v>47</v>
      </c>
      <c r="B562" s="4"/>
      <c r="C562" s="4" t="s">
        <v>16</v>
      </c>
      <c r="D562" s="4"/>
      <c r="E562" s="1">
        <v>1337411</v>
      </c>
      <c r="F562" s="1">
        <v>0</v>
      </c>
      <c r="G562" s="1">
        <v>0</v>
      </c>
      <c r="H562" s="1">
        <v>0</v>
      </c>
      <c r="I562" s="1">
        <v>0</v>
      </c>
    </row>
    <row r="563" spans="1:9" ht="23.25">
      <c r="A563" s="4" t="s">
        <v>48</v>
      </c>
      <c r="B563" s="4"/>
      <c r="C563" s="4" t="s">
        <v>16</v>
      </c>
      <c r="D563" s="4"/>
      <c r="E563" s="1">
        <v>0</v>
      </c>
      <c r="F563" s="1">
        <v>0</v>
      </c>
      <c r="G563" s="1">
        <v>0</v>
      </c>
      <c r="H563" s="1">
        <v>0</v>
      </c>
      <c r="I563" s="1">
        <v>0</v>
      </c>
    </row>
    <row r="564" spans="1:9" ht="23.25">
      <c r="A564" s="4" t="s">
        <v>49</v>
      </c>
      <c r="B564" s="4"/>
      <c r="C564" s="4" t="s">
        <v>16</v>
      </c>
      <c r="D564" s="4"/>
      <c r="E564" s="1">
        <v>0</v>
      </c>
      <c r="F564" s="1">
        <v>0</v>
      </c>
      <c r="G564" s="1">
        <v>0</v>
      </c>
      <c r="H564" s="1">
        <v>0</v>
      </c>
      <c r="I564" s="1">
        <v>0</v>
      </c>
    </row>
    <row r="565" spans="1:9" ht="23.25">
      <c r="A565" s="4" t="s">
        <v>50</v>
      </c>
      <c r="B565" s="4"/>
      <c r="C565" s="4" t="s">
        <v>16</v>
      </c>
      <c r="D565" s="4"/>
      <c r="E565" s="1">
        <v>328419</v>
      </c>
      <c r="F565" s="1">
        <v>37938</v>
      </c>
      <c r="G565" s="1">
        <v>32349</v>
      </c>
      <c r="H565" s="1">
        <v>2981</v>
      </c>
      <c r="I565" s="1">
        <v>0</v>
      </c>
    </row>
    <row r="566" spans="1:9" ht="23.25">
      <c r="A566" s="4" t="s">
        <v>51</v>
      </c>
      <c r="B566" s="4"/>
      <c r="C566" s="4" t="s">
        <v>16</v>
      </c>
      <c r="D566" s="4"/>
      <c r="E566" s="1">
        <v>476462</v>
      </c>
      <c r="F566" s="1">
        <v>43631</v>
      </c>
      <c r="G566" s="1">
        <v>35614</v>
      </c>
      <c r="H566" s="1">
        <v>4167</v>
      </c>
      <c r="I566" s="1">
        <v>0</v>
      </c>
    </row>
    <row r="567" spans="1:9" ht="23.25">
      <c r="A567" s="4" t="s">
        <v>52</v>
      </c>
      <c r="B567" s="4"/>
      <c r="C567" s="4" t="s">
        <v>16</v>
      </c>
      <c r="D567" s="4"/>
      <c r="E567" s="1">
        <v>3351599</v>
      </c>
      <c r="F567" s="1">
        <v>395</v>
      </c>
      <c r="G567" s="1">
        <v>557</v>
      </c>
      <c r="H567" s="1">
        <v>210</v>
      </c>
      <c r="I567" s="1">
        <v>0</v>
      </c>
    </row>
    <row r="568" spans="1:9" ht="23.25">
      <c r="A568" s="4" t="s">
        <v>53</v>
      </c>
      <c r="B568" s="4"/>
      <c r="C568" s="4" t="s">
        <v>16</v>
      </c>
      <c r="D568" s="4"/>
      <c r="E568" s="1">
        <v>483908</v>
      </c>
      <c r="F568" s="1">
        <v>0</v>
      </c>
      <c r="G568" s="1">
        <v>0</v>
      </c>
      <c r="H568" s="1">
        <v>0</v>
      </c>
      <c r="I568" s="1">
        <v>0</v>
      </c>
    </row>
    <row r="569" spans="1:9" ht="23.25">
      <c r="A569" s="4" t="s">
        <v>54</v>
      </c>
      <c r="B569" s="4"/>
      <c r="C569" s="4" t="s">
        <v>16</v>
      </c>
      <c r="D569" s="4"/>
      <c r="E569" s="1">
        <v>693608</v>
      </c>
      <c r="F569" s="1">
        <v>0</v>
      </c>
      <c r="G569" s="1">
        <v>0</v>
      </c>
      <c r="H569" s="1">
        <v>0</v>
      </c>
      <c r="I569" s="1">
        <v>0</v>
      </c>
    </row>
    <row r="570" spans="1:9" ht="23.25">
      <c r="A570" s="4" t="s">
        <v>55</v>
      </c>
      <c r="B570" s="4"/>
      <c r="C570" s="4" t="s">
        <v>16</v>
      </c>
      <c r="D570" s="4"/>
      <c r="E570" s="1">
        <v>0</v>
      </c>
      <c r="F570" s="1">
        <v>0</v>
      </c>
      <c r="G570" s="1">
        <v>0</v>
      </c>
      <c r="H570" s="1">
        <v>0</v>
      </c>
      <c r="I570" s="1">
        <v>0</v>
      </c>
    </row>
    <row r="571" spans="1:9" ht="23.25">
      <c r="A571" s="4" t="s">
        <v>56</v>
      </c>
      <c r="B571" s="4"/>
      <c r="C571" s="4" t="s">
        <v>16</v>
      </c>
      <c r="D571" s="4"/>
      <c r="E571" s="1">
        <v>0</v>
      </c>
      <c r="F571" s="1">
        <v>-9508220</v>
      </c>
      <c r="G571" s="1">
        <v>-11686619</v>
      </c>
      <c r="H571" s="1">
        <v>0</v>
      </c>
      <c r="I571" s="1">
        <v>0</v>
      </c>
    </row>
    <row r="572" spans="1:9" ht="23.25">
      <c r="A572" s="4" t="s">
        <v>57</v>
      </c>
      <c r="B572" s="4"/>
      <c r="C572" s="4" t="s">
        <v>16</v>
      </c>
      <c r="D572" s="4"/>
      <c r="E572" s="1">
        <v>585196</v>
      </c>
      <c r="F572" s="1">
        <v>0</v>
      </c>
      <c r="G572" s="1">
        <v>0</v>
      </c>
      <c r="H572" s="1">
        <v>0</v>
      </c>
      <c r="I572" s="1">
        <v>0</v>
      </c>
    </row>
    <row r="573" spans="1:9" ht="23.25">
      <c r="A573" s="4" t="s">
        <v>58</v>
      </c>
      <c r="B573" s="4"/>
      <c r="C573" s="4" t="s">
        <v>16</v>
      </c>
      <c r="D573" s="4"/>
      <c r="E573" s="1">
        <v>740549</v>
      </c>
      <c r="F573" s="1">
        <v>0</v>
      </c>
      <c r="G573" s="1">
        <v>0</v>
      </c>
      <c r="H573" s="1">
        <v>-1922688</v>
      </c>
      <c r="I573" s="1">
        <v>0</v>
      </c>
    </row>
    <row r="574" spans="1:9" ht="23.25">
      <c r="A574" s="4" t="s">
        <v>59</v>
      </c>
      <c r="B574" s="4"/>
      <c r="C574" s="4" t="s">
        <v>16</v>
      </c>
      <c r="D574" s="4"/>
      <c r="E574" s="1">
        <v>301471</v>
      </c>
      <c r="F574" s="1">
        <v>0</v>
      </c>
      <c r="G574" s="1">
        <v>0</v>
      </c>
      <c r="H574" s="1">
        <v>0</v>
      </c>
      <c r="I574" s="1">
        <v>0</v>
      </c>
    </row>
    <row r="575" spans="1:9" ht="23.25">
      <c r="A575" s="4" t="s">
        <v>60</v>
      </c>
      <c r="B575" s="4"/>
      <c r="C575" s="4" t="s">
        <v>16</v>
      </c>
      <c r="D575" s="4"/>
      <c r="E575" s="1">
        <v>6305112</v>
      </c>
      <c r="F575" s="1">
        <v>0</v>
      </c>
      <c r="G575" s="1">
        <v>0</v>
      </c>
      <c r="H575" s="1">
        <v>0</v>
      </c>
      <c r="I575" s="1">
        <v>0</v>
      </c>
    </row>
    <row r="576" spans="1:9" ht="23.25">
      <c r="A576" s="4" t="s">
        <v>61</v>
      </c>
      <c r="B576" s="4"/>
      <c r="C576" s="4" t="s">
        <v>16</v>
      </c>
      <c r="D576" s="4"/>
      <c r="E576" s="1">
        <v>0</v>
      </c>
      <c r="F576" s="1">
        <v>0</v>
      </c>
      <c r="G576" s="1">
        <v>0</v>
      </c>
      <c r="H576" s="1">
        <v>0</v>
      </c>
      <c r="I576" s="1">
        <v>0</v>
      </c>
    </row>
    <row r="577" spans="1:9" ht="23.25">
      <c r="A577" s="4" t="s">
        <v>62</v>
      </c>
      <c r="B577" s="4"/>
      <c r="C577" s="4" t="s">
        <v>16</v>
      </c>
      <c r="D577" s="4"/>
      <c r="E577" s="1">
        <v>1014308</v>
      </c>
      <c r="F577" s="1">
        <v>0</v>
      </c>
      <c r="G577" s="1">
        <v>0</v>
      </c>
      <c r="H577" s="1">
        <v>0</v>
      </c>
      <c r="I577" s="1">
        <v>0</v>
      </c>
    </row>
    <row r="578" spans="1:9" ht="23.25">
      <c r="A578" s="4" t="s">
        <v>63</v>
      </c>
      <c r="B578" s="4"/>
      <c r="C578" s="4" t="s">
        <v>16</v>
      </c>
      <c r="D578" s="4"/>
      <c r="E578" s="1">
        <v>596505</v>
      </c>
      <c r="F578" s="1">
        <v>0</v>
      </c>
      <c r="G578" s="1">
        <v>0</v>
      </c>
      <c r="H578" s="1">
        <v>0</v>
      </c>
      <c r="I578" s="1">
        <v>0</v>
      </c>
    </row>
    <row r="579" spans="1:9" ht="23.25">
      <c r="A579" s="4" t="s">
        <v>64</v>
      </c>
      <c r="B579" s="4"/>
      <c r="C579" s="4" t="s">
        <v>16</v>
      </c>
      <c r="D579" s="4"/>
      <c r="E579" s="1">
        <v>70496</v>
      </c>
      <c r="F579" s="1">
        <v>0</v>
      </c>
      <c r="G579" s="1">
        <v>0</v>
      </c>
      <c r="H579" s="1">
        <v>0</v>
      </c>
      <c r="I579" s="1">
        <v>0</v>
      </c>
    </row>
    <row r="580" spans="1:9" ht="23.25">
      <c r="A580" s="4" t="s">
        <v>65</v>
      </c>
      <c r="B580" s="4"/>
      <c r="C580" s="4" t="s">
        <v>16</v>
      </c>
      <c r="D580" s="4"/>
      <c r="E580" s="1">
        <v>553372</v>
      </c>
      <c r="F580" s="1">
        <v>0</v>
      </c>
      <c r="G580" s="1">
        <v>0</v>
      </c>
      <c r="H580" s="1">
        <v>0</v>
      </c>
      <c r="I580" s="1">
        <v>50151</v>
      </c>
    </row>
    <row r="581" spans="1:9" ht="23.25">
      <c r="A581" s="4" t="s">
        <v>66</v>
      </c>
      <c r="B581" s="4"/>
      <c r="C581" s="4" t="s">
        <v>16</v>
      </c>
      <c r="D581" s="4"/>
      <c r="E581" s="1">
        <v>224589912</v>
      </c>
      <c r="F581" s="1">
        <v>0</v>
      </c>
      <c r="G581" s="1">
        <v>0</v>
      </c>
      <c r="H581" s="1">
        <v>0</v>
      </c>
      <c r="I581" s="1">
        <v>50494834</v>
      </c>
    </row>
    <row r="582" spans="1:9" ht="23.25">
      <c r="A582" s="4" t="s">
        <v>67</v>
      </c>
      <c r="B582" s="4"/>
      <c r="C582" s="4" t="s">
        <v>16</v>
      </c>
      <c r="D582" s="4"/>
      <c r="E582" s="1">
        <v>50686440</v>
      </c>
      <c r="F582" s="1">
        <v>0</v>
      </c>
      <c r="G582" s="1">
        <v>0</v>
      </c>
      <c r="H582" s="1">
        <v>0</v>
      </c>
      <c r="I582" s="1">
        <v>0</v>
      </c>
    </row>
    <row r="583" spans="1:9" ht="23.25">
      <c r="A583" s="4" t="s">
        <v>68</v>
      </c>
      <c r="B583" s="4"/>
      <c r="C583" s="4" t="s">
        <v>16</v>
      </c>
      <c r="D583" s="4"/>
      <c r="E583" s="1">
        <v>118896569</v>
      </c>
      <c r="F583" s="1">
        <v>0</v>
      </c>
      <c r="G583" s="1">
        <v>0</v>
      </c>
      <c r="H583" s="1">
        <v>0</v>
      </c>
      <c r="I583" s="1">
        <v>0</v>
      </c>
    </row>
    <row r="584" spans="1:9" ht="23.25">
      <c r="A584" s="4" t="s">
        <v>69</v>
      </c>
      <c r="B584" s="4"/>
      <c r="C584" s="4" t="s">
        <v>16</v>
      </c>
      <c r="D584" s="4"/>
      <c r="E584" s="1">
        <v>19729403</v>
      </c>
      <c r="F584" s="1">
        <v>0</v>
      </c>
      <c r="G584" s="1">
        <v>0</v>
      </c>
      <c r="H584" s="1">
        <v>0</v>
      </c>
      <c r="I584" s="1">
        <v>0</v>
      </c>
    </row>
    <row r="585" spans="1:9" ht="23.25">
      <c r="A585" s="4" t="s">
        <v>70</v>
      </c>
      <c r="B585" s="4"/>
      <c r="C585" s="4" t="s">
        <v>16</v>
      </c>
      <c r="D585" s="4"/>
      <c r="E585" s="1">
        <v>677778</v>
      </c>
      <c r="F585" s="1">
        <v>0</v>
      </c>
      <c r="G585" s="1">
        <v>0</v>
      </c>
      <c r="H585" s="1">
        <v>0</v>
      </c>
      <c r="I585" s="1">
        <v>0</v>
      </c>
    </row>
    <row r="586" spans="1:9" ht="23.25">
      <c r="A586" s="4" t="s">
        <v>71</v>
      </c>
      <c r="B586" s="4"/>
      <c r="C586" s="4" t="s">
        <v>16</v>
      </c>
      <c r="D586" s="4"/>
      <c r="E586" s="1">
        <v>189990190</v>
      </c>
      <c r="F586" s="1">
        <v>0</v>
      </c>
      <c r="G586" s="1">
        <v>0</v>
      </c>
      <c r="H586" s="1">
        <v>0</v>
      </c>
      <c r="I586" s="1">
        <v>0</v>
      </c>
    </row>
    <row r="587" spans="1:9" ht="23.25">
      <c r="A587" s="4" t="s">
        <v>72</v>
      </c>
      <c r="B587" s="4"/>
      <c r="C587" s="4" t="s">
        <v>16</v>
      </c>
      <c r="D587" s="4"/>
      <c r="E587" s="1">
        <v>414580102</v>
      </c>
      <c r="F587" s="1">
        <v>0</v>
      </c>
      <c r="G587" s="1">
        <v>0</v>
      </c>
      <c r="H587" s="1">
        <v>0</v>
      </c>
      <c r="I587" s="1">
        <v>0</v>
      </c>
    </row>
    <row r="588" spans="1:9" ht="23.25">
      <c r="A588" s="4" t="s">
        <v>8</v>
      </c>
      <c r="B588" s="4"/>
      <c r="C588" s="4" t="s">
        <v>17</v>
      </c>
      <c r="D588" s="4"/>
      <c r="E588" s="1">
        <v>0</v>
      </c>
      <c r="F588" s="1">
        <v>0</v>
      </c>
      <c r="G588" s="1">
        <v>0</v>
      </c>
      <c r="H588" s="1">
        <v>0</v>
      </c>
      <c r="I588" s="1">
        <v>0</v>
      </c>
    </row>
    <row r="589" spans="1:9" ht="23.25">
      <c r="A589" s="4" t="s">
        <v>9</v>
      </c>
      <c r="B589" s="4"/>
      <c r="C589" s="4" t="s">
        <v>17</v>
      </c>
      <c r="D589" s="4"/>
      <c r="E589" s="1">
        <v>0</v>
      </c>
      <c r="F589" s="1">
        <v>0</v>
      </c>
      <c r="G589" s="1">
        <v>0</v>
      </c>
      <c r="H589" s="1">
        <v>0</v>
      </c>
      <c r="I589" s="1">
        <v>0</v>
      </c>
    </row>
    <row r="590" spans="1:9" ht="23.25">
      <c r="A590" s="4" t="s">
        <v>10</v>
      </c>
      <c r="B590" s="4"/>
      <c r="C590" s="4" t="s">
        <v>17</v>
      </c>
      <c r="D590" s="4"/>
      <c r="E590" s="1">
        <v>0</v>
      </c>
      <c r="F590" s="1">
        <v>0</v>
      </c>
      <c r="G590" s="1">
        <v>0</v>
      </c>
      <c r="H590" s="1">
        <v>0</v>
      </c>
      <c r="I590" s="1">
        <v>0</v>
      </c>
    </row>
    <row r="591" spans="1:9" ht="23.25">
      <c r="A591" s="4" t="s">
        <v>11</v>
      </c>
      <c r="B591" s="4"/>
      <c r="C591" s="4" t="s">
        <v>17</v>
      </c>
      <c r="D591" s="4"/>
      <c r="E591" s="1">
        <v>0</v>
      </c>
      <c r="F591" s="1">
        <v>0</v>
      </c>
      <c r="G591" s="1">
        <v>0</v>
      </c>
      <c r="H591" s="1">
        <v>0</v>
      </c>
      <c r="I591" s="1">
        <v>0</v>
      </c>
    </row>
    <row r="592" spans="1:9" ht="23.25">
      <c r="A592" s="4" t="s">
        <v>12</v>
      </c>
      <c r="B592" s="4"/>
      <c r="C592" s="4" t="s">
        <v>17</v>
      </c>
      <c r="D592" s="4"/>
      <c r="E592" s="1">
        <v>0</v>
      </c>
      <c r="F592" s="1">
        <v>0</v>
      </c>
      <c r="G592" s="1">
        <v>0</v>
      </c>
      <c r="H592" s="1">
        <v>0</v>
      </c>
      <c r="I592" s="1">
        <v>0</v>
      </c>
    </row>
    <row r="593" spans="1:9" ht="23.25">
      <c r="A593" s="4" t="s">
        <v>13</v>
      </c>
      <c r="B593" s="4"/>
      <c r="C593" s="4" t="s">
        <v>17</v>
      </c>
      <c r="D593" s="4"/>
      <c r="E593" s="1">
        <v>0</v>
      </c>
      <c r="F593" s="1">
        <v>0</v>
      </c>
      <c r="G593" s="1">
        <v>0</v>
      </c>
      <c r="H593" s="1">
        <v>0</v>
      </c>
      <c r="I593" s="1">
        <v>0</v>
      </c>
    </row>
    <row r="594" spans="1:9" ht="23.25">
      <c r="A594" s="4" t="s">
        <v>14</v>
      </c>
      <c r="B594" s="4"/>
      <c r="C594" s="4" t="s">
        <v>17</v>
      </c>
      <c r="D594" s="4"/>
      <c r="E594" s="1">
        <v>0</v>
      </c>
      <c r="F594" s="1">
        <v>0</v>
      </c>
      <c r="G594" s="1">
        <v>0</v>
      </c>
      <c r="H594" s="1">
        <v>0</v>
      </c>
      <c r="I594" s="1">
        <v>0</v>
      </c>
    </row>
    <row r="595" spans="1:9" ht="23.25">
      <c r="A595" s="4" t="s">
        <v>15</v>
      </c>
      <c r="B595" s="4"/>
      <c r="C595" s="4" t="s">
        <v>17</v>
      </c>
      <c r="D595" s="4"/>
      <c r="E595" s="1">
        <v>334330</v>
      </c>
      <c r="F595" s="1">
        <v>0</v>
      </c>
      <c r="G595" s="1">
        <v>0</v>
      </c>
      <c r="H595" s="1">
        <v>0</v>
      </c>
      <c r="I595" s="1">
        <v>0</v>
      </c>
    </row>
    <row r="596" spans="1:9" ht="23.25">
      <c r="A596" s="4" t="s">
        <v>16</v>
      </c>
      <c r="B596" s="4"/>
      <c r="C596" s="4" t="s">
        <v>17</v>
      </c>
      <c r="D596" s="4"/>
      <c r="E596" s="1">
        <v>0</v>
      </c>
      <c r="F596" s="1">
        <v>0</v>
      </c>
      <c r="G596" s="1">
        <v>0</v>
      </c>
      <c r="H596" s="1">
        <v>0</v>
      </c>
      <c r="I596" s="1">
        <v>0</v>
      </c>
    </row>
    <row r="597" spans="1:9" ht="23.25">
      <c r="A597" s="4" t="s">
        <v>17</v>
      </c>
      <c r="B597" s="4"/>
      <c r="C597" s="4" t="s">
        <v>17</v>
      </c>
      <c r="D597" s="4"/>
      <c r="E597" s="1">
        <v>700494</v>
      </c>
      <c r="F597" s="1">
        <v>21429</v>
      </c>
      <c r="G597" s="1">
        <v>0</v>
      </c>
      <c r="H597" s="1">
        <v>9517</v>
      </c>
      <c r="I597" s="1">
        <v>0</v>
      </c>
    </row>
    <row r="598" spans="1:9" ht="23.25">
      <c r="A598" s="4" t="s">
        <v>18</v>
      </c>
      <c r="B598" s="4"/>
      <c r="C598" s="4" t="s">
        <v>17</v>
      </c>
      <c r="D598" s="4"/>
      <c r="E598" s="1">
        <v>0</v>
      </c>
      <c r="F598" s="1">
        <v>0</v>
      </c>
      <c r="G598" s="1">
        <v>0</v>
      </c>
      <c r="H598" s="1">
        <v>0</v>
      </c>
      <c r="I598" s="1">
        <v>0</v>
      </c>
    </row>
    <row r="599" spans="1:9" ht="23.25">
      <c r="A599" s="4" t="s">
        <v>19</v>
      </c>
      <c r="B599" s="4"/>
      <c r="C599" s="4" t="s">
        <v>17</v>
      </c>
      <c r="D599" s="4"/>
      <c r="E599" s="1">
        <v>0</v>
      </c>
      <c r="F599" s="1">
        <v>0</v>
      </c>
      <c r="G599" s="1">
        <v>0</v>
      </c>
      <c r="H599" s="1">
        <v>0</v>
      </c>
      <c r="I599" s="1">
        <v>0</v>
      </c>
    </row>
    <row r="600" spans="1:9" ht="23.25">
      <c r="A600" s="4" t="s">
        <v>20</v>
      </c>
      <c r="B600" s="4"/>
      <c r="C600" s="4" t="s">
        <v>17</v>
      </c>
      <c r="D600" s="4"/>
      <c r="E600" s="1">
        <v>0</v>
      </c>
      <c r="F600" s="1">
        <v>0</v>
      </c>
      <c r="G600" s="1">
        <v>0</v>
      </c>
      <c r="H600" s="1">
        <v>0</v>
      </c>
      <c r="I600" s="1">
        <v>0</v>
      </c>
    </row>
    <row r="601" spans="1:9" ht="23.25">
      <c r="A601" s="4" t="s">
        <v>21</v>
      </c>
      <c r="B601" s="4"/>
      <c r="C601" s="4" t="s">
        <v>17</v>
      </c>
      <c r="D601" s="4"/>
      <c r="E601" s="1">
        <v>0</v>
      </c>
      <c r="F601" s="1">
        <v>0</v>
      </c>
      <c r="G601" s="1">
        <v>0</v>
      </c>
      <c r="H601" s="1">
        <v>0</v>
      </c>
      <c r="I601" s="1">
        <v>0</v>
      </c>
    </row>
    <row r="602" spans="1:9" ht="23.25">
      <c r="A602" s="4" t="s">
        <v>22</v>
      </c>
      <c r="B602" s="4"/>
      <c r="C602" s="4" t="s">
        <v>17</v>
      </c>
      <c r="D602" s="4"/>
      <c r="E602" s="1">
        <v>0</v>
      </c>
      <c r="F602" s="1">
        <v>0</v>
      </c>
      <c r="G602" s="1">
        <v>0</v>
      </c>
      <c r="H602" s="1">
        <v>0</v>
      </c>
      <c r="I602" s="1">
        <v>0</v>
      </c>
    </row>
    <row r="603" spans="1:9" ht="23.25">
      <c r="A603" s="4" t="s">
        <v>23</v>
      </c>
      <c r="B603" s="4"/>
      <c r="C603" s="4" t="s">
        <v>17</v>
      </c>
      <c r="D603" s="4"/>
      <c r="E603" s="1">
        <v>0</v>
      </c>
      <c r="F603" s="1">
        <v>0</v>
      </c>
      <c r="G603" s="1">
        <v>0</v>
      </c>
      <c r="H603" s="1">
        <v>0</v>
      </c>
      <c r="I603" s="1">
        <v>0</v>
      </c>
    </row>
    <row r="604" spans="1:9" ht="23.25">
      <c r="A604" s="4" t="s">
        <v>24</v>
      </c>
      <c r="B604" s="4"/>
      <c r="C604" s="4" t="s">
        <v>17</v>
      </c>
      <c r="D604" s="4"/>
      <c r="E604" s="1">
        <v>0</v>
      </c>
      <c r="F604" s="1">
        <v>0</v>
      </c>
      <c r="G604" s="1">
        <v>0</v>
      </c>
      <c r="H604" s="1">
        <v>0</v>
      </c>
      <c r="I604" s="1">
        <v>0</v>
      </c>
    </row>
    <row r="605" spans="1:9" ht="23.25">
      <c r="A605" s="4" t="s">
        <v>25</v>
      </c>
      <c r="B605" s="4"/>
      <c r="C605" s="4" t="s">
        <v>17</v>
      </c>
      <c r="D605" s="4"/>
      <c r="E605" s="1">
        <v>0</v>
      </c>
      <c r="F605" s="1">
        <v>0</v>
      </c>
      <c r="G605" s="1">
        <v>0</v>
      </c>
      <c r="H605" s="1">
        <v>0</v>
      </c>
      <c r="I605" s="1">
        <v>0</v>
      </c>
    </row>
    <row r="606" spans="1:9" ht="23.25">
      <c r="A606" s="4" t="s">
        <v>26</v>
      </c>
      <c r="B606" s="4"/>
      <c r="C606" s="4" t="s">
        <v>17</v>
      </c>
      <c r="D606" s="4"/>
      <c r="E606" s="1">
        <v>0</v>
      </c>
      <c r="F606" s="1">
        <v>0</v>
      </c>
      <c r="G606" s="1">
        <v>0</v>
      </c>
      <c r="H606" s="1">
        <v>0</v>
      </c>
      <c r="I606" s="1">
        <v>0</v>
      </c>
    </row>
    <row r="607" spans="1:9" ht="23.25">
      <c r="A607" s="4" t="s">
        <v>27</v>
      </c>
      <c r="B607" s="4"/>
      <c r="C607" s="4" t="s">
        <v>17</v>
      </c>
      <c r="D607" s="4"/>
      <c r="E607" s="1">
        <v>0</v>
      </c>
      <c r="F607" s="1">
        <v>0</v>
      </c>
      <c r="G607" s="1">
        <v>0</v>
      </c>
      <c r="H607" s="1">
        <v>0</v>
      </c>
      <c r="I607" s="1">
        <v>0</v>
      </c>
    </row>
    <row r="608" spans="1:9" ht="23.25">
      <c r="A608" s="4" t="s">
        <v>28</v>
      </c>
      <c r="B608" s="4"/>
      <c r="C608" s="4" t="s">
        <v>17</v>
      </c>
      <c r="D608" s="4"/>
      <c r="E608" s="1">
        <v>0</v>
      </c>
      <c r="F608" s="1">
        <v>0</v>
      </c>
      <c r="G608" s="1">
        <v>0</v>
      </c>
      <c r="H608" s="1">
        <v>0</v>
      </c>
      <c r="I608" s="1">
        <v>0</v>
      </c>
    </row>
    <row r="609" spans="1:9" ht="23.25">
      <c r="A609" s="4" t="s">
        <v>29</v>
      </c>
      <c r="B609" s="4"/>
      <c r="C609" s="4" t="s">
        <v>17</v>
      </c>
      <c r="D609" s="4"/>
      <c r="E609" s="1">
        <v>0</v>
      </c>
      <c r="F609" s="1">
        <v>0</v>
      </c>
      <c r="G609" s="1">
        <v>0</v>
      </c>
      <c r="H609" s="1">
        <v>0</v>
      </c>
      <c r="I609" s="1">
        <v>0</v>
      </c>
    </row>
    <row r="610" spans="1:9" ht="23.25">
      <c r="A610" s="4" t="s">
        <v>30</v>
      </c>
      <c r="B610" s="4"/>
      <c r="C610" s="4" t="s">
        <v>17</v>
      </c>
      <c r="D610" s="4"/>
      <c r="E610" s="1">
        <v>0</v>
      </c>
      <c r="F610" s="1">
        <v>0</v>
      </c>
      <c r="G610" s="1">
        <v>0</v>
      </c>
      <c r="H610" s="1">
        <v>0</v>
      </c>
      <c r="I610" s="1">
        <v>0</v>
      </c>
    </row>
    <row r="611" spans="1:9" ht="23.25">
      <c r="A611" s="4" t="s">
        <v>31</v>
      </c>
      <c r="B611" s="4"/>
      <c r="C611" s="4" t="s">
        <v>17</v>
      </c>
      <c r="D611" s="4"/>
      <c r="E611" s="1">
        <v>93380</v>
      </c>
      <c r="F611" s="1">
        <v>7821</v>
      </c>
      <c r="G611" s="1">
        <v>713</v>
      </c>
      <c r="H611" s="1">
        <v>479</v>
      </c>
      <c r="I611" s="1">
        <v>0</v>
      </c>
    </row>
    <row r="612" spans="1:9" ht="23.25">
      <c r="A612" s="4" t="s">
        <v>32</v>
      </c>
      <c r="B612" s="4"/>
      <c r="C612" s="4" t="s">
        <v>17</v>
      </c>
      <c r="D612" s="4"/>
      <c r="E612" s="1">
        <v>17849</v>
      </c>
      <c r="F612" s="1">
        <v>201</v>
      </c>
      <c r="G612" s="1">
        <v>545</v>
      </c>
      <c r="H612" s="1">
        <v>151</v>
      </c>
      <c r="I612" s="1">
        <v>0</v>
      </c>
    </row>
    <row r="613" spans="1:9" ht="23.25">
      <c r="A613" s="4" t="s">
        <v>33</v>
      </c>
      <c r="B613" s="4"/>
      <c r="C613" s="4" t="s">
        <v>17</v>
      </c>
      <c r="D613" s="4"/>
      <c r="E613" s="1">
        <v>0</v>
      </c>
      <c r="F613" s="1">
        <v>0</v>
      </c>
      <c r="G613" s="1">
        <v>0</v>
      </c>
      <c r="H613" s="1">
        <v>0</v>
      </c>
      <c r="I613" s="1">
        <v>0</v>
      </c>
    </row>
    <row r="614" spans="1:9" ht="23.25">
      <c r="A614" s="4" t="s">
        <v>34</v>
      </c>
      <c r="B614" s="4"/>
      <c r="C614" s="4" t="s">
        <v>17</v>
      </c>
      <c r="D614" s="4"/>
      <c r="E614" s="1">
        <v>0</v>
      </c>
      <c r="F614" s="1">
        <v>0</v>
      </c>
      <c r="G614" s="1">
        <v>0</v>
      </c>
      <c r="H614" s="1">
        <v>0</v>
      </c>
      <c r="I614" s="1">
        <v>0</v>
      </c>
    </row>
    <row r="615" spans="1:9" ht="23.25">
      <c r="A615" s="4" t="s">
        <v>35</v>
      </c>
      <c r="B615" s="4"/>
      <c r="C615" s="4" t="s">
        <v>17</v>
      </c>
      <c r="D615" s="4"/>
      <c r="E615" s="1">
        <v>244714</v>
      </c>
      <c r="F615" s="1">
        <v>22363</v>
      </c>
      <c r="G615" s="1">
        <v>23921</v>
      </c>
      <c r="H615" s="1">
        <v>8992</v>
      </c>
      <c r="I615" s="1">
        <v>0</v>
      </c>
    </row>
    <row r="616" spans="1:9" ht="23.25">
      <c r="A616" s="4" t="s">
        <v>36</v>
      </c>
      <c r="B616" s="4"/>
      <c r="C616" s="4" t="s">
        <v>17</v>
      </c>
      <c r="D616" s="4"/>
      <c r="E616" s="1">
        <v>0</v>
      </c>
      <c r="F616" s="1">
        <v>0</v>
      </c>
      <c r="G616" s="1">
        <v>0</v>
      </c>
      <c r="H616" s="1">
        <v>0</v>
      </c>
      <c r="I616" s="1">
        <v>0</v>
      </c>
    </row>
    <row r="617" spans="1:9" ht="23.25">
      <c r="A617" s="4" t="s">
        <v>37</v>
      </c>
      <c r="B617" s="4"/>
      <c r="C617" s="4" t="s">
        <v>17</v>
      </c>
      <c r="D617" s="4"/>
      <c r="E617" s="1">
        <v>497218</v>
      </c>
      <c r="F617" s="1">
        <v>17647</v>
      </c>
      <c r="G617" s="1">
        <v>16606</v>
      </c>
      <c r="H617" s="1">
        <v>4215</v>
      </c>
      <c r="I617" s="1">
        <v>61145</v>
      </c>
    </row>
    <row r="618" spans="1:9" ht="23.25">
      <c r="A618" s="4" t="s">
        <v>38</v>
      </c>
      <c r="B618" s="4"/>
      <c r="C618" s="4" t="s">
        <v>17</v>
      </c>
      <c r="D618" s="4"/>
      <c r="E618" s="1">
        <v>130</v>
      </c>
      <c r="F618" s="1">
        <v>13</v>
      </c>
      <c r="G618" s="1">
        <v>17</v>
      </c>
      <c r="H618" s="1">
        <v>3</v>
      </c>
      <c r="I618" s="1">
        <v>0</v>
      </c>
    </row>
    <row r="619" spans="1:9" ht="23.25">
      <c r="A619" s="4" t="s">
        <v>39</v>
      </c>
      <c r="B619" s="4"/>
      <c r="C619" s="4" t="s">
        <v>17</v>
      </c>
      <c r="D619" s="4"/>
      <c r="E619" s="1">
        <v>185609</v>
      </c>
      <c r="F619" s="1">
        <v>13027</v>
      </c>
      <c r="G619" s="1">
        <v>18004</v>
      </c>
      <c r="H619" s="1">
        <v>1548</v>
      </c>
      <c r="I619" s="1">
        <v>48530</v>
      </c>
    </row>
    <row r="620" spans="1:9" ht="23.25">
      <c r="A620" s="4" t="s">
        <v>40</v>
      </c>
      <c r="B620" s="4"/>
      <c r="C620" s="4" t="s">
        <v>17</v>
      </c>
      <c r="D620" s="4"/>
      <c r="E620" s="1">
        <v>0</v>
      </c>
      <c r="F620" s="1">
        <v>0</v>
      </c>
      <c r="G620" s="1">
        <v>0</v>
      </c>
      <c r="H620" s="1">
        <v>0</v>
      </c>
      <c r="I620" s="1">
        <v>0</v>
      </c>
    </row>
    <row r="621" spans="1:9" ht="23.25">
      <c r="A621" s="4" t="s">
        <v>41</v>
      </c>
      <c r="B621" s="4"/>
      <c r="C621" s="4" t="s">
        <v>17</v>
      </c>
      <c r="D621" s="4"/>
      <c r="E621" s="1">
        <v>224060</v>
      </c>
      <c r="F621" s="1">
        <v>15457</v>
      </c>
      <c r="G621" s="1">
        <v>17301</v>
      </c>
      <c r="H621" s="1">
        <v>3028</v>
      </c>
      <c r="I621" s="1">
        <v>0</v>
      </c>
    </row>
    <row r="622" spans="1:9" ht="23.25">
      <c r="A622" s="4" t="s">
        <v>42</v>
      </c>
      <c r="B622" s="4"/>
      <c r="C622" s="4" t="s">
        <v>17</v>
      </c>
      <c r="D622" s="4"/>
      <c r="E622" s="1">
        <v>18384</v>
      </c>
      <c r="F622" s="1">
        <v>508</v>
      </c>
      <c r="G622" s="1">
        <v>1339</v>
      </c>
      <c r="H622" s="1">
        <v>219</v>
      </c>
      <c r="I622" s="1">
        <v>4782</v>
      </c>
    </row>
    <row r="623" spans="1:9" ht="23.25">
      <c r="A623" s="4" t="s">
        <v>43</v>
      </c>
      <c r="B623" s="4"/>
      <c r="C623" s="4" t="s">
        <v>17</v>
      </c>
      <c r="D623" s="4"/>
      <c r="E623" s="1">
        <v>0</v>
      </c>
      <c r="F623" s="1">
        <v>0</v>
      </c>
      <c r="G623" s="1">
        <v>0</v>
      </c>
      <c r="H623" s="1">
        <v>0</v>
      </c>
      <c r="I623" s="1">
        <v>0</v>
      </c>
    </row>
    <row r="624" spans="1:9" ht="23.25">
      <c r="A624" s="4" t="s">
        <v>44</v>
      </c>
      <c r="B624" s="4"/>
      <c r="C624" s="4" t="s">
        <v>17</v>
      </c>
      <c r="D624" s="4"/>
      <c r="E624" s="1">
        <v>918000</v>
      </c>
      <c r="F624" s="1">
        <v>37729</v>
      </c>
      <c r="G624" s="1">
        <v>85731</v>
      </c>
      <c r="H624" s="1">
        <v>5768</v>
      </c>
      <c r="I624" s="1">
        <v>141651</v>
      </c>
    </row>
    <row r="625" spans="1:9" ht="23.25">
      <c r="A625" s="4" t="s">
        <v>45</v>
      </c>
      <c r="B625" s="4"/>
      <c r="C625" s="4" t="s">
        <v>17</v>
      </c>
      <c r="D625" s="4"/>
      <c r="E625" s="1">
        <v>534987</v>
      </c>
      <c r="F625" s="1">
        <v>33402</v>
      </c>
      <c r="G625" s="1">
        <v>1769</v>
      </c>
      <c r="H625" s="1">
        <v>3990</v>
      </c>
      <c r="I625" s="1">
        <v>0</v>
      </c>
    </row>
    <row r="626" spans="1:9" ht="23.25">
      <c r="A626" s="4" t="s">
        <v>46</v>
      </c>
      <c r="B626" s="4"/>
      <c r="C626" s="4" t="s">
        <v>17</v>
      </c>
      <c r="D626" s="4"/>
      <c r="E626" s="1">
        <v>73111</v>
      </c>
      <c r="F626" s="1">
        <v>4038</v>
      </c>
      <c r="G626" s="1">
        <v>2834</v>
      </c>
      <c r="H626" s="1">
        <v>778</v>
      </c>
      <c r="I626" s="1">
        <v>0</v>
      </c>
    </row>
    <row r="627" spans="1:9" ht="23.25">
      <c r="A627" s="4" t="s">
        <v>47</v>
      </c>
      <c r="B627" s="4"/>
      <c r="C627" s="4" t="s">
        <v>17</v>
      </c>
      <c r="D627" s="4"/>
      <c r="E627" s="1">
        <v>459412</v>
      </c>
      <c r="F627" s="1">
        <v>475</v>
      </c>
      <c r="G627" s="1">
        <v>1032</v>
      </c>
      <c r="H627" s="1">
        <v>62</v>
      </c>
      <c r="I627" s="1">
        <v>0</v>
      </c>
    </row>
    <row r="628" spans="1:9" ht="23.25">
      <c r="A628" s="4" t="s">
        <v>48</v>
      </c>
      <c r="B628" s="4"/>
      <c r="C628" s="4" t="s">
        <v>17</v>
      </c>
      <c r="D628" s="4"/>
      <c r="E628" s="1">
        <v>0</v>
      </c>
      <c r="F628" s="1">
        <v>0</v>
      </c>
      <c r="G628" s="1">
        <v>0</v>
      </c>
      <c r="H628" s="1">
        <v>0</v>
      </c>
      <c r="I628" s="1">
        <v>0</v>
      </c>
    </row>
    <row r="629" spans="1:9" ht="23.25">
      <c r="A629" s="4" t="s">
        <v>49</v>
      </c>
      <c r="B629" s="4"/>
      <c r="C629" s="4" t="s">
        <v>17</v>
      </c>
      <c r="D629" s="4"/>
      <c r="E629" s="1">
        <v>0</v>
      </c>
      <c r="F629" s="1">
        <v>0</v>
      </c>
      <c r="G629" s="1">
        <v>0</v>
      </c>
      <c r="H629" s="1">
        <v>0</v>
      </c>
      <c r="I629" s="1">
        <v>0</v>
      </c>
    </row>
    <row r="630" spans="1:9" ht="23.25">
      <c r="A630" s="4" t="s">
        <v>50</v>
      </c>
      <c r="B630" s="4"/>
      <c r="C630" s="4" t="s">
        <v>17</v>
      </c>
      <c r="D630" s="4"/>
      <c r="E630" s="1">
        <v>254138</v>
      </c>
      <c r="F630" s="1">
        <v>31702</v>
      </c>
      <c r="G630" s="1">
        <v>31746</v>
      </c>
      <c r="H630" s="1">
        <v>2528</v>
      </c>
      <c r="I630" s="1">
        <v>0</v>
      </c>
    </row>
    <row r="631" spans="1:9" ht="23.25">
      <c r="A631" s="4" t="s">
        <v>51</v>
      </c>
      <c r="B631" s="4"/>
      <c r="C631" s="4" t="s">
        <v>17</v>
      </c>
      <c r="D631" s="4"/>
      <c r="E631" s="1">
        <v>75364</v>
      </c>
      <c r="F631" s="1">
        <v>15767</v>
      </c>
      <c r="G631" s="1">
        <v>9067</v>
      </c>
      <c r="H631" s="1">
        <v>883</v>
      </c>
      <c r="I631" s="1">
        <v>0</v>
      </c>
    </row>
    <row r="632" spans="1:9" ht="23.25">
      <c r="A632" s="4" t="s">
        <v>52</v>
      </c>
      <c r="B632" s="4"/>
      <c r="C632" s="4" t="s">
        <v>17</v>
      </c>
      <c r="D632" s="4"/>
      <c r="E632" s="1">
        <v>22855</v>
      </c>
      <c r="F632" s="1">
        <v>0</v>
      </c>
      <c r="G632" s="1">
        <v>0</v>
      </c>
      <c r="H632" s="1">
        <v>0</v>
      </c>
      <c r="I632" s="1">
        <v>0</v>
      </c>
    </row>
    <row r="633" spans="1:9" ht="23.25">
      <c r="A633" s="4" t="s">
        <v>53</v>
      </c>
      <c r="B633" s="4"/>
      <c r="C633" s="4" t="s">
        <v>17</v>
      </c>
      <c r="D633" s="4"/>
      <c r="E633" s="1">
        <v>1810</v>
      </c>
      <c r="F633" s="1">
        <v>0</v>
      </c>
      <c r="G633" s="1">
        <v>0</v>
      </c>
      <c r="H633" s="1">
        <v>0</v>
      </c>
      <c r="I633" s="1">
        <v>0</v>
      </c>
    </row>
    <row r="634" spans="1:9" ht="23.25">
      <c r="A634" s="4" t="s">
        <v>54</v>
      </c>
      <c r="B634" s="4"/>
      <c r="C634" s="4" t="s">
        <v>17</v>
      </c>
      <c r="D634" s="4"/>
      <c r="E634" s="1">
        <v>1486</v>
      </c>
      <c r="F634" s="1">
        <v>0</v>
      </c>
      <c r="G634" s="1">
        <v>0</v>
      </c>
      <c r="H634" s="1">
        <v>0</v>
      </c>
      <c r="I634" s="1">
        <v>0</v>
      </c>
    </row>
    <row r="635" spans="1:9" ht="23.25">
      <c r="A635" s="4" t="s">
        <v>55</v>
      </c>
      <c r="B635" s="4"/>
      <c r="C635" s="4" t="s">
        <v>17</v>
      </c>
      <c r="D635" s="4"/>
      <c r="E635" s="1">
        <v>0</v>
      </c>
      <c r="F635" s="1">
        <v>0</v>
      </c>
      <c r="G635" s="1">
        <v>0</v>
      </c>
      <c r="H635" s="1">
        <v>0</v>
      </c>
      <c r="I635" s="1">
        <v>0</v>
      </c>
    </row>
    <row r="636" spans="1:9" ht="23.25">
      <c r="A636" s="4" t="s">
        <v>56</v>
      </c>
      <c r="B636" s="4"/>
      <c r="C636" s="4" t="s">
        <v>17</v>
      </c>
      <c r="D636" s="4"/>
      <c r="E636" s="1">
        <v>0</v>
      </c>
      <c r="F636" s="1">
        <v>-221579</v>
      </c>
      <c r="G636" s="1">
        <v>-210625</v>
      </c>
      <c r="H636" s="1">
        <v>0</v>
      </c>
      <c r="I636" s="1">
        <v>0</v>
      </c>
    </row>
    <row r="637" spans="1:9" ht="23.25">
      <c r="A637" s="4" t="s">
        <v>57</v>
      </c>
      <c r="B637" s="4"/>
      <c r="C637" s="4" t="s">
        <v>17</v>
      </c>
      <c r="D637" s="4"/>
      <c r="E637" s="1">
        <v>320887</v>
      </c>
      <c r="F637" s="1">
        <v>0</v>
      </c>
      <c r="G637" s="1">
        <v>0</v>
      </c>
      <c r="H637" s="1">
        <v>0</v>
      </c>
      <c r="I637" s="1">
        <v>0</v>
      </c>
    </row>
    <row r="638" spans="1:9" ht="23.25">
      <c r="A638" s="4" t="s">
        <v>58</v>
      </c>
      <c r="B638" s="4"/>
      <c r="C638" s="4" t="s">
        <v>17</v>
      </c>
      <c r="D638" s="4"/>
      <c r="E638" s="1">
        <v>74186</v>
      </c>
      <c r="F638" s="1">
        <v>0</v>
      </c>
      <c r="G638" s="1">
        <v>0</v>
      </c>
      <c r="H638" s="1">
        <v>-42161</v>
      </c>
      <c r="I638" s="1">
        <v>0</v>
      </c>
    </row>
    <row r="639" spans="1:9" ht="23.25">
      <c r="A639" s="4" t="s">
        <v>59</v>
      </c>
      <c r="B639" s="4"/>
      <c r="C639" s="4" t="s">
        <v>17</v>
      </c>
      <c r="D639" s="4"/>
      <c r="E639" s="1">
        <v>18013</v>
      </c>
      <c r="F639" s="1">
        <v>0</v>
      </c>
      <c r="G639" s="1">
        <v>0</v>
      </c>
      <c r="H639" s="1">
        <v>0</v>
      </c>
      <c r="I639" s="1">
        <v>0</v>
      </c>
    </row>
    <row r="640" spans="1:9" ht="23.25">
      <c r="A640" s="4" t="s">
        <v>60</v>
      </c>
      <c r="B640" s="4"/>
      <c r="C640" s="4" t="s">
        <v>17</v>
      </c>
      <c r="D640" s="4"/>
      <c r="E640" s="1">
        <v>294298</v>
      </c>
      <c r="F640" s="1">
        <v>0</v>
      </c>
      <c r="G640" s="1">
        <v>0</v>
      </c>
      <c r="H640" s="1">
        <v>0</v>
      </c>
      <c r="I640" s="1">
        <v>0</v>
      </c>
    </row>
    <row r="641" spans="1:9" ht="23.25">
      <c r="A641" s="4" t="s">
        <v>61</v>
      </c>
      <c r="B641" s="4"/>
      <c r="C641" s="4" t="s">
        <v>17</v>
      </c>
      <c r="D641" s="4"/>
      <c r="E641" s="1">
        <v>0</v>
      </c>
      <c r="F641" s="1">
        <v>0</v>
      </c>
      <c r="G641" s="1">
        <v>0</v>
      </c>
      <c r="H641" s="1">
        <v>0</v>
      </c>
      <c r="I641" s="1">
        <v>0</v>
      </c>
    </row>
    <row r="642" spans="1:9" ht="23.25">
      <c r="A642" s="4" t="s">
        <v>62</v>
      </c>
      <c r="B642" s="4"/>
      <c r="C642" s="4" t="s">
        <v>17</v>
      </c>
      <c r="D642" s="4"/>
      <c r="E642" s="1">
        <v>205660</v>
      </c>
      <c r="F642" s="1">
        <v>0</v>
      </c>
      <c r="G642" s="1">
        <v>0</v>
      </c>
      <c r="H642" s="1">
        <v>0</v>
      </c>
      <c r="I642" s="1">
        <v>0</v>
      </c>
    </row>
    <row r="643" spans="1:9" ht="23.25">
      <c r="A643" s="4" t="s">
        <v>63</v>
      </c>
      <c r="B643" s="4"/>
      <c r="C643" s="4" t="s">
        <v>17</v>
      </c>
      <c r="D643" s="4"/>
      <c r="E643" s="1">
        <v>3651</v>
      </c>
      <c r="F643" s="1">
        <v>0</v>
      </c>
      <c r="G643" s="1">
        <v>0</v>
      </c>
      <c r="H643" s="1">
        <v>0</v>
      </c>
      <c r="I643" s="1">
        <v>0</v>
      </c>
    </row>
    <row r="644" spans="1:9" ht="23.25">
      <c r="A644" s="4" t="s">
        <v>64</v>
      </c>
      <c r="B644" s="4"/>
      <c r="C644" s="4" t="s">
        <v>17</v>
      </c>
      <c r="D644" s="4"/>
      <c r="E644" s="1">
        <v>223330</v>
      </c>
      <c r="F644" s="1">
        <v>0</v>
      </c>
      <c r="G644" s="1">
        <v>0</v>
      </c>
      <c r="H644" s="1">
        <v>0</v>
      </c>
      <c r="I644" s="1">
        <v>0</v>
      </c>
    </row>
    <row r="645" spans="1:9" ht="23.25">
      <c r="A645" s="4" t="s">
        <v>65</v>
      </c>
      <c r="B645" s="4"/>
      <c r="C645" s="4" t="s">
        <v>17</v>
      </c>
      <c r="D645" s="4"/>
      <c r="E645" s="1">
        <v>240096</v>
      </c>
      <c r="F645" s="1">
        <v>0</v>
      </c>
      <c r="G645" s="1">
        <v>0</v>
      </c>
      <c r="H645" s="1">
        <v>0</v>
      </c>
      <c r="I645" s="1">
        <v>23589</v>
      </c>
    </row>
    <row r="646" spans="1:9" ht="23.25">
      <c r="A646" s="4" t="s">
        <v>66</v>
      </c>
      <c r="B646" s="4"/>
      <c r="C646" s="4" t="s">
        <v>17</v>
      </c>
      <c r="D646" s="4"/>
      <c r="E646" s="1">
        <v>6037452</v>
      </c>
      <c r="F646" s="1">
        <v>0</v>
      </c>
      <c r="G646" s="1">
        <v>0</v>
      </c>
      <c r="H646" s="1">
        <v>0</v>
      </c>
      <c r="I646" s="1">
        <v>279697</v>
      </c>
    </row>
    <row r="647" spans="1:9" ht="23.25">
      <c r="A647" s="4" t="s">
        <v>67</v>
      </c>
      <c r="B647" s="4"/>
      <c r="C647" s="4" t="s">
        <v>17</v>
      </c>
      <c r="D647" s="4"/>
      <c r="E647" s="1">
        <v>6320044</v>
      </c>
      <c r="F647" s="1">
        <v>0</v>
      </c>
      <c r="G647" s="1">
        <v>0</v>
      </c>
      <c r="H647" s="1">
        <v>0</v>
      </c>
      <c r="I647" s="1">
        <v>0</v>
      </c>
    </row>
    <row r="648" spans="1:9" ht="23.25">
      <c r="A648" s="4" t="s">
        <v>68</v>
      </c>
      <c r="B648" s="4"/>
      <c r="C648" s="4" t="s">
        <v>17</v>
      </c>
      <c r="D648" s="4"/>
      <c r="E648" s="1">
        <v>9645342</v>
      </c>
      <c r="F648" s="1">
        <v>0</v>
      </c>
      <c r="G648" s="1">
        <v>0</v>
      </c>
      <c r="H648" s="1">
        <v>0</v>
      </c>
      <c r="I648" s="1">
        <v>0</v>
      </c>
    </row>
    <row r="649" spans="1:9" ht="23.25">
      <c r="A649" s="4" t="s">
        <v>69</v>
      </c>
      <c r="B649" s="4"/>
      <c r="C649" s="4" t="s">
        <v>17</v>
      </c>
      <c r="D649" s="4"/>
      <c r="E649" s="1">
        <v>1414583</v>
      </c>
      <c r="F649" s="1">
        <v>0</v>
      </c>
      <c r="G649" s="1">
        <v>0</v>
      </c>
      <c r="H649" s="1">
        <v>0</v>
      </c>
      <c r="I649" s="1">
        <v>0</v>
      </c>
    </row>
    <row r="650" spans="1:9" ht="23.25">
      <c r="A650" s="4" t="s">
        <v>70</v>
      </c>
      <c r="B650" s="4"/>
      <c r="C650" s="4" t="s">
        <v>17</v>
      </c>
      <c r="D650" s="4"/>
      <c r="E650" s="1">
        <v>617367</v>
      </c>
      <c r="F650" s="1">
        <v>0</v>
      </c>
      <c r="G650" s="1">
        <v>0</v>
      </c>
      <c r="H650" s="1">
        <v>0</v>
      </c>
      <c r="I650" s="1">
        <v>0</v>
      </c>
    </row>
    <row r="651" spans="1:9" ht="23.25">
      <c r="A651" s="4" t="s">
        <v>71</v>
      </c>
      <c r="B651" s="4"/>
      <c r="C651" s="4" t="s">
        <v>17</v>
      </c>
      <c r="D651" s="4"/>
      <c r="E651" s="1">
        <v>17997336</v>
      </c>
      <c r="F651" s="1">
        <v>0</v>
      </c>
      <c r="G651" s="1">
        <v>0</v>
      </c>
      <c r="H651" s="1">
        <v>0</v>
      </c>
      <c r="I651" s="1">
        <v>0</v>
      </c>
    </row>
    <row r="652" spans="1:9" ht="23.25">
      <c r="A652" s="4" t="s">
        <v>72</v>
      </c>
      <c r="B652" s="4"/>
      <c r="C652" s="4" t="s">
        <v>17</v>
      </c>
      <c r="D652" s="4"/>
      <c r="E652" s="1">
        <v>24034788</v>
      </c>
      <c r="F652" s="1">
        <v>0</v>
      </c>
      <c r="G652" s="1">
        <v>0</v>
      </c>
      <c r="H652" s="1">
        <v>0</v>
      </c>
      <c r="I652" s="1">
        <v>0</v>
      </c>
    </row>
    <row r="653" spans="1:9" ht="23.25">
      <c r="A653" s="4" t="s">
        <v>8</v>
      </c>
      <c r="B653" s="4"/>
      <c r="C653" s="4" t="s">
        <v>18</v>
      </c>
      <c r="D653" s="4"/>
      <c r="E653" s="1">
        <v>0</v>
      </c>
      <c r="F653" s="1">
        <v>0</v>
      </c>
      <c r="G653" s="1">
        <v>0</v>
      </c>
      <c r="H653" s="1">
        <v>0</v>
      </c>
      <c r="I653" s="1">
        <v>0</v>
      </c>
    </row>
    <row r="654" spans="1:9" ht="23.25">
      <c r="A654" s="4" t="s">
        <v>9</v>
      </c>
      <c r="B654" s="4"/>
      <c r="C654" s="4" t="s">
        <v>18</v>
      </c>
      <c r="D654" s="4"/>
      <c r="E654" s="1">
        <v>0</v>
      </c>
      <c r="F654" s="1">
        <v>0</v>
      </c>
      <c r="G654" s="1">
        <v>0</v>
      </c>
      <c r="H654" s="1">
        <v>0</v>
      </c>
      <c r="I654" s="1">
        <v>0</v>
      </c>
    </row>
    <row r="655" spans="1:9" ht="23.25">
      <c r="A655" s="4" t="s">
        <v>10</v>
      </c>
      <c r="B655" s="4"/>
      <c r="C655" s="4" t="s">
        <v>18</v>
      </c>
      <c r="D655" s="4"/>
      <c r="E655" s="1">
        <v>0</v>
      </c>
      <c r="F655" s="1">
        <v>0</v>
      </c>
      <c r="G655" s="1">
        <v>0</v>
      </c>
      <c r="H655" s="1">
        <v>0</v>
      </c>
      <c r="I655" s="1">
        <v>0</v>
      </c>
    </row>
    <row r="656" spans="1:9" ht="23.25">
      <c r="A656" s="4" t="s">
        <v>11</v>
      </c>
      <c r="B656" s="4"/>
      <c r="C656" s="4" t="s">
        <v>18</v>
      </c>
      <c r="D656" s="4"/>
      <c r="E656" s="1">
        <v>0</v>
      </c>
      <c r="F656" s="1">
        <v>0</v>
      </c>
      <c r="G656" s="1">
        <v>0</v>
      </c>
      <c r="H656" s="1">
        <v>0</v>
      </c>
      <c r="I656" s="1">
        <v>0</v>
      </c>
    </row>
    <row r="657" spans="1:9" ht="23.25">
      <c r="A657" s="4" t="s">
        <v>12</v>
      </c>
      <c r="B657" s="4"/>
      <c r="C657" s="4" t="s">
        <v>18</v>
      </c>
      <c r="D657" s="4"/>
      <c r="E657" s="1">
        <v>0</v>
      </c>
      <c r="F657" s="1">
        <v>0</v>
      </c>
      <c r="G657" s="1">
        <v>0</v>
      </c>
      <c r="H657" s="1">
        <v>0</v>
      </c>
      <c r="I657" s="1">
        <v>0</v>
      </c>
    </row>
    <row r="658" spans="1:9" ht="23.25">
      <c r="A658" s="4" t="s">
        <v>13</v>
      </c>
      <c r="B658" s="4"/>
      <c r="C658" s="4" t="s">
        <v>18</v>
      </c>
      <c r="D658" s="4"/>
      <c r="E658" s="1">
        <v>0</v>
      </c>
      <c r="F658" s="1">
        <v>0</v>
      </c>
      <c r="G658" s="1">
        <v>0</v>
      </c>
      <c r="H658" s="1">
        <v>0</v>
      </c>
      <c r="I658" s="1">
        <v>0</v>
      </c>
    </row>
    <row r="659" spans="1:9" ht="23.25">
      <c r="A659" s="4" t="s">
        <v>14</v>
      </c>
      <c r="B659" s="4"/>
      <c r="C659" s="4" t="s">
        <v>18</v>
      </c>
      <c r="D659" s="4"/>
      <c r="E659" s="1">
        <v>0</v>
      </c>
      <c r="F659" s="1">
        <v>0</v>
      </c>
      <c r="G659" s="1">
        <v>0</v>
      </c>
      <c r="H659" s="1">
        <v>0</v>
      </c>
      <c r="I659" s="1">
        <v>0</v>
      </c>
    </row>
    <row r="660" spans="1:9" ht="23.25">
      <c r="A660" s="4" t="s">
        <v>15</v>
      </c>
      <c r="B660" s="4"/>
      <c r="C660" s="4" t="s">
        <v>18</v>
      </c>
      <c r="D660" s="4"/>
      <c r="E660" s="1">
        <v>440057</v>
      </c>
      <c r="F660" s="1">
        <v>0</v>
      </c>
      <c r="G660" s="1">
        <v>0</v>
      </c>
      <c r="H660" s="1">
        <v>0</v>
      </c>
      <c r="I660" s="1">
        <v>0</v>
      </c>
    </row>
    <row r="661" spans="1:9" ht="23.25">
      <c r="A661" s="4" t="s">
        <v>16</v>
      </c>
      <c r="B661" s="4"/>
      <c r="C661" s="4" t="s">
        <v>18</v>
      </c>
      <c r="D661" s="4"/>
      <c r="E661" s="1">
        <v>0</v>
      </c>
      <c r="F661" s="1">
        <v>0</v>
      </c>
      <c r="G661" s="1">
        <v>0</v>
      </c>
      <c r="H661" s="1">
        <v>0</v>
      </c>
      <c r="I661" s="1">
        <v>0</v>
      </c>
    </row>
    <row r="662" spans="1:9" ht="23.25">
      <c r="A662" s="4" t="s">
        <v>17</v>
      </c>
      <c r="B662" s="4"/>
      <c r="C662" s="4" t="s">
        <v>18</v>
      </c>
      <c r="D662" s="4"/>
      <c r="E662" s="1">
        <v>8062</v>
      </c>
      <c r="F662" s="1">
        <v>1065</v>
      </c>
      <c r="G662" s="1">
        <v>1188</v>
      </c>
      <c r="H662" s="1">
        <v>165</v>
      </c>
      <c r="I662" s="1">
        <v>0</v>
      </c>
    </row>
    <row r="663" spans="1:9" ht="23.25">
      <c r="A663" s="4" t="s">
        <v>18</v>
      </c>
      <c r="B663" s="4"/>
      <c r="C663" s="4" t="s">
        <v>18</v>
      </c>
      <c r="D663" s="4"/>
      <c r="E663" s="1">
        <v>11719193</v>
      </c>
      <c r="F663" s="1">
        <v>1013062</v>
      </c>
      <c r="G663" s="1">
        <v>750827</v>
      </c>
      <c r="H663" s="1">
        <v>208137</v>
      </c>
      <c r="I663" s="1">
        <v>206760</v>
      </c>
    </row>
    <row r="664" spans="1:9" ht="23.25">
      <c r="A664" s="4" t="s">
        <v>19</v>
      </c>
      <c r="B664" s="4"/>
      <c r="C664" s="4" t="s">
        <v>18</v>
      </c>
      <c r="D664" s="4"/>
      <c r="E664" s="1">
        <v>0</v>
      </c>
      <c r="F664" s="1">
        <v>0</v>
      </c>
      <c r="G664" s="1">
        <v>0</v>
      </c>
      <c r="H664" s="1">
        <v>0</v>
      </c>
      <c r="I664" s="1">
        <v>0</v>
      </c>
    </row>
    <row r="665" spans="1:9" ht="23.25">
      <c r="A665" s="4" t="s">
        <v>20</v>
      </c>
      <c r="B665" s="4"/>
      <c r="C665" s="4" t="s">
        <v>18</v>
      </c>
      <c r="D665" s="4"/>
      <c r="E665" s="1">
        <v>0</v>
      </c>
      <c r="F665" s="1">
        <v>0</v>
      </c>
      <c r="G665" s="1">
        <v>0</v>
      </c>
      <c r="H665" s="1">
        <v>0</v>
      </c>
      <c r="I665" s="1">
        <v>0</v>
      </c>
    </row>
    <row r="666" spans="1:9" ht="23.25">
      <c r="A666" s="4" t="s">
        <v>21</v>
      </c>
      <c r="B666" s="4"/>
      <c r="C666" s="4" t="s">
        <v>18</v>
      </c>
      <c r="D666" s="4"/>
      <c r="E666" s="1">
        <v>39198</v>
      </c>
      <c r="F666" s="1">
        <v>3371</v>
      </c>
      <c r="G666" s="1">
        <v>1768</v>
      </c>
      <c r="H666" s="1">
        <v>1974</v>
      </c>
      <c r="I666" s="1">
        <v>0</v>
      </c>
    </row>
    <row r="667" spans="1:9" ht="23.25">
      <c r="A667" s="4" t="s">
        <v>22</v>
      </c>
      <c r="B667" s="4"/>
      <c r="C667" s="4" t="s">
        <v>18</v>
      </c>
      <c r="D667" s="4"/>
      <c r="E667" s="1">
        <v>0</v>
      </c>
      <c r="F667" s="1">
        <v>0</v>
      </c>
      <c r="G667" s="1">
        <v>0</v>
      </c>
      <c r="H667" s="1">
        <v>0</v>
      </c>
      <c r="I667" s="1">
        <v>0</v>
      </c>
    </row>
    <row r="668" spans="1:9" ht="23.25">
      <c r="A668" s="4" t="s">
        <v>23</v>
      </c>
      <c r="B668" s="4"/>
      <c r="C668" s="4" t="s">
        <v>18</v>
      </c>
      <c r="D668" s="4"/>
      <c r="E668" s="1">
        <v>0</v>
      </c>
      <c r="F668" s="1">
        <v>0</v>
      </c>
      <c r="G668" s="1">
        <v>0</v>
      </c>
      <c r="H668" s="1">
        <v>0</v>
      </c>
      <c r="I668" s="1">
        <v>0</v>
      </c>
    </row>
    <row r="669" spans="1:9" ht="23.25">
      <c r="A669" s="4" t="s">
        <v>24</v>
      </c>
      <c r="B669" s="4"/>
      <c r="C669" s="4" t="s">
        <v>18</v>
      </c>
      <c r="D669" s="4"/>
      <c r="E669" s="1">
        <v>528741</v>
      </c>
      <c r="F669" s="1">
        <v>6798</v>
      </c>
      <c r="G669" s="1">
        <v>22689</v>
      </c>
      <c r="H669" s="1">
        <v>8413</v>
      </c>
      <c r="I669" s="1">
        <v>0</v>
      </c>
    </row>
    <row r="670" spans="1:9" ht="23.25">
      <c r="A670" s="4" t="s">
        <v>25</v>
      </c>
      <c r="B670" s="4"/>
      <c r="C670" s="4" t="s">
        <v>18</v>
      </c>
      <c r="D670" s="4"/>
      <c r="E670" s="1">
        <v>0</v>
      </c>
      <c r="F670" s="1">
        <v>0</v>
      </c>
      <c r="G670" s="1">
        <v>0</v>
      </c>
      <c r="H670" s="1">
        <v>0</v>
      </c>
      <c r="I670" s="1">
        <v>0</v>
      </c>
    </row>
    <row r="671" spans="1:9" ht="23.25">
      <c r="A671" s="4" t="s">
        <v>26</v>
      </c>
      <c r="B671" s="4"/>
      <c r="C671" s="4" t="s">
        <v>18</v>
      </c>
      <c r="D671" s="4"/>
      <c r="E671" s="1">
        <v>5990688</v>
      </c>
      <c r="F671" s="1">
        <v>304341</v>
      </c>
      <c r="G671" s="1">
        <v>0</v>
      </c>
      <c r="H671" s="1">
        <v>151875</v>
      </c>
      <c r="I671" s="1">
        <v>0</v>
      </c>
    </row>
    <row r="672" spans="1:9" ht="23.25">
      <c r="A672" s="4" t="s">
        <v>27</v>
      </c>
      <c r="B672" s="4"/>
      <c r="C672" s="4" t="s">
        <v>18</v>
      </c>
      <c r="D672" s="4"/>
      <c r="E672" s="1">
        <v>26279943</v>
      </c>
      <c r="F672" s="1">
        <v>1427251</v>
      </c>
      <c r="G672" s="1">
        <v>2263772</v>
      </c>
      <c r="H672" s="1">
        <v>297572</v>
      </c>
      <c r="I672" s="1">
        <v>7468998</v>
      </c>
    </row>
    <row r="673" spans="1:9" ht="23.25">
      <c r="A673" s="4" t="s">
        <v>28</v>
      </c>
      <c r="B673" s="4"/>
      <c r="C673" s="4" t="s">
        <v>18</v>
      </c>
      <c r="D673" s="4"/>
      <c r="E673" s="1">
        <v>0</v>
      </c>
      <c r="F673" s="1">
        <v>0</v>
      </c>
      <c r="G673" s="1">
        <v>0</v>
      </c>
      <c r="H673" s="1">
        <v>0</v>
      </c>
      <c r="I673" s="1">
        <v>0</v>
      </c>
    </row>
    <row r="674" spans="1:9" ht="23.25">
      <c r="A674" s="4" t="s">
        <v>29</v>
      </c>
      <c r="B674" s="4"/>
      <c r="C674" s="4" t="s">
        <v>18</v>
      </c>
      <c r="D674" s="4"/>
      <c r="E674" s="1">
        <v>0</v>
      </c>
      <c r="F674" s="1">
        <v>0</v>
      </c>
      <c r="G674" s="1">
        <v>0</v>
      </c>
      <c r="H674" s="1">
        <v>0</v>
      </c>
      <c r="I674" s="1">
        <v>0</v>
      </c>
    </row>
    <row r="675" spans="1:9" ht="23.25">
      <c r="A675" s="4" t="s">
        <v>30</v>
      </c>
      <c r="B675" s="4"/>
      <c r="C675" s="4" t="s">
        <v>18</v>
      </c>
      <c r="D675" s="4"/>
      <c r="E675" s="1">
        <v>1177</v>
      </c>
      <c r="F675" s="1">
        <v>49</v>
      </c>
      <c r="G675" s="1">
        <v>0</v>
      </c>
      <c r="H675" s="1">
        <v>0</v>
      </c>
      <c r="I675" s="1">
        <v>0</v>
      </c>
    </row>
    <row r="676" spans="1:9" ht="23.25">
      <c r="A676" s="4" t="s">
        <v>31</v>
      </c>
      <c r="B676" s="4"/>
      <c r="C676" s="4" t="s">
        <v>18</v>
      </c>
      <c r="D676" s="4"/>
      <c r="E676" s="1">
        <v>943037</v>
      </c>
      <c r="F676" s="1">
        <v>13994</v>
      </c>
      <c r="G676" s="1">
        <v>597</v>
      </c>
      <c r="H676" s="1">
        <v>2791</v>
      </c>
      <c r="I676" s="1">
        <v>696315</v>
      </c>
    </row>
    <row r="677" spans="1:9" ht="23.25">
      <c r="A677" s="4" t="s">
        <v>32</v>
      </c>
      <c r="B677" s="4"/>
      <c r="C677" s="4" t="s">
        <v>18</v>
      </c>
      <c r="D677" s="4"/>
      <c r="E677" s="1">
        <v>150154</v>
      </c>
      <c r="F677" s="1">
        <v>12870</v>
      </c>
      <c r="G677" s="1">
        <v>4242</v>
      </c>
      <c r="H677" s="1">
        <v>2476</v>
      </c>
      <c r="I677" s="1">
        <v>0</v>
      </c>
    </row>
    <row r="678" spans="1:9" ht="23.25">
      <c r="A678" s="4" t="s">
        <v>33</v>
      </c>
      <c r="B678" s="4"/>
      <c r="C678" s="4" t="s">
        <v>18</v>
      </c>
      <c r="D678" s="4"/>
      <c r="E678" s="1">
        <v>0</v>
      </c>
      <c r="F678" s="1">
        <v>0</v>
      </c>
      <c r="G678" s="1">
        <v>0</v>
      </c>
      <c r="H678" s="1">
        <v>0</v>
      </c>
      <c r="I678" s="1">
        <v>0</v>
      </c>
    </row>
    <row r="679" spans="1:9" ht="23.25">
      <c r="A679" s="4" t="s">
        <v>34</v>
      </c>
      <c r="B679" s="4"/>
      <c r="C679" s="4" t="s">
        <v>18</v>
      </c>
      <c r="D679" s="4"/>
      <c r="E679" s="1">
        <v>1951495</v>
      </c>
      <c r="F679" s="1">
        <v>56503</v>
      </c>
      <c r="G679" s="1">
        <v>28654</v>
      </c>
      <c r="H679" s="1">
        <v>31577</v>
      </c>
      <c r="I679" s="1">
        <v>1088050</v>
      </c>
    </row>
    <row r="680" spans="1:9" ht="23.25">
      <c r="A680" s="4" t="s">
        <v>35</v>
      </c>
      <c r="B680" s="4"/>
      <c r="C680" s="4" t="s">
        <v>18</v>
      </c>
      <c r="D680" s="4"/>
      <c r="E680" s="1">
        <v>16590</v>
      </c>
      <c r="F680" s="1">
        <v>1635</v>
      </c>
      <c r="G680" s="1">
        <v>1722</v>
      </c>
      <c r="H680" s="1">
        <v>693</v>
      </c>
      <c r="I680" s="1">
        <v>0</v>
      </c>
    </row>
    <row r="681" spans="1:9" ht="23.25">
      <c r="A681" s="4" t="s">
        <v>36</v>
      </c>
      <c r="B681" s="4"/>
      <c r="C681" s="4" t="s">
        <v>18</v>
      </c>
      <c r="D681" s="4"/>
      <c r="E681" s="1">
        <v>277381</v>
      </c>
      <c r="F681" s="1">
        <v>27805</v>
      </c>
      <c r="G681" s="1">
        <v>47590</v>
      </c>
      <c r="H681" s="1">
        <v>2321</v>
      </c>
      <c r="I681" s="1">
        <v>714</v>
      </c>
    </row>
    <row r="682" spans="1:9" ht="23.25">
      <c r="A682" s="4" t="s">
        <v>37</v>
      </c>
      <c r="B682" s="4"/>
      <c r="C682" s="4" t="s">
        <v>18</v>
      </c>
      <c r="D682" s="4"/>
      <c r="E682" s="1">
        <v>37325272</v>
      </c>
      <c r="F682" s="1">
        <v>1875680</v>
      </c>
      <c r="G682" s="1">
        <v>2401086</v>
      </c>
      <c r="H682" s="1">
        <v>366079</v>
      </c>
      <c r="I682" s="1">
        <v>6411875</v>
      </c>
    </row>
    <row r="683" spans="1:9" ht="23.25">
      <c r="A683" s="4" t="s">
        <v>38</v>
      </c>
      <c r="B683" s="4"/>
      <c r="C683" s="4" t="s">
        <v>18</v>
      </c>
      <c r="D683" s="4"/>
      <c r="E683" s="1">
        <v>12227</v>
      </c>
      <c r="F683" s="1">
        <v>1072</v>
      </c>
      <c r="G683" s="1">
        <v>1443</v>
      </c>
      <c r="H683" s="1">
        <v>329</v>
      </c>
      <c r="I683" s="1">
        <v>0</v>
      </c>
    </row>
    <row r="684" spans="1:9" ht="23.25">
      <c r="A684" s="4" t="s">
        <v>39</v>
      </c>
      <c r="B684" s="4"/>
      <c r="C684" s="4" t="s">
        <v>18</v>
      </c>
      <c r="D684" s="4"/>
      <c r="E684" s="1">
        <v>2983654</v>
      </c>
      <c r="F684" s="1">
        <v>111021</v>
      </c>
      <c r="G684" s="1">
        <v>206434</v>
      </c>
      <c r="H684" s="1">
        <v>22541</v>
      </c>
      <c r="I684" s="1">
        <v>1394456</v>
      </c>
    </row>
    <row r="685" spans="1:9" ht="23.25">
      <c r="A685" s="4" t="s">
        <v>40</v>
      </c>
      <c r="B685" s="4"/>
      <c r="C685" s="4" t="s">
        <v>18</v>
      </c>
      <c r="D685" s="4"/>
      <c r="E685" s="1">
        <v>240258</v>
      </c>
      <c r="F685" s="1">
        <v>16294</v>
      </c>
      <c r="G685" s="1">
        <v>14085</v>
      </c>
      <c r="H685" s="1">
        <v>3768</v>
      </c>
      <c r="I685" s="1">
        <v>0</v>
      </c>
    </row>
    <row r="686" spans="1:9" ht="23.25">
      <c r="A686" s="4" t="s">
        <v>41</v>
      </c>
      <c r="B686" s="4"/>
      <c r="C686" s="4" t="s">
        <v>18</v>
      </c>
      <c r="D686" s="4"/>
      <c r="E686" s="1">
        <v>0</v>
      </c>
      <c r="F686" s="1">
        <v>0</v>
      </c>
      <c r="G686" s="1">
        <v>0</v>
      </c>
      <c r="H686" s="1">
        <v>0</v>
      </c>
      <c r="I686" s="1">
        <v>0</v>
      </c>
    </row>
    <row r="687" spans="1:9" ht="23.25">
      <c r="A687" s="4" t="s">
        <v>42</v>
      </c>
      <c r="B687" s="4"/>
      <c r="C687" s="4" t="s">
        <v>18</v>
      </c>
      <c r="D687" s="4"/>
      <c r="E687" s="1">
        <v>3340</v>
      </c>
      <c r="F687" s="1">
        <v>172</v>
      </c>
      <c r="G687" s="1">
        <v>192</v>
      </c>
      <c r="H687" s="1">
        <v>40</v>
      </c>
      <c r="I687" s="1">
        <v>861</v>
      </c>
    </row>
    <row r="688" spans="1:9" ht="23.25">
      <c r="A688" s="4" t="s">
        <v>43</v>
      </c>
      <c r="B688" s="4"/>
      <c r="C688" s="4" t="s">
        <v>18</v>
      </c>
      <c r="D688" s="4"/>
      <c r="E688" s="1">
        <v>0</v>
      </c>
      <c r="F688" s="1">
        <v>0</v>
      </c>
      <c r="G688" s="1">
        <v>0</v>
      </c>
      <c r="H688" s="1">
        <v>0</v>
      </c>
      <c r="I688" s="1">
        <v>0</v>
      </c>
    </row>
    <row r="689" spans="1:9" ht="23.25">
      <c r="A689" s="4" t="s">
        <v>44</v>
      </c>
      <c r="B689" s="4"/>
      <c r="C689" s="4" t="s">
        <v>18</v>
      </c>
      <c r="D689" s="4"/>
      <c r="E689" s="1">
        <v>42941</v>
      </c>
      <c r="F689" s="1">
        <v>270</v>
      </c>
      <c r="G689" s="1">
        <v>1282</v>
      </c>
      <c r="H689" s="1">
        <v>87</v>
      </c>
      <c r="I689" s="1">
        <v>22243</v>
      </c>
    </row>
    <row r="690" spans="1:9" ht="23.25">
      <c r="A690" s="4" t="s">
        <v>45</v>
      </c>
      <c r="B690" s="4"/>
      <c r="C690" s="4" t="s">
        <v>18</v>
      </c>
      <c r="D690" s="4"/>
      <c r="E690" s="1">
        <v>625244</v>
      </c>
      <c r="F690" s="1">
        <v>31464</v>
      </c>
      <c r="G690" s="1">
        <v>43183</v>
      </c>
      <c r="H690" s="1">
        <v>4265</v>
      </c>
      <c r="I690" s="1">
        <v>0</v>
      </c>
    </row>
    <row r="691" spans="1:9" ht="23.25">
      <c r="A691" s="4" t="s">
        <v>46</v>
      </c>
      <c r="B691" s="4"/>
      <c r="C691" s="4" t="s">
        <v>18</v>
      </c>
      <c r="D691" s="4"/>
      <c r="E691" s="1">
        <v>289499</v>
      </c>
      <c r="F691" s="1">
        <v>15891</v>
      </c>
      <c r="G691" s="1">
        <v>17891</v>
      </c>
      <c r="H691" s="1">
        <v>2325</v>
      </c>
      <c r="I691" s="1">
        <v>0</v>
      </c>
    </row>
    <row r="692" spans="1:9" ht="23.25">
      <c r="A692" s="4" t="s">
        <v>47</v>
      </c>
      <c r="B692" s="4"/>
      <c r="C692" s="4" t="s">
        <v>18</v>
      </c>
      <c r="D692" s="4"/>
      <c r="E692" s="1">
        <v>210767</v>
      </c>
      <c r="F692" s="1">
        <v>0</v>
      </c>
      <c r="G692" s="1">
        <v>0</v>
      </c>
      <c r="H692" s="1">
        <v>0</v>
      </c>
      <c r="I692" s="1">
        <v>0</v>
      </c>
    </row>
    <row r="693" spans="1:9" ht="23.25">
      <c r="A693" s="4" t="s">
        <v>48</v>
      </c>
      <c r="B693" s="4"/>
      <c r="C693" s="4" t="s">
        <v>18</v>
      </c>
      <c r="D693" s="4"/>
      <c r="E693" s="1">
        <v>3567187</v>
      </c>
      <c r="F693" s="1">
        <v>24436</v>
      </c>
      <c r="G693" s="1">
        <v>0</v>
      </c>
      <c r="H693" s="1">
        <v>9660</v>
      </c>
      <c r="I693" s="1">
        <v>0</v>
      </c>
    </row>
    <row r="694" spans="1:9" ht="23.25">
      <c r="A694" s="4" t="s">
        <v>49</v>
      </c>
      <c r="B694" s="4"/>
      <c r="C694" s="4" t="s">
        <v>18</v>
      </c>
      <c r="D694" s="4"/>
      <c r="E694" s="1">
        <v>0</v>
      </c>
      <c r="F694" s="1">
        <v>0</v>
      </c>
      <c r="G694" s="1">
        <v>0</v>
      </c>
      <c r="H694" s="1">
        <v>0</v>
      </c>
      <c r="I694" s="1">
        <v>0</v>
      </c>
    </row>
    <row r="695" spans="1:9" ht="23.25">
      <c r="A695" s="4" t="s">
        <v>50</v>
      </c>
      <c r="B695" s="4"/>
      <c r="C695" s="4" t="s">
        <v>18</v>
      </c>
      <c r="D695" s="4"/>
      <c r="E695" s="1">
        <v>198727</v>
      </c>
      <c r="F695" s="1">
        <v>20939</v>
      </c>
      <c r="G695" s="1">
        <v>19467</v>
      </c>
      <c r="H695" s="1">
        <v>1456</v>
      </c>
      <c r="I695" s="1">
        <v>0</v>
      </c>
    </row>
    <row r="696" spans="1:9" ht="23.25">
      <c r="A696" s="4" t="s">
        <v>51</v>
      </c>
      <c r="B696" s="4"/>
      <c r="C696" s="4" t="s">
        <v>18</v>
      </c>
      <c r="D696" s="4"/>
      <c r="E696" s="1">
        <v>72626</v>
      </c>
      <c r="F696" s="1">
        <v>15152</v>
      </c>
      <c r="G696" s="1">
        <v>8464</v>
      </c>
      <c r="H696" s="1">
        <v>1157</v>
      </c>
      <c r="I696" s="1">
        <v>0</v>
      </c>
    </row>
    <row r="697" spans="1:9" ht="23.25">
      <c r="A697" s="4" t="s">
        <v>52</v>
      </c>
      <c r="B697" s="4"/>
      <c r="C697" s="4" t="s">
        <v>18</v>
      </c>
      <c r="D697" s="4"/>
      <c r="E697" s="1">
        <v>960016</v>
      </c>
      <c r="F697" s="1">
        <v>205</v>
      </c>
      <c r="G697" s="1">
        <v>436</v>
      </c>
      <c r="H697" s="1">
        <v>120</v>
      </c>
      <c r="I697" s="1">
        <v>0</v>
      </c>
    </row>
    <row r="698" spans="1:9" ht="23.25">
      <c r="A698" s="4" t="s">
        <v>53</v>
      </c>
      <c r="B698" s="4"/>
      <c r="C698" s="4" t="s">
        <v>18</v>
      </c>
      <c r="D698" s="4"/>
      <c r="E698" s="1">
        <v>18018</v>
      </c>
      <c r="F698" s="1">
        <v>0</v>
      </c>
      <c r="G698" s="1">
        <v>0</v>
      </c>
      <c r="H698" s="1">
        <v>0</v>
      </c>
      <c r="I698" s="1">
        <v>0</v>
      </c>
    </row>
    <row r="699" spans="1:9" ht="23.25">
      <c r="A699" s="4" t="s">
        <v>54</v>
      </c>
      <c r="B699" s="4"/>
      <c r="C699" s="4" t="s">
        <v>18</v>
      </c>
      <c r="D699" s="4"/>
      <c r="E699" s="1">
        <v>58869</v>
      </c>
      <c r="F699" s="1">
        <v>0</v>
      </c>
      <c r="G699" s="1">
        <v>0</v>
      </c>
      <c r="H699" s="1">
        <v>0</v>
      </c>
      <c r="I699" s="1">
        <v>0</v>
      </c>
    </row>
    <row r="700" spans="1:9" ht="23.25">
      <c r="A700" s="4" t="s">
        <v>55</v>
      </c>
      <c r="B700" s="4"/>
      <c r="C700" s="4" t="s">
        <v>18</v>
      </c>
      <c r="D700" s="4"/>
      <c r="E700" s="1">
        <v>0</v>
      </c>
      <c r="F700" s="1">
        <v>0</v>
      </c>
      <c r="G700" s="1">
        <v>0</v>
      </c>
      <c r="H700" s="1">
        <v>0</v>
      </c>
      <c r="I700" s="1">
        <v>0</v>
      </c>
    </row>
    <row r="701" spans="1:9" ht="23.25">
      <c r="A701" s="4" t="s">
        <v>56</v>
      </c>
      <c r="B701" s="4"/>
      <c r="C701" s="4" t="s">
        <v>18</v>
      </c>
      <c r="D701" s="4"/>
      <c r="E701" s="1">
        <v>0</v>
      </c>
      <c r="F701" s="1">
        <v>-4981340</v>
      </c>
      <c r="G701" s="1">
        <v>-5837012</v>
      </c>
      <c r="H701" s="1">
        <v>0</v>
      </c>
      <c r="I701" s="1">
        <v>0</v>
      </c>
    </row>
    <row r="702" spans="1:9" ht="23.25">
      <c r="A702" s="4" t="s">
        <v>57</v>
      </c>
      <c r="B702" s="4"/>
      <c r="C702" s="4" t="s">
        <v>18</v>
      </c>
      <c r="D702" s="4"/>
      <c r="E702" s="1">
        <v>293793</v>
      </c>
      <c r="F702" s="1">
        <v>0</v>
      </c>
      <c r="G702" s="1">
        <v>0</v>
      </c>
      <c r="H702" s="1">
        <v>0</v>
      </c>
      <c r="I702" s="1">
        <v>0</v>
      </c>
    </row>
    <row r="703" spans="1:9" ht="23.25">
      <c r="A703" s="4" t="s">
        <v>58</v>
      </c>
      <c r="B703" s="4"/>
      <c r="C703" s="4" t="s">
        <v>18</v>
      </c>
      <c r="D703" s="4"/>
      <c r="E703" s="1">
        <v>50155</v>
      </c>
      <c r="F703" s="1">
        <v>0</v>
      </c>
      <c r="G703" s="1">
        <v>0</v>
      </c>
      <c r="H703" s="1">
        <v>-1119821</v>
      </c>
      <c r="I703" s="1">
        <v>0</v>
      </c>
    </row>
    <row r="704" spans="1:9" ht="23.25">
      <c r="A704" s="4" t="s">
        <v>59</v>
      </c>
      <c r="B704" s="4"/>
      <c r="C704" s="4" t="s">
        <v>18</v>
      </c>
      <c r="D704" s="4"/>
      <c r="E704" s="1">
        <v>39253</v>
      </c>
      <c r="F704" s="1">
        <v>0</v>
      </c>
      <c r="G704" s="1">
        <v>0</v>
      </c>
      <c r="H704" s="1">
        <v>0</v>
      </c>
      <c r="I704" s="1">
        <v>0</v>
      </c>
    </row>
    <row r="705" spans="1:9" ht="23.25">
      <c r="A705" s="4" t="s">
        <v>60</v>
      </c>
      <c r="B705" s="4"/>
      <c r="C705" s="4" t="s">
        <v>18</v>
      </c>
      <c r="D705" s="4"/>
      <c r="E705" s="1">
        <v>3391993</v>
      </c>
      <c r="F705" s="1">
        <v>0</v>
      </c>
      <c r="G705" s="1">
        <v>0</v>
      </c>
      <c r="H705" s="1">
        <v>0</v>
      </c>
      <c r="I705" s="1">
        <v>0</v>
      </c>
    </row>
    <row r="706" spans="1:9" ht="23.25">
      <c r="A706" s="4" t="s">
        <v>61</v>
      </c>
      <c r="B706" s="4"/>
      <c r="C706" s="4" t="s">
        <v>18</v>
      </c>
      <c r="D706" s="4"/>
      <c r="E706" s="1">
        <v>62056</v>
      </c>
      <c r="F706" s="1">
        <v>0</v>
      </c>
      <c r="G706" s="1">
        <v>0</v>
      </c>
      <c r="H706" s="1">
        <v>0</v>
      </c>
      <c r="I706" s="1">
        <v>0</v>
      </c>
    </row>
    <row r="707" spans="1:9" ht="23.25">
      <c r="A707" s="4" t="s">
        <v>62</v>
      </c>
      <c r="B707" s="4"/>
      <c r="C707" s="4" t="s">
        <v>18</v>
      </c>
      <c r="D707" s="4"/>
      <c r="E707" s="1">
        <v>1752165</v>
      </c>
      <c r="F707" s="1">
        <v>0</v>
      </c>
      <c r="G707" s="1">
        <v>0</v>
      </c>
      <c r="H707" s="1">
        <v>0</v>
      </c>
      <c r="I707" s="1">
        <v>0</v>
      </c>
    </row>
    <row r="708" spans="1:9" ht="23.25">
      <c r="A708" s="4" t="s">
        <v>63</v>
      </c>
      <c r="B708" s="4"/>
      <c r="C708" s="4" t="s">
        <v>18</v>
      </c>
      <c r="D708" s="4"/>
      <c r="E708" s="1">
        <v>0</v>
      </c>
      <c r="F708" s="1">
        <v>0</v>
      </c>
      <c r="G708" s="1">
        <v>0</v>
      </c>
      <c r="H708" s="1">
        <v>0</v>
      </c>
      <c r="I708" s="1">
        <v>0</v>
      </c>
    </row>
    <row r="709" spans="1:9" ht="23.25">
      <c r="A709" s="4" t="s">
        <v>64</v>
      </c>
      <c r="B709" s="4"/>
      <c r="C709" s="4" t="s">
        <v>18</v>
      </c>
      <c r="D709" s="4"/>
      <c r="E709" s="1">
        <v>296276</v>
      </c>
      <c r="F709" s="1">
        <v>0</v>
      </c>
      <c r="G709" s="1">
        <v>0</v>
      </c>
      <c r="H709" s="1">
        <v>0</v>
      </c>
      <c r="I709" s="1">
        <v>0</v>
      </c>
    </row>
    <row r="710" spans="1:9" ht="23.25">
      <c r="A710" s="4" t="s">
        <v>65</v>
      </c>
      <c r="B710" s="4"/>
      <c r="C710" s="4" t="s">
        <v>18</v>
      </c>
      <c r="D710" s="4"/>
      <c r="E710" s="1">
        <v>839825</v>
      </c>
      <c r="F710" s="1">
        <v>0</v>
      </c>
      <c r="G710" s="1">
        <v>0</v>
      </c>
      <c r="H710" s="1">
        <v>0</v>
      </c>
      <c r="I710" s="1">
        <v>72229</v>
      </c>
    </row>
    <row r="711" spans="1:9" ht="23.25">
      <c r="A711" s="4" t="s">
        <v>66</v>
      </c>
      <c r="B711" s="4"/>
      <c r="C711" s="4" t="s">
        <v>18</v>
      </c>
      <c r="D711" s="4"/>
      <c r="E711" s="1">
        <v>101679877</v>
      </c>
      <c r="F711" s="1">
        <v>0</v>
      </c>
      <c r="G711" s="1">
        <v>0</v>
      </c>
      <c r="H711" s="1">
        <v>0</v>
      </c>
      <c r="I711" s="1">
        <v>17362501</v>
      </c>
    </row>
    <row r="712" spans="1:9" ht="23.25">
      <c r="A712" s="4" t="s">
        <v>67</v>
      </c>
      <c r="B712" s="4"/>
      <c r="C712" s="4" t="s">
        <v>18</v>
      </c>
      <c r="D712" s="4"/>
      <c r="E712" s="1">
        <v>26891695</v>
      </c>
      <c r="F712" s="1">
        <v>0</v>
      </c>
      <c r="G712" s="1">
        <v>0</v>
      </c>
      <c r="H712" s="1">
        <v>0</v>
      </c>
      <c r="I712" s="1">
        <v>0</v>
      </c>
    </row>
    <row r="713" spans="1:9" ht="23.25">
      <c r="A713" s="4" t="s">
        <v>68</v>
      </c>
      <c r="B713" s="4"/>
      <c r="C713" s="4" t="s">
        <v>18</v>
      </c>
      <c r="D713" s="4"/>
      <c r="E713" s="1">
        <v>50955088</v>
      </c>
      <c r="F713" s="1">
        <v>0</v>
      </c>
      <c r="G713" s="1">
        <v>0</v>
      </c>
      <c r="H713" s="1">
        <v>0</v>
      </c>
      <c r="I713" s="1">
        <v>0</v>
      </c>
    </row>
    <row r="714" spans="1:9" ht="23.25">
      <c r="A714" s="4" t="s">
        <v>69</v>
      </c>
      <c r="B714" s="4"/>
      <c r="C714" s="4" t="s">
        <v>18</v>
      </c>
      <c r="D714" s="4"/>
      <c r="E714" s="1">
        <v>20353707</v>
      </c>
      <c r="F714" s="1">
        <v>0</v>
      </c>
      <c r="G714" s="1">
        <v>0</v>
      </c>
      <c r="H714" s="1">
        <v>0</v>
      </c>
      <c r="I714" s="1">
        <v>0</v>
      </c>
    </row>
    <row r="715" spans="1:9" ht="23.25">
      <c r="A715" s="4" t="s">
        <v>70</v>
      </c>
      <c r="B715" s="4"/>
      <c r="C715" s="4" t="s">
        <v>18</v>
      </c>
      <c r="D715" s="4"/>
      <c r="E715" s="1">
        <v>126253</v>
      </c>
      <c r="F715" s="1">
        <v>0</v>
      </c>
      <c r="G715" s="1">
        <v>0</v>
      </c>
      <c r="H715" s="1">
        <v>0</v>
      </c>
      <c r="I715" s="1">
        <v>0</v>
      </c>
    </row>
    <row r="716" spans="1:9" ht="23.25">
      <c r="A716" s="4" t="s">
        <v>71</v>
      </c>
      <c r="B716" s="4"/>
      <c r="C716" s="4" t="s">
        <v>18</v>
      </c>
      <c r="D716" s="4"/>
      <c r="E716" s="1">
        <v>98326743</v>
      </c>
      <c r="F716" s="1">
        <v>0</v>
      </c>
      <c r="G716" s="1">
        <v>0</v>
      </c>
      <c r="H716" s="1">
        <v>0</v>
      </c>
      <c r="I716" s="1">
        <v>0</v>
      </c>
    </row>
    <row r="717" spans="1:9" ht="23.25">
      <c r="A717" s="4" t="s">
        <v>72</v>
      </c>
      <c r="B717" s="4"/>
      <c r="C717" s="4" t="s">
        <v>18</v>
      </c>
      <c r="D717" s="4"/>
      <c r="E717" s="1">
        <v>200006620</v>
      </c>
      <c r="F717" s="1">
        <v>0</v>
      </c>
      <c r="G717" s="1">
        <v>0</v>
      </c>
      <c r="H717" s="1">
        <v>0</v>
      </c>
      <c r="I717" s="1">
        <v>0</v>
      </c>
    </row>
    <row r="718" spans="1:9" ht="23.25">
      <c r="A718" s="4" t="s">
        <v>8</v>
      </c>
      <c r="B718" s="4"/>
      <c r="C718" s="4" t="s">
        <v>19</v>
      </c>
      <c r="D718" s="4"/>
      <c r="E718" s="1">
        <v>0</v>
      </c>
      <c r="F718" s="1">
        <v>0</v>
      </c>
      <c r="G718" s="1">
        <v>0</v>
      </c>
      <c r="H718" s="1">
        <v>0</v>
      </c>
      <c r="I718" s="1">
        <v>0</v>
      </c>
    </row>
    <row r="719" spans="1:9" ht="23.25">
      <c r="A719" s="4" t="s">
        <v>9</v>
      </c>
      <c r="B719" s="4"/>
      <c r="C719" s="4" t="s">
        <v>19</v>
      </c>
      <c r="D719" s="4"/>
      <c r="E719" s="1">
        <v>0</v>
      </c>
      <c r="F719" s="1">
        <v>0</v>
      </c>
      <c r="G719" s="1">
        <v>0</v>
      </c>
      <c r="H719" s="1">
        <v>0</v>
      </c>
      <c r="I719" s="1">
        <v>0</v>
      </c>
    </row>
    <row r="720" spans="1:9" ht="23.25">
      <c r="A720" s="4" t="s">
        <v>10</v>
      </c>
      <c r="B720" s="4"/>
      <c r="C720" s="4" t="s">
        <v>19</v>
      </c>
      <c r="D720" s="4"/>
      <c r="E720" s="1">
        <v>0</v>
      </c>
      <c r="F720" s="1">
        <v>0</v>
      </c>
      <c r="G720" s="1">
        <v>0</v>
      </c>
      <c r="H720" s="1">
        <v>0</v>
      </c>
      <c r="I720" s="1">
        <v>0</v>
      </c>
    </row>
    <row r="721" spans="1:9" ht="23.25">
      <c r="A721" s="4" t="s">
        <v>11</v>
      </c>
      <c r="B721" s="4"/>
      <c r="C721" s="4" t="s">
        <v>19</v>
      </c>
      <c r="D721" s="4"/>
      <c r="E721" s="1">
        <v>0</v>
      </c>
      <c r="F721" s="1">
        <v>0</v>
      </c>
      <c r="G721" s="1">
        <v>0</v>
      </c>
      <c r="H721" s="1">
        <v>0</v>
      </c>
      <c r="I721" s="1">
        <v>0</v>
      </c>
    </row>
    <row r="722" spans="1:9" ht="23.25">
      <c r="A722" s="4" t="s">
        <v>12</v>
      </c>
      <c r="B722" s="4"/>
      <c r="C722" s="4" t="s">
        <v>19</v>
      </c>
      <c r="D722" s="4"/>
      <c r="E722" s="1">
        <v>0</v>
      </c>
      <c r="F722" s="1">
        <v>0</v>
      </c>
      <c r="G722" s="1">
        <v>0</v>
      </c>
      <c r="H722" s="1">
        <v>0</v>
      </c>
      <c r="I722" s="1">
        <v>0</v>
      </c>
    </row>
    <row r="723" spans="1:9" ht="23.25">
      <c r="A723" s="4" t="s">
        <v>13</v>
      </c>
      <c r="B723" s="4"/>
      <c r="C723" s="4" t="s">
        <v>19</v>
      </c>
      <c r="D723" s="4"/>
      <c r="E723" s="1">
        <v>0</v>
      </c>
      <c r="F723" s="1">
        <v>0</v>
      </c>
      <c r="G723" s="1">
        <v>0</v>
      </c>
      <c r="H723" s="1">
        <v>0</v>
      </c>
      <c r="I723" s="1">
        <v>0</v>
      </c>
    </row>
    <row r="724" spans="1:9" ht="23.25">
      <c r="A724" s="4" t="s">
        <v>14</v>
      </c>
      <c r="B724" s="4"/>
      <c r="C724" s="4" t="s">
        <v>19</v>
      </c>
      <c r="D724" s="4"/>
      <c r="E724" s="1">
        <v>0</v>
      </c>
      <c r="F724" s="1">
        <v>0</v>
      </c>
      <c r="G724" s="1">
        <v>0</v>
      </c>
      <c r="H724" s="1">
        <v>0</v>
      </c>
      <c r="I724" s="1">
        <v>0</v>
      </c>
    </row>
    <row r="725" spans="1:9" ht="23.25">
      <c r="A725" s="4" t="s">
        <v>15</v>
      </c>
      <c r="B725" s="4"/>
      <c r="C725" s="4" t="s">
        <v>19</v>
      </c>
      <c r="D725" s="4"/>
      <c r="E725" s="1">
        <v>0</v>
      </c>
      <c r="F725" s="1">
        <v>0</v>
      </c>
      <c r="G725" s="1">
        <v>0</v>
      </c>
      <c r="H725" s="1">
        <v>0</v>
      </c>
      <c r="I725" s="1">
        <v>0</v>
      </c>
    </row>
    <row r="726" spans="1:9" ht="23.25">
      <c r="A726" s="4" t="s">
        <v>16</v>
      </c>
      <c r="B726" s="4"/>
      <c r="C726" s="4" t="s">
        <v>19</v>
      </c>
      <c r="D726" s="4"/>
      <c r="E726" s="1">
        <v>0</v>
      </c>
      <c r="F726" s="1">
        <v>0</v>
      </c>
      <c r="G726" s="1">
        <v>0</v>
      </c>
      <c r="H726" s="1">
        <v>0</v>
      </c>
      <c r="I726" s="1">
        <v>0</v>
      </c>
    </row>
    <row r="727" spans="1:9" ht="23.25">
      <c r="A727" s="4" t="s">
        <v>17</v>
      </c>
      <c r="B727" s="4"/>
      <c r="C727" s="4" t="s">
        <v>19</v>
      </c>
      <c r="D727" s="4"/>
      <c r="E727" s="1">
        <v>0</v>
      </c>
      <c r="F727" s="1">
        <v>0</v>
      </c>
      <c r="G727" s="1">
        <v>0</v>
      </c>
      <c r="H727" s="1">
        <v>0</v>
      </c>
      <c r="I727" s="1">
        <v>0</v>
      </c>
    </row>
    <row r="728" spans="1:9" ht="23.25">
      <c r="A728" s="4" t="s">
        <v>18</v>
      </c>
      <c r="B728" s="4"/>
      <c r="C728" s="4" t="s">
        <v>19</v>
      </c>
      <c r="D728" s="4"/>
      <c r="E728" s="1">
        <v>0</v>
      </c>
      <c r="F728" s="1">
        <v>0</v>
      </c>
      <c r="G728" s="1">
        <v>0</v>
      </c>
      <c r="H728" s="1">
        <v>0</v>
      </c>
      <c r="I728" s="1">
        <v>0</v>
      </c>
    </row>
    <row r="729" spans="1:9" ht="23.25">
      <c r="A729" s="4" t="s">
        <v>19</v>
      </c>
      <c r="B729" s="4"/>
      <c r="C729" s="4" t="s">
        <v>19</v>
      </c>
      <c r="D729" s="4"/>
      <c r="E729" s="1">
        <v>15879688</v>
      </c>
      <c r="F729" s="1">
        <v>0</v>
      </c>
      <c r="G729" s="1">
        <v>0</v>
      </c>
      <c r="H729" s="1">
        <v>0</v>
      </c>
      <c r="I729" s="1">
        <v>0</v>
      </c>
    </row>
    <row r="730" spans="1:9" ht="23.25">
      <c r="A730" s="4" t="s">
        <v>20</v>
      </c>
      <c r="B730" s="4"/>
      <c r="C730" s="4" t="s">
        <v>19</v>
      </c>
      <c r="D730" s="4"/>
      <c r="E730" s="1">
        <v>0</v>
      </c>
      <c r="F730" s="1">
        <v>0</v>
      </c>
      <c r="G730" s="1">
        <v>0</v>
      </c>
      <c r="H730" s="1">
        <v>0</v>
      </c>
      <c r="I730" s="1">
        <v>0</v>
      </c>
    </row>
    <row r="731" spans="1:9" ht="23.25">
      <c r="A731" s="4" t="s">
        <v>21</v>
      </c>
      <c r="B731" s="4"/>
      <c r="C731" s="4" t="s">
        <v>19</v>
      </c>
      <c r="D731" s="4"/>
      <c r="E731" s="1">
        <v>180182</v>
      </c>
      <c r="F731" s="1">
        <v>3300</v>
      </c>
      <c r="G731" s="1">
        <v>0</v>
      </c>
      <c r="H731" s="1">
        <v>15941</v>
      </c>
      <c r="I731" s="1">
        <v>0</v>
      </c>
    </row>
    <row r="732" spans="1:9" ht="23.25">
      <c r="A732" s="4" t="s">
        <v>22</v>
      </c>
      <c r="B732" s="4"/>
      <c r="C732" s="4" t="s">
        <v>19</v>
      </c>
      <c r="D732" s="4"/>
      <c r="E732" s="1">
        <v>0</v>
      </c>
      <c r="F732" s="1">
        <v>0</v>
      </c>
      <c r="G732" s="1">
        <v>0</v>
      </c>
      <c r="H732" s="1">
        <v>0</v>
      </c>
      <c r="I732" s="1">
        <v>0</v>
      </c>
    </row>
    <row r="733" spans="1:9" ht="23.25">
      <c r="A733" s="4" t="s">
        <v>23</v>
      </c>
      <c r="B733" s="4"/>
      <c r="C733" s="4" t="s">
        <v>19</v>
      </c>
      <c r="D733" s="4"/>
      <c r="E733" s="1">
        <v>0</v>
      </c>
      <c r="F733" s="1">
        <v>0</v>
      </c>
      <c r="G733" s="1">
        <v>0</v>
      </c>
      <c r="H733" s="1">
        <v>0</v>
      </c>
      <c r="I733" s="1">
        <v>0</v>
      </c>
    </row>
    <row r="734" spans="1:9" ht="23.25">
      <c r="A734" s="4" t="s">
        <v>24</v>
      </c>
      <c r="B734" s="4"/>
      <c r="C734" s="4" t="s">
        <v>19</v>
      </c>
      <c r="D734" s="4"/>
      <c r="E734" s="1">
        <v>0</v>
      </c>
      <c r="F734" s="1">
        <v>0</v>
      </c>
      <c r="G734" s="1">
        <v>0</v>
      </c>
      <c r="H734" s="1">
        <v>0</v>
      </c>
      <c r="I734" s="1">
        <v>0</v>
      </c>
    </row>
    <row r="735" spans="1:9" ht="23.25">
      <c r="A735" s="4" t="s">
        <v>25</v>
      </c>
      <c r="B735" s="4"/>
      <c r="C735" s="4" t="s">
        <v>19</v>
      </c>
      <c r="D735" s="4"/>
      <c r="E735" s="1">
        <v>0</v>
      </c>
      <c r="F735" s="1">
        <v>0</v>
      </c>
      <c r="G735" s="1">
        <v>0</v>
      </c>
      <c r="H735" s="1">
        <v>0</v>
      </c>
      <c r="I735" s="1">
        <v>0</v>
      </c>
    </row>
    <row r="736" spans="1:9" ht="23.25">
      <c r="A736" s="4" t="s">
        <v>26</v>
      </c>
      <c r="B736" s="4"/>
      <c r="C736" s="4" t="s">
        <v>19</v>
      </c>
      <c r="D736" s="4"/>
      <c r="E736" s="1">
        <v>0</v>
      </c>
      <c r="F736" s="1">
        <v>0</v>
      </c>
      <c r="G736" s="1">
        <v>0</v>
      </c>
      <c r="H736" s="1">
        <v>0</v>
      </c>
      <c r="I736" s="1">
        <v>0</v>
      </c>
    </row>
    <row r="737" spans="1:9" ht="23.25">
      <c r="A737" s="4" t="s">
        <v>27</v>
      </c>
      <c r="B737" s="4"/>
      <c r="C737" s="4" t="s">
        <v>19</v>
      </c>
      <c r="D737" s="4"/>
      <c r="E737" s="1">
        <v>0</v>
      </c>
      <c r="F737" s="1">
        <v>0</v>
      </c>
      <c r="G737" s="1">
        <v>0</v>
      </c>
      <c r="H737" s="1">
        <v>0</v>
      </c>
      <c r="I737" s="1">
        <v>0</v>
      </c>
    </row>
    <row r="738" spans="1:9" ht="23.25">
      <c r="A738" s="4" t="s">
        <v>28</v>
      </c>
      <c r="B738" s="4"/>
      <c r="C738" s="4" t="s">
        <v>19</v>
      </c>
      <c r="D738" s="4"/>
      <c r="E738" s="1">
        <v>0</v>
      </c>
      <c r="F738" s="1">
        <v>0</v>
      </c>
      <c r="G738" s="1">
        <v>0</v>
      </c>
      <c r="H738" s="1">
        <v>0</v>
      </c>
      <c r="I738" s="1">
        <v>0</v>
      </c>
    </row>
    <row r="739" spans="1:9" ht="23.25">
      <c r="A739" s="4" t="s">
        <v>29</v>
      </c>
      <c r="B739" s="4"/>
      <c r="C739" s="4" t="s">
        <v>19</v>
      </c>
      <c r="D739" s="4"/>
      <c r="E739" s="1">
        <v>0</v>
      </c>
      <c r="F739" s="1">
        <v>0</v>
      </c>
      <c r="G739" s="1">
        <v>0</v>
      </c>
      <c r="H739" s="1">
        <v>0</v>
      </c>
      <c r="I739" s="1">
        <v>0</v>
      </c>
    </row>
    <row r="740" spans="1:9" ht="23.25">
      <c r="A740" s="4" t="s">
        <v>30</v>
      </c>
      <c r="B740" s="4"/>
      <c r="C740" s="4" t="s">
        <v>19</v>
      </c>
      <c r="D740" s="4"/>
      <c r="E740" s="1">
        <v>0</v>
      </c>
      <c r="F740" s="1">
        <v>0</v>
      </c>
      <c r="G740" s="1">
        <v>0</v>
      </c>
      <c r="H740" s="1">
        <v>0</v>
      </c>
      <c r="I740" s="1">
        <v>0</v>
      </c>
    </row>
    <row r="741" spans="1:9" ht="23.25">
      <c r="A741" s="4" t="s">
        <v>31</v>
      </c>
      <c r="B741" s="4"/>
      <c r="C741" s="4" t="s">
        <v>19</v>
      </c>
      <c r="D741" s="4"/>
      <c r="E741" s="1">
        <v>0</v>
      </c>
      <c r="F741" s="1">
        <v>0</v>
      </c>
      <c r="G741" s="1">
        <v>0</v>
      </c>
      <c r="H741" s="1">
        <v>0</v>
      </c>
      <c r="I741" s="1">
        <v>0</v>
      </c>
    </row>
    <row r="742" spans="1:9" ht="23.25">
      <c r="A742" s="4" t="s">
        <v>32</v>
      </c>
      <c r="B742" s="4"/>
      <c r="C742" s="4" t="s">
        <v>19</v>
      </c>
      <c r="D742" s="4"/>
      <c r="E742" s="1">
        <v>27647</v>
      </c>
      <c r="F742" s="1">
        <v>226</v>
      </c>
      <c r="G742" s="1">
        <v>804</v>
      </c>
      <c r="H742" s="1">
        <v>211</v>
      </c>
      <c r="I742" s="1">
        <v>0</v>
      </c>
    </row>
    <row r="743" spans="1:9" ht="23.25">
      <c r="A743" s="4" t="s">
        <v>33</v>
      </c>
      <c r="B743" s="4"/>
      <c r="C743" s="4" t="s">
        <v>19</v>
      </c>
      <c r="D743" s="4"/>
      <c r="E743" s="1">
        <v>69922</v>
      </c>
      <c r="F743" s="1">
        <v>961</v>
      </c>
      <c r="G743" s="1">
        <v>1508</v>
      </c>
      <c r="H743" s="1">
        <v>550</v>
      </c>
      <c r="I743" s="1">
        <v>0</v>
      </c>
    </row>
    <row r="744" spans="1:9" ht="23.25">
      <c r="A744" s="4" t="s">
        <v>34</v>
      </c>
      <c r="B744" s="4"/>
      <c r="C744" s="4" t="s">
        <v>19</v>
      </c>
      <c r="D744" s="4"/>
      <c r="E744" s="1">
        <v>131812</v>
      </c>
      <c r="F744" s="1">
        <v>9485</v>
      </c>
      <c r="G744" s="1">
        <v>4389</v>
      </c>
      <c r="H744" s="1">
        <v>2559</v>
      </c>
      <c r="I744" s="1">
        <v>72911</v>
      </c>
    </row>
    <row r="745" spans="1:9" ht="23.25">
      <c r="A745" s="4" t="s">
        <v>35</v>
      </c>
      <c r="B745" s="4"/>
      <c r="C745" s="4" t="s">
        <v>19</v>
      </c>
      <c r="D745" s="4"/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 spans="1:9" ht="23.25">
      <c r="A746" s="4" t="s">
        <v>36</v>
      </c>
      <c r="B746" s="4"/>
      <c r="C746" s="4" t="s">
        <v>19</v>
      </c>
      <c r="D746" s="4"/>
      <c r="E746" s="1">
        <v>478452</v>
      </c>
      <c r="F746" s="1">
        <v>37910</v>
      </c>
      <c r="G746" s="1">
        <v>53881</v>
      </c>
      <c r="H746" s="1">
        <v>5976</v>
      </c>
      <c r="I746" s="1">
        <v>126512</v>
      </c>
    </row>
    <row r="747" spans="1:9" ht="23.25">
      <c r="A747" s="4" t="s">
        <v>37</v>
      </c>
      <c r="B747" s="4"/>
      <c r="C747" s="4" t="s">
        <v>19</v>
      </c>
      <c r="D747" s="4"/>
      <c r="E747" s="1">
        <v>40956636</v>
      </c>
      <c r="F747" s="1">
        <v>1721858</v>
      </c>
      <c r="G747" s="1">
        <v>1871507</v>
      </c>
      <c r="H747" s="1">
        <v>336655</v>
      </c>
      <c r="I747" s="1">
        <v>7517558</v>
      </c>
    </row>
    <row r="748" spans="1:9" ht="23.25">
      <c r="A748" s="4" t="s">
        <v>38</v>
      </c>
      <c r="B748" s="4"/>
      <c r="C748" s="4" t="s">
        <v>19</v>
      </c>
      <c r="D748" s="4"/>
      <c r="E748" s="1">
        <v>40038</v>
      </c>
      <c r="F748" s="1">
        <v>1892</v>
      </c>
      <c r="G748" s="1">
        <v>5485</v>
      </c>
      <c r="H748" s="1">
        <v>910</v>
      </c>
      <c r="I748" s="1">
        <v>0</v>
      </c>
    </row>
    <row r="749" spans="1:9" ht="23.25">
      <c r="A749" s="4" t="s">
        <v>39</v>
      </c>
      <c r="B749" s="4"/>
      <c r="C749" s="4" t="s">
        <v>19</v>
      </c>
      <c r="D749" s="4"/>
      <c r="E749" s="1">
        <v>237735</v>
      </c>
      <c r="F749" s="1">
        <v>15079</v>
      </c>
      <c r="G749" s="1">
        <v>20749</v>
      </c>
      <c r="H749" s="1">
        <v>2164</v>
      </c>
      <c r="I749" s="1">
        <v>141377</v>
      </c>
    </row>
    <row r="750" spans="1:9" ht="23.25">
      <c r="A750" s="4" t="s">
        <v>40</v>
      </c>
      <c r="B750" s="4"/>
      <c r="C750" s="4" t="s">
        <v>19</v>
      </c>
      <c r="D750" s="4"/>
      <c r="E750" s="1">
        <v>0</v>
      </c>
      <c r="F750" s="1">
        <v>0</v>
      </c>
      <c r="G750" s="1">
        <v>0</v>
      </c>
      <c r="H750" s="1">
        <v>0</v>
      </c>
      <c r="I750" s="1">
        <v>0</v>
      </c>
    </row>
    <row r="751" spans="1:9" ht="23.25">
      <c r="A751" s="4" t="s">
        <v>41</v>
      </c>
      <c r="B751" s="4"/>
      <c r="C751" s="4" t="s">
        <v>19</v>
      </c>
      <c r="D751" s="4"/>
      <c r="E751" s="1">
        <v>0</v>
      </c>
      <c r="F751" s="1">
        <v>0</v>
      </c>
      <c r="G751" s="1">
        <v>0</v>
      </c>
      <c r="H751" s="1">
        <v>0</v>
      </c>
      <c r="I751" s="1">
        <v>0</v>
      </c>
    </row>
    <row r="752" spans="1:9" ht="23.25">
      <c r="A752" s="4" t="s">
        <v>42</v>
      </c>
      <c r="B752" s="4"/>
      <c r="C752" s="4" t="s">
        <v>19</v>
      </c>
      <c r="D752" s="4"/>
      <c r="E752" s="1">
        <v>341</v>
      </c>
      <c r="F752" s="1">
        <v>22</v>
      </c>
      <c r="G752" s="1">
        <v>23</v>
      </c>
      <c r="H752" s="1">
        <v>4</v>
      </c>
      <c r="I752" s="1">
        <v>0</v>
      </c>
    </row>
    <row r="753" spans="1:9" ht="23.25">
      <c r="A753" s="4" t="s">
        <v>43</v>
      </c>
      <c r="B753" s="4"/>
      <c r="C753" s="4" t="s">
        <v>19</v>
      </c>
      <c r="D753" s="4"/>
      <c r="E753" s="1">
        <v>0</v>
      </c>
      <c r="F753" s="1">
        <v>0</v>
      </c>
      <c r="G753" s="1">
        <v>0</v>
      </c>
      <c r="H753" s="1">
        <v>0</v>
      </c>
      <c r="I753" s="1">
        <v>0</v>
      </c>
    </row>
    <row r="754" spans="1:9" ht="23.25">
      <c r="A754" s="4" t="s">
        <v>44</v>
      </c>
      <c r="B754" s="4"/>
      <c r="C754" s="4" t="s">
        <v>19</v>
      </c>
      <c r="D754" s="4"/>
      <c r="E754" s="1">
        <v>17732</v>
      </c>
      <c r="F754" s="1">
        <v>931</v>
      </c>
      <c r="G754" s="1">
        <v>1470</v>
      </c>
      <c r="H754" s="1">
        <v>128</v>
      </c>
      <c r="I754" s="1">
        <v>0</v>
      </c>
    </row>
    <row r="755" spans="1:9" ht="23.25">
      <c r="A755" s="4" t="s">
        <v>45</v>
      </c>
      <c r="B755" s="4"/>
      <c r="C755" s="4" t="s">
        <v>19</v>
      </c>
      <c r="D755" s="4"/>
      <c r="E755" s="1">
        <v>6408694</v>
      </c>
      <c r="F755" s="1">
        <v>458707</v>
      </c>
      <c r="G755" s="1">
        <v>12943</v>
      </c>
      <c r="H755" s="1">
        <v>64065</v>
      </c>
      <c r="I755" s="1">
        <v>0</v>
      </c>
    </row>
    <row r="756" spans="1:9" ht="23.25">
      <c r="A756" s="4" t="s">
        <v>46</v>
      </c>
      <c r="B756" s="4"/>
      <c r="C756" s="4" t="s">
        <v>19</v>
      </c>
      <c r="D756" s="4"/>
      <c r="E756" s="1">
        <v>478323</v>
      </c>
      <c r="F756" s="1">
        <v>17952</v>
      </c>
      <c r="G756" s="1">
        <v>18378</v>
      </c>
      <c r="H756" s="1">
        <v>2717</v>
      </c>
      <c r="I756" s="1">
        <v>0</v>
      </c>
    </row>
    <row r="757" spans="1:9" ht="23.25">
      <c r="A757" s="4" t="s">
        <v>47</v>
      </c>
      <c r="B757" s="4"/>
      <c r="C757" s="4" t="s">
        <v>19</v>
      </c>
      <c r="D757" s="4"/>
      <c r="E757" s="1">
        <v>4642977</v>
      </c>
      <c r="F757" s="1">
        <v>0</v>
      </c>
      <c r="G757" s="1">
        <v>0</v>
      </c>
      <c r="H757" s="1">
        <v>0</v>
      </c>
      <c r="I757" s="1">
        <v>0</v>
      </c>
    </row>
    <row r="758" spans="1:9" ht="23.25">
      <c r="A758" s="4" t="s">
        <v>48</v>
      </c>
      <c r="B758" s="4"/>
      <c r="C758" s="4" t="s">
        <v>19</v>
      </c>
      <c r="D758" s="4"/>
      <c r="E758" s="1">
        <v>0</v>
      </c>
      <c r="F758" s="1">
        <v>0</v>
      </c>
      <c r="G758" s="1">
        <v>0</v>
      </c>
      <c r="H758" s="1">
        <v>0</v>
      </c>
      <c r="I758" s="1">
        <v>0</v>
      </c>
    </row>
    <row r="759" spans="1:9" ht="23.25">
      <c r="A759" s="4" t="s">
        <v>49</v>
      </c>
      <c r="B759" s="4"/>
      <c r="C759" s="4" t="s">
        <v>19</v>
      </c>
      <c r="D759" s="4"/>
      <c r="E759" s="1">
        <v>0</v>
      </c>
      <c r="F759" s="1">
        <v>0</v>
      </c>
      <c r="G759" s="1">
        <v>0</v>
      </c>
      <c r="H759" s="1">
        <v>0</v>
      </c>
      <c r="I759" s="1">
        <v>0</v>
      </c>
    </row>
    <row r="760" spans="1:9" ht="23.25">
      <c r="A760" s="4" t="s">
        <v>50</v>
      </c>
      <c r="B760" s="4"/>
      <c r="C760" s="4" t="s">
        <v>19</v>
      </c>
      <c r="D760" s="4"/>
      <c r="E760" s="1">
        <v>0</v>
      </c>
      <c r="F760" s="1">
        <v>0</v>
      </c>
      <c r="G760" s="1">
        <v>0</v>
      </c>
      <c r="H760" s="1">
        <v>0</v>
      </c>
      <c r="I760" s="1">
        <v>0</v>
      </c>
    </row>
    <row r="761" spans="1:9" ht="23.25">
      <c r="A761" s="4" t="s">
        <v>51</v>
      </c>
      <c r="B761" s="4"/>
      <c r="C761" s="4" t="s">
        <v>19</v>
      </c>
      <c r="D761" s="4"/>
      <c r="E761" s="1">
        <v>961500</v>
      </c>
      <c r="F761" s="1">
        <v>67387</v>
      </c>
      <c r="G761" s="1">
        <v>22566</v>
      </c>
      <c r="H761" s="1">
        <v>9401</v>
      </c>
      <c r="I761" s="1">
        <v>503014</v>
      </c>
    </row>
    <row r="762" spans="1:9" ht="23.25">
      <c r="A762" s="4" t="s">
        <v>52</v>
      </c>
      <c r="B762" s="4"/>
      <c r="C762" s="4" t="s">
        <v>19</v>
      </c>
      <c r="D762" s="4"/>
      <c r="E762" s="1">
        <v>1960074</v>
      </c>
      <c r="F762" s="1">
        <v>0</v>
      </c>
      <c r="G762" s="1">
        <v>0</v>
      </c>
      <c r="H762" s="1">
        <v>0</v>
      </c>
      <c r="I762" s="1">
        <v>0</v>
      </c>
    </row>
    <row r="763" spans="1:9" ht="23.25">
      <c r="A763" s="4" t="s">
        <v>53</v>
      </c>
      <c r="B763" s="4"/>
      <c r="C763" s="4" t="s">
        <v>19</v>
      </c>
      <c r="D763" s="4"/>
      <c r="E763" s="1">
        <v>3620</v>
      </c>
      <c r="F763" s="1">
        <v>0</v>
      </c>
      <c r="G763" s="1">
        <v>0</v>
      </c>
      <c r="H763" s="1">
        <v>0</v>
      </c>
      <c r="I763" s="1">
        <v>0</v>
      </c>
    </row>
    <row r="764" spans="1:9" ht="23.25">
      <c r="A764" s="4" t="s">
        <v>54</v>
      </c>
      <c r="B764" s="4"/>
      <c r="C764" s="4" t="s">
        <v>19</v>
      </c>
      <c r="D764" s="4"/>
      <c r="E764" s="1">
        <v>30188</v>
      </c>
      <c r="F764" s="1">
        <v>0</v>
      </c>
      <c r="G764" s="1">
        <v>0</v>
      </c>
      <c r="H764" s="1">
        <v>0</v>
      </c>
      <c r="I764" s="1">
        <v>0</v>
      </c>
    </row>
    <row r="765" spans="1:9" ht="23.25">
      <c r="A765" s="4" t="s">
        <v>55</v>
      </c>
      <c r="B765" s="4"/>
      <c r="C765" s="4" t="s">
        <v>19</v>
      </c>
      <c r="D765" s="4"/>
      <c r="E765" s="1">
        <v>0</v>
      </c>
      <c r="F765" s="1">
        <v>0</v>
      </c>
      <c r="G765" s="1">
        <v>0</v>
      </c>
      <c r="H765" s="1">
        <v>0</v>
      </c>
      <c r="I765" s="1">
        <v>0</v>
      </c>
    </row>
    <row r="766" spans="1:9" ht="23.25">
      <c r="A766" s="4" t="s">
        <v>56</v>
      </c>
      <c r="B766" s="4"/>
      <c r="C766" s="4" t="s">
        <v>19</v>
      </c>
      <c r="D766" s="4"/>
      <c r="E766" s="1">
        <v>0</v>
      </c>
      <c r="F766" s="1">
        <v>-2335710</v>
      </c>
      <c r="G766" s="1">
        <v>-2013703</v>
      </c>
      <c r="H766" s="1">
        <v>0</v>
      </c>
      <c r="I766" s="1">
        <v>0</v>
      </c>
    </row>
    <row r="767" spans="1:9" ht="23.25">
      <c r="A767" s="4" t="s">
        <v>57</v>
      </c>
      <c r="B767" s="4"/>
      <c r="C767" s="4" t="s">
        <v>19</v>
      </c>
      <c r="D767" s="4"/>
      <c r="E767" s="1">
        <v>468856</v>
      </c>
      <c r="F767" s="1">
        <v>0</v>
      </c>
      <c r="G767" s="1">
        <v>0</v>
      </c>
      <c r="H767" s="1">
        <v>0</v>
      </c>
      <c r="I767" s="1">
        <v>0</v>
      </c>
    </row>
    <row r="768" spans="1:9" ht="23.25">
      <c r="A768" s="4" t="s">
        <v>58</v>
      </c>
      <c r="B768" s="4"/>
      <c r="C768" s="4" t="s">
        <v>19</v>
      </c>
      <c r="D768" s="4"/>
      <c r="E768" s="1">
        <v>2731389</v>
      </c>
      <c r="F768" s="1">
        <v>0</v>
      </c>
      <c r="G768" s="1">
        <v>0</v>
      </c>
      <c r="H768" s="1">
        <v>-441281</v>
      </c>
      <c r="I768" s="1">
        <v>0</v>
      </c>
    </row>
    <row r="769" spans="1:9" ht="23.25">
      <c r="A769" s="4" t="s">
        <v>59</v>
      </c>
      <c r="B769" s="4"/>
      <c r="C769" s="4" t="s">
        <v>19</v>
      </c>
      <c r="D769" s="4"/>
      <c r="E769" s="1">
        <v>244748</v>
      </c>
      <c r="F769" s="1">
        <v>0</v>
      </c>
      <c r="G769" s="1">
        <v>0</v>
      </c>
      <c r="H769" s="1">
        <v>0</v>
      </c>
      <c r="I769" s="1">
        <v>0</v>
      </c>
    </row>
    <row r="770" spans="1:9" ht="23.25">
      <c r="A770" s="4" t="s">
        <v>60</v>
      </c>
      <c r="B770" s="4"/>
      <c r="C770" s="4" t="s">
        <v>19</v>
      </c>
      <c r="D770" s="4"/>
      <c r="E770" s="1">
        <v>2067480</v>
      </c>
      <c r="F770" s="1">
        <v>0</v>
      </c>
      <c r="G770" s="1">
        <v>0</v>
      </c>
      <c r="H770" s="1">
        <v>0</v>
      </c>
      <c r="I770" s="1">
        <v>0</v>
      </c>
    </row>
    <row r="771" spans="1:9" ht="23.25">
      <c r="A771" s="4" t="s">
        <v>61</v>
      </c>
      <c r="B771" s="4"/>
      <c r="C771" s="4" t="s">
        <v>19</v>
      </c>
      <c r="D771" s="4"/>
      <c r="E771" s="1">
        <v>387621</v>
      </c>
      <c r="F771" s="1">
        <v>0</v>
      </c>
      <c r="G771" s="1">
        <v>0</v>
      </c>
      <c r="H771" s="1">
        <v>0</v>
      </c>
      <c r="I771" s="1">
        <v>0</v>
      </c>
    </row>
    <row r="772" spans="1:9" ht="23.25">
      <c r="A772" s="4" t="s">
        <v>62</v>
      </c>
      <c r="B772" s="4"/>
      <c r="C772" s="4" t="s">
        <v>19</v>
      </c>
      <c r="D772" s="4"/>
      <c r="E772" s="1">
        <v>65407201</v>
      </c>
      <c r="F772" s="1">
        <v>0</v>
      </c>
      <c r="G772" s="1">
        <v>0</v>
      </c>
      <c r="H772" s="1">
        <v>0</v>
      </c>
      <c r="I772" s="1">
        <v>11102546</v>
      </c>
    </row>
    <row r="773" spans="1:9" ht="23.25">
      <c r="A773" s="4" t="s">
        <v>63</v>
      </c>
      <c r="B773" s="4"/>
      <c r="C773" s="4" t="s">
        <v>19</v>
      </c>
      <c r="D773" s="4"/>
      <c r="E773" s="1">
        <v>24033</v>
      </c>
      <c r="F773" s="1">
        <v>0</v>
      </c>
      <c r="G773" s="1">
        <v>0</v>
      </c>
      <c r="H773" s="1">
        <v>0</v>
      </c>
      <c r="I773" s="1">
        <v>0</v>
      </c>
    </row>
    <row r="774" spans="1:9" ht="23.25">
      <c r="A774" s="4" t="s">
        <v>64</v>
      </c>
      <c r="B774" s="4"/>
      <c r="C774" s="4" t="s">
        <v>19</v>
      </c>
      <c r="D774" s="4"/>
      <c r="E774" s="1">
        <v>486805</v>
      </c>
      <c r="F774" s="1">
        <v>0</v>
      </c>
      <c r="G774" s="1">
        <v>0</v>
      </c>
      <c r="H774" s="1">
        <v>0</v>
      </c>
      <c r="I774" s="1">
        <v>0</v>
      </c>
    </row>
    <row r="775" spans="1:9" ht="23.25">
      <c r="A775" s="4" t="s">
        <v>65</v>
      </c>
      <c r="B775" s="4"/>
      <c r="C775" s="4" t="s">
        <v>19</v>
      </c>
      <c r="D775" s="4"/>
      <c r="E775" s="1">
        <v>371435</v>
      </c>
      <c r="F775" s="1">
        <v>0</v>
      </c>
      <c r="G775" s="1">
        <v>0</v>
      </c>
      <c r="H775" s="1">
        <v>0</v>
      </c>
      <c r="I775" s="1">
        <v>38540</v>
      </c>
    </row>
    <row r="776" spans="1:9" ht="23.25">
      <c r="A776" s="4" t="s">
        <v>66</v>
      </c>
      <c r="B776" s="4"/>
      <c r="C776" s="4" t="s">
        <v>19</v>
      </c>
      <c r="D776" s="4"/>
      <c r="E776" s="1">
        <v>144695129</v>
      </c>
      <c r="F776" s="1">
        <v>0</v>
      </c>
      <c r="G776" s="1">
        <v>0</v>
      </c>
      <c r="H776" s="1">
        <v>0</v>
      </c>
      <c r="I776" s="1">
        <v>19502458</v>
      </c>
    </row>
    <row r="777" spans="1:9" ht="23.25">
      <c r="A777" s="4" t="s">
        <v>67</v>
      </c>
      <c r="B777" s="4"/>
      <c r="C777" s="4" t="s">
        <v>19</v>
      </c>
      <c r="D777" s="4"/>
      <c r="E777" s="1">
        <v>42087971</v>
      </c>
      <c r="F777" s="1">
        <v>0</v>
      </c>
      <c r="G777" s="1">
        <v>0</v>
      </c>
      <c r="H777" s="1">
        <v>0</v>
      </c>
      <c r="I777" s="1">
        <v>0</v>
      </c>
    </row>
    <row r="778" spans="1:9" ht="23.25">
      <c r="A778" s="4" t="s">
        <v>68</v>
      </c>
      <c r="B778" s="4"/>
      <c r="C778" s="4" t="s">
        <v>19</v>
      </c>
      <c r="D778" s="4"/>
      <c r="E778" s="1">
        <v>73605379</v>
      </c>
      <c r="F778" s="1">
        <v>0</v>
      </c>
      <c r="G778" s="1">
        <v>0</v>
      </c>
      <c r="H778" s="1">
        <v>0</v>
      </c>
      <c r="I778" s="1">
        <v>0</v>
      </c>
    </row>
    <row r="779" spans="1:9" ht="23.25">
      <c r="A779" s="4" t="s">
        <v>69</v>
      </c>
      <c r="B779" s="4"/>
      <c r="C779" s="4" t="s">
        <v>19</v>
      </c>
      <c r="D779" s="4"/>
      <c r="E779" s="1">
        <v>64631360</v>
      </c>
      <c r="F779" s="1">
        <v>0</v>
      </c>
      <c r="G779" s="1">
        <v>0</v>
      </c>
      <c r="H779" s="1">
        <v>0</v>
      </c>
      <c r="I779" s="1">
        <v>0</v>
      </c>
    </row>
    <row r="780" spans="1:9" ht="23.25">
      <c r="A780" s="4" t="s">
        <v>70</v>
      </c>
      <c r="B780" s="4"/>
      <c r="C780" s="4" t="s">
        <v>19</v>
      </c>
      <c r="D780" s="4"/>
      <c r="E780" s="1">
        <v>41381827</v>
      </c>
      <c r="F780" s="1">
        <v>0</v>
      </c>
      <c r="G780" s="1">
        <v>0</v>
      </c>
      <c r="H780" s="1">
        <v>0</v>
      </c>
      <c r="I780" s="1">
        <v>0</v>
      </c>
    </row>
    <row r="781" spans="1:9" ht="23.25">
      <c r="A781" s="4" t="s">
        <v>71</v>
      </c>
      <c r="B781" s="4"/>
      <c r="C781" s="4" t="s">
        <v>19</v>
      </c>
      <c r="D781" s="4"/>
      <c r="E781" s="1">
        <v>221706537</v>
      </c>
      <c r="F781" s="1">
        <v>0</v>
      </c>
      <c r="G781" s="1">
        <v>0</v>
      </c>
      <c r="H781" s="1">
        <v>0</v>
      </c>
      <c r="I781" s="1">
        <v>0</v>
      </c>
    </row>
    <row r="782" spans="1:9" ht="23.25">
      <c r="A782" s="4" t="s">
        <v>72</v>
      </c>
      <c r="B782" s="4"/>
      <c r="C782" s="4" t="s">
        <v>19</v>
      </c>
      <c r="D782" s="4"/>
      <c r="E782" s="1">
        <v>366401666</v>
      </c>
      <c r="F782" s="1">
        <v>0</v>
      </c>
      <c r="G782" s="1">
        <v>0</v>
      </c>
      <c r="H782" s="1">
        <v>0</v>
      </c>
      <c r="I782" s="1">
        <v>0</v>
      </c>
    </row>
    <row r="783" spans="1:9" ht="23.25">
      <c r="A783" s="4" t="s">
        <v>8</v>
      </c>
      <c r="B783" s="4"/>
      <c r="C783" s="4" t="s">
        <v>20</v>
      </c>
      <c r="D783" s="4"/>
      <c r="E783" s="1">
        <v>0</v>
      </c>
      <c r="F783" s="1">
        <v>0</v>
      </c>
      <c r="G783" s="1">
        <v>0</v>
      </c>
      <c r="H783" s="1">
        <v>0</v>
      </c>
      <c r="I783" s="1">
        <v>0</v>
      </c>
    </row>
    <row r="784" spans="1:9" ht="23.25">
      <c r="A784" s="4" t="s">
        <v>9</v>
      </c>
      <c r="B784" s="4"/>
      <c r="C784" s="4" t="s">
        <v>20</v>
      </c>
      <c r="D784" s="4"/>
      <c r="E784" s="1">
        <v>0</v>
      </c>
      <c r="F784" s="1">
        <v>0</v>
      </c>
      <c r="G784" s="1">
        <v>0</v>
      </c>
      <c r="H784" s="1">
        <v>0</v>
      </c>
      <c r="I784" s="1">
        <v>0</v>
      </c>
    </row>
    <row r="785" spans="1:9" ht="23.25">
      <c r="A785" s="4" t="s">
        <v>10</v>
      </c>
      <c r="B785" s="4"/>
      <c r="C785" s="4" t="s">
        <v>20</v>
      </c>
      <c r="D785" s="4"/>
      <c r="E785" s="1">
        <v>0</v>
      </c>
      <c r="F785" s="1">
        <v>0</v>
      </c>
      <c r="G785" s="1">
        <v>0</v>
      </c>
      <c r="H785" s="1">
        <v>0</v>
      </c>
      <c r="I785" s="1">
        <v>0</v>
      </c>
    </row>
    <row r="786" spans="1:9" ht="23.25">
      <c r="A786" s="4" t="s">
        <v>11</v>
      </c>
      <c r="B786" s="4"/>
      <c r="C786" s="4" t="s">
        <v>20</v>
      </c>
      <c r="D786" s="4"/>
      <c r="E786" s="1">
        <v>0</v>
      </c>
      <c r="F786" s="1">
        <v>0</v>
      </c>
      <c r="G786" s="1">
        <v>0</v>
      </c>
      <c r="H786" s="1">
        <v>0</v>
      </c>
      <c r="I786" s="1">
        <v>0</v>
      </c>
    </row>
    <row r="787" spans="1:9" ht="23.25">
      <c r="A787" s="4" t="s">
        <v>12</v>
      </c>
      <c r="B787" s="4"/>
      <c r="C787" s="4" t="s">
        <v>20</v>
      </c>
      <c r="D787" s="4"/>
      <c r="E787" s="1">
        <v>0</v>
      </c>
      <c r="F787" s="1">
        <v>0</v>
      </c>
      <c r="G787" s="1">
        <v>0</v>
      </c>
      <c r="H787" s="1">
        <v>0</v>
      </c>
      <c r="I787" s="1">
        <v>0</v>
      </c>
    </row>
    <row r="788" spans="1:9" ht="23.25">
      <c r="A788" s="4" t="s">
        <v>13</v>
      </c>
      <c r="B788" s="4"/>
      <c r="C788" s="4" t="s">
        <v>20</v>
      </c>
      <c r="D788" s="4"/>
      <c r="E788" s="1">
        <v>0</v>
      </c>
      <c r="F788" s="1">
        <v>0</v>
      </c>
      <c r="G788" s="1">
        <v>0</v>
      </c>
      <c r="H788" s="1">
        <v>0</v>
      </c>
      <c r="I788" s="1">
        <v>0</v>
      </c>
    </row>
    <row r="789" spans="1:9" ht="23.25">
      <c r="A789" s="4" t="s">
        <v>14</v>
      </c>
      <c r="B789" s="4"/>
      <c r="C789" s="4" t="s">
        <v>20</v>
      </c>
      <c r="D789" s="4"/>
      <c r="E789" s="1">
        <v>0</v>
      </c>
      <c r="F789" s="1">
        <v>0</v>
      </c>
      <c r="G789" s="1">
        <v>0</v>
      </c>
      <c r="H789" s="1">
        <v>0</v>
      </c>
      <c r="I789" s="1">
        <v>0</v>
      </c>
    </row>
    <row r="790" spans="1:9" ht="23.25">
      <c r="A790" s="4" t="s">
        <v>15</v>
      </c>
      <c r="B790" s="4"/>
      <c r="C790" s="4" t="s">
        <v>20</v>
      </c>
      <c r="D790" s="4"/>
      <c r="E790" s="1">
        <v>0</v>
      </c>
      <c r="F790" s="1">
        <v>0</v>
      </c>
      <c r="G790" s="1">
        <v>0</v>
      </c>
      <c r="H790" s="1">
        <v>0</v>
      </c>
      <c r="I790" s="1">
        <v>0</v>
      </c>
    </row>
    <row r="791" spans="1:9" ht="23.25">
      <c r="A791" s="4" t="s">
        <v>16</v>
      </c>
      <c r="B791" s="4"/>
      <c r="C791" s="4" t="s">
        <v>20</v>
      </c>
      <c r="D791" s="4"/>
      <c r="E791" s="1">
        <v>0</v>
      </c>
      <c r="F791" s="1">
        <v>0</v>
      </c>
      <c r="G791" s="1">
        <v>0</v>
      </c>
      <c r="H791" s="1">
        <v>0</v>
      </c>
      <c r="I791" s="1">
        <v>0</v>
      </c>
    </row>
    <row r="792" spans="1:9" ht="23.25">
      <c r="A792" s="4" t="s">
        <v>17</v>
      </c>
      <c r="B792" s="4"/>
      <c r="C792" s="4" t="s">
        <v>20</v>
      </c>
      <c r="D792" s="4"/>
      <c r="E792" s="1">
        <v>0</v>
      </c>
      <c r="F792" s="1">
        <v>0</v>
      </c>
      <c r="G792" s="1">
        <v>0</v>
      </c>
      <c r="H792" s="1">
        <v>0</v>
      </c>
      <c r="I792" s="1">
        <v>0</v>
      </c>
    </row>
    <row r="793" spans="1:9" ht="23.25">
      <c r="A793" s="4" t="s">
        <v>18</v>
      </c>
      <c r="B793" s="4"/>
      <c r="C793" s="4" t="s">
        <v>20</v>
      </c>
      <c r="D793" s="4"/>
      <c r="E793" s="1">
        <v>0</v>
      </c>
      <c r="F793" s="1">
        <v>0</v>
      </c>
      <c r="G793" s="1">
        <v>0</v>
      </c>
      <c r="H793" s="1">
        <v>0</v>
      </c>
      <c r="I793" s="1">
        <v>0</v>
      </c>
    </row>
    <row r="794" spans="1:9" ht="23.25">
      <c r="A794" s="4" t="s">
        <v>19</v>
      </c>
      <c r="B794" s="4"/>
      <c r="C794" s="4" t="s">
        <v>20</v>
      </c>
      <c r="D794" s="4"/>
      <c r="E794" s="1">
        <v>0</v>
      </c>
      <c r="F794" s="1">
        <v>0</v>
      </c>
      <c r="G794" s="1">
        <v>0</v>
      </c>
      <c r="H794" s="1">
        <v>0</v>
      </c>
      <c r="I794" s="1">
        <v>0</v>
      </c>
    </row>
    <row r="795" spans="1:9" ht="23.25">
      <c r="A795" s="4" t="s">
        <v>20</v>
      </c>
      <c r="B795" s="4"/>
      <c r="C795" s="4" t="s">
        <v>20</v>
      </c>
      <c r="D795" s="4"/>
      <c r="E795" s="1">
        <v>0</v>
      </c>
      <c r="F795" s="1">
        <v>0</v>
      </c>
      <c r="G795" s="1">
        <v>0</v>
      </c>
      <c r="H795" s="1">
        <v>0</v>
      </c>
      <c r="I795" s="1">
        <v>0</v>
      </c>
    </row>
    <row r="796" spans="1:9" ht="23.25">
      <c r="A796" s="4" t="s">
        <v>21</v>
      </c>
      <c r="B796" s="4"/>
      <c r="C796" s="4" t="s">
        <v>20</v>
      </c>
      <c r="D796" s="4"/>
      <c r="E796" s="1">
        <v>0</v>
      </c>
      <c r="F796" s="1">
        <v>0</v>
      </c>
      <c r="G796" s="1">
        <v>0</v>
      </c>
      <c r="H796" s="1">
        <v>0</v>
      </c>
      <c r="I796" s="1">
        <v>0</v>
      </c>
    </row>
    <row r="797" spans="1:9" ht="23.25">
      <c r="A797" s="4" t="s">
        <v>22</v>
      </c>
      <c r="B797" s="4"/>
      <c r="C797" s="4" t="s">
        <v>20</v>
      </c>
      <c r="D797" s="4"/>
      <c r="E797" s="1">
        <v>0</v>
      </c>
      <c r="F797" s="1">
        <v>0</v>
      </c>
      <c r="G797" s="1">
        <v>0</v>
      </c>
      <c r="H797" s="1">
        <v>0</v>
      </c>
      <c r="I797" s="1">
        <v>0</v>
      </c>
    </row>
    <row r="798" spans="1:9" ht="23.25">
      <c r="A798" s="4" t="s">
        <v>23</v>
      </c>
      <c r="B798" s="4"/>
      <c r="C798" s="4" t="s">
        <v>20</v>
      </c>
      <c r="D798" s="4"/>
      <c r="E798" s="1">
        <v>0</v>
      </c>
      <c r="F798" s="1">
        <v>0</v>
      </c>
      <c r="G798" s="1">
        <v>0</v>
      </c>
      <c r="H798" s="1">
        <v>0</v>
      </c>
      <c r="I798" s="1">
        <v>0</v>
      </c>
    </row>
    <row r="799" spans="1:9" ht="23.25">
      <c r="A799" s="4" t="s">
        <v>24</v>
      </c>
      <c r="B799" s="4"/>
      <c r="C799" s="4" t="s">
        <v>20</v>
      </c>
      <c r="D799" s="4"/>
      <c r="E799" s="1">
        <v>0</v>
      </c>
      <c r="F799" s="1">
        <v>0</v>
      </c>
      <c r="G799" s="1">
        <v>0</v>
      </c>
      <c r="H799" s="1">
        <v>0</v>
      </c>
      <c r="I799" s="1">
        <v>0</v>
      </c>
    </row>
    <row r="800" spans="1:9" ht="23.25">
      <c r="A800" s="4" t="s">
        <v>25</v>
      </c>
      <c r="B800" s="4"/>
      <c r="C800" s="4" t="s">
        <v>20</v>
      </c>
      <c r="D800" s="4"/>
      <c r="E800" s="1">
        <v>0</v>
      </c>
      <c r="F800" s="1">
        <v>0</v>
      </c>
      <c r="G800" s="1">
        <v>0</v>
      </c>
      <c r="H800" s="1">
        <v>0</v>
      </c>
      <c r="I800" s="1">
        <v>0</v>
      </c>
    </row>
    <row r="801" spans="1:9" ht="23.25">
      <c r="A801" s="4" t="s">
        <v>26</v>
      </c>
      <c r="B801" s="4"/>
      <c r="C801" s="4" t="s">
        <v>20</v>
      </c>
      <c r="D801" s="4"/>
      <c r="E801" s="1">
        <v>0</v>
      </c>
      <c r="F801" s="1">
        <v>0</v>
      </c>
      <c r="G801" s="1">
        <v>0</v>
      </c>
      <c r="H801" s="1">
        <v>0</v>
      </c>
      <c r="I801" s="1">
        <v>0</v>
      </c>
    </row>
    <row r="802" spans="1:9" ht="23.25">
      <c r="A802" s="4" t="s">
        <v>27</v>
      </c>
      <c r="B802" s="4"/>
      <c r="C802" s="4" t="s">
        <v>20</v>
      </c>
      <c r="D802" s="4"/>
      <c r="E802" s="1">
        <v>0</v>
      </c>
      <c r="F802" s="1">
        <v>0</v>
      </c>
      <c r="G802" s="1">
        <v>0</v>
      </c>
      <c r="H802" s="1">
        <v>0</v>
      </c>
      <c r="I802" s="1">
        <v>0</v>
      </c>
    </row>
    <row r="803" spans="1:9" ht="23.25">
      <c r="A803" s="4" t="s">
        <v>28</v>
      </c>
      <c r="B803" s="4"/>
      <c r="C803" s="4" t="s">
        <v>20</v>
      </c>
      <c r="D803" s="4"/>
      <c r="E803" s="1">
        <v>0</v>
      </c>
      <c r="F803" s="1">
        <v>0</v>
      </c>
      <c r="G803" s="1">
        <v>0</v>
      </c>
      <c r="H803" s="1">
        <v>0</v>
      </c>
      <c r="I803" s="1">
        <v>0</v>
      </c>
    </row>
    <row r="804" spans="1:9" ht="23.25">
      <c r="A804" s="4" t="s">
        <v>29</v>
      </c>
      <c r="B804" s="4"/>
      <c r="C804" s="4" t="s">
        <v>20</v>
      </c>
      <c r="D804" s="4"/>
      <c r="E804" s="1">
        <v>0</v>
      </c>
      <c r="F804" s="1">
        <v>0</v>
      </c>
      <c r="G804" s="1">
        <v>0</v>
      </c>
      <c r="H804" s="1">
        <v>0</v>
      </c>
      <c r="I804" s="1">
        <v>0</v>
      </c>
    </row>
    <row r="805" spans="1:9" ht="23.25">
      <c r="A805" s="4" t="s">
        <v>30</v>
      </c>
      <c r="B805" s="4"/>
      <c r="C805" s="4" t="s">
        <v>20</v>
      </c>
      <c r="D805" s="4"/>
      <c r="E805" s="1">
        <v>0</v>
      </c>
      <c r="F805" s="1">
        <v>0</v>
      </c>
      <c r="G805" s="1">
        <v>0</v>
      </c>
      <c r="H805" s="1">
        <v>0</v>
      </c>
      <c r="I805" s="1">
        <v>0</v>
      </c>
    </row>
    <row r="806" spans="1:9" ht="23.25">
      <c r="A806" s="4" t="s">
        <v>31</v>
      </c>
      <c r="B806" s="4"/>
      <c r="C806" s="4" t="s">
        <v>20</v>
      </c>
      <c r="D806" s="4"/>
      <c r="E806" s="1">
        <v>0</v>
      </c>
      <c r="F806" s="1">
        <v>0</v>
      </c>
      <c r="G806" s="1">
        <v>0</v>
      </c>
      <c r="H806" s="1">
        <v>0</v>
      </c>
      <c r="I806" s="1">
        <v>0</v>
      </c>
    </row>
    <row r="807" spans="1:9" ht="23.25">
      <c r="A807" s="4" t="s">
        <v>32</v>
      </c>
      <c r="B807" s="4"/>
      <c r="C807" s="4" t="s">
        <v>20</v>
      </c>
      <c r="D807" s="4"/>
      <c r="E807" s="1">
        <v>42</v>
      </c>
      <c r="F807" s="1">
        <v>0</v>
      </c>
      <c r="G807" s="1">
        <v>0</v>
      </c>
      <c r="H807" s="1">
        <v>0</v>
      </c>
      <c r="I807" s="1">
        <v>0</v>
      </c>
    </row>
    <row r="808" spans="1:9" ht="23.25">
      <c r="A808" s="4" t="s">
        <v>33</v>
      </c>
      <c r="B808" s="4"/>
      <c r="C808" s="4" t="s">
        <v>20</v>
      </c>
      <c r="D808" s="4"/>
      <c r="E808" s="1">
        <v>0</v>
      </c>
      <c r="F808" s="1">
        <v>0</v>
      </c>
      <c r="G808" s="1">
        <v>0</v>
      </c>
      <c r="H808" s="1">
        <v>0</v>
      </c>
      <c r="I808" s="1">
        <v>0</v>
      </c>
    </row>
    <row r="809" spans="1:9" ht="23.25">
      <c r="A809" s="4" t="s">
        <v>34</v>
      </c>
      <c r="B809" s="4"/>
      <c r="C809" s="4" t="s">
        <v>20</v>
      </c>
      <c r="D809" s="4"/>
      <c r="E809" s="1">
        <v>1502</v>
      </c>
      <c r="F809" s="1">
        <v>108</v>
      </c>
      <c r="G809" s="1">
        <v>94</v>
      </c>
      <c r="H809" s="1">
        <v>30</v>
      </c>
      <c r="I809" s="1">
        <v>822</v>
      </c>
    </row>
    <row r="810" spans="1:9" ht="23.25">
      <c r="A810" s="4" t="s">
        <v>35</v>
      </c>
      <c r="B810" s="4"/>
      <c r="C810" s="4" t="s">
        <v>20</v>
      </c>
      <c r="D810" s="4"/>
      <c r="E810" s="1">
        <v>0</v>
      </c>
      <c r="F810" s="1">
        <v>0</v>
      </c>
      <c r="G810" s="1">
        <v>0</v>
      </c>
      <c r="H810" s="1">
        <v>0</v>
      </c>
      <c r="I810" s="1">
        <v>0</v>
      </c>
    </row>
    <row r="811" spans="1:9" ht="23.25">
      <c r="A811" s="4" t="s">
        <v>36</v>
      </c>
      <c r="B811" s="4"/>
      <c r="C811" s="4" t="s">
        <v>20</v>
      </c>
      <c r="D811" s="4"/>
      <c r="E811" s="1">
        <v>1014</v>
      </c>
      <c r="F811" s="1">
        <v>103</v>
      </c>
      <c r="G811" s="1">
        <v>141</v>
      </c>
      <c r="H811" s="1">
        <v>12</v>
      </c>
      <c r="I811" s="1">
        <v>708</v>
      </c>
    </row>
    <row r="812" spans="1:9" ht="23.25">
      <c r="A812" s="4" t="s">
        <v>37</v>
      </c>
      <c r="B812" s="4"/>
      <c r="C812" s="4" t="s">
        <v>20</v>
      </c>
      <c r="D812" s="4"/>
      <c r="E812" s="1">
        <v>46464</v>
      </c>
      <c r="F812" s="1">
        <v>3262</v>
      </c>
      <c r="G812" s="1">
        <v>1715</v>
      </c>
      <c r="H812" s="1">
        <v>484</v>
      </c>
      <c r="I812" s="1">
        <v>7343</v>
      </c>
    </row>
    <row r="813" spans="1:9" ht="23.25">
      <c r="A813" s="4" t="s">
        <v>38</v>
      </c>
      <c r="B813" s="4"/>
      <c r="C813" s="4" t="s">
        <v>20</v>
      </c>
      <c r="D813" s="4"/>
      <c r="E813" s="1">
        <v>0</v>
      </c>
      <c r="F813" s="1">
        <v>0</v>
      </c>
      <c r="G813" s="1">
        <v>0</v>
      </c>
      <c r="H813" s="1">
        <v>0</v>
      </c>
      <c r="I813" s="1">
        <v>0</v>
      </c>
    </row>
    <row r="814" spans="1:9" ht="23.25">
      <c r="A814" s="4" t="s">
        <v>39</v>
      </c>
      <c r="B814" s="4"/>
      <c r="C814" s="4" t="s">
        <v>20</v>
      </c>
      <c r="D814" s="4"/>
      <c r="E814" s="1">
        <v>423</v>
      </c>
      <c r="F814" s="1">
        <v>27</v>
      </c>
      <c r="G814" s="1">
        <v>37</v>
      </c>
      <c r="H814" s="1">
        <v>4</v>
      </c>
      <c r="I814" s="1">
        <v>228</v>
      </c>
    </row>
    <row r="815" spans="1:9" ht="23.25">
      <c r="A815" s="4" t="s">
        <v>40</v>
      </c>
      <c r="B815" s="4"/>
      <c r="C815" s="4" t="s">
        <v>20</v>
      </c>
      <c r="D815" s="4"/>
      <c r="E815" s="1">
        <v>0</v>
      </c>
      <c r="F815" s="1">
        <v>0</v>
      </c>
      <c r="G815" s="1">
        <v>0</v>
      </c>
      <c r="H815" s="1">
        <v>0</v>
      </c>
      <c r="I815" s="1">
        <v>0</v>
      </c>
    </row>
    <row r="816" spans="1:9" ht="23.25">
      <c r="A816" s="4" t="s">
        <v>41</v>
      </c>
      <c r="B816" s="4"/>
      <c r="C816" s="4" t="s">
        <v>20</v>
      </c>
      <c r="D816" s="4"/>
      <c r="E816" s="1">
        <v>0</v>
      </c>
      <c r="F816" s="1">
        <v>0</v>
      </c>
      <c r="G816" s="1">
        <v>0</v>
      </c>
      <c r="H816" s="1">
        <v>0</v>
      </c>
      <c r="I816" s="1">
        <v>0</v>
      </c>
    </row>
    <row r="817" spans="1:9" ht="23.25">
      <c r="A817" s="4" t="s">
        <v>42</v>
      </c>
      <c r="B817" s="4"/>
      <c r="C817" s="4" t="s">
        <v>20</v>
      </c>
      <c r="D817" s="4"/>
      <c r="E817" s="1">
        <v>25</v>
      </c>
      <c r="F817" s="1">
        <v>2</v>
      </c>
      <c r="G817" s="1">
        <v>3</v>
      </c>
      <c r="H817" s="1">
        <v>0</v>
      </c>
      <c r="I817" s="1">
        <v>0</v>
      </c>
    </row>
    <row r="818" spans="1:9" ht="23.25">
      <c r="A818" s="4" t="s">
        <v>43</v>
      </c>
      <c r="B818" s="4"/>
      <c r="C818" s="4" t="s">
        <v>20</v>
      </c>
      <c r="D818" s="4"/>
      <c r="E818" s="1">
        <v>0</v>
      </c>
      <c r="F818" s="1">
        <v>0</v>
      </c>
      <c r="G818" s="1">
        <v>0</v>
      </c>
      <c r="H818" s="1">
        <v>0</v>
      </c>
      <c r="I818" s="1">
        <v>0</v>
      </c>
    </row>
    <row r="819" spans="1:9" ht="23.25">
      <c r="A819" s="4" t="s">
        <v>44</v>
      </c>
      <c r="B819" s="4"/>
      <c r="C819" s="4" t="s">
        <v>20</v>
      </c>
      <c r="D819" s="4"/>
      <c r="E819" s="1">
        <v>2387</v>
      </c>
      <c r="F819" s="1">
        <v>38</v>
      </c>
      <c r="G819" s="1">
        <v>109</v>
      </c>
      <c r="H819" s="1">
        <v>6</v>
      </c>
      <c r="I819" s="1">
        <v>1537</v>
      </c>
    </row>
    <row r="820" spans="1:9" ht="23.25">
      <c r="A820" s="4" t="s">
        <v>45</v>
      </c>
      <c r="B820" s="4"/>
      <c r="C820" s="4" t="s">
        <v>20</v>
      </c>
      <c r="D820" s="4"/>
      <c r="E820" s="1">
        <v>21738</v>
      </c>
      <c r="F820" s="1">
        <v>1795</v>
      </c>
      <c r="G820" s="1">
        <v>0</v>
      </c>
      <c r="H820" s="1">
        <v>308</v>
      </c>
      <c r="I820" s="1">
        <v>0</v>
      </c>
    </row>
    <row r="821" spans="1:9" ht="23.25">
      <c r="A821" s="4" t="s">
        <v>46</v>
      </c>
      <c r="B821" s="4"/>
      <c r="C821" s="4" t="s">
        <v>20</v>
      </c>
      <c r="D821" s="4"/>
      <c r="E821" s="1">
        <v>320</v>
      </c>
      <c r="F821" s="1">
        <v>21</v>
      </c>
      <c r="G821" s="1">
        <v>2</v>
      </c>
      <c r="H821" s="1">
        <v>0</v>
      </c>
      <c r="I821" s="1">
        <v>0</v>
      </c>
    </row>
    <row r="822" spans="1:9" ht="23.25">
      <c r="A822" s="4" t="s">
        <v>47</v>
      </c>
      <c r="B822" s="4"/>
      <c r="C822" s="4" t="s">
        <v>20</v>
      </c>
      <c r="D822" s="4"/>
      <c r="E822" s="1">
        <v>6157</v>
      </c>
      <c r="F822" s="1">
        <v>0</v>
      </c>
      <c r="G822" s="1">
        <v>0</v>
      </c>
      <c r="H822" s="1">
        <v>0</v>
      </c>
      <c r="I822" s="1">
        <v>0</v>
      </c>
    </row>
    <row r="823" spans="1:9" ht="23.25">
      <c r="A823" s="4" t="s">
        <v>48</v>
      </c>
      <c r="B823" s="4"/>
      <c r="C823" s="4" t="s">
        <v>20</v>
      </c>
      <c r="D823" s="4"/>
      <c r="E823" s="1">
        <v>426</v>
      </c>
      <c r="F823" s="1">
        <v>0</v>
      </c>
      <c r="G823" s="1">
        <v>0</v>
      </c>
      <c r="H823" s="1">
        <v>0</v>
      </c>
      <c r="I823" s="1">
        <v>0</v>
      </c>
    </row>
    <row r="824" spans="1:9" ht="23.25">
      <c r="A824" s="4" t="s">
        <v>49</v>
      </c>
      <c r="B824" s="4"/>
      <c r="C824" s="4" t="s">
        <v>20</v>
      </c>
      <c r="D824" s="4"/>
      <c r="E824" s="1">
        <v>0</v>
      </c>
      <c r="F824" s="1">
        <v>0</v>
      </c>
      <c r="G824" s="1">
        <v>0</v>
      </c>
      <c r="H824" s="1">
        <v>0</v>
      </c>
      <c r="I824" s="1">
        <v>0</v>
      </c>
    </row>
    <row r="825" spans="1:9" ht="23.25">
      <c r="A825" s="4" t="s">
        <v>50</v>
      </c>
      <c r="B825" s="4"/>
      <c r="C825" s="4" t="s">
        <v>20</v>
      </c>
      <c r="D825" s="4"/>
      <c r="E825" s="1">
        <v>0</v>
      </c>
      <c r="F825" s="1">
        <v>0</v>
      </c>
      <c r="G825" s="1">
        <v>0</v>
      </c>
      <c r="H825" s="1">
        <v>0</v>
      </c>
      <c r="I825" s="1">
        <v>0</v>
      </c>
    </row>
    <row r="826" spans="1:9" ht="23.25">
      <c r="A826" s="4" t="s">
        <v>51</v>
      </c>
      <c r="B826" s="4"/>
      <c r="C826" s="4" t="s">
        <v>20</v>
      </c>
      <c r="D826" s="4"/>
      <c r="E826" s="1">
        <v>83</v>
      </c>
      <c r="F826" s="1">
        <v>4</v>
      </c>
      <c r="G826" s="1">
        <v>5</v>
      </c>
      <c r="H826" s="1">
        <v>0</v>
      </c>
      <c r="I826" s="1">
        <v>0</v>
      </c>
    </row>
    <row r="827" spans="1:9" ht="23.25">
      <c r="A827" s="4" t="s">
        <v>52</v>
      </c>
      <c r="B827" s="4"/>
      <c r="C827" s="4" t="s">
        <v>20</v>
      </c>
      <c r="D827" s="4"/>
      <c r="E827" s="1">
        <v>4732</v>
      </c>
      <c r="F827" s="1">
        <v>0</v>
      </c>
      <c r="G827" s="1">
        <v>0</v>
      </c>
      <c r="H827" s="1">
        <v>0</v>
      </c>
      <c r="I827" s="1">
        <v>0</v>
      </c>
    </row>
    <row r="828" spans="1:9" ht="23.25">
      <c r="A828" s="4" t="s">
        <v>53</v>
      </c>
      <c r="B828" s="4"/>
      <c r="C828" s="4" t="s">
        <v>20</v>
      </c>
      <c r="D828" s="4"/>
      <c r="E828" s="1">
        <v>0</v>
      </c>
      <c r="F828" s="1">
        <v>0</v>
      </c>
      <c r="G828" s="1">
        <v>0</v>
      </c>
      <c r="H828" s="1">
        <v>0</v>
      </c>
      <c r="I828" s="1">
        <v>0</v>
      </c>
    </row>
    <row r="829" spans="1:9" ht="23.25">
      <c r="A829" s="4" t="s">
        <v>54</v>
      </c>
      <c r="B829" s="4"/>
      <c r="C829" s="4" t="s">
        <v>20</v>
      </c>
      <c r="D829" s="4"/>
      <c r="E829" s="1">
        <v>0</v>
      </c>
      <c r="F829" s="1">
        <v>0</v>
      </c>
      <c r="G829" s="1">
        <v>0</v>
      </c>
      <c r="H829" s="1">
        <v>0</v>
      </c>
      <c r="I829" s="1">
        <v>0</v>
      </c>
    </row>
    <row r="830" spans="1:9" ht="23.25">
      <c r="A830" s="4" t="s">
        <v>55</v>
      </c>
      <c r="B830" s="4"/>
      <c r="C830" s="4" t="s">
        <v>20</v>
      </c>
      <c r="D830" s="4"/>
      <c r="E830" s="1">
        <v>0</v>
      </c>
      <c r="F830" s="1">
        <v>0</v>
      </c>
      <c r="G830" s="1">
        <v>0</v>
      </c>
      <c r="H830" s="1">
        <v>0</v>
      </c>
      <c r="I830" s="1">
        <v>0</v>
      </c>
    </row>
    <row r="831" spans="1:9" ht="23.25">
      <c r="A831" s="4" t="s">
        <v>56</v>
      </c>
      <c r="B831" s="4"/>
      <c r="C831" s="4" t="s">
        <v>20</v>
      </c>
      <c r="D831" s="4"/>
      <c r="E831" s="1">
        <v>0</v>
      </c>
      <c r="F831" s="1">
        <v>-5360</v>
      </c>
      <c r="G831" s="1">
        <v>-2106</v>
      </c>
      <c r="H831" s="1">
        <v>0</v>
      </c>
      <c r="I831" s="1">
        <v>0</v>
      </c>
    </row>
    <row r="832" spans="1:9" ht="23.25">
      <c r="A832" s="4" t="s">
        <v>57</v>
      </c>
      <c r="B832" s="4"/>
      <c r="C832" s="4" t="s">
        <v>20</v>
      </c>
      <c r="D832" s="4"/>
      <c r="E832" s="1">
        <v>1524</v>
      </c>
      <c r="F832" s="1">
        <v>0</v>
      </c>
      <c r="G832" s="1">
        <v>0</v>
      </c>
      <c r="H832" s="1">
        <v>0</v>
      </c>
      <c r="I832" s="1">
        <v>0</v>
      </c>
    </row>
    <row r="833" spans="1:9" ht="23.25">
      <c r="A833" s="4" t="s">
        <v>58</v>
      </c>
      <c r="B833" s="4"/>
      <c r="C833" s="4" t="s">
        <v>20</v>
      </c>
      <c r="D833" s="4"/>
      <c r="E833" s="1">
        <v>4654</v>
      </c>
      <c r="F833" s="1">
        <v>0</v>
      </c>
      <c r="G833" s="1">
        <v>0</v>
      </c>
      <c r="H833" s="1">
        <v>-844</v>
      </c>
      <c r="I833" s="1">
        <v>0</v>
      </c>
    </row>
    <row r="834" spans="1:9" ht="23.25">
      <c r="A834" s="4" t="s">
        <v>59</v>
      </c>
      <c r="B834" s="4"/>
      <c r="C834" s="4" t="s">
        <v>20</v>
      </c>
      <c r="D834" s="4"/>
      <c r="E834" s="1">
        <v>1122</v>
      </c>
      <c r="F834" s="1">
        <v>0</v>
      </c>
      <c r="G834" s="1">
        <v>0</v>
      </c>
      <c r="H834" s="1">
        <v>0</v>
      </c>
      <c r="I834" s="1">
        <v>0</v>
      </c>
    </row>
    <row r="835" spans="1:9" ht="23.25">
      <c r="A835" s="4" t="s">
        <v>60</v>
      </c>
      <c r="B835" s="4"/>
      <c r="C835" s="4" t="s">
        <v>20</v>
      </c>
      <c r="D835" s="4"/>
      <c r="E835" s="1">
        <v>5182</v>
      </c>
      <c r="F835" s="1">
        <v>0</v>
      </c>
      <c r="G835" s="1">
        <v>0</v>
      </c>
      <c r="H835" s="1">
        <v>0</v>
      </c>
      <c r="I835" s="1">
        <v>0</v>
      </c>
    </row>
    <row r="836" spans="1:9" ht="23.25">
      <c r="A836" s="4" t="s">
        <v>61</v>
      </c>
      <c r="B836" s="4"/>
      <c r="C836" s="4" t="s">
        <v>20</v>
      </c>
      <c r="D836" s="4"/>
      <c r="E836" s="1">
        <v>0</v>
      </c>
      <c r="F836" s="1">
        <v>0</v>
      </c>
      <c r="G836" s="1">
        <v>0</v>
      </c>
      <c r="H836" s="1">
        <v>0</v>
      </c>
      <c r="I836" s="1">
        <v>0</v>
      </c>
    </row>
    <row r="837" spans="1:9" ht="23.25">
      <c r="A837" s="4" t="s">
        <v>62</v>
      </c>
      <c r="B837" s="4"/>
      <c r="C837" s="4" t="s">
        <v>20</v>
      </c>
      <c r="D837" s="4"/>
      <c r="E837" s="1">
        <v>1838</v>
      </c>
      <c r="F837" s="1">
        <v>0</v>
      </c>
      <c r="G837" s="1">
        <v>0</v>
      </c>
      <c r="H837" s="1">
        <v>0</v>
      </c>
      <c r="I837" s="1">
        <v>0</v>
      </c>
    </row>
    <row r="838" spans="1:9" ht="23.25">
      <c r="A838" s="4" t="s">
        <v>63</v>
      </c>
      <c r="B838" s="4"/>
      <c r="C838" s="4" t="s">
        <v>20</v>
      </c>
      <c r="D838" s="4"/>
      <c r="E838" s="1">
        <v>1367</v>
      </c>
      <c r="F838" s="1">
        <v>0</v>
      </c>
      <c r="G838" s="1">
        <v>0</v>
      </c>
      <c r="H838" s="1">
        <v>0</v>
      </c>
      <c r="I838" s="1">
        <v>0</v>
      </c>
    </row>
    <row r="839" spans="1:9" ht="23.25">
      <c r="A839" s="4" t="s">
        <v>64</v>
      </c>
      <c r="B839" s="4"/>
      <c r="C839" s="4" t="s">
        <v>20</v>
      </c>
      <c r="D839" s="4"/>
      <c r="E839" s="1">
        <v>336</v>
      </c>
      <c r="F839" s="1">
        <v>0</v>
      </c>
      <c r="G839" s="1">
        <v>0</v>
      </c>
      <c r="H839" s="1">
        <v>0</v>
      </c>
      <c r="I839" s="1">
        <v>0</v>
      </c>
    </row>
    <row r="840" spans="1:9" ht="23.25">
      <c r="A840" s="4" t="s">
        <v>65</v>
      </c>
      <c r="B840" s="4"/>
      <c r="C840" s="4" t="s">
        <v>20</v>
      </c>
      <c r="D840" s="4"/>
      <c r="E840" s="1">
        <v>596</v>
      </c>
      <c r="F840" s="1">
        <v>0</v>
      </c>
      <c r="G840" s="1">
        <v>0</v>
      </c>
      <c r="H840" s="1">
        <v>0</v>
      </c>
      <c r="I840" s="1">
        <v>71</v>
      </c>
    </row>
    <row r="841" spans="1:9" ht="23.25">
      <c r="A841" s="4" t="s">
        <v>66</v>
      </c>
      <c r="B841" s="4"/>
      <c r="C841" s="4" t="s">
        <v>20</v>
      </c>
      <c r="D841" s="4"/>
      <c r="E841" s="1">
        <v>101932</v>
      </c>
      <c r="F841" s="1">
        <v>0</v>
      </c>
      <c r="G841" s="1">
        <v>0</v>
      </c>
      <c r="H841" s="1">
        <v>0</v>
      </c>
      <c r="I841" s="1">
        <v>10709</v>
      </c>
    </row>
    <row r="842" spans="1:9" ht="23.25">
      <c r="A842" s="4" t="s">
        <v>67</v>
      </c>
      <c r="B842" s="4"/>
      <c r="C842" s="4" t="s">
        <v>20</v>
      </c>
      <c r="D842" s="4"/>
      <c r="E842" s="1">
        <v>22061</v>
      </c>
      <c r="F842" s="1">
        <v>0</v>
      </c>
      <c r="G842" s="1">
        <v>0</v>
      </c>
      <c r="H842" s="1">
        <v>0</v>
      </c>
      <c r="I842" s="1">
        <v>0</v>
      </c>
    </row>
    <row r="843" spans="1:9" ht="23.25">
      <c r="A843" s="4" t="s">
        <v>68</v>
      </c>
      <c r="B843" s="4"/>
      <c r="C843" s="4" t="s">
        <v>20</v>
      </c>
      <c r="D843" s="4"/>
      <c r="E843" s="1">
        <v>46442</v>
      </c>
      <c r="F843" s="1">
        <v>0</v>
      </c>
      <c r="G843" s="1">
        <v>0</v>
      </c>
      <c r="H843" s="1">
        <v>0</v>
      </c>
      <c r="I843" s="1">
        <v>0</v>
      </c>
    </row>
    <row r="844" spans="1:9" ht="23.25">
      <c r="A844" s="4" t="s">
        <v>69</v>
      </c>
      <c r="B844" s="4"/>
      <c r="C844" s="4" t="s">
        <v>20</v>
      </c>
      <c r="D844" s="4"/>
      <c r="E844" s="1">
        <v>13759</v>
      </c>
      <c r="F844" s="1">
        <v>0</v>
      </c>
      <c r="G844" s="1">
        <v>0</v>
      </c>
      <c r="H844" s="1">
        <v>0</v>
      </c>
      <c r="I844" s="1">
        <v>0</v>
      </c>
    </row>
    <row r="845" spans="1:9" ht="23.25">
      <c r="A845" s="4" t="s">
        <v>70</v>
      </c>
      <c r="B845" s="4"/>
      <c r="C845" s="4" t="s">
        <v>20</v>
      </c>
      <c r="D845" s="4"/>
      <c r="E845" s="1">
        <v>4753</v>
      </c>
      <c r="F845" s="1">
        <v>0</v>
      </c>
      <c r="G845" s="1">
        <v>0</v>
      </c>
      <c r="H845" s="1">
        <v>0</v>
      </c>
      <c r="I845" s="1">
        <v>0</v>
      </c>
    </row>
    <row r="846" spans="1:9" ht="23.25">
      <c r="A846" s="4" t="s">
        <v>71</v>
      </c>
      <c r="B846" s="4"/>
      <c r="C846" s="4" t="s">
        <v>20</v>
      </c>
      <c r="D846" s="4"/>
      <c r="E846" s="1">
        <v>87015</v>
      </c>
      <c r="F846" s="1">
        <v>0</v>
      </c>
      <c r="G846" s="1">
        <v>0</v>
      </c>
      <c r="H846" s="1">
        <v>0</v>
      </c>
      <c r="I846" s="1">
        <v>0</v>
      </c>
    </row>
    <row r="847" spans="1:9" ht="23.25">
      <c r="A847" s="4" t="s">
        <v>72</v>
      </c>
      <c r="B847" s="4"/>
      <c r="C847" s="4" t="s">
        <v>20</v>
      </c>
      <c r="D847" s="4"/>
      <c r="E847" s="1">
        <v>188947</v>
      </c>
      <c r="F847" s="1">
        <v>0</v>
      </c>
      <c r="G847" s="1">
        <v>0</v>
      </c>
      <c r="H847" s="1">
        <v>0</v>
      </c>
      <c r="I847" s="1">
        <v>0</v>
      </c>
    </row>
    <row r="848" spans="1:9" ht="23.25">
      <c r="A848" s="4" t="s">
        <v>8</v>
      </c>
      <c r="B848" s="4"/>
      <c r="C848" s="4" t="s">
        <v>21</v>
      </c>
      <c r="D848" s="4"/>
      <c r="E848" s="1">
        <v>0</v>
      </c>
      <c r="F848" s="1">
        <v>0</v>
      </c>
      <c r="G848" s="1">
        <v>0</v>
      </c>
      <c r="H848" s="1">
        <v>0</v>
      </c>
      <c r="I848" s="1">
        <v>0</v>
      </c>
    </row>
    <row r="849" spans="1:9" ht="23.25">
      <c r="A849" s="4" t="s">
        <v>9</v>
      </c>
      <c r="B849" s="4"/>
      <c r="C849" s="4" t="s">
        <v>21</v>
      </c>
      <c r="D849" s="4"/>
      <c r="E849" s="1">
        <v>0</v>
      </c>
      <c r="F849" s="1">
        <v>0</v>
      </c>
      <c r="G849" s="1">
        <v>0</v>
      </c>
      <c r="H849" s="1">
        <v>0</v>
      </c>
      <c r="I849" s="1">
        <v>0</v>
      </c>
    </row>
    <row r="850" spans="1:9" ht="23.25">
      <c r="A850" s="4" t="s">
        <v>10</v>
      </c>
      <c r="B850" s="4"/>
      <c r="C850" s="4" t="s">
        <v>21</v>
      </c>
      <c r="D850" s="4"/>
      <c r="E850" s="1">
        <v>0</v>
      </c>
      <c r="F850" s="1">
        <v>0</v>
      </c>
      <c r="G850" s="1">
        <v>0</v>
      </c>
      <c r="H850" s="1">
        <v>0</v>
      </c>
      <c r="I850" s="1">
        <v>0</v>
      </c>
    </row>
    <row r="851" spans="1:9" ht="23.25">
      <c r="A851" s="4" t="s">
        <v>11</v>
      </c>
      <c r="B851" s="4"/>
      <c r="C851" s="4" t="s">
        <v>21</v>
      </c>
      <c r="D851" s="4"/>
      <c r="E851" s="1">
        <v>0</v>
      </c>
      <c r="F851" s="1">
        <v>0</v>
      </c>
      <c r="G851" s="1">
        <v>0</v>
      </c>
      <c r="H851" s="1">
        <v>0</v>
      </c>
      <c r="I851" s="1">
        <v>0</v>
      </c>
    </row>
    <row r="852" spans="1:9" ht="23.25">
      <c r="A852" s="4" t="s">
        <v>12</v>
      </c>
      <c r="B852" s="4"/>
      <c r="C852" s="4" t="s">
        <v>21</v>
      </c>
      <c r="D852" s="4"/>
      <c r="E852" s="1">
        <v>0</v>
      </c>
      <c r="F852" s="1">
        <v>0</v>
      </c>
      <c r="G852" s="1">
        <v>0</v>
      </c>
      <c r="H852" s="1">
        <v>0</v>
      </c>
      <c r="I852" s="1">
        <v>0</v>
      </c>
    </row>
    <row r="853" spans="1:9" ht="23.25">
      <c r="A853" s="4" t="s">
        <v>13</v>
      </c>
      <c r="B853" s="4"/>
      <c r="C853" s="4" t="s">
        <v>21</v>
      </c>
      <c r="D853" s="4"/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 spans="1:9" ht="23.25">
      <c r="A854" s="4" t="s">
        <v>14</v>
      </c>
      <c r="B854" s="4"/>
      <c r="C854" s="4" t="s">
        <v>21</v>
      </c>
      <c r="D854" s="4"/>
      <c r="E854" s="1">
        <v>0</v>
      </c>
      <c r="F854" s="1">
        <v>0</v>
      </c>
      <c r="G854" s="1">
        <v>0</v>
      </c>
      <c r="H854" s="1">
        <v>0</v>
      </c>
      <c r="I854" s="1">
        <v>0</v>
      </c>
    </row>
    <row r="855" spans="1:9" ht="23.25">
      <c r="A855" s="4" t="s">
        <v>15</v>
      </c>
      <c r="B855" s="4"/>
      <c r="C855" s="4" t="s">
        <v>21</v>
      </c>
      <c r="D855" s="4"/>
      <c r="E855" s="1">
        <v>0</v>
      </c>
      <c r="F855" s="1">
        <v>0</v>
      </c>
      <c r="G855" s="1">
        <v>0</v>
      </c>
      <c r="H855" s="1">
        <v>0</v>
      </c>
      <c r="I855" s="1">
        <v>0</v>
      </c>
    </row>
    <row r="856" spans="1:9" ht="23.25">
      <c r="A856" s="4" t="s">
        <v>16</v>
      </c>
      <c r="B856" s="4"/>
      <c r="C856" s="4" t="s">
        <v>21</v>
      </c>
      <c r="D856" s="4"/>
      <c r="E856" s="1">
        <v>0</v>
      </c>
      <c r="F856" s="1">
        <v>0</v>
      </c>
      <c r="G856" s="1">
        <v>0</v>
      </c>
      <c r="H856" s="1">
        <v>0</v>
      </c>
      <c r="I856" s="1">
        <v>0</v>
      </c>
    </row>
    <row r="857" spans="1:9" ht="23.25">
      <c r="A857" s="4" t="s">
        <v>17</v>
      </c>
      <c r="B857" s="4"/>
      <c r="C857" s="4" t="s">
        <v>21</v>
      </c>
      <c r="D857" s="4"/>
      <c r="E857" s="1">
        <v>132475</v>
      </c>
      <c r="F857" s="1">
        <v>11553</v>
      </c>
      <c r="G857" s="1">
        <v>533</v>
      </c>
      <c r="H857" s="1">
        <v>2320</v>
      </c>
      <c r="I857" s="1">
        <v>0</v>
      </c>
    </row>
    <row r="858" spans="1:9" ht="23.25">
      <c r="A858" s="4" t="s">
        <v>18</v>
      </c>
      <c r="B858" s="4"/>
      <c r="C858" s="4" t="s">
        <v>21</v>
      </c>
      <c r="D858" s="4"/>
      <c r="E858" s="1">
        <v>0</v>
      </c>
      <c r="F858" s="1">
        <v>0</v>
      </c>
      <c r="G858" s="1">
        <v>0</v>
      </c>
      <c r="H858" s="1">
        <v>0</v>
      </c>
      <c r="I858" s="1">
        <v>0</v>
      </c>
    </row>
    <row r="859" spans="1:9" ht="23.25">
      <c r="A859" s="4" t="s">
        <v>19</v>
      </c>
      <c r="B859" s="4"/>
      <c r="C859" s="4" t="s">
        <v>21</v>
      </c>
      <c r="D859" s="4"/>
      <c r="E859" s="1">
        <v>0</v>
      </c>
      <c r="F859" s="1">
        <v>0</v>
      </c>
      <c r="G859" s="1">
        <v>0</v>
      </c>
      <c r="H859" s="1">
        <v>0</v>
      </c>
      <c r="I859" s="1">
        <v>0</v>
      </c>
    </row>
    <row r="860" spans="1:9" ht="23.25">
      <c r="A860" s="4" t="s">
        <v>20</v>
      </c>
      <c r="B860" s="4"/>
      <c r="C860" s="4" t="s">
        <v>21</v>
      </c>
      <c r="D860" s="4"/>
      <c r="E860" s="1">
        <v>0</v>
      </c>
      <c r="F860" s="1">
        <v>0</v>
      </c>
      <c r="G860" s="1">
        <v>0</v>
      </c>
      <c r="H860" s="1">
        <v>0</v>
      </c>
      <c r="I860" s="1">
        <v>0</v>
      </c>
    </row>
    <row r="861" spans="1:9" ht="23.25">
      <c r="A861" s="4" t="s">
        <v>21</v>
      </c>
      <c r="B861" s="4"/>
      <c r="C861" s="4" t="s">
        <v>21</v>
      </c>
      <c r="D861" s="4"/>
      <c r="E861" s="1">
        <v>1069006</v>
      </c>
      <c r="F861" s="1">
        <v>52317</v>
      </c>
      <c r="G861" s="1">
        <v>20127</v>
      </c>
      <c r="H861" s="1">
        <v>120406</v>
      </c>
      <c r="I861" s="1">
        <v>0</v>
      </c>
    </row>
    <row r="862" spans="1:9" ht="23.25">
      <c r="A862" s="4" t="s">
        <v>22</v>
      </c>
      <c r="B862" s="4"/>
      <c r="C862" s="4" t="s">
        <v>21</v>
      </c>
      <c r="D862" s="4"/>
      <c r="E862" s="1">
        <v>0</v>
      </c>
      <c r="F862" s="1">
        <v>0</v>
      </c>
      <c r="G862" s="1">
        <v>0</v>
      </c>
      <c r="H862" s="1">
        <v>0</v>
      </c>
      <c r="I862" s="1">
        <v>0</v>
      </c>
    </row>
    <row r="863" spans="1:9" ht="23.25">
      <c r="A863" s="4" t="s">
        <v>23</v>
      </c>
      <c r="B863" s="4"/>
      <c r="C863" s="4" t="s">
        <v>21</v>
      </c>
      <c r="D863" s="4"/>
      <c r="E863" s="1">
        <v>0</v>
      </c>
      <c r="F863" s="1">
        <v>0</v>
      </c>
      <c r="G863" s="1">
        <v>0</v>
      </c>
      <c r="H863" s="1">
        <v>0</v>
      </c>
      <c r="I863" s="1">
        <v>0</v>
      </c>
    </row>
    <row r="864" spans="1:9" ht="23.25">
      <c r="A864" s="4" t="s">
        <v>24</v>
      </c>
      <c r="B864" s="4"/>
      <c r="C864" s="4" t="s">
        <v>21</v>
      </c>
      <c r="D864" s="4"/>
      <c r="E864" s="1">
        <v>0</v>
      </c>
      <c r="F864" s="1">
        <v>0</v>
      </c>
      <c r="G864" s="1">
        <v>0</v>
      </c>
      <c r="H864" s="1">
        <v>0</v>
      </c>
      <c r="I864" s="1">
        <v>0</v>
      </c>
    </row>
    <row r="865" spans="1:9" ht="23.25">
      <c r="A865" s="4" t="s">
        <v>25</v>
      </c>
      <c r="B865" s="4"/>
      <c r="C865" s="4" t="s">
        <v>21</v>
      </c>
      <c r="D865" s="4"/>
      <c r="E865" s="1">
        <v>0</v>
      </c>
      <c r="F865" s="1">
        <v>0</v>
      </c>
      <c r="G865" s="1">
        <v>0</v>
      </c>
      <c r="H865" s="1">
        <v>0</v>
      </c>
      <c r="I865" s="1">
        <v>0</v>
      </c>
    </row>
    <row r="866" spans="1:9" ht="23.25">
      <c r="A866" s="4" t="s">
        <v>26</v>
      </c>
      <c r="B866" s="4"/>
      <c r="C866" s="4" t="s">
        <v>21</v>
      </c>
      <c r="D866" s="4"/>
      <c r="E866" s="1">
        <v>0</v>
      </c>
      <c r="F866" s="1">
        <v>0</v>
      </c>
      <c r="G866" s="1">
        <v>0</v>
      </c>
      <c r="H866" s="1">
        <v>0</v>
      </c>
      <c r="I866" s="1">
        <v>0</v>
      </c>
    </row>
    <row r="867" spans="1:9" ht="23.25">
      <c r="A867" s="4" t="s">
        <v>27</v>
      </c>
      <c r="B867" s="4"/>
      <c r="C867" s="4" t="s">
        <v>21</v>
      </c>
      <c r="D867" s="4"/>
      <c r="E867" s="1">
        <v>0</v>
      </c>
      <c r="F867" s="1">
        <v>0</v>
      </c>
      <c r="G867" s="1">
        <v>0</v>
      </c>
      <c r="H867" s="1">
        <v>0</v>
      </c>
      <c r="I867" s="1">
        <v>0</v>
      </c>
    </row>
    <row r="868" spans="1:9" ht="23.25">
      <c r="A868" s="4" t="s">
        <v>28</v>
      </c>
      <c r="B868" s="4"/>
      <c r="C868" s="4" t="s">
        <v>21</v>
      </c>
      <c r="D868" s="4"/>
      <c r="E868" s="1">
        <v>0</v>
      </c>
      <c r="F868" s="1">
        <v>0</v>
      </c>
      <c r="G868" s="1">
        <v>0</v>
      </c>
      <c r="H868" s="1">
        <v>0</v>
      </c>
      <c r="I868" s="1">
        <v>0</v>
      </c>
    </row>
    <row r="869" spans="1:9" ht="23.25">
      <c r="A869" s="4" t="s">
        <v>29</v>
      </c>
      <c r="B869" s="4"/>
      <c r="C869" s="4" t="s">
        <v>21</v>
      </c>
      <c r="D869" s="4"/>
      <c r="E869" s="1">
        <v>0</v>
      </c>
      <c r="F869" s="1">
        <v>0</v>
      </c>
      <c r="G869" s="1">
        <v>0</v>
      </c>
      <c r="H869" s="1">
        <v>0</v>
      </c>
      <c r="I869" s="1">
        <v>0</v>
      </c>
    </row>
    <row r="870" spans="1:9" ht="23.25">
      <c r="A870" s="4" t="s">
        <v>30</v>
      </c>
      <c r="B870" s="4"/>
      <c r="C870" s="4" t="s">
        <v>21</v>
      </c>
      <c r="D870" s="4"/>
      <c r="E870" s="1">
        <v>0</v>
      </c>
      <c r="F870" s="1">
        <v>0</v>
      </c>
      <c r="G870" s="1">
        <v>0</v>
      </c>
      <c r="H870" s="1">
        <v>0</v>
      </c>
      <c r="I870" s="1">
        <v>0</v>
      </c>
    </row>
    <row r="871" spans="1:9" ht="23.25">
      <c r="A871" s="4" t="s">
        <v>31</v>
      </c>
      <c r="B871" s="4"/>
      <c r="C871" s="4" t="s">
        <v>21</v>
      </c>
      <c r="D871" s="4"/>
      <c r="E871" s="1">
        <v>82310</v>
      </c>
      <c r="F871" s="1">
        <v>2023</v>
      </c>
      <c r="G871" s="1">
        <v>262</v>
      </c>
      <c r="H871" s="1">
        <v>290</v>
      </c>
      <c r="I871" s="1">
        <v>3061</v>
      </c>
    </row>
    <row r="872" spans="1:9" ht="23.25">
      <c r="A872" s="4" t="s">
        <v>32</v>
      </c>
      <c r="B872" s="4"/>
      <c r="C872" s="4" t="s">
        <v>21</v>
      </c>
      <c r="D872" s="4"/>
      <c r="E872" s="1">
        <v>24796</v>
      </c>
      <c r="F872" s="1">
        <v>808</v>
      </c>
      <c r="G872" s="1">
        <v>486</v>
      </c>
      <c r="H872" s="1">
        <v>224</v>
      </c>
      <c r="I872" s="1">
        <v>0</v>
      </c>
    </row>
    <row r="873" spans="1:9" ht="23.25">
      <c r="A873" s="4" t="s">
        <v>33</v>
      </c>
      <c r="B873" s="4"/>
      <c r="C873" s="4" t="s">
        <v>21</v>
      </c>
      <c r="D873" s="4"/>
      <c r="E873" s="1">
        <v>3282</v>
      </c>
      <c r="F873" s="1">
        <v>111</v>
      </c>
      <c r="G873" s="1">
        <v>334</v>
      </c>
      <c r="H873" s="1">
        <v>32</v>
      </c>
      <c r="I873" s="1">
        <v>0</v>
      </c>
    </row>
    <row r="874" spans="1:9" ht="23.25">
      <c r="A874" s="4" t="s">
        <v>34</v>
      </c>
      <c r="B874" s="4"/>
      <c r="C874" s="4" t="s">
        <v>21</v>
      </c>
      <c r="D874" s="4"/>
      <c r="E874" s="1">
        <v>2645055</v>
      </c>
      <c r="F874" s="1">
        <v>228296</v>
      </c>
      <c r="G874" s="1">
        <v>214408</v>
      </c>
      <c r="H874" s="1">
        <v>59053</v>
      </c>
      <c r="I874" s="1">
        <v>1484951</v>
      </c>
    </row>
    <row r="875" spans="1:9" ht="23.25">
      <c r="A875" s="4" t="s">
        <v>35</v>
      </c>
      <c r="B875" s="4"/>
      <c r="C875" s="4" t="s">
        <v>21</v>
      </c>
      <c r="D875" s="4"/>
      <c r="E875" s="1">
        <v>47184</v>
      </c>
      <c r="F875" s="1">
        <v>3929</v>
      </c>
      <c r="G875" s="1">
        <v>4561</v>
      </c>
      <c r="H875" s="1">
        <v>1609</v>
      </c>
      <c r="I875" s="1">
        <v>0</v>
      </c>
    </row>
    <row r="876" spans="1:9" ht="23.25">
      <c r="A876" s="4" t="s">
        <v>36</v>
      </c>
      <c r="B876" s="4"/>
      <c r="C876" s="4" t="s">
        <v>21</v>
      </c>
      <c r="D876" s="4"/>
      <c r="E876" s="1">
        <v>3270173</v>
      </c>
      <c r="F876" s="1">
        <v>228265</v>
      </c>
      <c r="G876" s="1">
        <v>226117</v>
      </c>
      <c r="H876" s="1">
        <v>41978</v>
      </c>
      <c r="I876" s="1">
        <v>2559843</v>
      </c>
    </row>
    <row r="877" spans="1:9" ht="23.25">
      <c r="A877" s="4" t="s">
        <v>37</v>
      </c>
      <c r="B877" s="4"/>
      <c r="C877" s="4" t="s">
        <v>21</v>
      </c>
      <c r="D877" s="4"/>
      <c r="E877" s="1">
        <v>14666887</v>
      </c>
      <c r="F877" s="1">
        <v>921736</v>
      </c>
      <c r="G877" s="1">
        <v>1026712</v>
      </c>
      <c r="H877" s="1">
        <v>153245</v>
      </c>
      <c r="I877" s="1">
        <v>2251182</v>
      </c>
    </row>
    <row r="878" spans="1:9" ht="23.25">
      <c r="A878" s="4" t="s">
        <v>38</v>
      </c>
      <c r="B878" s="4"/>
      <c r="C878" s="4" t="s">
        <v>21</v>
      </c>
      <c r="D878" s="4"/>
      <c r="E878" s="1">
        <v>791008</v>
      </c>
      <c r="F878" s="1">
        <v>13553</v>
      </c>
      <c r="G878" s="1">
        <v>32407</v>
      </c>
      <c r="H878" s="1">
        <v>23651</v>
      </c>
      <c r="I878" s="1">
        <v>0</v>
      </c>
    </row>
    <row r="879" spans="1:9" ht="23.25">
      <c r="A879" s="4" t="s">
        <v>39</v>
      </c>
      <c r="B879" s="4"/>
      <c r="C879" s="4" t="s">
        <v>21</v>
      </c>
      <c r="D879" s="4"/>
      <c r="E879" s="1">
        <v>77587</v>
      </c>
      <c r="F879" s="1">
        <v>2125</v>
      </c>
      <c r="G879" s="1">
        <v>2850</v>
      </c>
      <c r="H879" s="1">
        <v>595</v>
      </c>
      <c r="I879" s="1">
        <v>19177</v>
      </c>
    </row>
    <row r="880" spans="1:9" ht="23.25">
      <c r="A880" s="4" t="s">
        <v>40</v>
      </c>
      <c r="B880" s="4"/>
      <c r="C880" s="4" t="s">
        <v>21</v>
      </c>
      <c r="D880" s="4"/>
      <c r="E880" s="1">
        <v>9543</v>
      </c>
      <c r="F880" s="1">
        <v>190</v>
      </c>
      <c r="G880" s="1">
        <v>344</v>
      </c>
      <c r="H880" s="1">
        <v>175</v>
      </c>
      <c r="I880" s="1">
        <v>0</v>
      </c>
    </row>
    <row r="881" spans="1:9" ht="23.25">
      <c r="A881" s="4" t="s">
        <v>41</v>
      </c>
      <c r="B881" s="4"/>
      <c r="C881" s="4" t="s">
        <v>21</v>
      </c>
      <c r="D881" s="4"/>
      <c r="E881" s="1">
        <v>52174</v>
      </c>
      <c r="F881" s="1">
        <v>4180</v>
      </c>
      <c r="G881" s="1">
        <v>4474</v>
      </c>
      <c r="H881" s="1">
        <v>586</v>
      </c>
      <c r="I881" s="1">
        <v>0</v>
      </c>
    </row>
    <row r="882" spans="1:9" ht="23.25">
      <c r="A882" s="4" t="s">
        <v>42</v>
      </c>
      <c r="B882" s="4"/>
      <c r="C882" s="4" t="s">
        <v>21</v>
      </c>
      <c r="D882" s="4"/>
      <c r="E882" s="1">
        <v>27129</v>
      </c>
      <c r="F882" s="1">
        <v>1339</v>
      </c>
      <c r="G882" s="1">
        <v>1625</v>
      </c>
      <c r="H882" s="1">
        <v>332</v>
      </c>
      <c r="I882" s="1">
        <v>6728</v>
      </c>
    </row>
    <row r="883" spans="1:9" ht="23.25">
      <c r="A883" s="4" t="s">
        <v>43</v>
      </c>
      <c r="B883" s="4"/>
      <c r="C883" s="4" t="s">
        <v>21</v>
      </c>
      <c r="D883" s="4"/>
      <c r="E883" s="1">
        <v>0</v>
      </c>
      <c r="F883" s="1">
        <v>0</v>
      </c>
      <c r="G883" s="1">
        <v>0</v>
      </c>
      <c r="H883" s="1">
        <v>0</v>
      </c>
      <c r="I883" s="1">
        <v>0</v>
      </c>
    </row>
    <row r="884" spans="1:9" ht="23.25">
      <c r="A884" s="4" t="s">
        <v>44</v>
      </c>
      <c r="B884" s="4"/>
      <c r="C884" s="4" t="s">
        <v>21</v>
      </c>
      <c r="D884" s="4"/>
      <c r="E884" s="1">
        <v>4069282</v>
      </c>
      <c r="F884" s="1">
        <v>85335</v>
      </c>
      <c r="G884" s="1">
        <v>203562</v>
      </c>
      <c r="H884" s="1">
        <v>20139</v>
      </c>
      <c r="I884" s="1">
        <v>1065511</v>
      </c>
    </row>
    <row r="885" spans="1:9" ht="23.25">
      <c r="A885" s="4" t="s">
        <v>45</v>
      </c>
      <c r="B885" s="4"/>
      <c r="C885" s="4" t="s">
        <v>21</v>
      </c>
      <c r="D885" s="4"/>
      <c r="E885" s="1">
        <v>4911276</v>
      </c>
      <c r="F885" s="1">
        <v>402280</v>
      </c>
      <c r="G885" s="1">
        <v>0</v>
      </c>
      <c r="H885" s="1">
        <v>55361</v>
      </c>
      <c r="I885" s="1">
        <v>0</v>
      </c>
    </row>
    <row r="886" spans="1:9" ht="23.25">
      <c r="A886" s="4" t="s">
        <v>46</v>
      </c>
      <c r="B886" s="4"/>
      <c r="C886" s="4" t="s">
        <v>21</v>
      </c>
      <c r="D886" s="4"/>
      <c r="E886" s="1">
        <v>326142</v>
      </c>
      <c r="F886" s="1">
        <v>19506</v>
      </c>
      <c r="G886" s="1">
        <v>15319</v>
      </c>
      <c r="H886" s="1">
        <v>3705</v>
      </c>
      <c r="I886" s="1">
        <v>0</v>
      </c>
    </row>
    <row r="887" spans="1:9" ht="23.25">
      <c r="A887" s="4" t="s">
        <v>47</v>
      </c>
      <c r="B887" s="4"/>
      <c r="C887" s="4" t="s">
        <v>21</v>
      </c>
      <c r="D887" s="4"/>
      <c r="E887" s="1">
        <v>9136478</v>
      </c>
      <c r="F887" s="1">
        <v>0</v>
      </c>
      <c r="G887" s="1">
        <v>0</v>
      </c>
      <c r="H887" s="1">
        <v>0</v>
      </c>
      <c r="I887" s="1">
        <v>0</v>
      </c>
    </row>
    <row r="888" spans="1:9" ht="23.25">
      <c r="A888" s="4" t="s">
        <v>48</v>
      </c>
      <c r="B888" s="4"/>
      <c r="C888" s="4" t="s">
        <v>21</v>
      </c>
      <c r="D888" s="4"/>
      <c r="E888" s="1">
        <v>0</v>
      </c>
      <c r="F888" s="1">
        <v>0</v>
      </c>
      <c r="G888" s="1">
        <v>0</v>
      </c>
      <c r="H888" s="1">
        <v>0</v>
      </c>
      <c r="I888" s="1">
        <v>0</v>
      </c>
    </row>
    <row r="889" spans="1:9" ht="23.25">
      <c r="A889" s="4" t="s">
        <v>49</v>
      </c>
      <c r="B889" s="4"/>
      <c r="C889" s="4" t="s">
        <v>21</v>
      </c>
      <c r="D889" s="4"/>
      <c r="E889" s="1">
        <v>0</v>
      </c>
      <c r="F889" s="1">
        <v>0</v>
      </c>
      <c r="G889" s="1">
        <v>0</v>
      </c>
      <c r="H889" s="1">
        <v>0</v>
      </c>
      <c r="I889" s="1">
        <v>0</v>
      </c>
    </row>
    <row r="890" spans="1:9" ht="23.25">
      <c r="A890" s="4" t="s">
        <v>50</v>
      </c>
      <c r="B890" s="4"/>
      <c r="C890" s="4" t="s">
        <v>21</v>
      </c>
      <c r="D890" s="4"/>
      <c r="E890" s="1">
        <v>284355</v>
      </c>
      <c r="F890" s="1">
        <v>20845</v>
      </c>
      <c r="G890" s="1">
        <v>25745</v>
      </c>
      <c r="H890" s="1">
        <v>3160</v>
      </c>
      <c r="I890" s="1">
        <v>0</v>
      </c>
    </row>
    <row r="891" spans="1:9" ht="23.25">
      <c r="A891" s="4" t="s">
        <v>51</v>
      </c>
      <c r="B891" s="4"/>
      <c r="C891" s="4" t="s">
        <v>21</v>
      </c>
      <c r="D891" s="4"/>
      <c r="E891" s="1">
        <v>369678</v>
      </c>
      <c r="F891" s="1">
        <v>91733</v>
      </c>
      <c r="G891" s="1">
        <v>64706</v>
      </c>
      <c r="H891" s="1">
        <v>5791</v>
      </c>
      <c r="I891" s="1">
        <v>0</v>
      </c>
    </row>
    <row r="892" spans="1:9" ht="23.25">
      <c r="A892" s="4" t="s">
        <v>52</v>
      </c>
      <c r="B892" s="4"/>
      <c r="C892" s="4" t="s">
        <v>21</v>
      </c>
      <c r="D892" s="4"/>
      <c r="E892" s="1">
        <v>2820778</v>
      </c>
      <c r="F892" s="1">
        <v>7735</v>
      </c>
      <c r="G892" s="1">
        <v>11875</v>
      </c>
      <c r="H892" s="1">
        <v>1427</v>
      </c>
      <c r="I892" s="1">
        <v>0</v>
      </c>
    </row>
    <row r="893" spans="1:9" ht="23.25">
      <c r="A893" s="4" t="s">
        <v>53</v>
      </c>
      <c r="B893" s="4"/>
      <c r="C893" s="4" t="s">
        <v>21</v>
      </c>
      <c r="D893" s="4"/>
      <c r="E893" s="1">
        <v>65999</v>
      </c>
      <c r="F893" s="1">
        <v>0</v>
      </c>
      <c r="G893" s="1">
        <v>0</v>
      </c>
      <c r="H893" s="1">
        <v>0</v>
      </c>
      <c r="I893" s="1">
        <v>0</v>
      </c>
    </row>
    <row r="894" spans="1:9" ht="23.25">
      <c r="A894" s="4" t="s">
        <v>54</v>
      </c>
      <c r="B894" s="4"/>
      <c r="C894" s="4" t="s">
        <v>21</v>
      </c>
      <c r="D894" s="4"/>
      <c r="E894" s="1">
        <v>88768</v>
      </c>
      <c r="F894" s="1">
        <v>0</v>
      </c>
      <c r="G894" s="1">
        <v>0</v>
      </c>
      <c r="H894" s="1">
        <v>0</v>
      </c>
      <c r="I894" s="1">
        <v>0</v>
      </c>
    </row>
    <row r="895" spans="1:9" ht="23.25">
      <c r="A895" s="4" t="s">
        <v>55</v>
      </c>
      <c r="B895" s="4"/>
      <c r="C895" s="4" t="s">
        <v>21</v>
      </c>
      <c r="D895" s="4"/>
      <c r="E895" s="1">
        <v>0</v>
      </c>
      <c r="F895" s="1">
        <v>0</v>
      </c>
      <c r="G895" s="1">
        <v>0</v>
      </c>
      <c r="H895" s="1">
        <v>0</v>
      </c>
      <c r="I895" s="1">
        <v>0</v>
      </c>
    </row>
    <row r="896" spans="1:9" ht="23.25">
      <c r="A896" s="4" t="s">
        <v>56</v>
      </c>
      <c r="B896" s="4"/>
      <c r="C896" s="4" t="s">
        <v>21</v>
      </c>
      <c r="D896" s="4"/>
      <c r="E896" s="1">
        <v>0</v>
      </c>
      <c r="F896" s="1">
        <v>-2097859</v>
      </c>
      <c r="G896" s="1">
        <v>-1856447</v>
      </c>
      <c r="H896" s="1">
        <v>0</v>
      </c>
      <c r="I896" s="1">
        <v>0</v>
      </c>
    </row>
    <row r="897" spans="1:9" ht="23.25">
      <c r="A897" s="4" t="s">
        <v>57</v>
      </c>
      <c r="B897" s="4"/>
      <c r="C897" s="4" t="s">
        <v>21</v>
      </c>
      <c r="D897" s="4"/>
      <c r="E897" s="1">
        <v>1928020</v>
      </c>
      <c r="F897" s="1">
        <v>0</v>
      </c>
      <c r="G897" s="1">
        <v>0</v>
      </c>
      <c r="H897" s="1">
        <v>0</v>
      </c>
      <c r="I897" s="1">
        <v>0</v>
      </c>
    </row>
    <row r="898" spans="1:9" ht="23.25">
      <c r="A898" s="4" t="s">
        <v>58</v>
      </c>
      <c r="B898" s="4"/>
      <c r="C898" s="4" t="s">
        <v>21</v>
      </c>
      <c r="D898" s="4"/>
      <c r="E898" s="1">
        <v>3861545</v>
      </c>
      <c r="F898" s="1">
        <v>0</v>
      </c>
      <c r="G898" s="1">
        <v>0</v>
      </c>
      <c r="H898" s="1">
        <v>-494079</v>
      </c>
      <c r="I898" s="1">
        <v>0</v>
      </c>
    </row>
    <row r="899" spans="1:9" ht="23.25">
      <c r="A899" s="4" t="s">
        <v>59</v>
      </c>
      <c r="B899" s="4"/>
      <c r="C899" s="4" t="s">
        <v>21</v>
      </c>
      <c r="D899" s="4"/>
      <c r="E899" s="1">
        <v>264944</v>
      </c>
      <c r="F899" s="1">
        <v>0</v>
      </c>
      <c r="G899" s="1">
        <v>0</v>
      </c>
      <c r="H899" s="1">
        <v>0</v>
      </c>
      <c r="I899" s="1">
        <v>0</v>
      </c>
    </row>
    <row r="900" spans="1:9" ht="23.25">
      <c r="A900" s="4" t="s">
        <v>60</v>
      </c>
      <c r="B900" s="4"/>
      <c r="C900" s="4" t="s">
        <v>21</v>
      </c>
      <c r="D900" s="4"/>
      <c r="E900" s="1">
        <v>2958301</v>
      </c>
      <c r="F900" s="1">
        <v>0</v>
      </c>
      <c r="G900" s="1">
        <v>0</v>
      </c>
      <c r="H900" s="1">
        <v>0</v>
      </c>
      <c r="I900" s="1">
        <v>0</v>
      </c>
    </row>
    <row r="901" spans="1:9" ht="23.25">
      <c r="A901" s="4" t="s">
        <v>61</v>
      </c>
      <c r="B901" s="4"/>
      <c r="C901" s="4" t="s">
        <v>21</v>
      </c>
      <c r="D901" s="4"/>
      <c r="E901" s="1">
        <v>139339</v>
      </c>
      <c r="F901" s="1">
        <v>0</v>
      </c>
      <c r="G901" s="1">
        <v>0</v>
      </c>
      <c r="H901" s="1">
        <v>0</v>
      </c>
      <c r="I901" s="1">
        <v>0</v>
      </c>
    </row>
    <row r="902" spans="1:9" ht="23.25">
      <c r="A902" s="4" t="s">
        <v>62</v>
      </c>
      <c r="B902" s="4"/>
      <c r="C902" s="4" t="s">
        <v>21</v>
      </c>
      <c r="D902" s="4"/>
      <c r="E902" s="1">
        <v>321933</v>
      </c>
      <c r="F902" s="1">
        <v>0</v>
      </c>
      <c r="G902" s="1">
        <v>0</v>
      </c>
      <c r="H902" s="1">
        <v>0</v>
      </c>
      <c r="I902" s="1">
        <v>0</v>
      </c>
    </row>
    <row r="903" spans="1:9" ht="23.25">
      <c r="A903" s="4" t="s">
        <v>63</v>
      </c>
      <c r="B903" s="4"/>
      <c r="C903" s="4" t="s">
        <v>21</v>
      </c>
      <c r="D903" s="4"/>
      <c r="E903" s="1">
        <v>11263</v>
      </c>
      <c r="F903" s="1">
        <v>0</v>
      </c>
      <c r="G903" s="1">
        <v>0</v>
      </c>
      <c r="H903" s="1">
        <v>0</v>
      </c>
      <c r="I903" s="1">
        <v>0</v>
      </c>
    </row>
    <row r="904" spans="1:9" ht="23.25">
      <c r="A904" s="4" t="s">
        <v>64</v>
      </c>
      <c r="B904" s="4"/>
      <c r="C904" s="4" t="s">
        <v>21</v>
      </c>
      <c r="D904" s="4"/>
      <c r="E904" s="1">
        <v>156826</v>
      </c>
      <c r="F904" s="1">
        <v>0</v>
      </c>
      <c r="G904" s="1">
        <v>0</v>
      </c>
      <c r="H904" s="1">
        <v>0</v>
      </c>
      <c r="I904" s="1">
        <v>0</v>
      </c>
    </row>
    <row r="905" spans="1:9" ht="23.25">
      <c r="A905" s="4" t="s">
        <v>65</v>
      </c>
      <c r="B905" s="4"/>
      <c r="C905" s="4" t="s">
        <v>21</v>
      </c>
      <c r="D905" s="4"/>
      <c r="E905" s="1">
        <v>181597</v>
      </c>
      <c r="F905" s="1">
        <v>0</v>
      </c>
      <c r="G905" s="1">
        <v>0</v>
      </c>
      <c r="H905" s="1">
        <v>0</v>
      </c>
      <c r="I905" s="1">
        <v>16974</v>
      </c>
    </row>
    <row r="906" spans="1:9" ht="23.25">
      <c r="A906" s="4" t="s">
        <v>66</v>
      </c>
      <c r="B906" s="4"/>
      <c r="C906" s="4" t="s">
        <v>21</v>
      </c>
      <c r="D906" s="4"/>
      <c r="E906" s="1">
        <v>54795133</v>
      </c>
      <c r="F906" s="1">
        <v>0</v>
      </c>
      <c r="G906" s="1">
        <v>0</v>
      </c>
      <c r="H906" s="1">
        <v>0</v>
      </c>
      <c r="I906" s="1">
        <v>7407427</v>
      </c>
    </row>
    <row r="907" spans="1:9" ht="23.25">
      <c r="A907" s="4" t="s">
        <v>67</v>
      </c>
      <c r="B907" s="4"/>
      <c r="C907" s="4" t="s">
        <v>21</v>
      </c>
      <c r="D907" s="4"/>
      <c r="E907" s="1">
        <v>19573576</v>
      </c>
      <c r="F907" s="1">
        <v>0</v>
      </c>
      <c r="G907" s="1">
        <v>0</v>
      </c>
      <c r="H907" s="1">
        <v>0</v>
      </c>
      <c r="I907" s="1">
        <v>0</v>
      </c>
    </row>
    <row r="908" spans="1:9" ht="23.25">
      <c r="A908" s="4" t="s">
        <v>68</v>
      </c>
      <c r="B908" s="4"/>
      <c r="C908" s="4" t="s">
        <v>21</v>
      </c>
      <c r="D908" s="4"/>
      <c r="E908" s="1">
        <v>40933335</v>
      </c>
      <c r="F908" s="1">
        <v>0</v>
      </c>
      <c r="G908" s="1">
        <v>0</v>
      </c>
      <c r="H908" s="1">
        <v>0</v>
      </c>
      <c r="I908" s="1">
        <v>0</v>
      </c>
    </row>
    <row r="909" spans="1:9" ht="23.25">
      <c r="A909" s="4" t="s">
        <v>69</v>
      </c>
      <c r="B909" s="4"/>
      <c r="C909" s="4" t="s">
        <v>21</v>
      </c>
      <c r="D909" s="4"/>
      <c r="E909" s="1">
        <v>10081721</v>
      </c>
      <c r="F909" s="1">
        <v>0</v>
      </c>
      <c r="G909" s="1">
        <v>0</v>
      </c>
      <c r="H909" s="1">
        <v>0</v>
      </c>
      <c r="I909" s="1">
        <v>0</v>
      </c>
    </row>
    <row r="910" spans="1:9" ht="23.25">
      <c r="A910" s="4" t="s">
        <v>70</v>
      </c>
      <c r="B910" s="4"/>
      <c r="C910" s="4" t="s">
        <v>21</v>
      </c>
      <c r="D910" s="4"/>
      <c r="E910" s="1">
        <v>3236017</v>
      </c>
      <c r="F910" s="1">
        <v>0</v>
      </c>
      <c r="G910" s="1">
        <v>0</v>
      </c>
      <c r="H910" s="1">
        <v>0</v>
      </c>
      <c r="I910" s="1">
        <v>0</v>
      </c>
    </row>
    <row r="911" spans="1:9" ht="23.25">
      <c r="A911" s="4" t="s">
        <v>71</v>
      </c>
      <c r="B911" s="4"/>
      <c r="C911" s="4" t="s">
        <v>21</v>
      </c>
      <c r="D911" s="4"/>
      <c r="E911" s="1">
        <v>73824649</v>
      </c>
      <c r="F911" s="1">
        <v>0</v>
      </c>
      <c r="G911" s="1">
        <v>0</v>
      </c>
      <c r="H911" s="1">
        <v>0</v>
      </c>
      <c r="I911" s="1">
        <v>0</v>
      </c>
    </row>
    <row r="912" spans="1:9" ht="23.25">
      <c r="A912" s="4" t="s">
        <v>72</v>
      </c>
      <c r="B912" s="4"/>
      <c r="C912" s="4" t="s">
        <v>21</v>
      </c>
      <c r="D912" s="4"/>
      <c r="E912" s="1">
        <v>128619782</v>
      </c>
      <c r="F912" s="1">
        <v>0</v>
      </c>
      <c r="G912" s="1">
        <v>0</v>
      </c>
      <c r="H912" s="1">
        <v>0</v>
      </c>
      <c r="I912" s="1">
        <v>0</v>
      </c>
    </row>
    <row r="913" spans="1:9" ht="23.25">
      <c r="A913" s="4" t="s">
        <v>8</v>
      </c>
      <c r="B913" s="4"/>
      <c r="C913" s="4" t="s">
        <v>22</v>
      </c>
      <c r="D913" s="4"/>
      <c r="E913" s="1">
        <v>0</v>
      </c>
      <c r="F913" s="1">
        <v>0</v>
      </c>
      <c r="G913" s="1">
        <v>0</v>
      </c>
      <c r="H913" s="1">
        <v>0</v>
      </c>
      <c r="I913" s="1">
        <v>0</v>
      </c>
    </row>
    <row r="914" spans="1:9" ht="23.25">
      <c r="A914" s="4" t="s">
        <v>9</v>
      </c>
      <c r="B914" s="4"/>
      <c r="C914" s="4" t="s">
        <v>22</v>
      </c>
      <c r="D914" s="4"/>
      <c r="E914" s="1">
        <v>0</v>
      </c>
      <c r="F914" s="1">
        <v>0</v>
      </c>
      <c r="G914" s="1">
        <v>0</v>
      </c>
      <c r="H914" s="1">
        <v>0</v>
      </c>
      <c r="I914" s="1">
        <v>0</v>
      </c>
    </row>
    <row r="915" spans="1:9" ht="23.25">
      <c r="A915" s="4" t="s">
        <v>10</v>
      </c>
      <c r="B915" s="4"/>
      <c r="C915" s="4" t="s">
        <v>22</v>
      </c>
      <c r="D915" s="4"/>
      <c r="E915" s="1">
        <v>0</v>
      </c>
      <c r="F915" s="1">
        <v>0</v>
      </c>
      <c r="G915" s="1">
        <v>0</v>
      </c>
      <c r="H915" s="1">
        <v>0</v>
      </c>
      <c r="I915" s="1">
        <v>0</v>
      </c>
    </row>
    <row r="916" spans="1:9" ht="23.25">
      <c r="A916" s="4" t="s">
        <v>11</v>
      </c>
      <c r="B916" s="4"/>
      <c r="C916" s="4" t="s">
        <v>22</v>
      </c>
      <c r="D916" s="4"/>
      <c r="E916" s="1">
        <v>0</v>
      </c>
      <c r="F916" s="1">
        <v>0</v>
      </c>
      <c r="G916" s="1">
        <v>0</v>
      </c>
      <c r="H916" s="1">
        <v>0</v>
      </c>
      <c r="I916" s="1">
        <v>0</v>
      </c>
    </row>
    <row r="917" spans="1:9" ht="23.25">
      <c r="A917" s="4" t="s">
        <v>12</v>
      </c>
      <c r="B917" s="4"/>
      <c r="C917" s="4" t="s">
        <v>22</v>
      </c>
      <c r="D917" s="4"/>
      <c r="E917" s="1">
        <v>0</v>
      </c>
      <c r="F917" s="1">
        <v>0</v>
      </c>
      <c r="G917" s="1">
        <v>0</v>
      </c>
      <c r="H917" s="1">
        <v>0</v>
      </c>
      <c r="I917" s="1">
        <v>0</v>
      </c>
    </row>
    <row r="918" spans="1:9" ht="23.25">
      <c r="A918" s="4" t="s">
        <v>13</v>
      </c>
      <c r="B918" s="4"/>
      <c r="C918" s="4" t="s">
        <v>22</v>
      </c>
      <c r="D918" s="4"/>
      <c r="E918" s="1">
        <v>0</v>
      </c>
      <c r="F918" s="1">
        <v>0</v>
      </c>
      <c r="G918" s="1">
        <v>0</v>
      </c>
      <c r="H918" s="1">
        <v>0</v>
      </c>
      <c r="I918" s="1">
        <v>0</v>
      </c>
    </row>
    <row r="919" spans="1:9" ht="23.25">
      <c r="A919" s="4" t="s">
        <v>14</v>
      </c>
      <c r="B919" s="4"/>
      <c r="C919" s="4" t="s">
        <v>22</v>
      </c>
      <c r="D919" s="4"/>
      <c r="E919" s="1">
        <v>0</v>
      </c>
      <c r="F919" s="1">
        <v>0</v>
      </c>
      <c r="G919" s="1">
        <v>0</v>
      </c>
      <c r="H919" s="1">
        <v>0</v>
      </c>
      <c r="I919" s="1">
        <v>0</v>
      </c>
    </row>
    <row r="920" spans="1:9" ht="23.25">
      <c r="A920" s="4" t="s">
        <v>15</v>
      </c>
      <c r="B920" s="4"/>
      <c r="C920" s="4" t="s">
        <v>22</v>
      </c>
      <c r="D920" s="4"/>
      <c r="E920" s="1">
        <v>0</v>
      </c>
      <c r="F920" s="1">
        <v>0</v>
      </c>
      <c r="G920" s="1">
        <v>0</v>
      </c>
      <c r="H920" s="1">
        <v>0</v>
      </c>
      <c r="I920" s="1">
        <v>0</v>
      </c>
    </row>
    <row r="921" spans="1:9" ht="23.25">
      <c r="A921" s="4" t="s">
        <v>16</v>
      </c>
      <c r="B921" s="4"/>
      <c r="C921" s="4" t="s">
        <v>22</v>
      </c>
      <c r="D921" s="4"/>
      <c r="E921" s="1">
        <v>300253373</v>
      </c>
      <c r="F921" s="1">
        <v>29159628</v>
      </c>
      <c r="G921" s="1">
        <v>0</v>
      </c>
      <c r="H921" s="1">
        <v>1451897</v>
      </c>
      <c r="I921" s="1">
        <v>0</v>
      </c>
    </row>
    <row r="922" spans="1:9" ht="23.25">
      <c r="A922" s="4" t="s">
        <v>17</v>
      </c>
      <c r="B922" s="4"/>
      <c r="C922" s="4" t="s">
        <v>22</v>
      </c>
      <c r="D922" s="4"/>
      <c r="E922" s="1">
        <v>0</v>
      </c>
      <c r="F922" s="1">
        <v>0</v>
      </c>
      <c r="G922" s="1">
        <v>0</v>
      </c>
      <c r="H922" s="1">
        <v>0</v>
      </c>
      <c r="I922" s="1">
        <v>0</v>
      </c>
    </row>
    <row r="923" spans="1:9" ht="23.25">
      <c r="A923" s="4" t="s">
        <v>18</v>
      </c>
      <c r="B923" s="4"/>
      <c r="C923" s="4" t="s">
        <v>22</v>
      </c>
      <c r="D923" s="4"/>
      <c r="E923" s="1">
        <v>0</v>
      </c>
      <c r="F923" s="1">
        <v>0</v>
      </c>
      <c r="G923" s="1">
        <v>0</v>
      </c>
      <c r="H923" s="1">
        <v>0</v>
      </c>
      <c r="I923" s="1">
        <v>0</v>
      </c>
    </row>
    <row r="924" spans="1:9" ht="23.25">
      <c r="A924" s="4" t="s">
        <v>19</v>
      </c>
      <c r="B924" s="4"/>
      <c r="C924" s="4" t="s">
        <v>22</v>
      </c>
      <c r="D924" s="4"/>
      <c r="E924" s="1">
        <v>0</v>
      </c>
      <c r="F924" s="1">
        <v>0</v>
      </c>
      <c r="G924" s="1">
        <v>0</v>
      </c>
      <c r="H924" s="1">
        <v>0</v>
      </c>
      <c r="I924" s="1">
        <v>0</v>
      </c>
    </row>
    <row r="925" spans="1:9" ht="23.25">
      <c r="A925" s="4" t="s">
        <v>20</v>
      </c>
      <c r="B925" s="4"/>
      <c r="C925" s="4" t="s">
        <v>22</v>
      </c>
      <c r="D925" s="4"/>
      <c r="E925" s="1">
        <v>0</v>
      </c>
      <c r="F925" s="1">
        <v>0</v>
      </c>
      <c r="G925" s="1">
        <v>0</v>
      </c>
      <c r="H925" s="1">
        <v>0</v>
      </c>
      <c r="I925" s="1">
        <v>0</v>
      </c>
    </row>
    <row r="926" spans="1:9" ht="23.25">
      <c r="A926" s="4" t="s">
        <v>21</v>
      </c>
      <c r="B926" s="4"/>
      <c r="C926" s="4" t="s">
        <v>22</v>
      </c>
      <c r="D926" s="4"/>
      <c r="E926" s="1">
        <v>0</v>
      </c>
      <c r="F926" s="1">
        <v>0</v>
      </c>
      <c r="G926" s="1">
        <v>0</v>
      </c>
      <c r="H926" s="1">
        <v>0</v>
      </c>
      <c r="I926" s="1">
        <v>0</v>
      </c>
    </row>
    <row r="927" spans="1:9" ht="23.25">
      <c r="A927" s="4" t="s">
        <v>22</v>
      </c>
      <c r="B927" s="4"/>
      <c r="C927" s="4" t="s">
        <v>22</v>
      </c>
      <c r="D927" s="4"/>
      <c r="E927" s="1">
        <v>0</v>
      </c>
      <c r="F927" s="1">
        <v>0</v>
      </c>
      <c r="G927" s="1">
        <v>0</v>
      </c>
      <c r="H927" s="1">
        <v>0</v>
      </c>
      <c r="I927" s="1">
        <v>0</v>
      </c>
    </row>
    <row r="928" spans="1:9" ht="23.25">
      <c r="A928" s="4" t="s">
        <v>23</v>
      </c>
      <c r="B928" s="4"/>
      <c r="C928" s="4" t="s">
        <v>22</v>
      </c>
      <c r="D928" s="4"/>
      <c r="E928" s="1">
        <v>0</v>
      </c>
      <c r="F928" s="1">
        <v>0</v>
      </c>
      <c r="G928" s="1">
        <v>0</v>
      </c>
      <c r="H928" s="1">
        <v>0</v>
      </c>
      <c r="I928" s="1">
        <v>0</v>
      </c>
    </row>
    <row r="929" spans="1:9" ht="23.25">
      <c r="A929" s="4" t="s">
        <v>24</v>
      </c>
      <c r="B929" s="4"/>
      <c r="C929" s="4" t="s">
        <v>22</v>
      </c>
      <c r="D929" s="4"/>
      <c r="E929" s="1">
        <v>0</v>
      </c>
      <c r="F929" s="1">
        <v>0</v>
      </c>
      <c r="G929" s="1">
        <v>0</v>
      </c>
      <c r="H929" s="1">
        <v>0</v>
      </c>
      <c r="I929" s="1">
        <v>0</v>
      </c>
    </row>
    <row r="930" spans="1:9" ht="23.25">
      <c r="A930" s="4" t="s">
        <v>25</v>
      </c>
      <c r="B930" s="4"/>
      <c r="C930" s="4" t="s">
        <v>22</v>
      </c>
      <c r="D930" s="4"/>
      <c r="E930" s="1">
        <v>0</v>
      </c>
      <c r="F930" s="1">
        <v>0</v>
      </c>
      <c r="G930" s="1">
        <v>0</v>
      </c>
      <c r="H930" s="1">
        <v>0</v>
      </c>
      <c r="I930" s="1">
        <v>0</v>
      </c>
    </row>
    <row r="931" spans="1:9" ht="23.25">
      <c r="A931" s="4" t="s">
        <v>26</v>
      </c>
      <c r="B931" s="4"/>
      <c r="C931" s="4" t="s">
        <v>22</v>
      </c>
      <c r="D931" s="4"/>
      <c r="E931" s="1">
        <v>1024523</v>
      </c>
      <c r="F931" s="1">
        <v>46246</v>
      </c>
      <c r="G931" s="1">
        <v>18363</v>
      </c>
      <c r="H931" s="1">
        <v>17580</v>
      </c>
      <c r="I931" s="1">
        <v>0</v>
      </c>
    </row>
    <row r="932" spans="1:9" ht="23.25">
      <c r="A932" s="4" t="s">
        <v>27</v>
      </c>
      <c r="B932" s="4"/>
      <c r="C932" s="4" t="s">
        <v>22</v>
      </c>
      <c r="D932" s="4"/>
      <c r="E932" s="1">
        <v>0</v>
      </c>
      <c r="F932" s="1">
        <v>0</v>
      </c>
      <c r="G932" s="1">
        <v>0</v>
      </c>
      <c r="H932" s="1">
        <v>0</v>
      </c>
      <c r="I932" s="1">
        <v>0</v>
      </c>
    </row>
    <row r="933" spans="1:9" ht="23.25">
      <c r="A933" s="4" t="s">
        <v>28</v>
      </c>
      <c r="B933" s="4"/>
      <c r="C933" s="4" t="s">
        <v>22</v>
      </c>
      <c r="D933" s="4"/>
      <c r="E933" s="1">
        <v>0</v>
      </c>
      <c r="F933" s="1">
        <v>0</v>
      </c>
      <c r="G933" s="1">
        <v>0</v>
      </c>
      <c r="H933" s="1">
        <v>0</v>
      </c>
      <c r="I933" s="1">
        <v>0</v>
      </c>
    </row>
    <row r="934" spans="1:9" ht="23.25">
      <c r="A934" s="4" t="s">
        <v>29</v>
      </c>
      <c r="B934" s="4"/>
      <c r="C934" s="4" t="s">
        <v>22</v>
      </c>
      <c r="D934" s="4"/>
      <c r="E934" s="1">
        <v>0</v>
      </c>
      <c r="F934" s="1">
        <v>0</v>
      </c>
      <c r="G934" s="1">
        <v>0</v>
      </c>
      <c r="H934" s="1">
        <v>0</v>
      </c>
      <c r="I934" s="1">
        <v>0</v>
      </c>
    </row>
    <row r="935" spans="1:9" ht="23.25">
      <c r="A935" s="4" t="s">
        <v>30</v>
      </c>
      <c r="B935" s="4"/>
      <c r="C935" s="4" t="s">
        <v>22</v>
      </c>
      <c r="D935" s="4"/>
      <c r="E935" s="1">
        <v>0</v>
      </c>
      <c r="F935" s="1">
        <v>0</v>
      </c>
      <c r="G935" s="1">
        <v>0</v>
      </c>
      <c r="H935" s="1">
        <v>0</v>
      </c>
      <c r="I935" s="1">
        <v>0</v>
      </c>
    </row>
    <row r="936" spans="1:9" ht="23.25">
      <c r="A936" s="4" t="s">
        <v>31</v>
      </c>
      <c r="B936" s="4"/>
      <c r="C936" s="4" t="s">
        <v>22</v>
      </c>
      <c r="D936" s="4"/>
      <c r="E936" s="1">
        <v>47950</v>
      </c>
      <c r="F936" s="1">
        <v>1887</v>
      </c>
      <c r="G936" s="1">
        <v>3456</v>
      </c>
      <c r="H936" s="1">
        <v>311</v>
      </c>
      <c r="I936" s="1">
        <v>0</v>
      </c>
    </row>
    <row r="937" spans="1:9" ht="23.25">
      <c r="A937" s="4" t="s">
        <v>32</v>
      </c>
      <c r="B937" s="4"/>
      <c r="C937" s="4" t="s">
        <v>22</v>
      </c>
      <c r="D937" s="4"/>
      <c r="E937" s="1">
        <v>50550</v>
      </c>
      <c r="F937" s="1">
        <v>1920</v>
      </c>
      <c r="G937" s="1">
        <v>1318</v>
      </c>
      <c r="H937" s="1">
        <v>439</v>
      </c>
      <c r="I937" s="1">
        <v>0</v>
      </c>
    </row>
    <row r="938" spans="1:9" ht="23.25">
      <c r="A938" s="4" t="s">
        <v>33</v>
      </c>
      <c r="B938" s="4"/>
      <c r="C938" s="4" t="s">
        <v>22</v>
      </c>
      <c r="D938" s="4"/>
      <c r="E938" s="1">
        <v>0</v>
      </c>
      <c r="F938" s="1">
        <v>0</v>
      </c>
      <c r="G938" s="1">
        <v>0</v>
      </c>
      <c r="H938" s="1">
        <v>0</v>
      </c>
      <c r="I938" s="1">
        <v>0</v>
      </c>
    </row>
    <row r="939" spans="1:9" ht="23.25">
      <c r="A939" s="4" t="s">
        <v>34</v>
      </c>
      <c r="B939" s="4"/>
      <c r="C939" s="4" t="s">
        <v>22</v>
      </c>
      <c r="D939" s="4"/>
      <c r="E939" s="1">
        <v>125554</v>
      </c>
      <c r="F939" s="1">
        <v>11365</v>
      </c>
      <c r="G939" s="1">
        <v>8499</v>
      </c>
      <c r="H939" s="1">
        <v>2964</v>
      </c>
      <c r="I939" s="1">
        <v>70059</v>
      </c>
    </row>
    <row r="940" spans="1:9" ht="23.25">
      <c r="A940" s="4" t="s">
        <v>35</v>
      </c>
      <c r="B940" s="4"/>
      <c r="C940" s="4" t="s">
        <v>22</v>
      </c>
      <c r="D940" s="4"/>
      <c r="E940" s="1">
        <v>0</v>
      </c>
      <c r="F940" s="1">
        <v>0</v>
      </c>
      <c r="G940" s="1">
        <v>0</v>
      </c>
      <c r="H940" s="1">
        <v>0</v>
      </c>
      <c r="I940" s="1">
        <v>0</v>
      </c>
    </row>
    <row r="941" spans="1:9" ht="23.25">
      <c r="A941" s="4" t="s">
        <v>36</v>
      </c>
      <c r="B941" s="4"/>
      <c r="C941" s="4" t="s">
        <v>22</v>
      </c>
      <c r="D941" s="4"/>
      <c r="E941" s="1">
        <v>918084</v>
      </c>
      <c r="F941" s="1">
        <v>86505</v>
      </c>
      <c r="G941" s="1">
        <v>165094</v>
      </c>
      <c r="H941" s="1">
        <v>8565</v>
      </c>
      <c r="I941" s="1">
        <v>0</v>
      </c>
    </row>
    <row r="942" spans="1:9" ht="23.25">
      <c r="A942" s="4" t="s">
        <v>37</v>
      </c>
      <c r="B942" s="4"/>
      <c r="C942" s="4" t="s">
        <v>22</v>
      </c>
      <c r="D942" s="4"/>
      <c r="E942" s="1">
        <v>2119655</v>
      </c>
      <c r="F942" s="1">
        <v>128482</v>
      </c>
      <c r="G942" s="1">
        <v>136047</v>
      </c>
      <c r="H942" s="1">
        <v>21691</v>
      </c>
      <c r="I942" s="1">
        <v>399790</v>
      </c>
    </row>
    <row r="943" spans="1:9" ht="23.25">
      <c r="A943" s="4" t="s">
        <v>38</v>
      </c>
      <c r="B943" s="4"/>
      <c r="C943" s="4" t="s">
        <v>22</v>
      </c>
      <c r="D943" s="4"/>
      <c r="E943" s="1">
        <v>0</v>
      </c>
      <c r="F943" s="1">
        <v>0</v>
      </c>
      <c r="G943" s="1">
        <v>0</v>
      </c>
      <c r="H943" s="1">
        <v>0</v>
      </c>
      <c r="I943" s="1">
        <v>0</v>
      </c>
    </row>
    <row r="944" spans="1:9" ht="23.25">
      <c r="A944" s="4" t="s">
        <v>39</v>
      </c>
      <c r="B944" s="4"/>
      <c r="C944" s="4" t="s">
        <v>22</v>
      </c>
      <c r="D944" s="4"/>
      <c r="E944" s="1">
        <v>5456614</v>
      </c>
      <c r="F944" s="1">
        <v>215327</v>
      </c>
      <c r="G944" s="1">
        <v>346034</v>
      </c>
      <c r="H944" s="1">
        <v>51150</v>
      </c>
      <c r="I944" s="1">
        <v>2752315</v>
      </c>
    </row>
    <row r="945" spans="1:9" ht="23.25">
      <c r="A945" s="4" t="s">
        <v>40</v>
      </c>
      <c r="B945" s="4"/>
      <c r="C945" s="4" t="s">
        <v>22</v>
      </c>
      <c r="D945" s="4"/>
      <c r="E945" s="1">
        <v>0</v>
      </c>
      <c r="F945" s="1">
        <v>0</v>
      </c>
      <c r="G945" s="1">
        <v>0</v>
      </c>
      <c r="H945" s="1">
        <v>0</v>
      </c>
      <c r="I945" s="1">
        <v>0</v>
      </c>
    </row>
    <row r="946" spans="1:9" ht="23.25">
      <c r="A946" s="4" t="s">
        <v>41</v>
      </c>
      <c r="B946" s="4"/>
      <c r="C946" s="4" t="s">
        <v>22</v>
      </c>
      <c r="D946" s="4"/>
      <c r="E946" s="1">
        <v>0</v>
      </c>
      <c r="F946" s="1">
        <v>0</v>
      </c>
      <c r="G946" s="1">
        <v>0</v>
      </c>
      <c r="H946" s="1">
        <v>0</v>
      </c>
      <c r="I946" s="1">
        <v>0</v>
      </c>
    </row>
    <row r="947" spans="1:9" ht="23.25">
      <c r="A947" s="4" t="s">
        <v>42</v>
      </c>
      <c r="B947" s="4"/>
      <c r="C947" s="4" t="s">
        <v>22</v>
      </c>
      <c r="D947" s="4"/>
      <c r="E947" s="1">
        <v>0</v>
      </c>
      <c r="F947" s="1">
        <v>0</v>
      </c>
      <c r="G947" s="1">
        <v>0</v>
      </c>
      <c r="H947" s="1">
        <v>0</v>
      </c>
      <c r="I947" s="1">
        <v>0</v>
      </c>
    </row>
    <row r="948" spans="1:9" ht="23.25">
      <c r="A948" s="4" t="s">
        <v>43</v>
      </c>
      <c r="B948" s="4"/>
      <c r="C948" s="4" t="s">
        <v>22</v>
      </c>
      <c r="D948" s="4"/>
      <c r="E948" s="1">
        <v>0</v>
      </c>
      <c r="F948" s="1">
        <v>0</v>
      </c>
      <c r="G948" s="1">
        <v>0</v>
      </c>
      <c r="H948" s="1">
        <v>0</v>
      </c>
      <c r="I948" s="1">
        <v>0</v>
      </c>
    </row>
    <row r="949" spans="1:9" ht="23.25">
      <c r="A949" s="4" t="s">
        <v>44</v>
      </c>
      <c r="B949" s="4"/>
      <c r="C949" s="4" t="s">
        <v>22</v>
      </c>
      <c r="D949" s="4"/>
      <c r="E949" s="1">
        <v>2101197</v>
      </c>
      <c r="F949" s="1">
        <v>58092</v>
      </c>
      <c r="G949" s="1">
        <v>74993</v>
      </c>
      <c r="H949" s="1">
        <v>10086</v>
      </c>
      <c r="I949" s="1">
        <v>515262</v>
      </c>
    </row>
    <row r="950" spans="1:9" ht="23.25">
      <c r="A950" s="4" t="s">
        <v>45</v>
      </c>
      <c r="B950" s="4"/>
      <c r="C950" s="4" t="s">
        <v>22</v>
      </c>
      <c r="D950" s="4"/>
      <c r="E950" s="1">
        <v>807380</v>
      </c>
      <c r="F950" s="1">
        <v>69842</v>
      </c>
      <c r="G950" s="1">
        <v>0</v>
      </c>
      <c r="H950" s="1">
        <v>13314</v>
      </c>
      <c r="I950" s="1">
        <v>156800</v>
      </c>
    </row>
    <row r="951" spans="1:9" ht="23.25">
      <c r="A951" s="4" t="s">
        <v>46</v>
      </c>
      <c r="B951" s="4"/>
      <c r="C951" s="4" t="s">
        <v>22</v>
      </c>
      <c r="D951" s="4"/>
      <c r="E951" s="1">
        <v>250813</v>
      </c>
      <c r="F951" s="1">
        <v>15640</v>
      </c>
      <c r="G951" s="1">
        <v>83</v>
      </c>
      <c r="H951" s="1">
        <v>2137</v>
      </c>
      <c r="I951" s="1">
        <v>0</v>
      </c>
    </row>
    <row r="952" spans="1:9" ht="23.25">
      <c r="A952" s="4" t="s">
        <v>47</v>
      </c>
      <c r="B952" s="4"/>
      <c r="C952" s="4" t="s">
        <v>22</v>
      </c>
      <c r="D952" s="4"/>
      <c r="E952" s="1">
        <v>836120</v>
      </c>
      <c r="F952" s="1">
        <v>0</v>
      </c>
      <c r="G952" s="1">
        <v>0</v>
      </c>
      <c r="H952" s="1">
        <v>0</v>
      </c>
      <c r="I952" s="1">
        <v>0</v>
      </c>
    </row>
    <row r="953" spans="1:9" ht="23.25">
      <c r="A953" s="4" t="s">
        <v>48</v>
      </c>
      <c r="B953" s="4"/>
      <c r="C953" s="4" t="s">
        <v>22</v>
      </c>
      <c r="D953" s="4"/>
      <c r="E953" s="1">
        <v>0</v>
      </c>
      <c r="F953" s="1">
        <v>0</v>
      </c>
      <c r="G953" s="1">
        <v>0</v>
      </c>
      <c r="H953" s="1">
        <v>0</v>
      </c>
      <c r="I953" s="1">
        <v>0</v>
      </c>
    </row>
    <row r="954" spans="1:9" ht="23.25">
      <c r="A954" s="4" t="s">
        <v>49</v>
      </c>
      <c r="B954" s="4"/>
      <c r="C954" s="4" t="s">
        <v>22</v>
      </c>
      <c r="D954" s="4"/>
      <c r="E954" s="1">
        <v>0</v>
      </c>
      <c r="F954" s="1">
        <v>0</v>
      </c>
      <c r="G954" s="1">
        <v>0</v>
      </c>
      <c r="H954" s="1">
        <v>0</v>
      </c>
      <c r="I954" s="1">
        <v>0</v>
      </c>
    </row>
    <row r="955" spans="1:9" ht="23.25">
      <c r="A955" s="4" t="s">
        <v>50</v>
      </c>
      <c r="B955" s="4"/>
      <c r="C955" s="4" t="s">
        <v>22</v>
      </c>
      <c r="D955" s="4"/>
      <c r="E955" s="1">
        <v>62285</v>
      </c>
      <c r="F955" s="1">
        <v>1467</v>
      </c>
      <c r="G955" s="1">
        <v>2227</v>
      </c>
      <c r="H955" s="1">
        <v>752</v>
      </c>
      <c r="I955" s="1">
        <v>0</v>
      </c>
    </row>
    <row r="956" spans="1:9" ht="23.25">
      <c r="A956" s="4" t="s">
        <v>51</v>
      </c>
      <c r="B956" s="4"/>
      <c r="C956" s="4" t="s">
        <v>22</v>
      </c>
      <c r="D956" s="4"/>
      <c r="E956" s="1">
        <v>1051251</v>
      </c>
      <c r="F956" s="1">
        <v>44034</v>
      </c>
      <c r="G956" s="1">
        <v>43305</v>
      </c>
      <c r="H956" s="1">
        <v>5822</v>
      </c>
      <c r="I956" s="1">
        <v>0</v>
      </c>
    </row>
    <row r="957" spans="1:9" ht="23.25">
      <c r="A957" s="4" t="s">
        <v>52</v>
      </c>
      <c r="B957" s="4"/>
      <c r="C957" s="4" t="s">
        <v>22</v>
      </c>
      <c r="D957" s="4"/>
      <c r="E957" s="1">
        <v>15240372</v>
      </c>
      <c r="F957" s="1">
        <v>41471</v>
      </c>
      <c r="G957" s="1">
        <v>79178</v>
      </c>
      <c r="H957" s="1">
        <v>24258</v>
      </c>
      <c r="I957" s="1">
        <v>0</v>
      </c>
    </row>
    <row r="958" spans="1:9" ht="23.25">
      <c r="A958" s="4" t="s">
        <v>53</v>
      </c>
      <c r="B958" s="4"/>
      <c r="C958" s="4" t="s">
        <v>22</v>
      </c>
      <c r="D958" s="4"/>
      <c r="E958" s="1">
        <v>740999</v>
      </c>
      <c r="F958" s="1">
        <v>0</v>
      </c>
      <c r="G958" s="1">
        <v>0</v>
      </c>
      <c r="H958" s="1">
        <v>0</v>
      </c>
      <c r="I958" s="1">
        <v>0</v>
      </c>
    </row>
    <row r="959" spans="1:9" ht="23.25">
      <c r="A959" s="4" t="s">
        <v>54</v>
      </c>
      <c r="B959" s="4"/>
      <c r="C959" s="4" t="s">
        <v>22</v>
      </c>
      <c r="D959" s="4"/>
      <c r="E959" s="1">
        <v>255680</v>
      </c>
      <c r="F959" s="1">
        <v>0</v>
      </c>
      <c r="G959" s="1">
        <v>0</v>
      </c>
      <c r="H959" s="1">
        <v>0</v>
      </c>
      <c r="I959" s="1">
        <v>0</v>
      </c>
    </row>
    <row r="960" spans="1:9" ht="23.25">
      <c r="A960" s="4" t="s">
        <v>55</v>
      </c>
      <c r="B960" s="4"/>
      <c r="C960" s="4" t="s">
        <v>22</v>
      </c>
      <c r="D960" s="4"/>
      <c r="E960" s="1">
        <v>0</v>
      </c>
      <c r="F960" s="1">
        <v>0</v>
      </c>
      <c r="G960" s="1">
        <v>0</v>
      </c>
      <c r="H960" s="1">
        <v>0</v>
      </c>
      <c r="I960" s="1">
        <v>0</v>
      </c>
    </row>
    <row r="961" spans="1:9" ht="23.25">
      <c r="A961" s="4" t="s">
        <v>56</v>
      </c>
      <c r="B961" s="4"/>
      <c r="C961" s="4" t="s">
        <v>22</v>
      </c>
      <c r="D961" s="4"/>
      <c r="E961" s="1">
        <v>0</v>
      </c>
      <c r="F961" s="1">
        <v>-29881906</v>
      </c>
      <c r="G961" s="1">
        <v>-878597</v>
      </c>
      <c r="H961" s="1">
        <v>0</v>
      </c>
      <c r="I961" s="1">
        <v>0</v>
      </c>
    </row>
    <row r="962" spans="1:9" ht="23.25">
      <c r="A962" s="4" t="s">
        <v>57</v>
      </c>
      <c r="B962" s="4"/>
      <c r="C962" s="4" t="s">
        <v>22</v>
      </c>
      <c r="D962" s="4"/>
      <c r="E962" s="1">
        <v>430814</v>
      </c>
      <c r="F962" s="1">
        <v>0</v>
      </c>
      <c r="G962" s="1">
        <v>0</v>
      </c>
      <c r="H962" s="1">
        <v>0</v>
      </c>
      <c r="I962" s="1">
        <v>0</v>
      </c>
    </row>
    <row r="963" spans="1:9" ht="23.25">
      <c r="A963" s="4" t="s">
        <v>58</v>
      </c>
      <c r="B963" s="4"/>
      <c r="C963" s="4" t="s">
        <v>22</v>
      </c>
      <c r="D963" s="4"/>
      <c r="E963" s="1">
        <v>630065</v>
      </c>
      <c r="F963" s="1">
        <v>0</v>
      </c>
      <c r="G963" s="1">
        <v>0</v>
      </c>
      <c r="H963" s="1">
        <v>-1610966</v>
      </c>
      <c r="I963" s="1">
        <v>0</v>
      </c>
    </row>
    <row r="964" spans="1:9" ht="23.25">
      <c r="A964" s="4" t="s">
        <v>59</v>
      </c>
      <c r="B964" s="4"/>
      <c r="C964" s="4" t="s">
        <v>22</v>
      </c>
      <c r="D964" s="4"/>
      <c r="E964" s="1">
        <v>447899</v>
      </c>
      <c r="F964" s="1">
        <v>0</v>
      </c>
      <c r="G964" s="1">
        <v>0</v>
      </c>
      <c r="H964" s="1">
        <v>0</v>
      </c>
      <c r="I964" s="1">
        <v>0</v>
      </c>
    </row>
    <row r="965" spans="1:9" ht="23.25">
      <c r="A965" s="4" t="s">
        <v>60</v>
      </c>
      <c r="B965" s="4"/>
      <c r="C965" s="4" t="s">
        <v>22</v>
      </c>
      <c r="D965" s="4"/>
      <c r="E965" s="1">
        <v>3774639</v>
      </c>
      <c r="F965" s="1">
        <v>0</v>
      </c>
      <c r="G965" s="1">
        <v>0</v>
      </c>
      <c r="H965" s="1">
        <v>0</v>
      </c>
      <c r="I965" s="1">
        <v>0</v>
      </c>
    </row>
    <row r="966" spans="1:9" ht="23.25">
      <c r="A966" s="4" t="s">
        <v>61</v>
      </c>
      <c r="B966" s="4"/>
      <c r="C966" s="4" t="s">
        <v>22</v>
      </c>
      <c r="D966" s="4"/>
      <c r="E966" s="1">
        <v>937027</v>
      </c>
      <c r="F966" s="1">
        <v>0</v>
      </c>
      <c r="G966" s="1">
        <v>0</v>
      </c>
      <c r="H966" s="1">
        <v>0</v>
      </c>
      <c r="I966" s="1">
        <v>0</v>
      </c>
    </row>
    <row r="967" spans="1:9" ht="23.25">
      <c r="A967" s="4" t="s">
        <v>62</v>
      </c>
      <c r="B967" s="4"/>
      <c r="C967" s="4" t="s">
        <v>22</v>
      </c>
      <c r="D967" s="4"/>
      <c r="E967" s="1">
        <v>5123284</v>
      </c>
      <c r="F967" s="1">
        <v>0</v>
      </c>
      <c r="G967" s="1">
        <v>0</v>
      </c>
      <c r="H967" s="1">
        <v>0</v>
      </c>
      <c r="I967" s="1">
        <v>0</v>
      </c>
    </row>
    <row r="968" spans="1:9" ht="23.25">
      <c r="A968" s="4" t="s">
        <v>63</v>
      </c>
      <c r="B968" s="4"/>
      <c r="C968" s="4" t="s">
        <v>22</v>
      </c>
      <c r="D968" s="4"/>
      <c r="E968" s="1">
        <v>709496</v>
      </c>
      <c r="F968" s="1">
        <v>0</v>
      </c>
      <c r="G968" s="1">
        <v>0</v>
      </c>
      <c r="H968" s="1">
        <v>0</v>
      </c>
      <c r="I968" s="1">
        <v>0</v>
      </c>
    </row>
    <row r="969" spans="1:9" ht="23.25">
      <c r="A969" s="4" t="s">
        <v>64</v>
      </c>
      <c r="B969" s="4"/>
      <c r="C969" s="4" t="s">
        <v>22</v>
      </c>
      <c r="D969" s="4"/>
      <c r="E969" s="1">
        <v>51015</v>
      </c>
      <c r="F969" s="1">
        <v>0</v>
      </c>
      <c r="G969" s="1">
        <v>0</v>
      </c>
      <c r="H969" s="1">
        <v>0</v>
      </c>
      <c r="I969" s="1">
        <v>0</v>
      </c>
    </row>
    <row r="970" spans="1:9" ht="23.25">
      <c r="A970" s="4" t="s">
        <v>65</v>
      </c>
      <c r="B970" s="4"/>
      <c r="C970" s="4" t="s">
        <v>22</v>
      </c>
      <c r="D970" s="4"/>
      <c r="E970" s="1">
        <v>2145383</v>
      </c>
      <c r="F970" s="1">
        <v>0</v>
      </c>
      <c r="G970" s="1">
        <v>0</v>
      </c>
      <c r="H970" s="1">
        <v>0</v>
      </c>
      <c r="I970" s="1">
        <v>246976</v>
      </c>
    </row>
    <row r="971" spans="1:9" ht="23.25">
      <c r="A971" s="4" t="s">
        <v>66</v>
      </c>
      <c r="B971" s="4"/>
      <c r="C971" s="4" t="s">
        <v>22</v>
      </c>
      <c r="D971" s="4"/>
      <c r="E971" s="1">
        <v>345592022</v>
      </c>
      <c r="F971" s="1">
        <v>0</v>
      </c>
      <c r="G971" s="1">
        <v>0</v>
      </c>
      <c r="H971" s="1">
        <v>0</v>
      </c>
      <c r="I971" s="1">
        <v>4141202</v>
      </c>
    </row>
    <row r="972" spans="1:9" ht="23.25">
      <c r="A972" s="4" t="s">
        <v>67</v>
      </c>
      <c r="B972" s="4"/>
      <c r="C972" s="4" t="s">
        <v>22</v>
      </c>
      <c r="D972" s="4"/>
      <c r="E972" s="1">
        <v>49425595</v>
      </c>
      <c r="F972" s="1">
        <v>0</v>
      </c>
      <c r="G972" s="1">
        <v>0</v>
      </c>
      <c r="H972" s="1">
        <v>0</v>
      </c>
      <c r="I972" s="1">
        <v>0</v>
      </c>
    </row>
    <row r="973" spans="1:9" ht="23.25">
      <c r="A973" s="4" t="s">
        <v>68</v>
      </c>
      <c r="B973" s="4"/>
      <c r="C973" s="4" t="s">
        <v>22</v>
      </c>
      <c r="D973" s="4"/>
      <c r="E973" s="1">
        <v>101568841</v>
      </c>
      <c r="F973" s="1">
        <v>0</v>
      </c>
      <c r="G973" s="1">
        <v>0</v>
      </c>
      <c r="H973" s="1">
        <v>0</v>
      </c>
      <c r="I973" s="1">
        <v>0</v>
      </c>
    </row>
    <row r="974" spans="1:9" ht="23.25">
      <c r="A974" s="4" t="s">
        <v>69</v>
      </c>
      <c r="B974" s="4"/>
      <c r="C974" s="4" t="s">
        <v>22</v>
      </c>
      <c r="D974" s="4"/>
      <c r="E974" s="1">
        <v>26345577</v>
      </c>
      <c r="F974" s="1">
        <v>0</v>
      </c>
      <c r="G974" s="1">
        <v>0</v>
      </c>
      <c r="H974" s="1">
        <v>0</v>
      </c>
      <c r="I974" s="1">
        <v>0</v>
      </c>
    </row>
    <row r="975" spans="1:9" ht="23.25">
      <c r="A975" s="4" t="s">
        <v>70</v>
      </c>
      <c r="B975" s="4"/>
      <c r="C975" s="4" t="s">
        <v>22</v>
      </c>
      <c r="D975" s="4"/>
      <c r="E975" s="1">
        <v>5776573</v>
      </c>
      <c r="F975" s="1">
        <v>0</v>
      </c>
      <c r="G975" s="1">
        <v>0</v>
      </c>
      <c r="H975" s="1">
        <v>0</v>
      </c>
      <c r="I975" s="1">
        <v>0</v>
      </c>
    </row>
    <row r="976" spans="1:9" ht="23.25">
      <c r="A976" s="4" t="s">
        <v>71</v>
      </c>
      <c r="B976" s="4"/>
      <c r="C976" s="4" t="s">
        <v>22</v>
      </c>
      <c r="D976" s="4"/>
      <c r="E976" s="1">
        <v>183116586</v>
      </c>
      <c r="F976" s="1">
        <v>0</v>
      </c>
      <c r="G976" s="1">
        <v>0</v>
      </c>
      <c r="H976" s="1">
        <v>0</v>
      </c>
      <c r="I976" s="1">
        <v>0</v>
      </c>
    </row>
    <row r="977" spans="1:9" ht="23.25">
      <c r="A977" s="4" t="s">
        <v>72</v>
      </c>
      <c r="B977" s="4"/>
      <c r="C977" s="4" t="s">
        <v>22</v>
      </c>
      <c r="D977" s="4"/>
      <c r="E977" s="1">
        <v>528708608</v>
      </c>
      <c r="F977" s="1">
        <v>0</v>
      </c>
      <c r="G977" s="1">
        <v>0</v>
      </c>
      <c r="H977" s="1">
        <v>0</v>
      </c>
      <c r="I977" s="1">
        <v>0</v>
      </c>
    </row>
    <row r="978" spans="1:9" ht="23.25">
      <c r="A978" s="4" t="s">
        <v>8</v>
      </c>
      <c r="B978" s="4"/>
      <c r="C978" s="4" t="s">
        <v>23</v>
      </c>
      <c r="D978" s="4"/>
      <c r="E978" s="1">
        <v>29138</v>
      </c>
      <c r="F978" s="1">
        <v>1297</v>
      </c>
      <c r="G978" s="1">
        <v>2159</v>
      </c>
      <c r="H978" s="1">
        <v>180</v>
      </c>
      <c r="I978" s="1">
        <v>0</v>
      </c>
    </row>
    <row r="979" spans="1:9" ht="23.25">
      <c r="A979" s="4" t="s">
        <v>9</v>
      </c>
      <c r="B979" s="4"/>
      <c r="C979" s="4" t="s">
        <v>23</v>
      </c>
      <c r="D979" s="4"/>
      <c r="E979" s="1">
        <v>781679</v>
      </c>
      <c r="F979" s="1">
        <v>81746</v>
      </c>
      <c r="G979" s="1">
        <v>0</v>
      </c>
      <c r="H979" s="1">
        <v>10551</v>
      </c>
      <c r="I979" s="1">
        <v>0</v>
      </c>
    </row>
    <row r="980" spans="1:9" ht="23.25">
      <c r="A980" s="4" t="s">
        <v>10</v>
      </c>
      <c r="B980" s="4"/>
      <c r="C980" s="4" t="s">
        <v>23</v>
      </c>
      <c r="D980" s="4"/>
      <c r="E980" s="1">
        <v>0</v>
      </c>
      <c r="F980" s="1">
        <v>0</v>
      </c>
      <c r="G980" s="1">
        <v>0</v>
      </c>
      <c r="H980" s="1">
        <v>0</v>
      </c>
      <c r="I980" s="1">
        <v>0</v>
      </c>
    </row>
    <row r="981" spans="1:9" ht="23.25">
      <c r="A981" s="4" t="s">
        <v>11</v>
      </c>
      <c r="B981" s="4"/>
      <c r="C981" s="4" t="s">
        <v>23</v>
      </c>
      <c r="D981" s="4"/>
      <c r="E981" s="1">
        <v>12724250</v>
      </c>
      <c r="F981" s="1">
        <v>123405</v>
      </c>
      <c r="G981" s="1">
        <v>92328</v>
      </c>
      <c r="H981" s="1">
        <v>17652</v>
      </c>
      <c r="I981" s="1">
        <v>12422642</v>
      </c>
    </row>
    <row r="982" spans="1:9" ht="23.25">
      <c r="A982" s="4" t="s">
        <v>12</v>
      </c>
      <c r="B982" s="4"/>
      <c r="C982" s="4" t="s">
        <v>23</v>
      </c>
      <c r="D982" s="4"/>
      <c r="E982" s="1">
        <v>60639500</v>
      </c>
      <c r="F982" s="1">
        <v>3425738</v>
      </c>
      <c r="G982" s="1">
        <v>4781800</v>
      </c>
      <c r="H982" s="1">
        <v>709651</v>
      </c>
      <c r="I982" s="1">
        <v>3379967</v>
      </c>
    </row>
    <row r="983" spans="1:9" ht="23.25">
      <c r="A983" s="4" t="s">
        <v>13</v>
      </c>
      <c r="B983" s="4"/>
      <c r="C983" s="4" t="s">
        <v>23</v>
      </c>
      <c r="D983" s="4"/>
      <c r="E983" s="1">
        <v>0</v>
      </c>
      <c r="F983" s="1">
        <v>0</v>
      </c>
      <c r="G983" s="1">
        <v>0</v>
      </c>
      <c r="H983" s="1">
        <v>0</v>
      </c>
      <c r="I983" s="1">
        <v>0</v>
      </c>
    </row>
    <row r="984" spans="1:9" ht="23.25">
      <c r="A984" s="4" t="s">
        <v>14</v>
      </c>
      <c r="B984" s="4"/>
      <c r="C984" s="4" t="s">
        <v>23</v>
      </c>
      <c r="D984" s="4"/>
      <c r="E984" s="1">
        <v>0</v>
      </c>
      <c r="F984" s="1">
        <v>0</v>
      </c>
      <c r="G984" s="1">
        <v>0</v>
      </c>
      <c r="H984" s="1">
        <v>0</v>
      </c>
      <c r="I984" s="1">
        <v>0</v>
      </c>
    </row>
    <row r="985" spans="1:9" ht="23.25">
      <c r="A985" s="4" t="s">
        <v>15</v>
      </c>
      <c r="B985" s="4"/>
      <c r="C985" s="4" t="s">
        <v>23</v>
      </c>
      <c r="D985" s="4"/>
      <c r="E985" s="1">
        <v>85851714</v>
      </c>
      <c r="F985" s="1">
        <v>2404344</v>
      </c>
      <c r="G985" s="1">
        <v>80090</v>
      </c>
      <c r="H985" s="1">
        <v>861342</v>
      </c>
      <c r="I985" s="1">
        <v>7088869</v>
      </c>
    </row>
    <row r="986" spans="1:9" ht="23.25">
      <c r="A986" s="4" t="s">
        <v>16</v>
      </c>
      <c r="B986" s="4"/>
      <c r="C986" s="4" t="s">
        <v>23</v>
      </c>
      <c r="D986" s="4"/>
      <c r="E986" s="1">
        <v>19003354</v>
      </c>
      <c r="F986" s="1">
        <v>569701</v>
      </c>
      <c r="G986" s="1">
        <v>0</v>
      </c>
      <c r="H986" s="1">
        <v>136497</v>
      </c>
      <c r="I986" s="1">
        <v>0</v>
      </c>
    </row>
    <row r="987" spans="1:9" ht="23.25">
      <c r="A987" s="4" t="s">
        <v>17</v>
      </c>
      <c r="B987" s="4"/>
      <c r="C987" s="4" t="s">
        <v>23</v>
      </c>
      <c r="D987" s="4"/>
      <c r="E987" s="1">
        <v>43408</v>
      </c>
      <c r="F987" s="1">
        <v>4441</v>
      </c>
      <c r="G987" s="1">
        <v>7613</v>
      </c>
      <c r="H987" s="1">
        <v>1006</v>
      </c>
      <c r="I987" s="1">
        <v>4566</v>
      </c>
    </row>
    <row r="988" spans="1:9" ht="23.25">
      <c r="A988" s="4" t="s">
        <v>18</v>
      </c>
      <c r="B988" s="4"/>
      <c r="C988" s="4" t="s">
        <v>23</v>
      </c>
      <c r="D988" s="4"/>
      <c r="E988" s="1">
        <v>82007018</v>
      </c>
      <c r="F988" s="1">
        <v>8550212</v>
      </c>
      <c r="G988" s="1">
        <v>8389977</v>
      </c>
      <c r="H988" s="1">
        <v>1625208</v>
      </c>
      <c r="I988" s="1">
        <v>399940</v>
      </c>
    </row>
    <row r="989" spans="1:9" ht="23.25">
      <c r="A989" s="4" t="s">
        <v>19</v>
      </c>
      <c r="B989" s="4"/>
      <c r="C989" s="4" t="s">
        <v>23</v>
      </c>
      <c r="D989" s="4"/>
      <c r="E989" s="1">
        <v>0</v>
      </c>
      <c r="F989" s="1">
        <v>0</v>
      </c>
      <c r="G989" s="1">
        <v>0</v>
      </c>
      <c r="H989" s="1">
        <v>0</v>
      </c>
      <c r="I989" s="1">
        <v>0</v>
      </c>
    </row>
    <row r="990" spans="1:9" ht="23.25">
      <c r="A990" s="4" t="s">
        <v>20</v>
      </c>
      <c r="B990" s="4"/>
      <c r="C990" s="4" t="s">
        <v>23</v>
      </c>
      <c r="D990" s="4"/>
      <c r="E990" s="1">
        <v>0</v>
      </c>
      <c r="F990" s="1">
        <v>0</v>
      </c>
      <c r="G990" s="1">
        <v>0</v>
      </c>
      <c r="H990" s="1">
        <v>0</v>
      </c>
      <c r="I990" s="1">
        <v>0</v>
      </c>
    </row>
    <row r="991" spans="1:9" ht="23.25">
      <c r="A991" s="4" t="s">
        <v>21</v>
      </c>
      <c r="B991" s="4"/>
      <c r="C991" s="4" t="s">
        <v>23</v>
      </c>
      <c r="D991" s="4"/>
      <c r="E991" s="1">
        <v>710744</v>
      </c>
      <c r="F991" s="1">
        <v>60216</v>
      </c>
      <c r="G991" s="1">
        <v>50617</v>
      </c>
      <c r="H991" s="1">
        <v>17221</v>
      </c>
      <c r="I991" s="1">
        <v>0</v>
      </c>
    </row>
    <row r="992" spans="1:9" ht="23.25">
      <c r="A992" s="4" t="s">
        <v>22</v>
      </c>
      <c r="B992" s="4"/>
      <c r="C992" s="4" t="s">
        <v>23</v>
      </c>
      <c r="D992" s="4"/>
      <c r="E992" s="1">
        <v>77021461</v>
      </c>
      <c r="F992" s="1">
        <v>327307</v>
      </c>
      <c r="G992" s="1">
        <v>16492</v>
      </c>
      <c r="H992" s="1">
        <v>169139</v>
      </c>
      <c r="I992" s="1">
        <v>0</v>
      </c>
    </row>
    <row r="993" spans="1:9" ht="23.25">
      <c r="A993" s="4" t="s">
        <v>23</v>
      </c>
      <c r="B993" s="4"/>
      <c r="C993" s="4" t="s">
        <v>23</v>
      </c>
      <c r="D993" s="4"/>
      <c r="E993" s="1">
        <v>97450615</v>
      </c>
      <c r="F993" s="1">
        <v>1572916</v>
      </c>
      <c r="G993" s="1">
        <v>2162883</v>
      </c>
      <c r="H993" s="1">
        <v>902701</v>
      </c>
      <c r="I993" s="1">
        <v>49535399</v>
      </c>
    </row>
    <row r="994" spans="1:9" ht="23.25">
      <c r="A994" s="4" t="s">
        <v>24</v>
      </c>
      <c r="B994" s="4"/>
      <c r="C994" s="4" t="s">
        <v>23</v>
      </c>
      <c r="D994" s="4"/>
      <c r="E994" s="1">
        <v>7906992</v>
      </c>
      <c r="F994" s="1">
        <v>257004</v>
      </c>
      <c r="G994" s="1">
        <v>316517</v>
      </c>
      <c r="H994" s="1">
        <v>100181</v>
      </c>
      <c r="I994" s="1">
        <v>344691</v>
      </c>
    </row>
    <row r="995" spans="1:9" ht="23.25">
      <c r="A995" s="4" t="s">
        <v>25</v>
      </c>
      <c r="B995" s="4"/>
      <c r="C995" s="4" t="s">
        <v>23</v>
      </c>
      <c r="D995" s="4"/>
      <c r="E995" s="1">
        <v>26957938</v>
      </c>
      <c r="F995" s="1">
        <v>384191</v>
      </c>
      <c r="G995" s="1">
        <v>639756</v>
      </c>
      <c r="H995" s="1">
        <v>324838</v>
      </c>
      <c r="I995" s="1">
        <v>1002873</v>
      </c>
    </row>
    <row r="996" spans="1:9" ht="23.25">
      <c r="A996" s="4" t="s">
        <v>26</v>
      </c>
      <c r="B996" s="4"/>
      <c r="C996" s="4" t="s">
        <v>23</v>
      </c>
      <c r="D996" s="4"/>
      <c r="E996" s="1">
        <v>22317098</v>
      </c>
      <c r="F996" s="1">
        <v>586871</v>
      </c>
      <c r="G996" s="1">
        <v>1639559</v>
      </c>
      <c r="H996" s="1">
        <v>323739</v>
      </c>
      <c r="I996" s="1">
        <v>4589279</v>
      </c>
    </row>
    <row r="997" spans="1:9" ht="23.25">
      <c r="A997" s="4" t="s">
        <v>27</v>
      </c>
      <c r="B997" s="4"/>
      <c r="C997" s="4" t="s">
        <v>23</v>
      </c>
      <c r="D997" s="4"/>
      <c r="E997" s="1">
        <v>0</v>
      </c>
      <c r="F997" s="1">
        <v>0</v>
      </c>
      <c r="G997" s="1">
        <v>0</v>
      </c>
      <c r="H997" s="1">
        <v>0</v>
      </c>
      <c r="I997" s="1">
        <v>0</v>
      </c>
    </row>
    <row r="998" spans="1:9" ht="23.25">
      <c r="A998" s="4" t="s">
        <v>28</v>
      </c>
      <c r="B998" s="4"/>
      <c r="C998" s="4" t="s">
        <v>23</v>
      </c>
      <c r="D998" s="4"/>
      <c r="E998" s="1">
        <v>101721</v>
      </c>
      <c r="F998" s="1">
        <v>7493</v>
      </c>
      <c r="G998" s="1">
        <v>12319</v>
      </c>
      <c r="H998" s="1">
        <v>2390</v>
      </c>
      <c r="I998" s="1">
        <v>0</v>
      </c>
    </row>
    <row r="999" spans="1:9" ht="23.25">
      <c r="A999" s="4" t="s">
        <v>29</v>
      </c>
      <c r="B999" s="4"/>
      <c r="C999" s="4" t="s">
        <v>23</v>
      </c>
      <c r="D999" s="4"/>
      <c r="E999" s="1">
        <v>0</v>
      </c>
      <c r="F999" s="1">
        <v>0</v>
      </c>
      <c r="G999" s="1">
        <v>0</v>
      </c>
      <c r="H999" s="1">
        <v>0</v>
      </c>
      <c r="I999" s="1">
        <v>0</v>
      </c>
    </row>
    <row r="1000" spans="1:9" ht="23.25">
      <c r="A1000" s="4" t="s">
        <v>30</v>
      </c>
      <c r="B1000" s="4"/>
      <c r="C1000" s="4" t="s">
        <v>23</v>
      </c>
      <c r="D1000" s="4"/>
      <c r="E1000" s="1">
        <v>0</v>
      </c>
      <c r="F1000" s="1">
        <v>0</v>
      </c>
      <c r="G1000" s="1">
        <v>0</v>
      </c>
      <c r="H1000" s="1">
        <v>0</v>
      </c>
      <c r="I1000" s="1">
        <v>0</v>
      </c>
    </row>
    <row r="1001" spans="1:9" ht="23.25">
      <c r="A1001" s="4" t="s">
        <v>31</v>
      </c>
      <c r="B1001" s="4"/>
      <c r="C1001" s="4" t="s">
        <v>23</v>
      </c>
      <c r="D1001" s="4"/>
      <c r="E1001" s="1">
        <v>65</v>
      </c>
      <c r="F1001" s="1">
        <v>0</v>
      </c>
      <c r="G1001" s="1">
        <v>2</v>
      </c>
      <c r="H1001" s="1">
        <v>0</v>
      </c>
      <c r="I1001" s="1">
        <v>0</v>
      </c>
    </row>
    <row r="1002" spans="1:9" ht="23.25">
      <c r="A1002" s="4" t="s">
        <v>32</v>
      </c>
      <c r="B1002" s="4"/>
      <c r="C1002" s="4" t="s">
        <v>23</v>
      </c>
      <c r="D1002" s="4"/>
      <c r="E1002" s="1">
        <v>3710481</v>
      </c>
      <c r="F1002" s="1">
        <v>283741</v>
      </c>
      <c r="G1002" s="1">
        <v>204003</v>
      </c>
      <c r="H1002" s="1">
        <v>39803</v>
      </c>
      <c r="I1002" s="1">
        <v>1683607</v>
      </c>
    </row>
    <row r="1003" spans="1:9" ht="23.25">
      <c r="A1003" s="4" t="s">
        <v>33</v>
      </c>
      <c r="B1003" s="4"/>
      <c r="C1003" s="4" t="s">
        <v>23</v>
      </c>
      <c r="D1003" s="4"/>
      <c r="E1003" s="1">
        <v>11925</v>
      </c>
      <c r="F1003" s="1">
        <v>979</v>
      </c>
      <c r="G1003" s="1">
        <v>1787</v>
      </c>
      <c r="H1003" s="1">
        <v>128</v>
      </c>
      <c r="I1003" s="1">
        <v>0</v>
      </c>
    </row>
    <row r="1004" spans="1:9" ht="23.25">
      <c r="A1004" s="4" t="s">
        <v>34</v>
      </c>
      <c r="B1004" s="4"/>
      <c r="C1004" s="4" t="s">
        <v>23</v>
      </c>
      <c r="D1004" s="4"/>
      <c r="E1004" s="1">
        <v>5935966</v>
      </c>
      <c r="F1004" s="1">
        <v>382300</v>
      </c>
      <c r="G1004" s="1">
        <v>229082</v>
      </c>
      <c r="H1004" s="1">
        <v>106938</v>
      </c>
      <c r="I1004" s="1">
        <v>3270968</v>
      </c>
    </row>
    <row r="1005" spans="1:9" ht="23.25">
      <c r="A1005" s="4" t="s">
        <v>35</v>
      </c>
      <c r="B1005" s="4"/>
      <c r="C1005" s="4" t="s">
        <v>23</v>
      </c>
      <c r="D1005" s="4"/>
      <c r="E1005" s="1">
        <v>0</v>
      </c>
      <c r="F1005" s="1">
        <v>0</v>
      </c>
      <c r="G1005" s="1">
        <v>0</v>
      </c>
      <c r="H1005" s="1">
        <v>0</v>
      </c>
      <c r="I1005" s="1">
        <v>0</v>
      </c>
    </row>
    <row r="1006" spans="1:9" ht="23.25">
      <c r="A1006" s="4" t="s">
        <v>36</v>
      </c>
      <c r="B1006" s="4"/>
      <c r="C1006" s="4" t="s">
        <v>23</v>
      </c>
      <c r="D1006" s="4"/>
      <c r="E1006" s="1">
        <v>4731026</v>
      </c>
      <c r="F1006" s="1">
        <v>547756</v>
      </c>
      <c r="G1006" s="1">
        <v>733497</v>
      </c>
      <c r="H1006" s="1">
        <v>30959</v>
      </c>
      <c r="I1006" s="1">
        <v>79985</v>
      </c>
    </row>
    <row r="1007" spans="1:9" ht="23.25">
      <c r="A1007" s="4" t="s">
        <v>37</v>
      </c>
      <c r="B1007" s="4"/>
      <c r="C1007" s="4" t="s">
        <v>23</v>
      </c>
      <c r="D1007" s="4"/>
      <c r="E1007" s="1">
        <v>8351672</v>
      </c>
      <c r="F1007" s="1">
        <v>423997</v>
      </c>
      <c r="G1007" s="1">
        <v>549105</v>
      </c>
      <c r="H1007" s="1">
        <v>82477</v>
      </c>
      <c r="I1007" s="1">
        <v>1609623</v>
      </c>
    </row>
    <row r="1008" spans="1:9" ht="23.25">
      <c r="A1008" s="4" t="s">
        <v>38</v>
      </c>
      <c r="B1008" s="4"/>
      <c r="C1008" s="4" t="s">
        <v>23</v>
      </c>
      <c r="D1008" s="4"/>
      <c r="E1008" s="1">
        <v>295456</v>
      </c>
      <c r="F1008" s="1">
        <v>25885</v>
      </c>
      <c r="G1008" s="1">
        <v>41642</v>
      </c>
      <c r="H1008" s="1">
        <v>7981</v>
      </c>
      <c r="I1008" s="1">
        <v>0</v>
      </c>
    </row>
    <row r="1009" spans="1:9" ht="23.25">
      <c r="A1009" s="4" t="s">
        <v>39</v>
      </c>
      <c r="B1009" s="4"/>
      <c r="C1009" s="4" t="s">
        <v>23</v>
      </c>
      <c r="D1009" s="4"/>
      <c r="E1009" s="1">
        <v>17014440</v>
      </c>
      <c r="F1009" s="1">
        <v>886769</v>
      </c>
      <c r="G1009" s="1">
        <v>1034750</v>
      </c>
      <c r="H1009" s="1">
        <v>157098</v>
      </c>
      <c r="I1009" s="1">
        <v>7711531</v>
      </c>
    </row>
    <row r="1010" spans="1:9" ht="23.25">
      <c r="A1010" s="4" t="s">
        <v>40</v>
      </c>
      <c r="B1010" s="4"/>
      <c r="C1010" s="4" t="s">
        <v>23</v>
      </c>
      <c r="D1010" s="4"/>
      <c r="E1010" s="1">
        <v>0</v>
      </c>
      <c r="F1010" s="1">
        <v>0</v>
      </c>
      <c r="G1010" s="1">
        <v>0</v>
      </c>
      <c r="H1010" s="1">
        <v>0</v>
      </c>
      <c r="I1010" s="1">
        <v>0</v>
      </c>
    </row>
    <row r="1011" spans="1:9" ht="23.25">
      <c r="A1011" s="4" t="s">
        <v>41</v>
      </c>
      <c r="B1011" s="4"/>
      <c r="C1011" s="4" t="s">
        <v>23</v>
      </c>
      <c r="D1011" s="4"/>
      <c r="E1011" s="1">
        <v>206497</v>
      </c>
      <c r="F1011" s="1">
        <v>20357</v>
      </c>
      <c r="G1011" s="1">
        <v>20528</v>
      </c>
      <c r="H1011" s="1">
        <v>2851</v>
      </c>
      <c r="I1011" s="1">
        <v>0</v>
      </c>
    </row>
    <row r="1012" spans="1:9" ht="23.25">
      <c r="A1012" s="4" t="s">
        <v>42</v>
      </c>
      <c r="B1012" s="4"/>
      <c r="C1012" s="4" t="s">
        <v>23</v>
      </c>
      <c r="D1012" s="4"/>
      <c r="E1012" s="1">
        <v>0</v>
      </c>
      <c r="F1012" s="1">
        <v>0</v>
      </c>
      <c r="G1012" s="1">
        <v>0</v>
      </c>
      <c r="H1012" s="1">
        <v>0</v>
      </c>
      <c r="I1012" s="1">
        <v>0</v>
      </c>
    </row>
    <row r="1013" spans="1:9" ht="23.25">
      <c r="A1013" s="4" t="s">
        <v>43</v>
      </c>
      <c r="B1013" s="4"/>
      <c r="C1013" s="4" t="s">
        <v>23</v>
      </c>
      <c r="D1013" s="4"/>
      <c r="E1013" s="1">
        <v>554221</v>
      </c>
      <c r="F1013" s="1">
        <v>18473</v>
      </c>
      <c r="G1013" s="1">
        <v>8485</v>
      </c>
      <c r="H1013" s="1">
        <v>758</v>
      </c>
      <c r="I1013" s="1">
        <v>333514</v>
      </c>
    </row>
    <row r="1014" spans="1:9" ht="23.25">
      <c r="A1014" s="4" t="s">
        <v>44</v>
      </c>
      <c r="B1014" s="4"/>
      <c r="C1014" s="4" t="s">
        <v>23</v>
      </c>
      <c r="D1014" s="4"/>
      <c r="E1014" s="1">
        <v>14884299</v>
      </c>
      <c r="F1014" s="1">
        <v>581146</v>
      </c>
      <c r="G1014" s="1">
        <v>1283057</v>
      </c>
      <c r="H1014" s="1">
        <v>33101</v>
      </c>
      <c r="I1014" s="1">
        <v>10927200</v>
      </c>
    </row>
    <row r="1015" spans="1:9" ht="23.25">
      <c r="A1015" s="4" t="s">
        <v>45</v>
      </c>
      <c r="B1015" s="4"/>
      <c r="C1015" s="4" t="s">
        <v>23</v>
      </c>
      <c r="D1015" s="4"/>
      <c r="E1015" s="1">
        <v>3999673</v>
      </c>
      <c r="F1015" s="1">
        <v>267911</v>
      </c>
      <c r="G1015" s="1">
        <v>0</v>
      </c>
      <c r="H1015" s="1">
        <v>42388</v>
      </c>
      <c r="I1015" s="1">
        <v>768051</v>
      </c>
    </row>
    <row r="1016" spans="1:9" ht="23.25">
      <c r="A1016" s="4" t="s">
        <v>46</v>
      </c>
      <c r="B1016" s="4"/>
      <c r="C1016" s="4" t="s">
        <v>23</v>
      </c>
      <c r="D1016" s="4"/>
      <c r="E1016" s="1">
        <v>460417</v>
      </c>
      <c r="F1016" s="1">
        <v>17369</v>
      </c>
      <c r="G1016" s="1">
        <v>6825</v>
      </c>
      <c r="H1016" s="1">
        <v>4325</v>
      </c>
      <c r="I1016" s="1">
        <v>0</v>
      </c>
    </row>
    <row r="1017" spans="1:9" ht="23.25">
      <c r="A1017" s="4" t="s">
        <v>47</v>
      </c>
      <c r="B1017" s="4"/>
      <c r="C1017" s="4" t="s">
        <v>23</v>
      </c>
      <c r="D1017" s="4"/>
      <c r="E1017" s="1">
        <v>1024451</v>
      </c>
      <c r="F1017" s="1">
        <v>0</v>
      </c>
      <c r="G1017" s="1">
        <v>0</v>
      </c>
      <c r="H1017" s="1">
        <v>0</v>
      </c>
      <c r="I1017" s="1">
        <v>0</v>
      </c>
    </row>
    <row r="1018" spans="1:9" ht="23.25">
      <c r="A1018" s="4" t="s">
        <v>48</v>
      </c>
      <c r="B1018" s="4"/>
      <c r="C1018" s="4" t="s">
        <v>23</v>
      </c>
      <c r="D1018" s="4"/>
      <c r="E1018" s="1">
        <v>0</v>
      </c>
      <c r="F1018" s="1">
        <v>0</v>
      </c>
      <c r="G1018" s="1">
        <v>0</v>
      </c>
      <c r="H1018" s="1">
        <v>0</v>
      </c>
      <c r="I1018" s="1">
        <v>0</v>
      </c>
    </row>
    <row r="1019" spans="1:9" ht="23.25">
      <c r="A1019" s="4" t="s">
        <v>49</v>
      </c>
      <c r="B1019" s="4"/>
      <c r="C1019" s="4" t="s">
        <v>23</v>
      </c>
      <c r="D1019" s="4"/>
      <c r="E1019" s="1">
        <v>0</v>
      </c>
      <c r="F1019" s="1">
        <v>0</v>
      </c>
      <c r="G1019" s="1">
        <v>0</v>
      </c>
      <c r="H1019" s="1">
        <v>0</v>
      </c>
      <c r="I1019" s="1">
        <v>0</v>
      </c>
    </row>
    <row r="1020" spans="1:9" ht="23.25">
      <c r="A1020" s="4" t="s">
        <v>50</v>
      </c>
      <c r="B1020" s="4"/>
      <c r="C1020" s="4" t="s">
        <v>23</v>
      </c>
      <c r="D1020" s="4"/>
      <c r="E1020" s="1">
        <v>21780</v>
      </c>
      <c r="F1020" s="1">
        <v>1823</v>
      </c>
      <c r="G1020" s="1">
        <v>1800</v>
      </c>
      <c r="H1020" s="1">
        <v>196</v>
      </c>
      <c r="I1020" s="1">
        <v>0</v>
      </c>
    </row>
    <row r="1021" spans="1:9" ht="23.25">
      <c r="A1021" s="4" t="s">
        <v>51</v>
      </c>
      <c r="B1021" s="4"/>
      <c r="C1021" s="4" t="s">
        <v>23</v>
      </c>
      <c r="D1021" s="4"/>
      <c r="E1021" s="1">
        <v>693639</v>
      </c>
      <c r="F1021" s="1">
        <v>51656</v>
      </c>
      <c r="G1021" s="1">
        <v>34415</v>
      </c>
      <c r="H1021" s="1">
        <v>7194</v>
      </c>
      <c r="I1021" s="1">
        <v>0</v>
      </c>
    </row>
    <row r="1022" spans="1:9" ht="23.25">
      <c r="A1022" s="4" t="s">
        <v>52</v>
      </c>
      <c r="B1022" s="4"/>
      <c r="C1022" s="4" t="s">
        <v>23</v>
      </c>
      <c r="D1022" s="4"/>
      <c r="E1022" s="1">
        <v>14130649</v>
      </c>
      <c r="F1022" s="1">
        <v>19312</v>
      </c>
      <c r="G1022" s="1">
        <v>48415</v>
      </c>
      <c r="H1022" s="1">
        <v>10830</v>
      </c>
      <c r="I1022" s="1">
        <v>0</v>
      </c>
    </row>
    <row r="1023" spans="1:9" ht="23.25">
      <c r="A1023" s="4" t="s">
        <v>53</v>
      </c>
      <c r="B1023" s="4"/>
      <c r="C1023" s="4" t="s">
        <v>23</v>
      </c>
      <c r="D1023" s="4"/>
      <c r="E1023" s="1">
        <v>624512</v>
      </c>
      <c r="F1023" s="1">
        <v>0</v>
      </c>
      <c r="G1023" s="1">
        <v>0</v>
      </c>
      <c r="H1023" s="1">
        <v>0</v>
      </c>
      <c r="I1023" s="1">
        <v>0</v>
      </c>
    </row>
    <row r="1024" spans="1:9" ht="23.25">
      <c r="A1024" s="4" t="s">
        <v>54</v>
      </c>
      <c r="B1024" s="4"/>
      <c r="C1024" s="4" t="s">
        <v>23</v>
      </c>
      <c r="D1024" s="4"/>
      <c r="E1024" s="1">
        <v>606241</v>
      </c>
      <c r="F1024" s="1">
        <v>0</v>
      </c>
      <c r="G1024" s="1">
        <v>0</v>
      </c>
      <c r="H1024" s="1">
        <v>0</v>
      </c>
      <c r="I1024" s="1">
        <v>0</v>
      </c>
    </row>
    <row r="1025" spans="1:9" ht="23.25">
      <c r="A1025" s="4" t="s">
        <v>55</v>
      </c>
      <c r="B1025" s="4"/>
      <c r="C1025" s="4" t="s">
        <v>23</v>
      </c>
      <c r="D1025" s="4"/>
      <c r="E1025" s="1">
        <v>0</v>
      </c>
      <c r="F1025" s="1">
        <v>0</v>
      </c>
      <c r="G1025" s="1">
        <v>0</v>
      </c>
      <c r="H1025" s="1">
        <v>0</v>
      </c>
      <c r="I1025" s="1">
        <v>0</v>
      </c>
    </row>
    <row r="1026" spans="1:9" ht="23.25">
      <c r="A1026" s="4" t="s">
        <v>56</v>
      </c>
      <c r="B1026" s="4"/>
      <c r="C1026" s="4" t="s">
        <v>23</v>
      </c>
      <c r="D1026" s="4"/>
      <c r="E1026" s="1">
        <v>0</v>
      </c>
      <c r="F1026" s="1">
        <v>-21886356</v>
      </c>
      <c r="G1026" s="1">
        <v>-22389503</v>
      </c>
      <c r="H1026" s="1">
        <v>0</v>
      </c>
      <c r="I1026" s="1">
        <v>0</v>
      </c>
    </row>
    <row r="1027" spans="1:9" ht="23.25">
      <c r="A1027" s="4" t="s">
        <v>57</v>
      </c>
      <c r="B1027" s="4"/>
      <c r="C1027" s="4" t="s">
        <v>23</v>
      </c>
      <c r="D1027" s="4"/>
      <c r="E1027" s="1">
        <v>1607594</v>
      </c>
      <c r="F1027" s="1">
        <v>0</v>
      </c>
      <c r="G1027" s="1">
        <v>0</v>
      </c>
      <c r="H1027" s="1">
        <v>0</v>
      </c>
      <c r="I1027" s="1">
        <v>0</v>
      </c>
    </row>
    <row r="1028" spans="1:9" ht="23.25">
      <c r="A1028" s="4" t="s">
        <v>58</v>
      </c>
      <c r="B1028" s="4"/>
      <c r="C1028" s="4" t="s">
        <v>23</v>
      </c>
      <c r="D1028" s="4"/>
      <c r="E1028" s="1">
        <v>4056965</v>
      </c>
      <c r="F1028" s="1">
        <v>0</v>
      </c>
      <c r="G1028" s="1">
        <v>0</v>
      </c>
      <c r="H1028" s="1">
        <v>-5729323</v>
      </c>
      <c r="I1028" s="1">
        <v>0</v>
      </c>
    </row>
    <row r="1029" spans="1:9" ht="23.25">
      <c r="A1029" s="4" t="s">
        <v>59</v>
      </c>
      <c r="B1029" s="4"/>
      <c r="C1029" s="4" t="s">
        <v>23</v>
      </c>
      <c r="D1029" s="4"/>
      <c r="E1029" s="1">
        <v>488319</v>
      </c>
      <c r="F1029" s="1">
        <v>0</v>
      </c>
      <c r="G1029" s="1">
        <v>0</v>
      </c>
      <c r="H1029" s="1">
        <v>0</v>
      </c>
      <c r="I1029" s="1">
        <v>0</v>
      </c>
    </row>
    <row r="1030" spans="1:9" ht="23.25">
      <c r="A1030" s="4" t="s">
        <v>60</v>
      </c>
      <c r="B1030" s="4"/>
      <c r="C1030" s="4" t="s">
        <v>23</v>
      </c>
      <c r="D1030" s="4"/>
      <c r="E1030" s="1">
        <v>8034673</v>
      </c>
      <c r="F1030" s="1">
        <v>0</v>
      </c>
      <c r="G1030" s="1">
        <v>0</v>
      </c>
      <c r="H1030" s="1">
        <v>0</v>
      </c>
      <c r="I1030" s="1">
        <v>0</v>
      </c>
    </row>
    <row r="1031" spans="1:9" ht="23.25">
      <c r="A1031" s="4" t="s">
        <v>61</v>
      </c>
      <c r="B1031" s="4"/>
      <c r="C1031" s="4" t="s">
        <v>23</v>
      </c>
      <c r="D1031" s="4"/>
      <c r="E1031" s="1">
        <v>616160</v>
      </c>
      <c r="F1031" s="1">
        <v>0</v>
      </c>
      <c r="G1031" s="1">
        <v>0</v>
      </c>
      <c r="H1031" s="1">
        <v>0</v>
      </c>
      <c r="I1031" s="1">
        <v>0</v>
      </c>
    </row>
    <row r="1032" spans="1:9" ht="23.25">
      <c r="A1032" s="4" t="s">
        <v>62</v>
      </c>
      <c r="B1032" s="4"/>
      <c r="C1032" s="4" t="s">
        <v>23</v>
      </c>
      <c r="D1032" s="4"/>
      <c r="E1032" s="1">
        <v>16522492</v>
      </c>
      <c r="F1032" s="1">
        <v>0</v>
      </c>
      <c r="G1032" s="1">
        <v>0</v>
      </c>
      <c r="H1032" s="1">
        <v>0</v>
      </c>
      <c r="I1032" s="1">
        <v>0</v>
      </c>
    </row>
    <row r="1033" spans="1:9" ht="23.25">
      <c r="A1033" s="4" t="s">
        <v>63</v>
      </c>
      <c r="B1033" s="4"/>
      <c r="C1033" s="4" t="s">
        <v>23</v>
      </c>
      <c r="D1033" s="4"/>
      <c r="E1033" s="1">
        <v>408981</v>
      </c>
      <c r="F1033" s="1">
        <v>0</v>
      </c>
      <c r="G1033" s="1">
        <v>0</v>
      </c>
      <c r="H1033" s="1">
        <v>0</v>
      </c>
      <c r="I1033" s="1">
        <v>0</v>
      </c>
    </row>
    <row r="1034" spans="1:9" ht="23.25">
      <c r="A1034" s="4" t="s">
        <v>64</v>
      </c>
      <c r="B1034" s="4"/>
      <c r="C1034" s="4" t="s">
        <v>23</v>
      </c>
      <c r="D1034" s="4"/>
      <c r="E1034" s="1">
        <v>1030642</v>
      </c>
      <c r="F1034" s="1">
        <v>0</v>
      </c>
      <c r="G1034" s="1">
        <v>0</v>
      </c>
      <c r="H1034" s="1">
        <v>0</v>
      </c>
      <c r="I1034" s="1">
        <v>0</v>
      </c>
    </row>
    <row r="1035" spans="1:9" ht="23.25">
      <c r="A1035" s="4" t="s">
        <v>65</v>
      </c>
      <c r="B1035" s="4"/>
      <c r="C1035" s="4" t="s">
        <v>23</v>
      </c>
      <c r="D1035" s="4"/>
      <c r="E1035" s="1">
        <v>7092271</v>
      </c>
      <c r="F1035" s="1">
        <v>0</v>
      </c>
      <c r="G1035" s="1">
        <v>0</v>
      </c>
      <c r="H1035" s="1">
        <v>0</v>
      </c>
      <c r="I1035" s="1">
        <v>750775</v>
      </c>
    </row>
    <row r="1036" spans="1:9" ht="23.25">
      <c r="A1036" s="4" t="s">
        <v>66</v>
      </c>
      <c r="B1036" s="4"/>
      <c r="C1036" s="4" t="s">
        <v>23</v>
      </c>
      <c r="D1036" s="4"/>
      <c r="E1036" s="1">
        <v>610662137</v>
      </c>
      <c r="F1036" s="1">
        <v>0</v>
      </c>
      <c r="G1036" s="1">
        <v>0</v>
      </c>
      <c r="H1036" s="1">
        <v>0</v>
      </c>
      <c r="I1036" s="1">
        <v>105903480</v>
      </c>
    </row>
    <row r="1037" spans="1:9" ht="23.25">
      <c r="A1037" s="4" t="s">
        <v>67</v>
      </c>
      <c r="B1037" s="4"/>
      <c r="C1037" s="4" t="s">
        <v>23</v>
      </c>
      <c r="D1037" s="4"/>
      <c r="E1037" s="1">
        <v>39310178</v>
      </c>
      <c r="F1037" s="1">
        <v>0</v>
      </c>
      <c r="G1037" s="1">
        <v>0</v>
      </c>
      <c r="H1037" s="1">
        <v>0</v>
      </c>
      <c r="I1037" s="1">
        <v>0</v>
      </c>
    </row>
    <row r="1038" spans="1:9" ht="23.25">
      <c r="A1038" s="4" t="s">
        <v>68</v>
      </c>
      <c r="B1038" s="4"/>
      <c r="C1038" s="4" t="s">
        <v>23</v>
      </c>
      <c r="D1038" s="4"/>
      <c r="E1038" s="1">
        <v>65093679</v>
      </c>
      <c r="F1038" s="1">
        <v>0</v>
      </c>
      <c r="G1038" s="1">
        <v>0</v>
      </c>
      <c r="H1038" s="1">
        <v>0</v>
      </c>
      <c r="I1038" s="1">
        <v>0</v>
      </c>
    </row>
    <row r="1039" spans="1:9" ht="23.25">
      <c r="A1039" s="4" t="s">
        <v>69</v>
      </c>
      <c r="B1039" s="4"/>
      <c r="C1039" s="4" t="s">
        <v>23</v>
      </c>
      <c r="D1039" s="4"/>
      <c r="E1039" s="1">
        <v>33751869</v>
      </c>
      <c r="F1039" s="1">
        <v>0</v>
      </c>
      <c r="G1039" s="1">
        <v>0</v>
      </c>
      <c r="H1039" s="1">
        <v>0</v>
      </c>
      <c r="I1039" s="1">
        <v>0</v>
      </c>
    </row>
    <row r="1040" spans="1:9" ht="23.25">
      <c r="A1040" s="4" t="s">
        <v>70</v>
      </c>
      <c r="B1040" s="4"/>
      <c r="C1040" s="4" t="s">
        <v>23</v>
      </c>
      <c r="D1040" s="4"/>
      <c r="E1040" s="1">
        <v>22090987</v>
      </c>
      <c r="F1040" s="1">
        <v>0</v>
      </c>
      <c r="G1040" s="1">
        <v>0</v>
      </c>
      <c r="H1040" s="1">
        <v>0</v>
      </c>
      <c r="I1040" s="1">
        <v>0</v>
      </c>
    </row>
    <row r="1041" spans="1:9" ht="23.25">
      <c r="A1041" s="4" t="s">
        <v>71</v>
      </c>
      <c r="B1041" s="4"/>
      <c r="C1041" s="4" t="s">
        <v>23</v>
      </c>
      <c r="D1041" s="4"/>
      <c r="E1041" s="1">
        <v>160246713</v>
      </c>
      <c r="F1041" s="1">
        <v>0</v>
      </c>
      <c r="G1041" s="1">
        <v>0</v>
      </c>
      <c r="H1041" s="1">
        <v>0</v>
      </c>
      <c r="I1041" s="1">
        <v>0</v>
      </c>
    </row>
    <row r="1042" spans="1:9" ht="23.25">
      <c r="A1042" s="4" t="s">
        <v>72</v>
      </c>
      <c r="B1042" s="4"/>
      <c r="C1042" s="4" t="s">
        <v>23</v>
      </c>
      <c r="D1042" s="4"/>
      <c r="E1042" s="1">
        <v>770908850</v>
      </c>
      <c r="F1042" s="1">
        <v>0</v>
      </c>
      <c r="G1042" s="1">
        <v>0</v>
      </c>
      <c r="H1042" s="1">
        <v>0</v>
      </c>
      <c r="I1042" s="1">
        <v>0</v>
      </c>
    </row>
    <row r="1043" spans="1:9" ht="23.25">
      <c r="A1043" s="4" t="s">
        <v>8</v>
      </c>
      <c r="B1043" s="4"/>
      <c r="C1043" s="4" t="s">
        <v>24</v>
      </c>
      <c r="D1043" s="4"/>
      <c r="E1043" s="1">
        <v>300553587</v>
      </c>
      <c r="F1043" s="1">
        <v>14197819</v>
      </c>
      <c r="G1043" s="1">
        <v>183955</v>
      </c>
      <c r="H1043" s="1">
        <v>1860536</v>
      </c>
      <c r="I1043" s="1">
        <v>0</v>
      </c>
    </row>
    <row r="1044" spans="1:9" ht="23.25">
      <c r="A1044" s="4" t="s">
        <v>9</v>
      </c>
      <c r="B1044" s="4"/>
      <c r="C1044" s="4" t="s">
        <v>24</v>
      </c>
      <c r="D1044" s="4"/>
      <c r="E1044" s="1">
        <v>861722</v>
      </c>
      <c r="F1044" s="1">
        <v>36877</v>
      </c>
      <c r="G1044" s="1">
        <v>0</v>
      </c>
      <c r="H1044" s="1">
        <v>6725</v>
      </c>
      <c r="I1044" s="1">
        <v>24690</v>
      </c>
    </row>
    <row r="1045" spans="1:9" ht="23.25">
      <c r="A1045" s="4" t="s">
        <v>10</v>
      </c>
      <c r="B1045" s="4"/>
      <c r="C1045" s="4" t="s">
        <v>24</v>
      </c>
      <c r="D1045" s="4"/>
      <c r="E1045" s="1">
        <v>53738757</v>
      </c>
      <c r="F1045" s="1">
        <v>1361994</v>
      </c>
      <c r="G1045" s="1">
        <v>0</v>
      </c>
      <c r="H1045" s="1">
        <v>385044</v>
      </c>
      <c r="I1045" s="1">
        <v>0</v>
      </c>
    </row>
    <row r="1046" spans="1:9" ht="23.25">
      <c r="A1046" s="4" t="s">
        <v>11</v>
      </c>
      <c r="B1046" s="4"/>
      <c r="C1046" s="4" t="s">
        <v>24</v>
      </c>
      <c r="D1046" s="4"/>
      <c r="E1046" s="1">
        <v>942118</v>
      </c>
      <c r="F1046" s="1">
        <v>18891</v>
      </c>
      <c r="G1046" s="1">
        <v>13441</v>
      </c>
      <c r="H1046" s="1">
        <v>1354</v>
      </c>
      <c r="I1046" s="1">
        <v>899778</v>
      </c>
    </row>
    <row r="1047" spans="1:9" ht="23.25">
      <c r="A1047" s="4" t="s">
        <v>12</v>
      </c>
      <c r="B1047" s="4"/>
      <c r="C1047" s="4" t="s">
        <v>24</v>
      </c>
      <c r="D1047" s="4"/>
      <c r="E1047" s="1">
        <v>0</v>
      </c>
      <c r="F1047" s="1">
        <v>0</v>
      </c>
      <c r="G1047" s="1">
        <v>0</v>
      </c>
      <c r="H1047" s="1">
        <v>0</v>
      </c>
      <c r="I1047" s="1">
        <v>0</v>
      </c>
    </row>
    <row r="1048" spans="1:9" ht="23.25">
      <c r="A1048" s="4" t="s">
        <v>13</v>
      </c>
      <c r="B1048" s="4"/>
      <c r="C1048" s="4" t="s">
        <v>24</v>
      </c>
      <c r="D1048" s="4"/>
      <c r="E1048" s="1">
        <v>0</v>
      </c>
      <c r="F1048" s="1">
        <v>0</v>
      </c>
      <c r="G1048" s="1">
        <v>0</v>
      </c>
      <c r="H1048" s="1">
        <v>0</v>
      </c>
      <c r="I1048" s="1">
        <v>0</v>
      </c>
    </row>
    <row r="1049" spans="1:9" ht="23.25">
      <c r="A1049" s="4" t="s">
        <v>14</v>
      </c>
      <c r="B1049" s="4"/>
      <c r="C1049" s="4" t="s">
        <v>24</v>
      </c>
      <c r="D1049" s="4"/>
      <c r="E1049" s="1">
        <v>0</v>
      </c>
      <c r="F1049" s="1">
        <v>0</v>
      </c>
      <c r="G1049" s="1">
        <v>0</v>
      </c>
      <c r="H1049" s="1">
        <v>0</v>
      </c>
      <c r="I1049" s="1">
        <v>0</v>
      </c>
    </row>
    <row r="1050" spans="1:9" ht="23.25">
      <c r="A1050" s="4" t="s">
        <v>15</v>
      </c>
      <c r="B1050" s="4"/>
      <c r="C1050" s="4" t="s">
        <v>24</v>
      </c>
      <c r="D1050" s="4"/>
      <c r="E1050" s="1">
        <v>13343855</v>
      </c>
      <c r="F1050" s="1">
        <v>460172</v>
      </c>
      <c r="G1050" s="1">
        <v>0</v>
      </c>
      <c r="H1050" s="1">
        <v>109871</v>
      </c>
      <c r="I1050" s="1">
        <v>12308173</v>
      </c>
    </row>
    <row r="1051" spans="1:9" ht="23.25">
      <c r="A1051" s="4" t="s">
        <v>16</v>
      </c>
      <c r="B1051" s="4"/>
      <c r="C1051" s="4" t="s">
        <v>24</v>
      </c>
      <c r="D1051" s="4"/>
      <c r="E1051" s="1">
        <v>0</v>
      </c>
      <c r="F1051" s="1">
        <v>0</v>
      </c>
      <c r="G1051" s="1">
        <v>0</v>
      </c>
      <c r="H1051" s="1">
        <v>0</v>
      </c>
      <c r="I1051" s="1">
        <v>0</v>
      </c>
    </row>
    <row r="1052" spans="1:9" ht="23.25">
      <c r="A1052" s="4" t="s">
        <v>17</v>
      </c>
      <c r="B1052" s="4"/>
      <c r="C1052" s="4" t="s">
        <v>24</v>
      </c>
      <c r="D1052" s="4"/>
      <c r="E1052" s="1">
        <v>0</v>
      </c>
      <c r="F1052" s="1">
        <v>0</v>
      </c>
      <c r="G1052" s="1">
        <v>0</v>
      </c>
      <c r="H1052" s="1">
        <v>0</v>
      </c>
      <c r="I1052" s="1">
        <v>0</v>
      </c>
    </row>
    <row r="1053" spans="1:9" ht="23.25">
      <c r="A1053" s="4" t="s">
        <v>18</v>
      </c>
      <c r="B1053" s="4"/>
      <c r="C1053" s="4" t="s">
        <v>24</v>
      </c>
      <c r="D1053" s="4"/>
      <c r="E1053" s="1">
        <v>0</v>
      </c>
      <c r="F1053" s="1">
        <v>0</v>
      </c>
      <c r="G1053" s="1">
        <v>0</v>
      </c>
      <c r="H1053" s="1">
        <v>0</v>
      </c>
      <c r="I1053" s="1">
        <v>0</v>
      </c>
    </row>
    <row r="1054" spans="1:9" ht="23.25">
      <c r="A1054" s="4" t="s">
        <v>19</v>
      </c>
      <c r="B1054" s="4"/>
      <c r="C1054" s="4" t="s">
        <v>24</v>
      </c>
      <c r="D1054" s="4"/>
      <c r="E1054" s="1">
        <v>0</v>
      </c>
      <c r="F1054" s="1">
        <v>0</v>
      </c>
      <c r="G1054" s="1">
        <v>0</v>
      </c>
      <c r="H1054" s="1">
        <v>0</v>
      </c>
      <c r="I1054" s="1">
        <v>0</v>
      </c>
    </row>
    <row r="1055" spans="1:9" ht="23.25">
      <c r="A1055" s="4" t="s">
        <v>20</v>
      </c>
      <c r="B1055" s="4"/>
      <c r="C1055" s="4" t="s">
        <v>24</v>
      </c>
      <c r="D1055" s="4"/>
      <c r="E1055" s="1">
        <v>0</v>
      </c>
      <c r="F1055" s="1">
        <v>0</v>
      </c>
      <c r="G1055" s="1">
        <v>0</v>
      </c>
      <c r="H1055" s="1">
        <v>0</v>
      </c>
      <c r="I1055" s="1">
        <v>0</v>
      </c>
    </row>
    <row r="1056" spans="1:9" ht="23.25">
      <c r="A1056" s="4" t="s">
        <v>21</v>
      </c>
      <c r="B1056" s="4"/>
      <c r="C1056" s="4" t="s">
        <v>24</v>
      </c>
      <c r="D1056" s="4"/>
      <c r="E1056" s="1">
        <v>0</v>
      </c>
      <c r="F1056" s="1">
        <v>0</v>
      </c>
      <c r="G1056" s="1">
        <v>0</v>
      </c>
      <c r="H1056" s="1">
        <v>0</v>
      </c>
      <c r="I1056" s="1">
        <v>0</v>
      </c>
    </row>
    <row r="1057" spans="1:9" ht="23.25">
      <c r="A1057" s="4" t="s">
        <v>22</v>
      </c>
      <c r="B1057" s="4"/>
      <c r="C1057" s="4" t="s">
        <v>24</v>
      </c>
      <c r="D1057" s="4"/>
      <c r="E1057" s="1">
        <v>0</v>
      </c>
      <c r="F1057" s="1">
        <v>0</v>
      </c>
      <c r="G1057" s="1">
        <v>0</v>
      </c>
      <c r="H1057" s="1">
        <v>0</v>
      </c>
      <c r="I1057" s="1">
        <v>0</v>
      </c>
    </row>
    <row r="1058" spans="1:9" ht="23.25">
      <c r="A1058" s="4" t="s">
        <v>23</v>
      </c>
      <c r="B1058" s="4"/>
      <c r="C1058" s="4" t="s">
        <v>24</v>
      </c>
      <c r="D1058" s="4"/>
      <c r="E1058" s="1">
        <v>16017</v>
      </c>
      <c r="F1058" s="1">
        <v>506</v>
      </c>
      <c r="G1058" s="1">
        <v>947</v>
      </c>
      <c r="H1058" s="1">
        <v>200</v>
      </c>
      <c r="I1058" s="1">
        <v>0</v>
      </c>
    </row>
    <row r="1059" spans="1:9" ht="23.25">
      <c r="A1059" s="4" t="s">
        <v>24</v>
      </c>
      <c r="B1059" s="4"/>
      <c r="C1059" s="4" t="s">
        <v>24</v>
      </c>
      <c r="D1059" s="4"/>
      <c r="E1059" s="1">
        <v>15016052</v>
      </c>
      <c r="F1059" s="1">
        <v>619350</v>
      </c>
      <c r="G1059" s="1">
        <v>70337</v>
      </c>
      <c r="H1059" s="1">
        <v>138053</v>
      </c>
      <c r="I1059" s="1">
        <v>9161649</v>
      </c>
    </row>
    <row r="1060" spans="1:9" ht="23.25">
      <c r="A1060" s="4" t="s">
        <v>25</v>
      </c>
      <c r="B1060" s="4"/>
      <c r="C1060" s="4" t="s">
        <v>24</v>
      </c>
      <c r="D1060" s="4"/>
      <c r="E1060" s="1">
        <v>2972</v>
      </c>
      <c r="F1060" s="1">
        <v>80</v>
      </c>
      <c r="G1060" s="1">
        <v>25</v>
      </c>
      <c r="H1060" s="1">
        <v>36</v>
      </c>
      <c r="I1060" s="1">
        <v>0</v>
      </c>
    </row>
    <row r="1061" spans="1:9" ht="23.25">
      <c r="A1061" s="4" t="s">
        <v>26</v>
      </c>
      <c r="B1061" s="4"/>
      <c r="C1061" s="4" t="s">
        <v>24</v>
      </c>
      <c r="D1061" s="4"/>
      <c r="E1061" s="1">
        <v>212846</v>
      </c>
      <c r="F1061" s="1">
        <v>6760</v>
      </c>
      <c r="G1061" s="1">
        <v>6663</v>
      </c>
      <c r="H1061" s="1">
        <v>2369</v>
      </c>
      <c r="I1061" s="1">
        <v>0</v>
      </c>
    </row>
    <row r="1062" spans="1:9" ht="23.25">
      <c r="A1062" s="4" t="s">
        <v>27</v>
      </c>
      <c r="B1062" s="4"/>
      <c r="C1062" s="4" t="s">
        <v>24</v>
      </c>
      <c r="D1062" s="4"/>
      <c r="E1062" s="1">
        <v>0</v>
      </c>
      <c r="F1062" s="1">
        <v>0</v>
      </c>
      <c r="G1062" s="1">
        <v>0</v>
      </c>
      <c r="H1062" s="1">
        <v>0</v>
      </c>
      <c r="I1062" s="1">
        <v>0</v>
      </c>
    </row>
    <row r="1063" spans="1:9" ht="23.25">
      <c r="A1063" s="4" t="s">
        <v>28</v>
      </c>
      <c r="B1063" s="4"/>
      <c r="C1063" s="4" t="s">
        <v>24</v>
      </c>
      <c r="D1063" s="4"/>
      <c r="E1063" s="1">
        <v>0</v>
      </c>
      <c r="F1063" s="1">
        <v>0</v>
      </c>
      <c r="G1063" s="1">
        <v>0</v>
      </c>
      <c r="H1063" s="1">
        <v>0</v>
      </c>
      <c r="I1063" s="1">
        <v>0</v>
      </c>
    </row>
    <row r="1064" spans="1:9" ht="23.25">
      <c r="A1064" s="4" t="s">
        <v>29</v>
      </c>
      <c r="B1064" s="4"/>
      <c r="C1064" s="4" t="s">
        <v>24</v>
      </c>
      <c r="D1064" s="4"/>
      <c r="E1064" s="1">
        <v>0</v>
      </c>
      <c r="F1064" s="1">
        <v>0</v>
      </c>
      <c r="G1064" s="1">
        <v>0</v>
      </c>
      <c r="H1064" s="1">
        <v>0</v>
      </c>
      <c r="I1064" s="1">
        <v>0</v>
      </c>
    </row>
    <row r="1065" spans="1:9" ht="23.25">
      <c r="A1065" s="4" t="s">
        <v>30</v>
      </c>
      <c r="B1065" s="4"/>
      <c r="C1065" s="4" t="s">
        <v>24</v>
      </c>
      <c r="D1065" s="4"/>
      <c r="E1065" s="1">
        <v>1462</v>
      </c>
      <c r="F1065" s="1">
        <v>136</v>
      </c>
      <c r="G1065" s="1">
        <v>72</v>
      </c>
      <c r="H1065" s="1">
        <v>21</v>
      </c>
      <c r="I1065" s="1">
        <v>0</v>
      </c>
    </row>
    <row r="1066" spans="1:9" ht="23.25">
      <c r="A1066" s="4" t="s">
        <v>31</v>
      </c>
      <c r="B1066" s="4"/>
      <c r="C1066" s="4" t="s">
        <v>24</v>
      </c>
      <c r="D1066" s="4"/>
      <c r="E1066" s="1">
        <v>1161542</v>
      </c>
      <c r="F1066" s="1">
        <v>92205</v>
      </c>
      <c r="G1066" s="1">
        <v>50255</v>
      </c>
      <c r="H1066" s="1">
        <v>9892</v>
      </c>
      <c r="I1066" s="1">
        <v>154486</v>
      </c>
    </row>
    <row r="1067" spans="1:9" ht="23.25">
      <c r="A1067" s="4" t="s">
        <v>32</v>
      </c>
      <c r="B1067" s="4"/>
      <c r="C1067" s="4" t="s">
        <v>24</v>
      </c>
      <c r="D1067" s="4"/>
      <c r="E1067" s="1">
        <v>211958</v>
      </c>
      <c r="F1067" s="1">
        <v>6986</v>
      </c>
      <c r="G1067" s="1">
        <v>5740</v>
      </c>
      <c r="H1067" s="1">
        <v>1848</v>
      </c>
      <c r="I1067" s="1">
        <v>0</v>
      </c>
    </row>
    <row r="1068" spans="1:9" ht="23.25">
      <c r="A1068" s="4" t="s">
        <v>33</v>
      </c>
      <c r="B1068" s="4"/>
      <c r="C1068" s="4" t="s">
        <v>24</v>
      </c>
      <c r="D1068" s="4"/>
      <c r="E1068" s="1">
        <v>58</v>
      </c>
      <c r="F1068" s="1">
        <v>2</v>
      </c>
      <c r="G1068" s="1">
        <v>4</v>
      </c>
      <c r="H1068" s="1">
        <v>1</v>
      </c>
      <c r="I1068" s="1">
        <v>0</v>
      </c>
    </row>
    <row r="1069" spans="1:9" ht="23.25">
      <c r="A1069" s="4" t="s">
        <v>34</v>
      </c>
      <c r="B1069" s="4"/>
      <c r="C1069" s="4" t="s">
        <v>24</v>
      </c>
      <c r="D1069" s="4"/>
      <c r="E1069" s="1">
        <v>573746</v>
      </c>
      <c r="F1069" s="1">
        <v>19124</v>
      </c>
      <c r="G1069" s="1">
        <v>5948</v>
      </c>
      <c r="H1069" s="1">
        <v>9345</v>
      </c>
      <c r="I1069" s="1">
        <v>320083</v>
      </c>
    </row>
    <row r="1070" spans="1:9" ht="23.25">
      <c r="A1070" s="4" t="s">
        <v>35</v>
      </c>
      <c r="B1070" s="4"/>
      <c r="C1070" s="4" t="s">
        <v>24</v>
      </c>
      <c r="D1070" s="4"/>
      <c r="E1070" s="1">
        <v>0</v>
      </c>
      <c r="F1070" s="1">
        <v>0</v>
      </c>
      <c r="G1070" s="1">
        <v>0</v>
      </c>
      <c r="H1070" s="1">
        <v>0</v>
      </c>
      <c r="I1070" s="1">
        <v>0</v>
      </c>
    </row>
    <row r="1071" spans="1:9" ht="23.25">
      <c r="A1071" s="4" t="s">
        <v>36</v>
      </c>
      <c r="B1071" s="4"/>
      <c r="C1071" s="4" t="s">
        <v>24</v>
      </c>
      <c r="D1071" s="4"/>
      <c r="E1071" s="1">
        <v>53541</v>
      </c>
      <c r="F1071" s="1">
        <v>4747</v>
      </c>
      <c r="G1071" s="1">
        <v>7313</v>
      </c>
      <c r="H1071" s="1">
        <v>388</v>
      </c>
      <c r="I1071" s="1">
        <v>0</v>
      </c>
    </row>
    <row r="1072" spans="1:9" ht="23.25">
      <c r="A1072" s="4" t="s">
        <v>37</v>
      </c>
      <c r="B1072" s="4"/>
      <c r="C1072" s="4" t="s">
        <v>24</v>
      </c>
      <c r="D1072" s="4"/>
      <c r="E1072" s="1">
        <v>3071878</v>
      </c>
      <c r="F1072" s="1">
        <v>112717</v>
      </c>
      <c r="G1072" s="1">
        <v>100785</v>
      </c>
      <c r="H1072" s="1">
        <v>26648</v>
      </c>
      <c r="I1072" s="1">
        <v>598131</v>
      </c>
    </row>
    <row r="1073" spans="1:9" ht="23.25">
      <c r="A1073" s="4" t="s">
        <v>38</v>
      </c>
      <c r="B1073" s="4"/>
      <c r="C1073" s="4" t="s">
        <v>24</v>
      </c>
      <c r="D1073" s="4"/>
      <c r="E1073" s="1">
        <v>0</v>
      </c>
      <c r="F1073" s="1">
        <v>0</v>
      </c>
      <c r="G1073" s="1">
        <v>0</v>
      </c>
      <c r="H1073" s="1">
        <v>0</v>
      </c>
      <c r="I1073" s="1">
        <v>0</v>
      </c>
    </row>
    <row r="1074" spans="1:9" ht="23.25">
      <c r="A1074" s="4" t="s">
        <v>39</v>
      </c>
      <c r="B1074" s="4"/>
      <c r="C1074" s="4" t="s">
        <v>24</v>
      </c>
      <c r="D1074" s="4"/>
      <c r="E1074" s="1">
        <v>7333750</v>
      </c>
      <c r="F1074" s="1">
        <v>318114</v>
      </c>
      <c r="G1074" s="1">
        <v>479609</v>
      </c>
      <c r="H1074" s="1">
        <v>56468</v>
      </c>
      <c r="I1074" s="1">
        <v>3678296</v>
      </c>
    </row>
    <row r="1075" spans="1:9" ht="23.25">
      <c r="A1075" s="4" t="s">
        <v>40</v>
      </c>
      <c r="B1075" s="4"/>
      <c r="C1075" s="4" t="s">
        <v>24</v>
      </c>
      <c r="D1075" s="4"/>
      <c r="E1075" s="1">
        <v>0</v>
      </c>
      <c r="F1075" s="1">
        <v>0</v>
      </c>
      <c r="G1075" s="1">
        <v>0</v>
      </c>
      <c r="H1075" s="1">
        <v>0</v>
      </c>
      <c r="I1075" s="1">
        <v>0</v>
      </c>
    </row>
    <row r="1076" spans="1:9" ht="23.25">
      <c r="A1076" s="4" t="s">
        <v>41</v>
      </c>
      <c r="B1076" s="4"/>
      <c r="C1076" s="4" t="s">
        <v>24</v>
      </c>
      <c r="D1076" s="4"/>
      <c r="E1076" s="1">
        <v>0</v>
      </c>
      <c r="F1076" s="1">
        <v>0</v>
      </c>
      <c r="G1076" s="1">
        <v>0</v>
      </c>
      <c r="H1076" s="1">
        <v>0</v>
      </c>
      <c r="I1076" s="1">
        <v>0</v>
      </c>
    </row>
    <row r="1077" spans="1:9" ht="23.25">
      <c r="A1077" s="4" t="s">
        <v>42</v>
      </c>
      <c r="B1077" s="4"/>
      <c r="C1077" s="4" t="s">
        <v>24</v>
      </c>
      <c r="D1077" s="4"/>
      <c r="E1077" s="1">
        <v>0</v>
      </c>
      <c r="F1077" s="1">
        <v>0</v>
      </c>
      <c r="G1077" s="1">
        <v>0</v>
      </c>
      <c r="H1077" s="1">
        <v>0</v>
      </c>
      <c r="I1077" s="1">
        <v>0</v>
      </c>
    </row>
    <row r="1078" spans="1:9" ht="23.25">
      <c r="A1078" s="4" t="s">
        <v>43</v>
      </c>
      <c r="B1078" s="4"/>
      <c r="C1078" s="4" t="s">
        <v>24</v>
      </c>
      <c r="D1078" s="4"/>
      <c r="E1078" s="1">
        <v>0</v>
      </c>
      <c r="F1078" s="1">
        <v>0</v>
      </c>
      <c r="G1078" s="1">
        <v>0</v>
      </c>
      <c r="H1078" s="1">
        <v>0</v>
      </c>
      <c r="I1078" s="1">
        <v>0</v>
      </c>
    </row>
    <row r="1079" spans="1:9" ht="23.25">
      <c r="A1079" s="4" t="s">
        <v>44</v>
      </c>
      <c r="B1079" s="4"/>
      <c r="C1079" s="4" t="s">
        <v>24</v>
      </c>
      <c r="D1079" s="4"/>
      <c r="E1079" s="1">
        <v>50636</v>
      </c>
      <c r="F1079" s="1">
        <v>1065</v>
      </c>
      <c r="G1079" s="1">
        <v>2741</v>
      </c>
      <c r="H1079" s="1">
        <v>214</v>
      </c>
      <c r="I1079" s="1">
        <v>15208</v>
      </c>
    </row>
    <row r="1080" spans="1:9" ht="23.25">
      <c r="A1080" s="4" t="s">
        <v>45</v>
      </c>
      <c r="B1080" s="4"/>
      <c r="C1080" s="4" t="s">
        <v>24</v>
      </c>
      <c r="D1080" s="4"/>
      <c r="E1080" s="1">
        <v>1752637</v>
      </c>
      <c r="F1080" s="1">
        <v>125697</v>
      </c>
      <c r="G1080" s="1">
        <v>0</v>
      </c>
      <c r="H1080" s="1">
        <v>20867</v>
      </c>
      <c r="I1080" s="1">
        <v>115002</v>
      </c>
    </row>
    <row r="1081" spans="1:9" ht="23.25">
      <c r="A1081" s="4" t="s">
        <v>46</v>
      </c>
      <c r="B1081" s="4"/>
      <c r="C1081" s="4" t="s">
        <v>24</v>
      </c>
      <c r="D1081" s="4"/>
      <c r="E1081" s="1">
        <v>65461</v>
      </c>
      <c r="F1081" s="1">
        <v>3758</v>
      </c>
      <c r="G1081" s="1">
        <v>1131</v>
      </c>
      <c r="H1081" s="1">
        <v>641</v>
      </c>
      <c r="I1081" s="1">
        <v>0</v>
      </c>
    </row>
    <row r="1082" spans="1:9" ht="23.25">
      <c r="A1082" s="4" t="s">
        <v>47</v>
      </c>
      <c r="B1082" s="4"/>
      <c r="C1082" s="4" t="s">
        <v>24</v>
      </c>
      <c r="D1082" s="4"/>
      <c r="E1082" s="1">
        <v>305464</v>
      </c>
      <c r="F1082" s="1">
        <v>0</v>
      </c>
      <c r="G1082" s="1">
        <v>0</v>
      </c>
      <c r="H1082" s="1">
        <v>0</v>
      </c>
      <c r="I1082" s="1">
        <v>0</v>
      </c>
    </row>
    <row r="1083" spans="1:9" ht="23.25">
      <c r="A1083" s="4" t="s">
        <v>48</v>
      </c>
      <c r="B1083" s="4"/>
      <c r="C1083" s="4" t="s">
        <v>24</v>
      </c>
      <c r="D1083" s="4"/>
      <c r="E1083" s="1">
        <v>0</v>
      </c>
      <c r="F1083" s="1">
        <v>0</v>
      </c>
      <c r="G1083" s="1">
        <v>0</v>
      </c>
      <c r="H1083" s="1">
        <v>0</v>
      </c>
      <c r="I1083" s="1">
        <v>0</v>
      </c>
    </row>
    <row r="1084" spans="1:9" ht="23.25">
      <c r="A1084" s="4" t="s">
        <v>49</v>
      </c>
      <c r="B1084" s="4"/>
      <c r="C1084" s="4" t="s">
        <v>24</v>
      </c>
      <c r="D1084" s="4"/>
      <c r="E1084" s="1">
        <v>0</v>
      </c>
      <c r="F1084" s="1">
        <v>0</v>
      </c>
      <c r="G1084" s="1">
        <v>0</v>
      </c>
      <c r="H1084" s="1">
        <v>0</v>
      </c>
      <c r="I1084" s="1">
        <v>0</v>
      </c>
    </row>
    <row r="1085" spans="1:9" ht="23.25">
      <c r="A1085" s="4" t="s">
        <v>50</v>
      </c>
      <c r="B1085" s="4"/>
      <c r="C1085" s="4" t="s">
        <v>24</v>
      </c>
      <c r="D1085" s="4"/>
      <c r="E1085" s="1">
        <v>527</v>
      </c>
      <c r="F1085" s="1">
        <v>84</v>
      </c>
      <c r="G1085" s="1">
        <v>43</v>
      </c>
      <c r="H1085" s="1">
        <v>5</v>
      </c>
      <c r="I1085" s="1">
        <v>0</v>
      </c>
    </row>
    <row r="1086" spans="1:9" ht="23.25">
      <c r="A1086" s="4" t="s">
        <v>51</v>
      </c>
      <c r="B1086" s="4"/>
      <c r="C1086" s="4" t="s">
        <v>24</v>
      </c>
      <c r="D1086" s="4"/>
      <c r="E1086" s="1">
        <v>90103</v>
      </c>
      <c r="F1086" s="1">
        <v>5108</v>
      </c>
      <c r="G1086" s="1">
        <v>4931</v>
      </c>
      <c r="H1086" s="1">
        <v>696</v>
      </c>
      <c r="I1086" s="1">
        <v>0</v>
      </c>
    </row>
    <row r="1087" spans="1:9" ht="23.25">
      <c r="A1087" s="4" t="s">
        <v>52</v>
      </c>
      <c r="B1087" s="4"/>
      <c r="C1087" s="4" t="s">
        <v>24</v>
      </c>
      <c r="D1087" s="4"/>
      <c r="E1087" s="1">
        <v>11594641</v>
      </c>
      <c r="F1087" s="1">
        <v>3647</v>
      </c>
      <c r="G1087" s="1">
        <v>6288</v>
      </c>
      <c r="H1087" s="1">
        <v>700</v>
      </c>
      <c r="I1087" s="1">
        <v>0</v>
      </c>
    </row>
    <row r="1088" spans="1:9" ht="23.25">
      <c r="A1088" s="4" t="s">
        <v>53</v>
      </c>
      <c r="B1088" s="4"/>
      <c r="C1088" s="4" t="s">
        <v>24</v>
      </c>
      <c r="D1088" s="4"/>
      <c r="E1088" s="1">
        <v>61992</v>
      </c>
      <c r="F1088" s="1">
        <v>0</v>
      </c>
      <c r="G1088" s="1">
        <v>0</v>
      </c>
      <c r="H1088" s="1">
        <v>0</v>
      </c>
      <c r="I1088" s="1">
        <v>0</v>
      </c>
    </row>
    <row r="1089" spans="1:9" ht="23.25">
      <c r="A1089" s="4" t="s">
        <v>54</v>
      </c>
      <c r="B1089" s="4"/>
      <c r="C1089" s="4" t="s">
        <v>24</v>
      </c>
      <c r="D1089" s="4"/>
      <c r="E1089" s="1">
        <v>199855</v>
      </c>
      <c r="F1089" s="1">
        <v>0</v>
      </c>
      <c r="G1089" s="1">
        <v>0</v>
      </c>
      <c r="H1089" s="1">
        <v>0</v>
      </c>
      <c r="I1089" s="1">
        <v>0</v>
      </c>
    </row>
    <row r="1090" spans="1:9" ht="23.25">
      <c r="A1090" s="4" t="s">
        <v>55</v>
      </c>
      <c r="B1090" s="4"/>
      <c r="C1090" s="4" t="s">
        <v>24</v>
      </c>
      <c r="D1090" s="4"/>
      <c r="E1090" s="1">
        <v>0</v>
      </c>
      <c r="F1090" s="1">
        <v>0</v>
      </c>
      <c r="G1090" s="1">
        <v>0</v>
      </c>
      <c r="H1090" s="1">
        <v>0</v>
      </c>
      <c r="I1090" s="1">
        <v>0</v>
      </c>
    </row>
    <row r="1091" spans="1:9" ht="23.25">
      <c r="A1091" s="4" t="s">
        <v>56</v>
      </c>
      <c r="B1091" s="4"/>
      <c r="C1091" s="4" t="s">
        <v>24</v>
      </c>
      <c r="D1091" s="4"/>
      <c r="E1091" s="1">
        <v>0</v>
      </c>
      <c r="F1091" s="1">
        <v>-17395839</v>
      </c>
      <c r="G1091" s="1">
        <v>-940228</v>
      </c>
      <c r="H1091" s="1">
        <v>0</v>
      </c>
      <c r="I1091" s="1">
        <v>0</v>
      </c>
    </row>
    <row r="1092" spans="1:9" ht="23.25">
      <c r="A1092" s="4" t="s">
        <v>57</v>
      </c>
      <c r="B1092" s="4"/>
      <c r="C1092" s="4" t="s">
        <v>24</v>
      </c>
      <c r="D1092" s="4"/>
      <c r="E1092" s="1">
        <v>678422</v>
      </c>
      <c r="F1092" s="1">
        <v>0</v>
      </c>
      <c r="G1092" s="1">
        <v>0</v>
      </c>
      <c r="H1092" s="1">
        <v>0</v>
      </c>
      <c r="I1092" s="1">
        <v>0</v>
      </c>
    </row>
    <row r="1093" spans="1:9" ht="23.25">
      <c r="A1093" s="4" t="s">
        <v>58</v>
      </c>
      <c r="B1093" s="4"/>
      <c r="C1093" s="4" t="s">
        <v>24</v>
      </c>
      <c r="D1093" s="4"/>
      <c r="E1093" s="1">
        <v>2045017</v>
      </c>
      <c r="F1093" s="1">
        <v>0</v>
      </c>
      <c r="G1093" s="1">
        <v>0</v>
      </c>
      <c r="H1093" s="1">
        <v>-2631922</v>
      </c>
      <c r="I1093" s="1">
        <v>0</v>
      </c>
    </row>
    <row r="1094" spans="1:9" ht="23.25">
      <c r="A1094" s="4" t="s">
        <v>59</v>
      </c>
      <c r="B1094" s="4"/>
      <c r="C1094" s="4" t="s">
        <v>24</v>
      </c>
      <c r="D1094" s="4"/>
      <c r="E1094" s="1">
        <v>168067</v>
      </c>
      <c r="F1094" s="1">
        <v>0</v>
      </c>
      <c r="G1094" s="1">
        <v>0</v>
      </c>
      <c r="H1094" s="1">
        <v>0</v>
      </c>
      <c r="I1094" s="1">
        <v>0</v>
      </c>
    </row>
    <row r="1095" spans="1:9" ht="23.25">
      <c r="A1095" s="4" t="s">
        <v>60</v>
      </c>
      <c r="B1095" s="4"/>
      <c r="C1095" s="4" t="s">
        <v>24</v>
      </c>
      <c r="D1095" s="4"/>
      <c r="E1095" s="1">
        <v>6507222</v>
      </c>
      <c r="F1095" s="1">
        <v>0</v>
      </c>
      <c r="G1095" s="1">
        <v>0</v>
      </c>
      <c r="H1095" s="1">
        <v>0</v>
      </c>
      <c r="I1095" s="1">
        <v>0</v>
      </c>
    </row>
    <row r="1096" spans="1:9" ht="23.25">
      <c r="A1096" s="4" t="s">
        <v>61</v>
      </c>
      <c r="B1096" s="4"/>
      <c r="C1096" s="4" t="s">
        <v>24</v>
      </c>
      <c r="D1096" s="4"/>
      <c r="E1096" s="1">
        <v>69190</v>
      </c>
      <c r="F1096" s="1">
        <v>0</v>
      </c>
      <c r="G1096" s="1">
        <v>0</v>
      </c>
      <c r="H1096" s="1">
        <v>0</v>
      </c>
      <c r="I1096" s="1">
        <v>0</v>
      </c>
    </row>
    <row r="1097" spans="1:9" ht="23.25">
      <c r="A1097" s="4" t="s">
        <v>62</v>
      </c>
      <c r="B1097" s="4"/>
      <c r="C1097" s="4" t="s">
        <v>24</v>
      </c>
      <c r="D1097" s="4"/>
      <c r="E1097" s="1">
        <v>2121840</v>
      </c>
      <c r="F1097" s="1">
        <v>0</v>
      </c>
      <c r="G1097" s="1">
        <v>0</v>
      </c>
      <c r="H1097" s="1">
        <v>0</v>
      </c>
      <c r="I1097" s="1">
        <v>0</v>
      </c>
    </row>
    <row r="1098" spans="1:9" ht="23.25">
      <c r="A1098" s="4" t="s">
        <v>63</v>
      </c>
      <c r="B1098" s="4"/>
      <c r="C1098" s="4" t="s">
        <v>24</v>
      </c>
      <c r="D1098" s="4"/>
      <c r="E1098" s="1">
        <v>281313</v>
      </c>
      <c r="F1098" s="1">
        <v>0</v>
      </c>
      <c r="G1098" s="1">
        <v>0</v>
      </c>
      <c r="H1098" s="1">
        <v>0</v>
      </c>
      <c r="I1098" s="1">
        <v>0</v>
      </c>
    </row>
    <row r="1099" spans="1:9" ht="23.25">
      <c r="A1099" s="4" t="s">
        <v>64</v>
      </c>
      <c r="B1099" s="4"/>
      <c r="C1099" s="4" t="s">
        <v>24</v>
      </c>
      <c r="D1099" s="4"/>
      <c r="E1099" s="1">
        <v>127838</v>
      </c>
      <c r="F1099" s="1">
        <v>0</v>
      </c>
      <c r="G1099" s="1">
        <v>0</v>
      </c>
      <c r="H1099" s="1">
        <v>0</v>
      </c>
      <c r="I1099" s="1">
        <v>0</v>
      </c>
    </row>
    <row r="1100" spans="1:9" ht="23.25">
      <c r="A1100" s="4" t="s">
        <v>65</v>
      </c>
      <c r="B1100" s="4"/>
      <c r="C1100" s="4" t="s">
        <v>24</v>
      </c>
      <c r="D1100" s="4"/>
      <c r="E1100" s="1">
        <v>1926675</v>
      </c>
      <c r="F1100" s="1">
        <v>0</v>
      </c>
      <c r="G1100" s="1">
        <v>0</v>
      </c>
      <c r="H1100" s="1">
        <v>0</v>
      </c>
      <c r="I1100" s="1">
        <v>198451</v>
      </c>
    </row>
    <row r="1101" spans="1:9" ht="23.25">
      <c r="A1101" s="4" t="s">
        <v>66</v>
      </c>
      <c r="B1101" s="4"/>
      <c r="C1101" s="4" t="s">
        <v>24</v>
      </c>
      <c r="D1101" s="4"/>
      <c r="E1101" s="1">
        <v>425142761</v>
      </c>
      <c r="F1101" s="1">
        <v>0</v>
      </c>
      <c r="G1101" s="1">
        <v>0</v>
      </c>
      <c r="H1101" s="1">
        <v>0</v>
      </c>
      <c r="I1101" s="1">
        <v>27473947</v>
      </c>
    </row>
    <row r="1102" spans="1:9" ht="23.25">
      <c r="A1102" s="4" t="s">
        <v>67</v>
      </c>
      <c r="B1102" s="4"/>
      <c r="C1102" s="4" t="s">
        <v>24</v>
      </c>
      <c r="D1102" s="4"/>
      <c r="E1102" s="1">
        <v>27530408</v>
      </c>
      <c r="F1102" s="1">
        <v>0</v>
      </c>
      <c r="G1102" s="1">
        <v>0</v>
      </c>
      <c r="H1102" s="1">
        <v>0</v>
      </c>
      <c r="I1102" s="1">
        <v>0</v>
      </c>
    </row>
    <row r="1103" spans="1:9" ht="23.25">
      <c r="A1103" s="4" t="s">
        <v>68</v>
      </c>
      <c r="B1103" s="4"/>
      <c r="C1103" s="4" t="s">
        <v>24</v>
      </c>
      <c r="D1103" s="4"/>
      <c r="E1103" s="1">
        <v>42181828</v>
      </c>
      <c r="F1103" s="1">
        <v>0</v>
      </c>
      <c r="G1103" s="1">
        <v>0</v>
      </c>
      <c r="H1103" s="1">
        <v>0</v>
      </c>
      <c r="I1103" s="1">
        <v>0</v>
      </c>
    </row>
    <row r="1104" spans="1:9" ht="23.25">
      <c r="A1104" s="4" t="s">
        <v>69</v>
      </c>
      <c r="B1104" s="4"/>
      <c r="C1104" s="4" t="s">
        <v>24</v>
      </c>
      <c r="D1104" s="4"/>
      <c r="E1104" s="1">
        <v>18849197</v>
      </c>
      <c r="F1104" s="1">
        <v>0</v>
      </c>
      <c r="G1104" s="1">
        <v>0</v>
      </c>
      <c r="H1104" s="1">
        <v>0</v>
      </c>
      <c r="I1104" s="1">
        <v>0</v>
      </c>
    </row>
    <row r="1105" spans="1:9" ht="23.25">
      <c r="A1105" s="4" t="s">
        <v>70</v>
      </c>
      <c r="B1105" s="4"/>
      <c r="C1105" s="4" t="s">
        <v>24</v>
      </c>
      <c r="D1105" s="4"/>
      <c r="E1105" s="1">
        <v>13128977</v>
      </c>
      <c r="F1105" s="1">
        <v>0</v>
      </c>
      <c r="G1105" s="1">
        <v>0</v>
      </c>
      <c r="H1105" s="1">
        <v>0</v>
      </c>
      <c r="I1105" s="1">
        <v>0</v>
      </c>
    </row>
    <row r="1106" spans="1:9" ht="23.25">
      <c r="A1106" s="4" t="s">
        <v>71</v>
      </c>
      <c r="B1106" s="4"/>
      <c r="C1106" s="4" t="s">
        <v>24</v>
      </c>
      <c r="D1106" s="4"/>
      <c r="E1106" s="1">
        <v>101690410</v>
      </c>
      <c r="F1106" s="1">
        <v>0</v>
      </c>
      <c r="G1106" s="1">
        <v>0</v>
      </c>
      <c r="H1106" s="1">
        <v>0</v>
      </c>
      <c r="I1106" s="1">
        <v>0</v>
      </c>
    </row>
    <row r="1107" spans="1:9" ht="23.25">
      <c r="A1107" s="4" t="s">
        <v>72</v>
      </c>
      <c r="B1107" s="4"/>
      <c r="C1107" s="4" t="s">
        <v>24</v>
      </c>
      <c r="D1107" s="4"/>
      <c r="E1107" s="1">
        <v>526833171</v>
      </c>
      <c r="F1107" s="1">
        <v>0</v>
      </c>
      <c r="G1107" s="1">
        <v>0</v>
      </c>
      <c r="H1107" s="1">
        <v>0</v>
      </c>
      <c r="I1107" s="1">
        <v>0</v>
      </c>
    </row>
    <row r="1108" spans="1:9" ht="23.25">
      <c r="A1108" s="4" t="s">
        <v>8</v>
      </c>
      <c r="B1108" s="4"/>
      <c r="C1108" s="4" t="s">
        <v>25</v>
      </c>
      <c r="D1108" s="4"/>
      <c r="E1108" s="1">
        <v>0</v>
      </c>
      <c r="F1108" s="1">
        <v>0</v>
      </c>
      <c r="G1108" s="1">
        <v>0</v>
      </c>
      <c r="H1108" s="1">
        <v>0</v>
      </c>
      <c r="I1108" s="1">
        <v>0</v>
      </c>
    </row>
    <row r="1109" spans="1:9" ht="23.25">
      <c r="A1109" s="4" t="s">
        <v>9</v>
      </c>
      <c r="B1109" s="4"/>
      <c r="C1109" s="4" t="s">
        <v>25</v>
      </c>
      <c r="D1109" s="4"/>
      <c r="E1109" s="1">
        <v>0</v>
      </c>
      <c r="F1109" s="1">
        <v>0</v>
      </c>
      <c r="G1109" s="1">
        <v>0</v>
      </c>
      <c r="H1109" s="1">
        <v>0</v>
      </c>
      <c r="I1109" s="1">
        <v>0</v>
      </c>
    </row>
    <row r="1110" spans="1:9" ht="23.25">
      <c r="A1110" s="4" t="s">
        <v>10</v>
      </c>
      <c r="B1110" s="4"/>
      <c r="C1110" s="4" t="s">
        <v>25</v>
      </c>
      <c r="D1110" s="4"/>
      <c r="E1110" s="1">
        <v>0</v>
      </c>
      <c r="F1110" s="1">
        <v>0</v>
      </c>
      <c r="G1110" s="1">
        <v>0</v>
      </c>
      <c r="H1110" s="1">
        <v>0</v>
      </c>
      <c r="I1110" s="1">
        <v>0</v>
      </c>
    </row>
    <row r="1111" spans="1:9" ht="23.25">
      <c r="A1111" s="4" t="s">
        <v>11</v>
      </c>
      <c r="B1111" s="4"/>
      <c r="C1111" s="4" t="s">
        <v>25</v>
      </c>
      <c r="D1111" s="4"/>
      <c r="E1111" s="1">
        <v>0</v>
      </c>
      <c r="F1111" s="1">
        <v>0</v>
      </c>
      <c r="G1111" s="1">
        <v>0</v>
      </c>
      <c r="H1111" s="1">
        <v>0</v>
      </c>
      <c r="I1111" s="1">
        <v>0</v>
      </c>
    </row>
    <row r="1112" spans="1:9" ht="23.25">
      <c r="A1112" s="4" t="s">
        <v>12</v>
      </c>
      <c r="B1112" s="4"/>
      <c r="C1112" s="4" t="s">
        <v>25</v>
      </c>
      <c r="D1112" s="4"/>
      <c r="E1112" s="1">
        <v>0</v>
      </c>
      <c r="F1112" s="1">
        <v>0</v>
      </c>
      <c r="G1112" s="1">
        <v>0</v>
      </c>
      <c r="H1112" s="1">
        <v>0</v>
      </c>
      <c r="I1112" s="1">
        <v>0</v>
      </c>
    </row>
    <row r="1113" spans="1:9" ht="23.25">
      <c r="A1113" s="4" t="s">
        <v>13</v>
      </c>
      <c r="B1113" s="4"/>
      <c r="C1113" s="4" t="s">
        <v>25</v>
      </c>
      <c r="D1113" s="4"/>
      <c r="E1113" s="1">
        <v>68681060</v>
      </c>
      <c r="F1113" s="1">
        <v>3165066</v>
      </c>
      <c r="G1113" s="1">
        <v>0</v>
      </c>
      <c r="H1113" s="1">
        <v>2111349</v>
      </c>
      <c r="I1113" s="1">
        <v>0</v>
      </c>
    </row>
    <row r="1114" spans="1:9" ht="23.25">
      <c r="A1114" s="4" t="s">
        <v>14</v>
      </c>
      <c r="B1114" s="4"/>
      <c r="C1114" s="4" t="s">
        <v>25</v>
      </c>
      <c r="D1114" s="4"/>
      <c r="E1114" s="1">
        <v>0</v>
      </c>
      <c r="F1114" s="1">
        <v>0</v>
      </c>
      <c r="G1114" s="1">
        <v>0</v>
      </c>
      <c r="H1114" s="1">
        <v>0</v>
      </c>
      <c r="I1114" s="1">
        <v>0</v>
      </c>
    </row>
    <row r="1115" spans="1:9" ht="23.25">
      <c r="A1115" s="4" t="s">
        <v>15</v>
      </c>
      <c r="B1115" s="4"/>
      <c r="C1115" s="4" t="s">
        <v>25</v>
      </c>
      <c r="D1115" s="4"/>
      <c r="E1115" s="1">
        <v>255049</v>
      </c>
      <c r="F1115" s="1">
        <v>11320</v>
      </c>
      <c r="G1115" s="1">
        <v>4738</v>
      </c>
      <c r="H1115" s="1">
        <v>854</v>
      </c>
      <c r="I1115" s="1">
        <v>141373</v>
      </c>
    </row>
    <row r="1116" spans="1:9" ht="23.25">
      <c r="A1116" s="4" t="s">
        <v>16</v>
      </c>
      <c r="B1116" s="4"/>
      <c r="C1116" s="4" t="s">
        <v>25</v>
      </c>
      <c r="D1116" s="4"/>
      <c r="E1116" s="1">
        <v>0</v>
      </c>
      <c r="F1116" s="1">
        <v>0</v>
      </c>
      <c r="G1116" s="1">
        <v>0</v>
      </c>
      <c r="H1116" s="1">
        <v>0</v>
      </c>
      <c r="I1116" s="1">
        <v>0</v>
      </c>
    </row>
    <row r="1117" spans="1:9" ht="23.25">
      <c r="A1117" s="4" t="s">
        <v>17</v>
      </c>
      <c r="B1117" s="4"/>
      <c r="C1117" s="4" t="s">
        <v>25</v>
      </c>
      <c r="D1117" s="4"/>
      <c r="E1117" s="1">
        <v>15218</v>
      </c>
      <c r="F1117" s="1">
        <v>1114</v>
      </c>
      <c r="G1117" s="1">
        <v>889</v>
      </c>
      <c r="H1117" s="1">
        <v>186</v>
      </c>
      <c r="I1117" s="1">
        <v>0</v>
      </c>
    </row>
    <row r="1118" spans="1:9" ht="23.25">
      <c r="A1118" s="4" t="s">
        <v>18</v>
      </c>
      <c r="B1118" s="4"/>
      <c r="C1118" s="4" t="s">
        <v>25</v>
      </c>
      <c r="D1118" s="4"/>
      <c r="E1118" s="1">
        <v>0</v>
      </c>
      <c r="F1118" s="1">
        <v>0</v>
      </c>
      <c r="G1118" s="1">
        <v>0</v>
      </c>
      <c r="H1118" s="1">
        <v>0</v>
      </c>
      <c r="I1118" s="1">
        <v>0</v>
      </c>
    </row>
    <row r="1119" spans="1:9" ht="23.25">
      <c r="A1119" s="4" t="s">
        <v>19</v>
      </c>
      <c r="B1119" s="4"/>
      <c r="C1119" s="4" t="s">
        <v>25</v>
      </c>
      <c r="D1119" s="4"/>
      <c r="E1119" s="1">
        <v>0</v>
      </c>
      <c r="F1119" s="1">
        <v>0</v>
      </c>
      <c r="G1119" s="1">
        <v>0</v>
      </c>
      <c r="H1119" s="1">
        <v>0</v>
      </c>
      <c r="I1119" s="1">
        <v>0</v>
      </c>
    </row>
    <row r="1120" spans="1:9" ht="23.25">
      <c r="A1120" s="4" t="s">
        <v>20</v>
      </c>
      <c r="B1120" s="4"/>
      <c r="C1120" s="4" t="s">
        <v>25</v>
      </c>
      <c r="D1120" s="4"/>
      <c r="E1120" s="1">
        <v>0</v>
      </c>
      <c r="F1120" s="1">
        <v>0</v>
      </c>
      <c r="G1120" s="1">
        <v>0</v>
      </c>
      <c r="H1120" s="1">
        <v>0</v>
      </c>
      <c r="I1120" s="1">
        <v>0</v>
      </c>
    </row>
    <row r="1121" spans="1:9" ht="23.25">
      <c r="A1121" s="4" t="s">
        <v>21</v>
      </c>
      <c r="B1121" s="4"/>
      <c r="C1121" s="4" t="s">
        <v>25</v>
      </c>
      <c r="D1121" s="4"/>
      <c r="E1121" s="1">
        <v>0</v>
      </c>
      <c r="F1121" s="1">
        <v>0</v>
      </c>
      <c r="G1121" s="1">
        <v>0</v>
      </c>
      <c r="H1121" s="1">
        <v>0</v>
      </c>
      <c r="I1121" s="1">
        <v>0</v>
      </c>
    </row>
    <row r="1122" spans="1:9" ht="23.25">
      <c r="A1122" s="4" t="s">
        <v>22</v>
      </c>
      <c r="B1122" s="4"/>
      <c r="C1122" s="4" t="s">
        <v>25</v>
      </c>
      <c r="D1122" s="4"/>
      <c r="E1122" s="1">
        <v>0</v>
      </c>
      <c r="F1122" s="1">
        <v>0</v>
      </c>
      <c r="G1122" s="1">
        <v>0</v>
      </c>
      <c r="H1122" s="1">
        <v>0</v>
      </c>
      <c r="I1122" s="1">
        <v>0</v>
      </c>
    </row>
    <row r="1123" spans="1:9" ht="23.25">
      <c r="A1123" s="4" t="s">
        <v>23</v>
      </c>
      <c r="B1123" s="4"/>
      <c r="C1123" s="4" t="s">
        <v>25</v>
      </c>
      <c r="D1123" s="4"/>
      <c r="E1123" s="1">
        <v>0</v>
      </c>
      <c r="F1123" s="1">
        <v>0</v>
      </c>
      <c r="G1123" s="1">
        <v>0</v>
      </c>
      <c r="H1123" s="1">
        <v>0</v>
      </c>
      <c r="I1123" s="1">
        <v>0</v>
      </c>
    </row>
    <row r="1124" spans="1:9" ht="23.25">
      <c r="A1124" s="4" t="s">
        <v>24</v>
      </c>
      <c r="B1124" s="4"/>
      <c r="C1124" s="4" t="s">
        <v>25</v>
      </c>
      <c r="D1124" s="4"/>
      <c r="E1124" s="1">
        <v>729640</v>
      </c>
      <c r="F1124" s="1">
        <v>23209</v>
      </c>
      <c r="G1124" s="1">
        <v>59095</v>
      </c>
      <c r="H1124" s="1">
        <v>8523</v>
      </c>
      <c r="I1124" s="1">
        <v>3670</v>
      </c>
    </row>
    <row r="1125" spans="1:9" ht="23.25">
      <c r="A1125" s="4" t="s">
        <v>25</v>
      </c>
      <c r="B1125" s="4"/>
      <c r="C1125" s="4" t="s">
        <v>25</v>
      </c>
      <c r="D1125" s="4"/>
      <c r="E1125" s="1">
        <v>3015053</v>
      </c>
      <c r="F1125" s="1">
        <v>21903</v>
      </c>
      <c r="G1125" s="1">
        <v>40660</v>
      </c>
      <c r="H1125" s="1">
        <v>30005</v>
      </c>
      <c r="I1125" s="1">
        <v>170219</v>
      </c>
    </row>
    <row r="1126" spans="1:9" ht="23.25">
      <c r="A1126" s="4" t="s">
        <v>26</v>
      </c>
      <c r="B1126" s="4"/>
      <c r="C1126" s="4" t="s">
        <v>25</v>
      </c>
      <c r="D1126" s="4"/>
      <c r="E1126" s="1">
        <v>2153</v>
      </c>
      <c r="F1126" s="1">
        <v>59</v>
      </c>
      <c r="G1126" s="1">
        <v>67</v>
      </c>
      <c r="H1126" s="1">
        <v>28</v>
      </c>
      <c r="I1126" s="1">
        <v>0</v>
      </c>
    </row>
    <row r="1127" spans="1:9" ht="23.25">
      <c r="A1127" s="4" t="s">
        <v>27</v>
      </c>
      <c r="B1127" s="4"/>
      <c r="C1127" s="4" t="s">
        <v>25</v>
      </c>
      <c r="D1127" s="4"/>
      <c r="E1127" s="1">
        <v>0</v>
      </c>
      <c r="F1127" s="1">
        <v>0</v>
      </c>
      <c r="G1127" s="1">
        <v>0</v>
      </c>
      <c r="H1127" s="1">
        <v>0</v>
      </c>
      <c r="I1127" s="1">
        <v>0</v>
      </c>
    </row>
    <row r="1128" spans="1:9" ht="23.25">
      <c r="A1128" s="4" t="s">
        <v>28</v>
      </c>
      <c r="B1128" s="4"/>
      <c r="C1128" s="4" t="s">
        <v>25</v>
      </c>
      <c r="D1128" s="4"/>
      <c r="E1128" s="1">
        <v>0</v>
      </c>
      <c r="F1128" s="1">
        <v>0</v>
      </c>
      <c r="G1128" s="1">
        <v>0</v>
      </c>
      <c r="H1128" s="1">
        <v>0</v>
      </c>
      <c r="I1128" s="1">
        <v>0</v>
      </c>
    </row>
    <row r="1129" spans="1:9" ht="23.25">
      <c r="A1129" s="4" t="s">
        <v>29</v>
      </c>
      <c r="B1129" s="4"/>
      <c r="C1129" s="4" t="s">
        <v>25</v>
      </c>
      <c r="D1129" s="4"/>
      <c r="E1129" s="1">
        <v>0</v>
      </c>
      <c r="F1129" s="1">
        <v>0</v>
      </c>
      <c r="G1129" s="1">
        <v>0</v>
      </c>
      <c r="H1129" s="1">
        <v>0</v>
      </c>
      <c r="I1129" s="1">
        <v>0</v>
      </c>
    </row>
    <row r="1130" spans="1:9" ht="23.25">
      <c r="A1130" s="4" t="s">
        <v>30</v>
      </c>
      <c r="B1130" s="4"/>
      <c r="C1130" s="4" t="s">
        <v>25</v>
      </c>
      <c r="D1130" s="4"/>
      <c r="E1130" s="1">
        <v>3748</v>
      </c>
      <c r="F1130" s="1">
        <v>142</v>
      </c>
      <c r="G1130" s="1">
        <v>118</v>
      </c>
      <c r="H1130" s="1">
        <v>11</v>
      </c>
      <c r="I1130" s="1">
        <v>0</v>
      </c>
    </row>
    <row r="1131" spans="1:9" ht="23.25">
      <c r="A1131" s="4" t="s">
        <v>31</v>
      </c>
      <c r="B1131" s="4"/>
      <c r="C1131" s="4" t="s">
        <v>25</v>
      </c>
      <c r="D1131" s="4"/>
      <c r="E1131" s="1">
        <v>17921</v>
      </c>
      <c r="F1131" s="1">
        <v>2884</v>
      </c>
      <c r="G1131" s="1">
        <v>961</v>
      </c>
      <c r="H1131" s="1">
        <v>221</v>
      </c>
      <c r="I1131" s="1">
        <v>2110</v>
      </c>
    </row>
    <row r="1132" spans="1:9" ht="23.25">
      <c r="A1132" s="4" t="s">
        <v>32</v>
      </c>
      <c r="B1132" s="4"/>
      <c r="C1132" s="4" t="s">
        <v>25</v>
      </c>
      <c r="D1132" s="4"/>
      <c r="E1132" s="1">
        <v>13115</v>
      </c>
      <c r="F1132" s="1">
        <v>529</v>
      </c>
      <c r="G1132" s="1">
        <v>328</v>
      </c>
      <c r="H1132" s="1">
        <v>114</v>
      </c>
      <c r="I1132" s="1">
        <v>0</v>
      </c>
    </row>
    <row r="1133" spans="1:9" ht="23.25">
      <c r="A1133" s="4" t="s">
        <v>33</v>
      </c>
      <c r="B1133" s="4"/>
      <c r="C1133" s="4" t="s">
        <v>25</v>
      </c>
      <c r="D1133" s="4"/>
      <c r="E1133" s="1">
        <v>1993</v>
      </c>
      <c r="F1133" s="1">
        <v>275</v>
      </c>
      <c r="G1133" s="1">
        <v>341</v>
      </c>
      <c r="H1133" s="1">
        <v>24</v>
      </c>
      <c r="I1133" s="1">
        <v>0</v>
      </c>
    </row>
    <row r="1134" spans="1:9" ht="23.25">
      <c r="A1134" s="4" t="s">
        <v>34</v>
      </c>
      <c r="B1134" s="4"/>
      <c r="C1134" s="4" t="s">
        <v>25</v>
      </c>
      <c r="D1134" s="4"/>
      <c r="E1134" s="1">
        <v>1278158</v>
      </c>
      <c r="F1134" s="1">
        <v>91924</v>
      </c>
      <c r="G1134" s="1">
        <v>42547</v>
      </c>
      <c r="H1134" s="1">
        <v>24821</v>
      </c>
      <c r="I1134" s="1">
        <v>713467</v>
      </c>
    </row>
    <row r="1135" spans="1:9" ht="23.25">
      <c r="A1135" s="4" t="s">
        <v>35</v>
      </c>
      <c r="B1135" s="4"/>
      <c r="C1135" s="4" t="s">
        <v>25</v>
      </c>
      <c r="D1135" s="4"/>
      <c r="E1135" s="1">
        <v>0</v>
      </c>
      <c r="F1135" s="1">
        <v>0</v>
      </c>
      <c r="G1135" s="1">
        <v>0</v>
      </c>
      <c r="H1135" s="1">
        <v>0</v>
      </c>
      <c r="I1135" s="1">
        <v>0</v>
      </c>
    </row>
    <row r="1136" spans="1:9" ht="23.25">
      <c r="A1136" s="4" t="s">
        <v>36</v>
      </c>
      <c r="B1136" s="4"/>
      <c r="C1136" s="4" t="s">
        <v>25</v>
      </c>
      <c r="D1136" s="4"/>
      <c r="E1136" s="1">
        <v>29146</v>
      </c>
      <c r="F1136" s="1">
        <v>3222</v>
      </c>
      <c r="G1136" s="1">
        <v>4709</v>
      </c>
      <c r="H1136" s="1">
        <v>208</v>
      </c>
      <c r="I1136" s="1">
        <v>1251</v>
      </c>
    </row>
    <row r="1137" spans="1:9" ht="23.25">
      <c r="A1137" s="4" t="s">
        <v>37</v>
      </c>
      <c r="B1137" s="4"/>
      <c r="C1137" s="4" t="s">
        <v>25</v>
      </c>
      <c r="D1137" s="4"/>
      <c r="E1137" s="1">
        <v>1620993</v>
      </c>
      <c r="F1137" s="1">
        <v>78037</v>
      </c>
      <c r="G1137" s="1">
        <v>76218</v>
      </c>
      <c r="H1137" s="1">
        <v>14810</v>
      </c>
      <c r="I1137" s="1">
        <v>298659</v>
      </c>
    </row>
    <row r="1138" spans="1:9" ht="23.25">
      <c r="A1138" s="4" t="s">
        <v>38</v>
      </c>
      <c r="B1138" s="4"/>
      <c r="C1138" s="4" t="s">
        <v>25</v>
      </c>
      <c r="D1138" s="4"/>
      <c r="E1138" s="1">
        <v>0</v>
      </c>
      <c r="F1138" s="1">
        <v>0</v>
      </c>
      <c r="G1138" s="1">
        <v>0</v>
      </c>
      <c r="H1138" s="1">
        <v>0</v>
      </c>
      <c r="I1138" s="1">
        <v>0</v>
      </c>
    </row>
    <row r="1139" spans="1:9" ht="23.25">
      <c r="A1139" s="4" t="s">
        <v>39</v>
      </c>
      <c r="B1139" s="4"/>
      <c r="C1139" s="4" t="s">
        <v>25</v>
      </c>
      <c r="D1139" s="4"/>
      <c r="E1139" s="1">
        <v>2221250</v>
      </c>
      <c r="F1139" s="1">
        <v>48686</v>
      </c>
      <c r="G1139" s="1">
        <v>82399</v>
      </c>
      <c r="H1139" s="1">
        <v>15072</v>
      </c>
      <c r="I1139" s="1">
        <v>1082481</v>
      </c>
    </row>
    <row r="1140" spans="1:9" ht="23.25">
      <c r="A1140" s="4" t="s">
        <v>40</v>
      </c>
      <c r="B1140" s="4"/>
      <c r="C1140" s="4" t="s">
        <v>25</v>
      </c>
      <c r="D1140" s="4"/>
      <c r="E1140" s="1">
        <v>1093717</v>
      </c>
      <c r="F1140" s="1">
        <v>69966</v>
      </c>
      <c r="G1140" s="1">
        <v>37747</v>
      </c>
      <c r="H1140" s="1">
        <v>14083</v>
      </c>
      <c r="I1140" s="1">
        <v>0</v>
      </c>
    </row>
    <row r="1141" spans="1:9" ht="23.25">
      <c r="A1141" s="4" t="s">
        <v>41</v>
      </c>
      <c r="B1141" s="4"/>
      <c r="C1141" s="4" t="s">
        <v>25</v>
      </c>
      <c r="D1141" s="4"/>
      <c r="E1141" s="1">
        <v>11441</v>
      </c>
      <c r="F1141" s="1">
        <v>1639</v>
      </c>
      <c r="G1141" s="1">
        <v>1617</v>
      </c>
      <c r="H1141" s="1">
        <v>163</v>
      </c>
      <c r="I1141" s="1">
        <v>0</v>
      </c>
    </row>
    <row r="1142" spans="1:9" ht="23.25">
      <c r="A1142" s="4" t="s">
        <v>42</v>
      </c>
      <c r="B1142" s="4"/>
      <c r="C1142" s="4" t="s">
        <v>25</v>
      </c>
      <c r="D1142" s="4"/>
      <c r="E1142" s="1">
        <v>0</v>
      </c>
      <c r="F1142" s="1">
        <v>0</v>
      </c>
      <c r="G1142" s="1">
        <v>0</v>
      </c>
      <c r="H1142" s="1">
        <v>0</v>
      </c>
      <c r="I1142" s="1">
        <v>0</v>
      </c>
    </row>
    <row r="1143" spans="1:9" ht="23.25">
      <c r="A1143" s="4" t="s">
        <v>43</v>
      </c>
      <c r="B1143" s="4"/>
      <c r="C1143" s="4" t="s">
        <v>25</v>
      </c>
      <c r="D1143" s="4"/>
      <c r="E1143" s="1">
        <v>0</v>
      </c>
      <c r="F1143" s="1">
        <v>0</v>
      </c>
      <c r="G1143" s="1">
        <v>0</v>
      </c>
      <c r="H1143" s="1">
        <v>0</v>
      </c>
      <c r="I1143" s="1">
        <v>0</v>
      </c>
    </row>
    <row r="1144" spans="1:9" ht="23.25">
      <c r="A1144" s="4" t="s">
        <v>44</v>
      </c>
      <c r="B1144" s="4"/>
      <c r="C1144" s="4" t="s">
        <v>25</v>
      </c>
      <c r="D1144" s="4"/>
      <c r="E1144" s="1">
        <v>62514</v>
      </c>
      <c r="F1144" s="1">
        <v>706</v>
      </c>
      <c r="G1144" s="1">
        <v>1102</v>
      </c>
      <c r="H1144" s="1">
        <v>200</v>
      </c>
      <c r="I1144" s="1">
        <v>29196</v>
      </c>
    </row>
    <row r="1145" spans="1:9" ht="23.25">
      <c r="A1145" s="4" t="s">
        <v>45</v>
      </c>
      <c r="B1145" s="4"/>
      <c r="C1145" s="4" t="s">
        <v>25</v>
      </c>
      <c r="D1145" s="4"/>
      <c r="E1145" s="1">
        <v>2117395</v>
      </c>
      <c r="F1145" s="1">
        <v>134221</v>
      </c>
      <c r="G1145" s="1">
        <v>0</v>
      </c>
      <c r="H1145" s="1">
        <v>27560</v>
      </c>
      <c r="I1145" s="1">
        <v>100691</v>
      </c>
    </row>
    <row r="1146" spans="1:9" ht="23.25">
      <c r="A1146" s="4" t="s">
        <v>46</v>
      </c>
      <c r="B1146" s="4"/>
      <c r="C1146" s="4" t="s">
        <v>25</v>
      </c>
      <c r="D1146" s="4"/>
      <c r="E1146" s="1">
        <v>46303</v>
      </c>
      <c r="F1146" s="1">
        <v>1606</v>
      </c>
      <c r="G1146" s="1">
        <v>1804</v>
      </c>
      <c r="H1146" s="1">
        <v>408</v>
      </c>
      <c r="I1146" s="1">
        <v>0</v>
      </c>
    </row>
    <row r="1147" spans="1:9" ht="23.25">
      <c r="A1147" s="4" t="s">
        <v>47</v>
      </c>
      <c r="B1147" s="4"/>
      <c r="C1147" s="4" t="s">
        <v>25</v>
      </c>
      <c r="D1147" s="4"/>
      <c r="E1147" s="1">
        <v>247592</v>
      </c>
      <c r="F1147" s="1">
        <v>0</v>
      </c>
      <c r="G1147" s="1">
        <v>0</v>
      </c>
      <c r="H1147" s="1">
        <v>0</v>
      </c>
      <c r="I1147" s="1">
        <v>0</v>
      </c>
    </row>
    <row r="1148" spans="1:9" ht="23.25">
      <c r="A1148" s="4" t="s">
        <v>48</v>
      </c>
      <c r="B1148" s="4"/>
      <c r="C1148" s="4" t="s">
        <v>25</v>
      </c>
      <c r="D1148" s="4"/>
      <c r="E1148" s="1">
        <v>0</v>
      </c>
      <c r="F1148" s="1">
        <v>0</v>
      </c>
      <c r="G1148" s="1">
        <v>0</v>
      </c>
      <c r="H1148" s="1">
        <v>0</v>
      </c>
      <c r="I1148" s="1">
        <v>0</v>
      </c>
    </row>
    <row r="1149" spans="1:9" ht="23.25">
      <c r="A1149" s="4" t="s">
        <v>49</v>
      </c>
      <c r="B1149" s="4"/>
      <c r="C1149" s="4" t="s">
        <v>25</v>
      </c>
      <c r="D1149" s="4"/>
      <c r="E1149" s="1">
        <v>0</v>
      </c>
      <c r="F1149" s="1">
        <v>0</v>
      </c>
      <c r="G1149" s="1">
        <v>0</v>
      </c>
      <c r="H1149" s="1">
        <v>0</v>
      </c>
      <c r="I1149" s="1">
        <v>0</v>
      </c>
    </row>
    <row r="1150" spans="1:9" ht="23.25">
      <c r="A1150" s="4" t="s">
        <v>50</v>
      </c>
      <c r="B1150" s="4"/>
      <c r="C1150" s="4" t="s">
        <v>25</v>
      </c>
      <c r="D1150" s="4"/>
      <c r="E1150" s="1">
        <v>4929</v>
      </c>
      <c r="F1150" s="1">
        <v>497</v>
      </c>
      <c r="G1150" s="1">
        <v>539</v>
      </c>
      <c r="H1150" s="1">
        <v>39</v>
      </c>
      <c r="I1150" s="1">
        <v>0</v>
      </c>
    </row>
    <row r="1151" spans="1:9" ht="23.25">
      <c r="A1151" s="4" t="s">
        <v>51</v>
      </c>
      <c r="B1151" s="4"/>
      <c r="C1151" s="4" t="s">
        <v>25</v>
      </c>
      <c r="D1151" s="4"/>
      <c r="E1151" s="1">
        <v>37854</v>
      </c>
      <c r="F1151" s="1">
        <v>3372</v>
      </c>
      <c r="G1151" s="1">
        <v>2522</v>
      </c>
      <c r="H1151" s="1">
        <v>332</v>
      </c>
      <c r="I1151" s="1">
        <v>0</v>
      </c>
    </row>
    <row r="1152" spans="1:9" ht="23.25">
      <c r="A1152" s="4" t="s">
        <v>52</v>
      </c>
      <c r="B1152" s="4"/>
      <c r="C1152" s="4" t="s">
        <v>25</v>
      </c>
      <c r="D1152" s="4"/>
      <c r="E1152" s="1">
        <v>2367334</v>
      </c>
      <c r="F1152" s="1">
        <v>2673</v>
      </c>
      <c r="G1152" s="1">
        <v>8239</v>
      </c>
      <c r="H1152" s="1">
        <v>1570</v>
      </c>
      <c r="I1152" s="1">
        <v>0</v>
      </c>
    </row>
    <row r="1153" spans="1:9" ht="23.25">
      <c r="A1153" s="4" t="s">
        <v>53</v>
      </c>
      <c r="B1153" s="4"/>
      <c r="C1153" s="4" t="s">
        <v>25</v>
      </c>
      <c r="D1153" s="4"/>
      <c r="E1153" s="1">
        <v>71699</v>
      </c>
      <c r="F1153" s="1">
        <v>0</v>
      </c>
      <c r="G1153" s="1">
        <v>0</v>
      </c>
      <c r="H1153" s="1">
        <v>0</v>
      </c>
      <c r="I1153" s="1">
        <v>0</v>
      </c>
    </row>
    <row r="1154" spans="1:9" ht="23.25">
      <c r="A1154" s="4" t="s">
        <v>54</v>
      </c>
      <c r="B1154" s="4"/>
      <c r="C1154" s="4" t="s">
        <v>25</v>
      </c>
      <c r="D1154" s="4"/>
      <c r="E1154" s="1">
        <v>90784</v>
      </c>
      <c r="F1154" s="1">
        <v>0</v>
      </c>
      <c r="G1154" s="1">
        <v>0</v>
      </c>
      <c r="H1154" s="1">
        <v>0</v>
      </c>
      <c r="I1154" s="1">
        <v>0</v>
      </c>
    </row>
    <row r="1155" spans="1:9" ht="23.25">
      <c r="A1155" s="4" t="s">
        <v>55</v>
      </c>
      <c r="B1155" s="4"/>
      <c r="C1155" s="4" t="s">
        <v>25</v>
      </c>
      <c r="D1155" s="4"/>
      <c r="E1155" s="1">
        <v>0</v>
      </c>
      <c r="F1155" s="1">
        <v>0</v>
      </c>
      <c r="G1155" s="1">
        <v>0</v>
      </c>
      <c r="H1155" s="1">
        <v>0</v>
      </c>
      <c r="I1155" s="1">
        <v>0</v>
      </c>
    </row>
    <row r="1156" spans="1:9" ht="23.25">
      <c r="A1156" s="4" t="s">
        <v>56</v>
      </c>
      <c r="B1156" s="4"/>
      <c r="C1156" s="4" t="s">
        <v>25</v>
      </c>
      <c r="D1156" s="4"/>
      <c r="E1156" s="1">
        <v>0</v>
      </c>
      <c r="F1156" s="1">
        <v>-3663050</v>
      </c>
      <c r="G1156" s="1">
        <v>-366640</v>
      </c>
      <c r="H1156" s="1">
        <v>0</v>
      </c>
      <c r="I1156" s="1">
        <v>0</v>
      </c>
    </row>
    <row r="1157" spans="1:9" ht="23.25">
      <c r="A1157" s="4" t="s">
        <v>57</v>
      </c>
      <c r="B1157" s="4"/>
      <c r="C1157" s="4" t="s">
        <v>25</v>
      </c>
      <c r="D1157" s="4"/>
      <c r="E1157" s="1">
        <v>136976</v>
      </c>
      <c r="F1157" s="1">
        <v>0</v>
      </c>
      <c r="G1157" s="1">
        <v>0</v>
      </c>
      <c r="H1157" s="1">
        <v>0</v>
      </c>
      <c r="I1157" s="1">
        <v>0</v>
      </c>
    </row>
    <row r="1158" spans="1:9" ht="23.25">
      <c r="A1158" s="4" t="s">
        <v>58</v>
      </c>
      <c r="B1158" s="4"/>
      <c r="C1158" s="4" t="s">
        <v>25</v>
      </c>
      <c r="D1158" s="4"/>
      <c r="E1158" s="1">
        <v>642914</v>
      </c>
      <c r="F1158" s="1">
        <v>0</v>
      </c>
      <c r="G1158" s="1">
        <v>0</v>
      </c>
      <c r="H1158" s="1">
        <v>-2250581</v>
      </c>
      <c r="I1158" s="1">
        <v>0</v>
      </c>
    </row>
    <row r="1159" spans="1:9" ht="23.25">
      <c r="A1159" s="4" t="s">
        <v>59</v>
      </c>
      <c r="B1159" s="4"/>
      <c r="C1159" s="4" t="s">
        <v>25</v>
      </c>
      <c r="D1159" s="4"/>
      <c r="E1159" s="1">
        <v>91163</v>
      </c>
      <c r="F1159" s="1">
        <v>0</v>
      </c>
      <c r="G1159" s="1">
        <v>0</v>
      </c>
      <c r="H1159" s="1">
        <v>0</v>
      </c>
      <c r="I1159" s="1">
        <v>0</v>
      </c>
    </row>
    <row r="1160" spans="1:9" ht="23.25">
      <c r="A1160" s="4" t="s">
        <v>60</v>
      </c>
      <c r="B1160" s="4"/>
      <c r="C1160" s="4" t="s">
        <v>25</v>
      </c>
      <c r="D1160" s="4"/>
      <c r="E1160" s="1">
        <v>2572215</v>
      </c>
      <c r="F1160" s="1">
        <v>0</v>
      </c>
      <c r="G1160" s="1">
        <v>0</v>
      </c>
      <c r="H1160" s="1">
        <v>0</v>
      </c>
      <c r="I1160" s="1">
        <v>0</v>
      </c>
    </row>
    <row r="1161" spans="1:9" ht="23.25">
      <c r="A1161" s="4" t="s">
        <v>61</v>
      </c>
      <c r="B1161" s="4"/>
      <c r="C1161" s="4" t="s">
        <v>25</v>
      </c>
      <c r="D1161" s="4"/>
      <c r="E1161" s="1">
        <v>51158</v>
      </c>
      <c r="F1161" s="1">
        <v>0</v>
      </c>
      <c r="G1161" s="1">
        <v>0</v>
      </c>
      <c r="H1161" s="1">
        <v>0</v>
      </c>
      <c r="I1161" s="1">
        <v>0</v>
      </c>
    </row>
    <row r="1162" spans="1:9" ht="23.25">
      <c r="A1162" s="4" t="s">
        <v>62</v>
      </c>
      <c r="B1162" s="4"/>
      <c r="C1162" s="4" t="s">
        <v>25</v>
      </c>
      <c r="D1162" s="4"/>
      <c r="E1162" s="1">
        <v>4760792</v>
      </c>
      <c r="F1162" s="1">
        <v>0</v>
      </c>
      <c r="G1162" s="1">
        <v>0</v>
      </c>
      <c r="H1162" s="1">
        <v>0</v>
      </c>
      <c r="I1162" s="1">
        <v>0</v>
      </c>
    </row>
    <row r="1163" spans="1:9" ht="23.25">
      <c r="A1163" s="4" t="s">
        <v>63</v>
      </c>
      <c r="B1163" s="4"/>
      <c r="C1163" s="4" t="s">
        <v>25</v>
      </c>
      <c r="D1163" s="4"/>
      <c r="E1163" s="1">
        <v>153796</v>
      </c>
      <c r="F1163" s="1">
        <v>0</v>
      </c>
      <c r="G1163" s="1">
        <v>0</v>
      </c>
      <c r="H1163" s="1">
        <v>0</v>
      </c>
      <c r="I1163" s="1">
        <v>0</v>
      </c>
    </row>
    <row r="1164" spans="1:9" ht="23.25">
      <c r="A1164" s="4" t="s">
        <v>64</v>
      </c>
      <c r="B1164" s="4"/>
      <c r="C1164" s="4" t="s">
        <v>25</v>
      </c>
      <c r="D1164" s="4"/>
      <c r="E1164" s="1">
        <v>247264</v>
      </c>
      <c r="F1164" s="1">
        <v>0</v>
      </c>
      <c r="G1164" s="1">
        <v>0</v>
      </c>
      <c r="H1164" s="1">
        <v>0</v>
      </c>
      <c r="I1164" s="1">
        <v>0</v>
      </c>
    </row>
    <row r="1165" spans="1:9" ht="23.25">
      <c r="A1165" s="4" t="s">
        <v>65</v>
      </c>
      <c r="B1165" s="4"/>
      <c r="C1165" s="4" t="s">
        <v>25</v>
      </c>
      <c r="D1165" s="4"/>
      <c r="E1165" s="1">
        <v>119857</v>
      </c>
      <c r="F1165" s="1">
        <v>0</v>
      </c>
      <c r="G1165" s="1">
        <v>0</v>
      </c>
      <c r="H1165" s="1">
        <v>0</v>
      </c>
      <c r="I1165" s="1">
        <v>13098</v>
      </c>
    </row>
    <row r="1166" spans="1:9" ht="23.25">
      <c r="A1166" s="4" t="s">
        <v>66</v>
      </c>
      <c r="B1166" s="4"/>
      <c r="C1166" s="4" t="s">
        <v>25</v>
      </c>
      <c r="D1166" s="4"/>
      <c r="E1166" s="1">
        <v>92812194</v>
      </c>
      <c r="F1166" s="1">
        <v>0</v>
      </c>
      <c r="G1166" s="1">
        <v>0</v>
      </c>
      <c r="H1166" s="1">
        <v>0</v>
      </c>
      <c r="I1166" s="1">
        <v>2556215</v>
      </c>
    </row>
    <row r="1167" spans="1:9" ht="23.25">
      <c r="A1167" s="4" t="s">
        <v>67</v>
      </c>
      <c r="B1167" s="4"/>
      <c r="C1167" s="4" t="s">
        <v>25</v>
      </c>
      <c r="D1167" s="4"/>
      <c r="E1167" s="1">
        <v>16567714</v>
      </c>
      <c r="F1167" s="1">
        <v>0</v>
      </c>
      <c r="G1167" s="1">
        <v>0</v>
      </c>
      <c r="H1167" s="1">
        <v>0</v>
      </c>
      <c r="I1167" s="1">
        <v>0</v>
      </c>
    </row>
    <row r="1168" spans="1:9" ht="23.25">
      <c r="A1168" s="4" t="s">
        <v>68</v>
      </c>
      <c r="B1168" s="4"/>
      <c r="C1168" s="4" t="s">
        <v>25</v>
      </c>
      <c r="D1168" s="4"/>
      <c r="E1168" s="1">
        <v>26116643</v>
      </c>
      <c r="F1168" s="1">
        <v>0</v>
      </c>
      <c r="G1168" s="1">
        <v>0</v>
      </c>
      <c r="H1168" s="1">
        <v>0</v>
      </c>
      <c r="I1168" s="1">
        <v>0</v>
      </c>
    </row>
    <row r="1169" spans="1:9" ht="23.25">
      <c r="A1169" s="4" t="s">
        <v>69</v>
      </c>
      <c r="B1169" s="4"/>
      <c r="C1169" s="4" t="s">
        <v>25</v>
      </c>
      <c r="D1169" s="4"/>
      <c r="E1169" s="1">
        <v>16007977</v>
      </c>
      <c r="F1169" s="1">
        <v>0</v>
      </c>
      <c r="G1169" s="1">
        <v>0</v>
      </c>
      <c r="H1169" s="1">
        <v>0</v>
      </c>
      <c r="I1169" s="1">
        <v>0</v>
      </c>
    </row>
    <row r="1170" spans="1:9" ht="23.25">
      <c r="A1170" s="4" t="s">
        <v>70</v>
      </c>
      <c r="B1170" s="4"/>
      <c r="C1170" s="4" t="s">
        <v>25</v>
      </c>
      <c r="D1170" s="4"/>
      <c r="E1170" s="1">
        <v>-1373182</v>
      </c>
      <c r="F1170" s="1">
        <v>0</v>
      </c>
      <c r="G1170" s="1">
        <v>0</v>
      </c>
      <c r="H1170" s="1">
        <v>0</v>
      </c>
      <c r="I1170" s="1">
        <v>0</v>
      </c>
    </row>
    <row r="1171" spans="1:9" ht="23.25">
      <c r="A1171" s="4" t="s">
        <v>71</v>
      </c>
      <c r="B1171" s="4"/>
      <c r="C1171" s="4" t="s">
        <v>25</v>
      </c>
      <c r="D1171" s="4"/>
      <c r="E1171" s="1">
        <v>57319152</v>
      </c>
      <c r="F1171" s="1">
        <v>0</v>
      </c>
      <c r="G1171" s="1">
        <v>0</v>
      </c>
      <c r="H1171" s="1">
        <v>0</v>
      </c>
      <c r="I1171" s="1">
        <v>0</v>
      </c>
    </row>
    <row r="1172" spans="1:9" ht="23.25">
      <c r="A1172" s="4" t="s">
        <v>72</v>
      </c>
      <c r="B1172" s="4"/>
      <c r="C1172" s="4" t="s">
        <v>25</v>
      </c>
      <c r="D1172" s="4"/>
      <c r="E1172" s="1">
        <v>150131346</v>
      </c>
      <c r="F1172" s="1">
        <v>0</v>
      </c>
      <c r="G1172" s="1">
        <v>0</v>
      </c>
      <c r="H1172" s="1">
        <v>0</v>
      </c>
      <c r="I1172" s="1">
        <v>0</v>
      </c>
    </row>
    <row r="1173" spans="1:9" ht="23.25">
      <c r="A1173" s="4" t="s">
        <v>8</v>
      </c>
      <c r="B1173" s="4"/>
      <c r="C1173" s="4" t="s">
        <v>26</v>
      </c>
      <c r="D1173" s="4"/>
      <c r="E1173" s="1">
        <v>0</v>
      </c>
      <c r="F1173" s="1">
        <v>0</v>
      </c>
      <c r="G1173" s="1">
        <v>0</v>
      </c>
      <c r="H1173" s="1">
        <v>0</v>
      </c>
      <c r="I1173" s="1">
        <v>0</v>
      </c>
    </row>
    <row r="1174" spans="1:9" ht="23.25">
      <c r="A1174" s="4" t="s">
        <v>9</v>
      </c>
      <c r="B1174" s="4"/>
      <c r="C1174" s="4" t="s">
        <v>26</v>
      </c>
      <c r="D1174" s="4"/>
      <c r="E1174" s="1">
        <v>38007</v>
      </c>
      <c r="F1174" s="1">
        <v>1292</v>
      </c>
      <c r="G1174" s="1">
        <v>0</v>
      </c>
      <c r="H1174" s="1">
        <v>239</v>
      </c>
      <c r="I1174" s="1">
        <v>23262</v>
      </c>
    </row>
    <row r="1175" spans="1:9" ht="23.25">
      <c r="A1175" s="4" t="s">
        <v>10</v>
      </c>
      <c r="B1175" s="4"/>
      <c r="C1175" s="4" t="s">
        <v>26</v>
      </c>
      <c r="D1175" s="4"/>
      <c r="E1175" s="1">
        <v>817601</v>
      </c>
      <c r="F1175" s="1">
        <v>13273</v>
      </c>
      <c r="G1175" s="1">
        <v>23306</v>
      </c>
      <c r="H1175" s="1">
        <v>4582</v>
      </c>
      <c r="I1175" s="1">
        <v>0</v>
      </c>
    </row>
    <row r="1176" spans="1:9" ht="23.25">
      <c r="A1176" s="4" t="s">
        <v>11</v>
      </c>
      <c r="B1176" s="4"/>
      <c r="C1176" s="4" t="s">
        <v>26</v>
      </c>
      <c r="D1176" s="4"/>
      <c r="E1176" s="1">
        <v>12346452</v>
      </c>
      <c r="F1176" s="1">
        <v>307623</v>
      </c>
      <c r="G1176" s="1">
        <v>330995</v>
      </c>
      <c r="H1176" s="1">
        <v>18401</v>
      </c>
      <c r="I1176" s="1">
        <v>11439645</v>
      </c>
    </row>
    <row r="1177" spans="1:9" ht="23.25">
      <c r="A1177" s="4" t="s">
        <v>12</v>
      </c>
      <c r="B1177" s="4"/>
      <c r="C1177" s="4" t="s">
        <v>26</v>
      </c>
      <c r="D1177" s="4"/>
      <c r="E1177" s="1">
        <v>8583443</v>
      </c>
      <c r="F1177" s="1">
        <v>253579</v>
      </c>
      <c r="G1177" s="1">
        <v>647406</v>
      </c>
      <c r="H1177" s="1">
        <v>138696</v>
      </c>
      <c r="I1177" s="1">
        <v>772888</v>
      </c>
    </row>
    <row r="1178" spans="1:9" ht="23.25">
      <c r="A1178" s="4" t="s">
        <v>13</v>
      </c>
      <c r="B1178" s="4"/>
      <c r="C1178" s="4" t="s">
        <v>26</v>
      </c>
      <c r="D1178" s="4"/>
      <c r="E1178" s="1">
        <v>0</v>
      </c>
      <c r="F1178" s="1">
        <v>0</v>
      </c>
      <c r="G1178" s="1">
        <v>0</v>
      </c>
      <c r="H1178" s="1">
        <v>0</v>
      </c>
      <c r="I1178" s="1">
        <v>0</v>
      </c>
    </row>
    <row r="1179" spans="1:9" ht="23.25">
      <c r="A1179" s="4" t="s">
        <v>14</v>
      </c>
      <c r="B1179" s="4"/>
      <c r="C1179" s="4" t="s">
        <v>26</v>
      </c>
      <c r="D1179" s="4"/>
      <c r="E1179" s="1">
        <v>0</v>
      </c>
      <c r="F1179" s="1">
        <v>0</v>
      </c>
      <c r="G1179" s="1">
        <v>0</v>
      </c>
      <c r="H1179" s="1">
        <v>0</v>
      </c>
      <c r="I1179" s="1">
        <v>0</v>
      </c>
    </row>
    <row r="1180" spans="1:9" ht="23.25">
      <c r="A1180" s="4" t="s">
        <v>15</v>
      </c>
      <c r="B1180" s="4"/>
      <c r="C1180" s="4" t="s">
        <v>26</v>
      </c>
      <c r="D1180" s="4"/>
      <c r="E1180" s="1">
        <v>8856829</v>
      </c>
      <c r="F1180" s="1">
        <v>540993</v>
      </c>
      <c r="G1180" s="1">
        <v>171901</v>
      </c>
      <c r="H1180" s="1">
        <v>33804</v>
      </c>
      <c r="I1180" s="1">
        <v>6294679</v>
      </c>
    </row>
    <row r="1181" spans="1:9" ht="23.25">
      <c r="A1181" s="4" t="s">
        <v>16</v>
      </c>
      <c r="B1181" s="4"/>
      <c r="C1181" s="4" t="s">
        <v>26</v>
      </c>
      <c r="D1181" s="4"/>
      <c r="E1181" s="1">
        <v>4161915</v>
      </c>
      <c r="F1181" s="1">
        <v>71977</v>
      </c>
      <c r="G1181" s="1">
        <v>234125</v>
      </c>
      <c r="H1181" s="1">
        <v>27795</v>
      </c>
      <c r="I1181" s="1">
        <v>0</v>
      </c>
    </row>
    <row r="1182" spans="1:9" ht="23.25">
      <c r="A1182" s="4" t="s">
        <v>17</v>
      </c>
      <c r="B1182" s="4"/>
      <c r="C1182" s="4" t="s">
        <v>26</v>
      </c>
      <c r="D1182" s="4"/>
      <c r="E1182" s="1">
        <v>845776</v>
      </c>
      <c r="F1182" s="1">
        <v>58488</v>
      </c>
      <c r="G1182" s="1">
        <v>16773</v>
      </c>
      <c r="H1182" s="1">
        <v>19367</v>
      </c>
      <c r="I1182" s="1">
        <v>530317</v>
      </c>
    </row>
    <row r="1183" spans="1:9" ht="23.25">
      <c r="A1183" s="4" t="s">
        <v>18</v>
      </c>
      <c r="B1183" s="4"/>
      <c r="C1183" s="4" t="s">
        <v>26</v>
      </c>
      <c r="D1183" s="4"/>
      <c r="E1183" s="1">
        <v>3173024</v>
      </c>
      <c r="F1183" s="1">
        <v>222932</v>
      </c>
      <c r="G1183" s="1">
        <v>202513</v>
      </c>
      <c r="H1183" s="1">
        <v>54195</v>
      </c>
      <c r="I1183" s="1">
        <v>1450685</v>
      </c>
    </row>
    <row r="1184" spans="1:9" ht="23.25">
      <c r="A1184" s="4" t="s">
        <v>19</v>
      </c>
      <c r="B1184" s="4"/>
      <c r="C1184" s="4" t="s">
        <v>26</v>
      </c>
      <c r="D1184" s="4"/>
      <c r="E1184" s="1">
        <v>0</v>
      </c>
      <c r="F1184" s="1">
        <v>0</v>
      </c>
      <c r="G1184" s="1">
        <v>0</v>
      </c>
      <c r="H1184" s="1">
        <v>0</v>
      </c>
      <c r="I1184" s="1">
        <v>0</v>
      </c>
    </row>
    <row r="1185" spans="1:9" ht="23.25">
      <c r="A1185" s="4" t="s">
        <v>20</v>
      </c>
      <c r="B1185" s="4"/>
      <c r="C1185" s="4" t="s">
        <v>26</v>
      </c>
      <c r="D1185" s="4"/>
      <c r="E1185" s="1">
        <v>0</v>
      </c>
      <c r="F1185" s="1">
        <v>0</v>
      </c>
      <c r="G1185" s="1">
        <v>0</v>
      </c>
      <c r="H1185" s="1">
        <v>0</v>
      </c>
      <c r="I1185" s="1">
        <v>0</v>
      </c>
    </row>
    <row r="1186" spans="1:9" ht="23.25">
      <c r="A1186" s="4" t="s">
        <v>21</v>
      </c>
      <c r="B1186" s="4"/>
      <c r="C1186" s="4" t="s">
        <v>26</v>
      </c>
      <c r="D1186" s="4"/>
      <c r="E1186" s="1">
        <v>3053874</v>
      </c>
      <c r="F1186" s="1">
        <v>301136</v>
      </c>
      <c r="G1186" s="1">
        <v>268412</v>
      </c>
      <c r="H1186" s="1">
        <v>85028</v>
      </c>
      <c r="I1186" s="1">
        <v>4649</v>
      </c>
    </row>
    <row r="1187" spans="1:9" ht="23.25">
      <c r="A1187" s="4" t="s">
        <v>22</v>
      </c>
      <c r="B1187" s="4"/>
      <c r="C1187" s="4" t="s">
        <v>26</v>
      </c>
      <c r="D1187" s="4"/>
      <c r="E1187" s="1">
        <v>2124956</v>
      </c>
      <c r="F1187" s="1">
        <v>7821</v>
      </c>
      <c r="G1187" s="1">
        <v>13833</v>
      </c>
      <c r="H1187" s="1">
        <v>5823</v>
      </c>
      <c r="I1187" s="1">
        <v>0</v>
      </c>
    </row>
    <row r="1188" spans="1:9" ht="23.25">
      <c r="A1188" s="4" t="s">
        <v>23</v>
      </c>
      <c r="B1188" s="4"/>
      <c r="C1188" s="4" t="s">
        <v>26</v>
      </c>
      <c r="D1188" s="4"/>
      <c r="E1188" s="1">
        <v>26368470</v>
      </c>
      <c r="F1188" s="1">
        <v>623671</v>
      </c>
      <c r="G1188" s="1">
        <v>826443</v>
      </c>
      <c r="H1188" s="1">
        <v>261096</v>
      </c>
      <c r="I1188" s="1">
        <v>9337623</v>
      </c>
    </row>
    <row r="1189" spans="1:9" ht="23.25">
      <c r="A1189" s="4" t="s">
        <v>24</v>
      </c>
      <c r="B1189" s="4"/>
      <c r="C1189" s="4" t="s">
        <v>26</v>
      </c>
      <c r="D1189" s="4"/>
      <c r="E1189" s="1">
        <v>42939182</v>
      </c>
      <c r="F1189" s="1">
        <v>2000440</v>
      </c>
      <c r="G1189" s="1">
        <v>2297273</v>
      </c>
      <c r="H1189" s="1">
        <v>674882</v>
      </c>
      <c r="I1189" s="1">
        <v>16644228</v>
      </c>
    </row>
    <row r="1190" spans="1:9" ht="23.25">
      <c r="A1190" s="4" t="s">
        <v>25</v>
      </c>
      <c r="B1190" s="4"/>
      <c r="C1190" s="4" t="s">
        <v>26</v>
      </c>
      <c r="D1190" s="4"/>
      <c r="E1190" s="1">
        <v>17794107</v>
      </c>
      <c r="F1190" s="1">
        <v>423137</v>
      </c>
      <c r="G1190" s="1">
        <v>697002</v>
      </c>
      <c r="H1190" s="1">
        <v>239062</v>
      </c>
      <c r="I1190" s="1">
        <v>1031203</v>
      </c>
    </row>
    <row r="1191" spans="1:9" ht="23.25">
      <c r="A1191" s="4" t="s">
        <v>26</v>
      </c>
      <c r="B1191" s="4"/>
      <c r="C1191" s="4" t="s">
        <v>26</v>
      </c>
      <c r="D1191" s="4"/>
      <c r="E1191" s="1">
        <v>23474023</v>
      </c>
      <c r="F1191" s="1">
        <v>333231</v>
      </c>
      <c r="G1191" s="1">
        <v>872775</v>
      </c>
      <c r="H1191" s="1">
        <v>267791</v>
      </c>
      <c r="I1191" s="1">
        <v>8205896</v>
      </c>
    </row>
    <row r="1192" spans="1:9" ht="23.25">
      <c r="A1192" s="4" t="s">
        <v>27</v>
      </c>
      <c r="B1192" s="4"/>
      <c r="C1192" s="4" t="s">
        <v>26</v>
      </c>
      <c r="D1192" s="4"/>
      <c r="E1192" s="1">
        <v>0</v>
      </c>
      <c r="F1192" s="1">
        <v>0</v>
      </c>
      <c r="G1192" s="1">
        <v>0</v>
      </c>
      <c r="H1192" s="1">
        <v>0</v>
      </c>
      <c r="I1192" s="1">
        <v>0</v>
      </c>
    </row>
    <row r="1193" spans="1:9" ht="23.25">
      <c r="A1193" s="4" t="s">
        <v>28</v>
      </c>
      <c r="B1193" s="4"/>
      <c r="C1193" s="4" t="s">
        <v>26</v>
      </c>
      <c r="D1193" s="4"/>
      <c r="E1193" s="1">
        <v>0</v>
      </c>
      <c r="F1193" s="1">
        <v>0</v>
      </c>
      <c r="G1193" s="1">
        <v>0</v>
      </c>
      <c r="H1193" s="1">
        <v>0</v>
      </c>
      <c r="I1193" s="1">
        <v>0</v>
      </c>
    </row>
    <row r="1194" spans="1:9" ht="23.25">
      <c r="A1194" s="4" t="s">
        <v>29</v>
      </c>
      <c r="B1194" s="4"/>
      <c r="C1194" s="4" t="s">
        <v>26</v>
      </c>
      <c r="D1194" s="4"/>
      <c r="E1194" s="1">
        <v>0</v>
      </c>
      <c r="F1194" s="1">
        <v>0</v>
      </c>
      <c r="G1194" s="1">
        <v>0</v>
      </c>
      <c r="H1194" s="1">
        <v>0</v>
      </c>
      <c r="I1194" s="1">
        <v>0</v>
      </c>
    </row>
    <row r="1195" spans="1:9" ht="23.25">
      <c r="A1195" s="4" t="s">
        <v>30</v>
      </c>
      <c r="B1195" s="4"/>
      <c r="C1195" s="4" t="s">
        <v>26</v>
      </c>
      <c r="D1195" s="4"/>
      <c r="E1195" s="1">
        <v>0</v>
      </c>
      <c r="F1195" s="1">
        <v>0</v>
      </c>
      <c r="G1195" s="1">
        <v>0</v>
      </c>
      <c r="H1195" s="1">
        <v>0</v>
      </c>
      <c r="I1195" s="1">
        <v>0</v>
      </c>
    </row>
    <row r="1196" spans="1:9" ht="23.25">
      <c r="A1196" s="4" t="s">
        <v>31</v>
      </c>
      <c r="B1196" s="4"/>
      <c r="C1196" s="4" t="s">
        <v>26</v>
      </c>
      <c r="D1196" s="4"/>
      <c r="E1196" s="1">
        <v>2527</v>
      </c>
      <c r="F1196" s="1">
        <v>58</v>
      </c>
      <c r="G1196" s="1">
        <v>14</v>
      </c>
      <c r="H1196" s="1">
        <v>8</v>
      </c>
      <c r="I1196" s="1">
        <v>0</v>
      </c>
    </row>
    <row r="1197" spans="1:9" ht="23.25">
      <c r="A1197" s="4" t="s">
        <v>32</v>
      </c>
      <c r="B1197" s="4"/>
      <c r="C1197" s="4" t="s">
        <v>26</v>
      </c>
      <c r="D1197" s="4"/>
      <c r="E1197" s="1">
        <v>1735269</v>
      </c>
      <c r="F1197" s="1">
        <v>69725</v>
      </c>
      <c r="G1197" s="1">
        <v>80998</v>
      </c>
      <c r="H1197" s="1">
        <v>18001</v>
      </c>
      <c r="I1197" s="1">
        <v>92896</v>
      </c>
    </row>
    <row r="1198" spans="1:9" ht="23.25">
      <c r="A1198" s="4" t="s">
        <v>33</v>
      </c>
      <c r="B1198" s="4"/>
      <c r="C1198" s="4" t="s">
        <v>26</v>
      </c>
      <c r="D1198" s="4"/>
      <c r="E1198" s="1">
        <v>2679</v>
      </c>
      <c r="F1198" s="1">
        <v>222</v>
      </c>
      <c r="G1198" s="1">
        <v>427</v>
      </c>
      <c r="H1198" s="1">
        <v>33</v>
      </c>
      <c r="I1198" s="1">
        <v>0</v>
      </c>
    </row>
    <row r="1199" spans="1:9" ht="23.25">
      <c r="A1199" s="4" t="s">
        <v>34</v>
      </c>
      <c r="B1199" s="4"/>
      <c r="C1199" s="4" t="s">
        <v>26</v>
      </c>
      <c r="D1199" s="4"/>
      <c r="E1199" s="1">
        <v>5898117</v>
      </c>
      <c r="F1199" s="1">
        <v>758798</v>
      </c>
      <c r="G1199" s="1">
        <v>420487</v>
      </c>
      <c r="H1199" s="1">
        <v>143284</v>
      </c>
      <c r="I1199" s="1">
        <v>3379910</v>
      </c>
    </row>
    <row r="1200" spans="1:9" ht="23.25">
      <c r="A1200" s="4" t="s">
        <v>35</v>
      </c>
      <c r="B1200" s="4"/>
      <c r="C1200" s="4" t="s">
        <v>26</v>
      </c>
      <c r="D1200" s="4"/>
      <c r="E1200" s="1">
        <v>8343</v>
      </c>
      <c r="F1200" s="1">
        <v>180</v>
      </c>
      <c r="G1200" s="1">
        <v>95</v>
      </c>
      <c r="H1200" s="1">
        <v>359</v>
      </c>
      <c r="I1200" s="1">
        <v>0</v>
      </c>
    </row>
    <row r="1201" spans="1:9" ht="23.25">
      <c r="A1201" s="4" t="s">
        <v>36</v>
      </c>
      <c r="B1201" s="4"/>
      <c r="C1201" s="4" t="s">
        <v>26</v>
      </c>
      <c r="D1201" s="4"/>
      <c r="E1201" s="1">
        <v>1614942</v>
      </c>
      <c r="F1201" s="1">
        <v>160955</v>
      </c>
      <c r="G1201" s="1">
        <v>194693</v>
      </c>
      <c r="H1201" s="1">
        <v>18359</v>
      </c>
      <c r="I1201" s="1">
        <v>736840</v>
      </c>
    </row>
    <row r="1202" spans="1:9" ht="23.25">
      <c r="A1202" s="4" t="s">
        <v>37</v>
      </c>
      <c r="B1202" s="4"/>
      <c r="C1202" s="4" t="s">
        <v>26</v>
      </c>
      <c r="D1202" s="4"/>
      <c r="E1202" s="1">
        <v>5151945</v>
      </c>
      <c r="F1202" s="1">
        <v>287393</v>
      </c>
      <c r="G1202" s="1">
        <v>323841</v>
      </c>
      <c r="H1202" s="1">
        <v>47745</v>
      </c>
      <c r="I1202" s="1">
        <v>964486</v>
      </c>
    </row>
    <row r="1203" spans="1:9" ht="23.25">
      <c r="A1203" s="4" t="s">
        <v>38</v>
      </c>
      <c r="B1203" s="4"/>
      <c r="C1203" s="4" t="s">
        <v>26</v>
      </c>
      <c r="D1203" s="4"/>
      <c r="E1203" s="1">
        <v>217</v>
      </c>
      <c r="F1203" s="1">
        <v>17</v>
      </c>
      <c r="G1203" s="1">
        <v>36</v>
      </c>
      <c r="H1203" s="1">
        <v>6</v>
      </c>
      <c r="I1203" s="1">
        <v>0</v>
      </c>
    </row>
    <row r="1204" spans="1:9" ht="23.25">
      <c r="A1204" s="4" t="s">
        <v>39</v>
      </c>
      <c r="B1204" s="4"/>
      <c r="C1204" s="4" t="s">
        <v>26</v>
      </c>
      <c r="D1204" s="4"/>
      <c r="E1204" s="1">
        <v>8297600</v>
      </c>
      <c r="F1204" s="1">
        <v>347923</v>
      </c>
      <c r="G1204" s="1">
        <v>609036</v>
      </c>
      <c r="H1204" s="1">
        <v>68430</v>
      </c>
      <c r="I1204" s="1">
        <v>3614171</v>
      </c>
    </row>
    <row r="1205" spans="1:9" ht="23.25">
      <c r="A1205" s="4" t="s">
        <v>40</v>
      </c>
      <c r="B1205" s="4"/>
      <c r="C1205" s="4" t="s">
        <v>26</v>
      </c>
      <c r="D1205" s="4"/>
      <c r="E1205" s="1">
        <v>0</v>
      </c>
      <c r="F1205" s="1">
        <v>0</v>
      </c>
      <c r="G1205" s="1">
        <v>0</v>
      </c>
      <c r="H1205" s="1">
        <v>0</v>
      </c>
      <c r="I1205" s="1">
        <v>0</v>
      </c>
    </row>
    <row r="1206" spans="1:9" ht="23.25">
      <c r="A1206" s="4" t="s">
        <v>41</v>
      </c>
      <c r="B1206" s="4"/>
      <c r="C1206" s="4" t="s">
        <v>26</v>
      </c>
      <c r="D1206" s="4"/>
      <c r="E1206" s="1">
        <v>1191317</v>
      </c>
      <c r="F1206" s="1">
        <v>94755</v>
      </c>
      <c r="G1206" s="1">
        <v>119919</v>
      </c>
      <c r="H1206" s="1">
        <v>13306</v>
      </c>
      <c r="I1206" s="1">
        <v>0</v>
      </c>
    </row>
    <row r="1207" spans="1:9" ht="23.25">
      <c r="A1207" s="4" t="s">
        <v>42</v>
      </c>
      <c r="B1207" s="4"/>
      <c r="C1207" s="4" t="s">
        <v>26</v>
      </c>
      <c r="D1207" s="4"/>
      <c r="E1207" s="1">
        <v>0</v>
      </c>
      <c r="F1207" s="1">
        <v>0</v>
      </c>
      <c r="G1207" s="1">
        <v>0</v>
      </c>
      <c r="H1207" s="1">
        <v>0</v>
      </c>
      <c r="I1207" s="1">
        <v>0</v>
      </c>
    </row>
    <row r="1208" spans="1:9" ht="23.25">
      <c r="A1208" s="4" t="s">
        <v>43</v>
      </c>
      <c r="B1208" s="4"/>
      <c r="C1208" s="4" t="s">
        <v>26</v>
      </c>
      <c r="D1208" s="4"/>
      <c r="E1208" s="1">
        <v>0</v>
      </c>
      <c r="F1208" s="1">
        <v>0</v>
      </c>
      <c r="G1208" s="1">
        <v>0</v>
      </c>
      <c r="H1208" s="1">
        <v>0</v>
      </c>
      <c r="I1208" s="1">
        <v>0</v>
      </c>
    </row>
    <row r="1209" spans="1:9" ht="23.25">
      <c r="A1209" s="4" t="s">
        <v>44</v>
      </c>
      <c r="B1209" s="4"/>
      <c r="C1209" s="4" t="s">
        <v>26</v>
      </c>
      <c r="D1209" s="4"/>
      <c r="E1209" s="1">
        <v>776569</v>
      </c>
      <c r="F1209" s="1">
        <v>11410</v>
      </c>
      <c r="G1209" s="1">
        <v>23149</v>
      </c>
      <c r="H1209" s="1">
        <v>1620</v>
      </c>
      <c r="I1209" s="1">
        <v>571078</v>
      </c>
    </row>
    <row r="1210" spans="1:9" ht="23.25">
      <c r="A1210" s="4" t="s">
        <v>45</v>
      </c>
      <c r="B1210" s="4"/>
      <c r="C1210" s="4" t="s">
        <v>26</v>
      </c>
      <c r="D1210" s="4"/>
      <c r="E1210" s="1">
        <v>2390661</v>
      </c>
      <c r="F1210" s="1">
        <v>193583</v>
      </c>
      <c r="G1210" s="1">
        <v>0</v>
      </c>
      <c r="H1210" s="1">
        <v>32471</v>
      </c>
      <c r="I1210" s="1">
        <v>96927</v>
      </c>
    </row>
    <row r="1211" spans="1:9" ht="23.25">
      <c r="A1211" s="4" t="s">
        <v>46</v>
      </c>
      <c r="B1211" s="4"/>
      <c r="C1211" s="4" t="s">
        <v>26</v>
      </c>
      <c r="D1211" s="4"/>
      <c r="E1211" s="1">
        <v>384036</v>
      </c>
      <c r="F1211" s="1">
        <v>23559</v>
      </c>
      <c r="G1211" s="1">
        <v>5195</v>
      </c>
      <c r="H1211" s="1">
        <v>3387</v>
      </c>
      <c r="I1211" s="1">
        <v>0</v>
      </c>
    </row>
    <row r="1212" spans="1:9" ht="23.25">
      <c r="A1212" s="4" t="s">
        <v>47</v>
      </c>
      <c r="B1212" s="4"/>
      <c r="C1212" s="4" t="s">
        <v>26</v>
      </c>
      <c r="D1212" s="4"/>
      <c r="E1212" s="1">
        <v>765803</v>
      </c>
      <c r="F1212" s="1">
        <v>0</v>
      </c>
      <c r="G1212" s="1">
        <v>0</v>
      </c>
      <c r="H1212" s="1">
        <v>0</v>
      </c>
      <c r="I1212" s="1">
        <v>0</v>
      </c>
    </row>
    <row r="1213" spans="1:9" ht="23.25">
      <c r="A1213" s="4" t="s">
        <v>48</v>
      </c>
      <c r="B1213" s="4"/>
      <c r="C1213" s="4" t="s">
        <v>26</v>
      </c>
      <c r="D1213" s="4"/>
      <c r="E1213" s="1">
        <v>0</v>
      </c>
      <c r="F1213" s="1">
        <v>0</v>
      </c>
      <c r="G1213" s="1">
        <v>0</v>
      </c>
      <c r="H1213" s="1">
        <v>0</v>
      </c>
      <c r="I1213" s="1">
        <v>0</v>
      </c>
    </row>
    <row r="1214" spans="1:9" ht="23.25">
      <c r="A1214" s="4" t="s">
        <v>49</v>
      </c>
      <c r="B1214" s="4"/>
      <c r="C1214" s="4" t="s">
        <v>26</v>
      </c>
      <c r="D1214" s="4"/>
      <c r="E1214" s="1">
        <v>0</v>
      </c>
      <c r="F1214" s="1">
        <v>0</v>
      </c>
      <c r="G1214" s="1">
        <v>0</v>
      </c>
      <c r="H1214" s="1">
        <v>0</v>
      </c>
      <c r="I1214" s="1">
        <v>0</v>
      </c>
    </row>
    <row r="1215" spans="1:9" ht="23.25">
      <c r="A1215" s="4" t="s">
        <v>50</v>
      </c>
      <c r="B1215" s="4"/>
      <c r="C1215" s="4" t="s">
        <v>26</v>
      </c>
      <c r="D1215" s="4"/>
      <c r="E1215" s="1">
        <v>64520</v>
      </c>
      <c r="F1215" s="1">
        <v>5924</v>
      </c>
      <c r="G1215" s="1">
        <v>5812</v>
      </c>
      <c r="H1215" s="1">
        <v>591</v>
      </c>
      <c r="I1215" s="1">
        <v>0</v>
      </c>
    </row>
    <row r="1216" spans="1:9" ht="23.25">
      <c r="A1216" s="4" t="s">
        <v>51</v>
      </c>
      <c r="B1216" s="4"/>
      <c r="C1216" s="4" t="s">
        <v>26</v>
      </c>
      <c r="D1216" s="4"/>
      <c r="E1216" s="1">
        <v>278994</v>
      </c>
      <c r="F1216" s="1">
        <v>19727</v>
      </c>
      <c r="G1216" s="1">
        <v>18888</v>
      </c>
      <c r="H1216" s="1">
        <v>2901</v>
      </c>
      <c r="I1216" s="1">
        <v>0</v>
      </c>
    </row>
    <row r="1217" spans="1:9" ht="23.25">
      <c r="A1217" s="4" t="s">
        <v>52</v>
      </c>
      <c r="B1217" s="4"/>
      <c r="C1217" s="4" t="s">
        <v>26</v>
      </c>
      <c r="D1217" s="4"/>
      <c r="E1217" s="1">
        <v>15216086</v>
      </c>
      <c r="F1217" s="1">
        <v>13736</v>
      </c>
      <c r="G1217" s="1">
        <v>34818</v>
      </c>
      <c r="H1217" s="1">
        <v>5706</v>
      </c>
      <c r="I1217" s="1">
        <v>0</v>
      </c>
    </row>
    <row r="1218" spans="1:9" ht="23.25">
      <c r="A1218" s="4" t="s">
        <v>53</v>
      </c>
      <c r="B1218" s="4"/>
      <c r="C1218" s="4" t="s">
        <v>26</v>
      </c>
      <c r="D1218" s="4"/>
      <c r="E1218" s="1">
        <v>1500502</v>
      </c>
      <c r="F1218" s="1">
        <v>0</v>
      </c>
      <c r="G1218" s="1">
        <v>0</v>
      </c>
      <c r="H1218" s="1">
        <v>0</v>
      </c>
      <c r="I1218" s="1">
        <v>0</v>
      </c>
    </row>
    <row r="1219" spans="1:9" ht="23.25">
      <c r="A1219" s="4" t="s">
        <v>54</v>
      </c>
      <c r="B1219" s="4"/>
      <c r="C1219" s="4" t="s">
        <v>26</v>
      </c>
      <c r="D1219" s="4"/>
      <c r="E1219" s="1">
        <v>191347</v>
      </c>
      <c r="F1219" s="1">
        <v>0</v>
      </c>
      <c r="G1219" s="1">
        <v>0</v>
      </c>
      <c r="H1219" s="1">
        <v>0</v>
      </c>
      <c r="I1219" s="1">
        <v>0</v>
      </c>
    </row>
    <row r="1220" spans="1:9" ht="23.25">
      <c r="A1220" s="4" t="s">
        <v>55</v>
      </c>
      <c r="B1220" s="4"/>
      <c r="C1220" s="4" t="s">
        <v>26</v>
      </c>
      <c r="D1220" s="4"/>
      <c r="E1220" s="1">
        <v>0</v>
      </c>
      <c r="F1220" s="1">
        <v>0</v>
      </c>
      <c r="G1220" s="1">
        <v>0</v>
      </c>
      <c r="H1220" s="1">
        <v>0</v>
      </c>
      <c r="I1220" s="1">
        <v>0</v>
      </c>
    </row>
    <row r="1221" spans="1:9" ht="23.25">
      <c r="A1221" s="4" t="s">
        <v>56</v>
      </c>
      <c r="B1221" s="4"/>
      <c r="C1221" s="4" t="s">
        <v>26</v>
      </c>
      <c r="D1221" s="4"/>
      <c r="E1221" s="1">
        <v>0</v>
      </c>
      <c r="F1221" s="1">
        <v>-7147558</v>
      </c>
      <c r="G1221" s="1">
        <v>-8440165</v>
      </c>
      <c r="H1221" s="1">
        <v>0</v>
      </c>
      <c r="I1221" s="1">
        <v>0</v>
      </c>
    </row>
    <row r="1222" spans="1:9" ht="23.25">
      <c r="A1222" s="4" t="s">
        <v>57</v>
      </c>
      <c r="B1222" s="4"/>
      <c r="C1222" s="4" t="s">
        <v>26</v>
      </c>
      <c r="D1222" s="4"/>
      <c r="E1222" s="1">
        <v>677928</v>
      </c>
      <c r="F1222" s="1">
        <v>0</v>
      </c>
      <c r="G1222" s="1">
        <v>0</v>
      </c>
      <c r="H1222" s="1">
        <v>0</v>
      </c>
      <c r="I1222" s="1">
        <v>0</v>
      </c>
    </row>
    <row r="1223" spans="1:9" ht="23.25">
      <c r="A1223" s="4" t="s">
        <v>58</v>
      </c>
      <c r="B1223" s="4"/>
      <c r="C1223" s="4" t="s">
        <v>26</v>
      </c>
      <c r="D1223" s="4"/>
      <c r="E1223" s="1">
        <v>1228318</v>
      </c>
      <c r="F1223" s="1">
        <v>0</v>
      </c>
      <c r="G1223" s="1">
        <v>0</v>
      </c>
      <c r="H1223" s="1">
        <v>-2186968</v>
      </c>
      <c r="I1223" s="1">
        <v>0</v>
      </c>
    </row>
    <row r="1224" spans="1:9" ht="23.25">
      <c r="A1224" s="4" t="s">
        <v>59</v>
      </c>
      <c r="B1224" s="4"/>
      <c r="C1224" s="4" t="s">
        <v>26</v>
      </c>
      <c r="D1224" s="4"/>
      <c r="E1224" s="1">
        <v>437762</v>
      </c>
      <c r="F1224" s="1">
        <v>0</v>
      </c>
      <c r="G1224" s="1">
        <v>0</v>
      </c>
      <c r="H1224" s="1">
        <v>0</v>
      </c>
      <c r="I1224" s="1">
        <v>0</v>
      </c>
    </row>
    <row r="1225" spans="1:9" ht="23.25">
      <c r="A1225" s="4" t="s">
        <v>60</v>
      </c>
      <c r="B1225" s="4"/>
      <c r="C1225" s="4" t="s">
        <v>26</v>
      </c>
      <c r="D1225" s="4"/>
      <c r="E1225" s="1">
        <v>2436948</v>
      </c>
      <c r="F1225" s="1">
        <v>0</v>
      </c>
      <c r="G1225" s="1">
        <v>0</v>
      </c>
      <c r="H1225" s="1">
        <v>0</v>
      </c>
      <c r="I1225" s="1">
        <v>0</v>
      </c>
    </row>
    <row r="1226" spans="1:9" ht="23.25">
      <c r="A1226" s="4" t="s">
        <v>61</v>
      </c>
      <c r="B1226" s="4"/>
      <c r="C1226" s="4" t="s">
        <v>26</v>
      </c>
      <c r="D1226" s="4"/>
      <c r="E1226" s="1">
        <v>342969</v>
      </c>
      <c r="F1226" s="1">
        <v>0</v>
      </c>
      <c r="G1226" s="1">
        <v>0</v>
      </c>
      <c r="H1226" s="1">
        <v>0</v>
      </c>
      <c r="I1226" s="1">
        <v>0</v>
      </c>
    </row>
    <row r="1227" spans="1:9" ht="23.25">
      <c r="A1227" s="4" t="s">
        <v>62</v>
      </c>
      <c r="B1227" s="4"/>
      <c r="C1227" s="4" t="s">
        <v>26</v>
      </c>
      <c r="D1227" s="4"/>
      <c r="E1227" s="1">
        <v>7615910</v>
      </c>
      <c r="F1227" s="1">
        <v>0</v>
      </c>
      <c r="G1227" s="1">
        <v>0</v>
      </c>
      <c r="H1227" s="1">
        <v>0</v>
      </c>
      <c r="I1227" s="1">
        <v>0</v>
      </c>
    </row>
    <row r="1228" spans="1:9" ht="23.25">
      <c r="A1228" s="4" t="s">
        <v>63</v>
      </c>
      <c r="B1228" s="4"/>
      <c r="C1228" s="4" t="s">
        <v>26</v>
      </c>
      <c r="D1228" s="4"/>
      <c r="E1228" s="1">
        <v>265772</v>
      </c>
      <c r="F1228" s="1">
        <v>0</v>
      </c>
      <c r="G1228" s="1">
        <v>0</v>
      </c>
      <c r="H1228" s="1">
        <v>0</v>
      </c>
      <c r="I1228" s="1">
        <v>0</v>
      </c>
    </row>
    <row r="1229" spans="1:9" ht="23.25">
      <c r="A1229" s="4" t="s">
        <v>64</v>
      </c>
      <c r="B1229" s="4"/>
      <c r="C1229" s="4" t="s">
        <v>26</v>
      </c>
      <c r="D1229" s="4"/>
      <c r="E1229" s="1">
        <v>208565</v>
      </c>
      <c r="F1229" s="1">
        <v>0</v>
      </c>
      <c r="G1229" s="1">
        <v>0</v>
      </c>
      <c r="H1229" s="1">
        <v>0</v>
      </c>
      <c r="I1229" s="1">
        <v>0</v>
      </c>
    </row>
    <row r="1230" spans="1:9" ht="23.25">
      <c r="A1230" s="4" t="s">
        <v>65</v>
      </c>
      <c r="B1230" s="4"/>
      <c r="C1230" s="4" t="s">
        <v>26</v>
      </c>
      <c r="D1230" s="4"/>
      <c r="E1230" s="1">
        <v>865684</v>
      </c>
      <c r="F1230" s="1">
        <v>0</v>
      </c>
      <c r="G1230" s="1">
        <v>0</v>
      </c>
      <c r="H1230" s="1">
        <v>0</v>
      </c>
      <c r="I1230" s="1">
        <v>93769</v>
      </c>
    </row>
    <row r="1231" spans="1:9" ht="23.25">
      <c r="A1231" s="4" t="s">
        <v>66</v>
      </c>
      <c r="B1231" s="4"/>
      <c r="C1231" s="4" t="s">
        <v>26</v>
      </c>
      <c r="D1231" s="4"/>
      <c r="E1231" s="1">
        <v>214128989</v>
      </c>
      <c r="F1231" s="1">
        <v>0</v>
      </c>
      <c r="G1231" s="1">
        <v>0</v>
      </c>
      <c r="H1231" s="1">
        <v>0</v>
      </c>
      <c r="I1231" s="1">
        <v>65285152</v>
      </c>
    </row>
    <row r="1232" spans="1:9" ht="23.25">
      <c r="A1232" s="4" t="s">
        <v>67</v>
      </c>
      <c r="B1232" s="4"/>
      <c r="C1232" s="4" t="s">
        <v>26</v>
      </c>
      <c r="D1232" s="4"/>
      <c r="E1232" s="1">
        <v>25110263</v>
      </c>
      <c r="F1232" s="1">
        <v>0</v>
      </c>
      <c r="G1232" s="1">
        <v>0</v>
      </c>
      <c r="H1232" s="1">
        <v>0</v>
      </c>
      <c r="I1232" s="1">
        <v>0</v>
      </c>
    </row>
    <row r="1233" spans="1:9" ht="23.25">
      <c r="A1233" s="4" t="s">
        <v>68</v>
      </c>
      <c r="B1233" s="4"/>
      <c r="C1233" s="4" t="s">
        <v>26</v>
      </c>
      <c r="D1233" s="4"/>
      <c r="E1233" s="1">
        <v>41579323</v>
      </c>
      <c r="F1233" s="1">
        <v>0</v>
      </c>
      <c r="G1233" s="1">
        <v>0</v>
      </c>
      <c r="H1233" s="1">
        <v>0</v>
      </c>
      <c r="I1233" s="1">
        <v>0</v>
      </c>
    </row>
    <row r="1234" spans="1:9" ht="23.25">
      <c r="A1234" s="4" t="s">
        <v>69</v>
      </c>
      <c r="B1234" s="4"/>
      <c r="C1234" s="4" t="s">
        <v>26</v>
      </c>
      <c r="D1234" s="4"/>
      <c r="E1234" s="1">
        <v>16841816</v>
      </c>
      <c r="F1234" s="1">
        <v>0</v>
      </c>
      <c r="G1234" s="1">
        <v>0</v>
      </c>
      <c r="H1234" s="1">
        <v>0</v>
      </c>
      <c r="I1234" s="1">
        <v>0</v>
      </c>
    </row>
    <row r="1235" spans="1:9" ht="23.25">
      <c r="A1235" s="4" t="s">
        <v>70</v>
      </c>
      <c r="B1235" s="4"/>
      <c r="C1235" s="4" t="s">
        <v>26</v>
      </c>
      <c r="D1235" s="4"/>
      <c r="E1235" s="1">
        <v>6513021</v>
      </c>
      <c r="F1235" s="1">
        <v>0</v>
      </c>
      <c r="G1235" s="1">
        <v>0</v>
      </c>
      <c r="H1235" s="1">
        <v>0</v>
      </c>
      <c r="I1235" s="1">
        <v>0</v>
      </c>
    </row>
    <row r="1236" spans="1:9" ht="23.25">
      <c r="A1236" s="4" t="s">
        <v>71</v>
      </c>
      <c r="B1236" s="4"/>
      <c r="C1236" s="4" t="s">
        <v>26</v>
      </c>
      <c r="D1236" s="4"/>
      <c r="E1236" s="1">
        <v>90044423</v>
      </c>
      <c r="F1236" s="1">
        <v>0</v>
      </c>
      <c r="G1236" s="1">
        <v>0</v>
      </c>
      <c r="H1236" s="1">
        <v>0</v>
      </c>
      <c r="I1236" s="1">
        <v>0</v>
      </c>
    </row>
    <row r="1237" spans="1:9" ht="23.25">
      <c r="A1237" s="4" t="s">
        <v>72</v>
      </c>
      <c r="B1237" s="4"/>
      <c r="C1237" s="4" t="s">
        <v>26</v>
      </c>
      <c r="D1237" s="4"/>
      <c r="E1237" s="1">
        <v>304173412</v>
      </c>
      <c r="F1237" s="1">
        <v>0</v>
      </c>
      <c r="G1237" s="1">
        <v>0</v>
      </c>
      <c r="H1237" s="1">
        <v>0</v>
      </c>
      <c r="I1237" s="1">
        <v>0</v>
      </c>
    </row>
    <row r="1238" spans="1:9" ht="23.25">
      <c r="A1238" s="4" t="s">
        <v>8</v>
      </c>
      <c r="B1238" s="4"/>
      <c r="C1238" s="4" t="s">
        <v>27</v>
      </c>
      <c r="D1238" s="4"/>
      <c r="E1238" s="1">
        <v>3103</v>
      </c>
      <c r="F1238" s="1">
        <v>122</v>
      </c>
      <c r="G1238" s="1">
        <v>0</v>
      </c>
      <c r="H1238" s="1">
        <v>21</v>
      </c>
      <c r="I1238" s="1">
        <v>0</v>
      </c>
    </row>
    <row r="1239" spans="1:9" ht="23.25">
      <c r="A1239" s="4" t="s">
        <v>9</v>
      </c>
      <c r="B1239" s="4"/>
      <c r="C1239" s="4" t="s">
        <v>27</v>
      </c>
      <c r="D1239" s="4"/>
      <c r="E1239" s="1">
        <v>15692851</v>
      </c>
      <c r="F1239" s="1">
        <v>476124</v>
      </c>
      <c r="G1239" s="1">
        <v>0</v>
      </c>
      <c r="H1239" s="1">
        <v>140406</v>
      </c>
      <c r="I1239" s="1">
        <v>13230981</v>
      </c>
    </row>
    <row r="1240" spans="1:9" ht="23.25">
      <c r="A1240" s="4" t="s">
        <v>10</v>
      </c>
      <c r="B1240" s="4"/>
      <c r="C1240" s="4" t="s">
        <v>27</v>
      </c>
      <c r="D1240" s="4"/>
      <c r="E1240" s="1">
        <v>609291</v>
      </c>
      <c r="F1240" s="1">
        <v>15642</v>
      </c>
      <c r="G1240" s="1">
        <v>0</v>
      </c>
      <c r="H1240" s="1">
        <v>3854</v>
      </c>
      <c r="I1240" s="1">
        <v>0</v>
      </c>
    </row>
    <row r="1241" spans="1:9" ht="23.25">
      <c r="A1241" s="4" t="s">
        <v>11</v>
      </c>
      <c r="B1241" s="4"/>
      <c r="C1241" s="4" t="s">
        <v>27</v>
      </c>
      <c r="D1241" s="4"/>
      <c r="E1241" s="1">
        <v>1388919</v>
      </c>
      <c r="F1241" s="1">
        <v>37515</v>
      </c>
      <c r="G1241" s="1">
        <v>34573</v>
      </c>
      <c r="H1241" s="1">
        <v>2203</v>
      </c>
      <c r="I1241" s="1">
        <v>1127672</v>
      </c>
    </row>
    <row r="1242" spans="1:9" ht="23.25">
      <c r="A1242" s="4" t="s">
        <v>12</v>
      </c>
      <c r="B1242" s="4"/>
      <c r="C1242" s="4" t="s">
        <v>27</v>
      </c>
      <c r="D1242" s="4"/>
      <c r="E1242" s="1">
        <v>534552</v>
      </c>
      <c r="F1242" s="1">
        <v>67045</v>
      </c>
      <c r="G1242" s="1">
        <v>86223</v>
      </c>
      <c r="H1242" s="1">
        <v>12488</v>
      </c>
      <c r="I1242" s="1">
        <v>0</v>
      </c>
    </row>
    <row r="1243" spans="1:9" ht="23.25">
      <c r="A1243" s="4" t="s">
        <v>13</v>
      </c>
      <c r="B1243" s="4"/>
      <c r="C1243" s="4" t="s">
        <v>27</v>
      </c>
      <c r="D1243" s="4"/>
      <c r="E1243" s="1">
        <v>0</v>
      </c>
      <c r="F1243" s="1">
        <v>0</v>
      </c>
      <c r="G1243" s="1">
        <v>0</v>
      </c>
      <c r="H1243" s="1">
        <v>0</v>
      </c>
      <c r="I1243" s="1">
        <v>0</v>
      </c>
    </row>
    <row r="1244" spans="1:9" ht="23.25">
      <c r="A1244" s="4" t="s">
        <v>14</v>
      </c>
      <c r="B1244" s="4"/>
      <c r="C1244" s="4" t="s">
        <v>27</v>
      </c>
      <c r="D1244" s="4"/>
      <c r="E1244" s="1">
        <v>0</v>
      </c>
      <c r="F1244" s="1">
        <v>0</v>
      </c>
      <c r="G1244" s="1">
        <v>0</v>
      </c>
      <c r="H1244" s="1">
        <v>0</v>
      </c>
      <c r="I1244" s="1">
        <v>0</v>
      </c>
    </row>
    <row r="1245" spans="1:9" ht="23.25">
      <c r="A1245" s="4" t="s">
        <v>15</v>
      </c>
      <c r="B1245" s="4"/>
      <c r="C1245" s="4" t="s">
        <v>27</v>
      </c>
      <c r="D1245" s="4"/>
      <c r="E1245" s="1">
        <v>255989</v>
      </c>
      <c r="F1245" s="1">
        <v>11769</v>
      </c>
      <c r="G1245" s="1">
        <v>15903</v>
      </c>
      <c r="H1245" s="1">
        <v>2527</v>
      </c>
      <c r="I1245" s="1">
        <v>126282</v>
      </c>
    </row>
    <row r="1246" spans="1:9" ht="23.25">
      <c r="A1246" s="4" t="s">
        <v>16</v>
      </c>
      <c r="B1246" s="4"/>
      <c r="C1246" s="4" t="s">
        <v>27</v>
      </c>
      <c r="D1246" s="4"/>
      <c r="E1246" s="1">
        <v>0</v>
      </c>
      <c r="F1246" s="1">
        <v>0</v>
      </c>
      <c r="G1246" s="1">
        <v>0</v>
      </c>
      <c r="H1246" s="1">
        <v>0</v>
      </c>
      <c r="I1246" s="1">
        <v>0</v>
      </c>
    </row>
    <row r="1247" spans="1:9" ht="23.25">
      <c r="A1247" s="4" t="s">
        <v>17</v>
      </c>
      <c r="B1247" s="4"/>
      <c r="C1247" s="4" t="s">
        <v>27</v>
      </c>
      <c r="D1247" s="4"/>
      <c r="E1247" s="1">
        <v>23963</v>
      </c>
      <c r="F1247" s="1">
        <v>1324</v>
      </c>
      <c r="G1247" s="1">
        <v>0</v>
      </c>
      <c r="H1247" s="1">
        <v>241</v>
      </c>
      <c r="I1247" s="1">
        <v>0</v>
      </c>
    </row>
    <row r="1248" spans="1:9" ht="23.25">
      <c r="A1248" s="4" t="s">
        <v>18</v>
      </c>
      <c r="B1248" s="4"/>
      <c r="C1248" s="4" t="s">
        <v>27</v>
      </c>
      <c r="D1248" s="4"/>
      <c r="E1248" s="1">
        <v>2091654</v>
      </c>
      <c r="F1248" s="1">
        <v>182678</v>
      </c>
      <c r="G1248" s="1">
        <v>175739</v>
      </c>
      <c r="H1248" s="1">
        <v>41848</v>
      </c>
      <c r="I1248" s="1">
        <v>0</v>
      </c>
    </row>
    <row r="1249" spans="1:9" ht="23.25">
      <c r="A1249" s="4" t="s">
        <v>19</v>
      </c>
      <c r="B1249" s="4"/>
      <c r="C1249" s="4" t="s">
        <v>27</v>
      </c>
      <c r="D1249" s="4"/>
      <c r="E1249" s="1">
        <v>0</v>
      </c>
      <c r="F1249" s="1">
        <v>0</v>
      </c>
      <c r="G1249" s="1">
        <v>0</v>
      </c>
      <c r="H1249" s="1">
        <v>0</v>
      </c>
      <c r="I1249" s="1">
        <v>0</v>
      </c>
    </row>
    <row r="1250" spans="1:9" ht="23.25">
      <c r="A1250" s="4" t="s">
        <v>20</v>
      </c>
      <c r="B1250" s="4"/>
      <c r="C1250" s="4" t="s">
        <v>27</v>
      </c>
      <c r="D1250" s="4"/>
      <c r="E1250" s="1">
        <v>0</v>
      </c>
      <c r="F1250" s="1">
        <v>0</v>
      </c>
      <c r="G1250" s="1">
        <v>0</v>
      </c>
      <c r="H1250" s="1">
        <v>0</v>
      </c>
      <c r="I1250" s="1">
        <v>0</v>
      </c>
    </row>
    <row r="1251" spans="1:9" ht="23.25">
      <c r="A1251" s="4" t="s">
        <v>21</v>
      </c>
      <c r="B1251" s="4"/>
      <c r="C1251" s="4" t="s">
        <v>27</v>
      </c>
      <c r="D1251" s="4"/>
      <c r="E1251" s="1">
        <v>58554</v>
      </c>
      <c r="F1251" s="1">
        <v>5533</v>
      </c>
      <c r="G1251" s="1">
        <v>4137</v>
      </c>
      <c r="H1251" s="1">
        <v>1282</v>
      </c>
      <c r="I1251" s="1">
        <v>0</v>
      </c>
    </row>
    <row r="1252" spans="1:9" ht="23.25">
      <c r="A1252" s="4" t="s">
        <v>22</v>
      </c>
      <c r="B1252" s="4"/>
      <c r="C1252" s="4" t="s">
        <v>27</v>
      </c>
      <c r="D1252" s="4"/>
      <c r="E1252" s="1">
        <v>575708</v>
      </c>
      <c r="F1252" s="1">
        <v>2047</v>
      </c>
      <c r="G1252" s="1">
        <v>3869</v>
      </c>
      <c r="H1252" s="1">
        <v>1858</v>
      </c>
      <c r="I1252" s="1">
        <v>68381</v>
      </c>
    </row>
    <row r="1253" spans="1:9" ht="23.25">
      <c r="A1253" s="4" t="s">
        <v>23</v>
      </c>
      <c r="B1253" s="4"/>
      <c r="C1253" s="4" t="s">
        <v>27</v>
      </c>
      <c r="D1253" s="4"/>
      <c r="E1253" s="1">
        <v>20565241</v>
      </c>
      <c r="F1253" s="1">
        <v>315220</v>
      </c>
      <c r="G1253" s="1">
        <v>221120</v>
      </c>
      <c r="H1253" s="1">
        <v>149837</v>
      </c>
      <c r="I1253" s="1">
        <v>18771473</v>
      </c>
    </row>
    <row r="1254" spans="1:9" ht="23.25">
      <c r="A1254" s="4" t="s">
        <v>24</v>
      </c>
      <c r="B1254" s="4"/>
      <c r="C1254" s="4" t="s">
        <v>27</v>
      </c>
      <c r="D1254" s="4"/>
      <c r="E1254" s="1">
        <v>5871071</v>
      </c>
      <c r="F1254" s="1">
        <v>226316</v>
      </c>
      <c r="G1254" s="1">
        <v>248480</v>
      </c>
      <c r="H1254" s="1">
        <v>104605</v>
      </c>
      <c r="I1254" s="1">
        <v>2330251</v>
      </c>
    </row>
    <row r="1255" spans="1:9" ht="23.25">
      <c r="A1255" s="4" t="s">
        <v>25</v>
      </c>
      <c r="B1255" s="4"/>
      <c r="C1255" s="4" t="s">
        <v>27</v>
      </c>
      <c r="D1255" s="4"/>
      <c r="E1255" s="1">
        <v>100558</v>
      </c>
      <c r="F1255" s="1">
        <v>850</v>
      </c>
      <c r="G1255" s="1">
        <v>1297</v>
      </c>
      <c r="H1255" s="1">
        <v>1111</v>
      </c>
      <c r="I1255" s="1">
        <v>56649</v>
      </c>
    </row>
    <row r="1256" spans="1:9" ht="23.25">
      <c r="A1256" s="4" t="s">
        <v>26</v>
      </c>
      <c r="B1256" s="4"/>
      <c r="C1256" s="4" t="s">
        <v>27</v>
      </c>
      <c r="D1256" s="4"/>
      <c r="E1256" s="1">
        <v>65394</v>
      </c>
      <c r="F1256" s="1">
        <v>286</v>
      </c>
      <c r="G1256" s="1">
        <v>2048</v>
      </c>
      <c r="H1256" s="1">
        <v>668</v>
      </c>
      <c r="I1256" s="1">
        <v>0</v>
      </c>
    </row>
    <row r="1257" spans="1:9" ht="23.25">
      <c r="A1257" s="4" t="s">
        <v>27</v>
      </c>
      <c r="B1257" s="4"/>
      <c r="C1257" s="4" t="s">
        <v>27</v>
      </c>
      <c r="D1257" s="4"/>
      <c r="E1257" s="1">
        <v>2319341</v>
      </c>
      <c r="F1257" s="1">
        <v>171207</v>
      </c>
      <c r="G1257" s="1">
        <v>201896</v>
      </c>
      <c r="H1257" s="1">
        <v>24436</v>
      </c>
      <c r="I1257" s="1">
        <v>1558831</v>
      </c>
    </row>
    <row r="1258" spans="1:9" ht="23.25">
      <c r="A1258" s="4" t="s">
        <v>28</v>
      </c>
      <c r="B1258" s="4"/>
      <c r="C1258" s="4" t="s">
        <v>27</v>
      </c>
      <c r="D1258" s="4"/>
      <c r="E1258" s="1">
        <v>0</v>
      </c>
      <c r="F1258" s="1">
        <v>0</v>
      </c>
      <c r="G1258" s="1">
        <v>0</v>
      </c>
      <c r="H1258" s="1">
        <v>0</v>
      </c>
      <c r="I1258" s="1">
        <v>0</v>
      </c>
    </row>
    <row r="1259" spans="1:9" ht="23.25">
      <c r="A1259" s="4" t="s">
        <v>29</v>
      </c>
      <c r="B1259" s="4"/>
      <c r="C1259" s="4" t="s">
        <v>27</v>
      </c>
      <c r="D1259" s="4"/>
      <c r="E1259" s="1">
        <v>0</v>
      </c>
      <c r="F1259" s="1">
        <v>0</v>
      </c>
      <c r="G1259" s="1">
        <v>0</v>
      </c>
      <c r="H1259" s="1">
        <v>0</v>
      </c>
      <c r="I1259" s="1">
        <v>0</v>
      </c>
    </row>
    <row r="1260" spans="1:9" ht="23.25">
      <c r="A1260" s="4" t="s">
        <v>30</v>
      </c>
      <c r="B1260" s="4"/>
      <c r="C1260" s="4" t="s">
        <v>27</v>
      </c>
      <c r="D1260" s="4"/>
      <c r="E1260" s="1">
        <v>0</v>
      </c>
      <c r="F1260" s="1">
        <v>0</v>
      </c>
      <c r="G1260" s="1">
        <v>0</v>
      </c>
      <c r="H1260" s="1">
        <v>0</v>
      </c>
      <c r="I1260" s="1">
        <v>0</v>
      </c>
    </row>
    <row r="1261" spans="1:9" ht="23.25">
      <c r="A1261" s="4" t="s">
        <v>31</v>
      </c>
      <c r="B1261" s="4"/>
      <c r="C1261" s="4" t="s">
        <v>27</v>
      </c>
      <c r="D1261" s="4"/>
      <c r="E1261" s="1">
        <v>0</v>
      </c>
      <c r="F1261" s="1">
        <v>0</v>
      </c>
      <c r="G1261" s="1">
        <v>0</v>
      </c>
      <c r="H1261" s="1">
        <v>0</v>
      </c>
      <c r="I1261" s="1">
        <v>0</v>
      </c>
    </row>
    <row r="1262" spans="1:9" ht="23.25">
      <c r="A1262" s="4" t="s">
        <v>32</v>
      </c>
      <c r="B1262" s="4"/>
      <c r="C1262" s="4" t="s">
        <v>27</v>
      </c>
      <c r="D1262" s="4"/>
      <c r="E1262" s="1">
        <v>43244</v>
      </c>
      <c r="F1262" s="1">
        <v>7616</v>
      </c>
      <c r="G1262" s="1">
        <v>3679</v>
      </c>
      <c r="H1262" s="1">
        <v>729</v>
      </c>
      <c r="I1262" s="1">
        <v>0</v>
      </c>
    </row>
    <row r="1263" spans="1:9" ht="23.25">
      <c r="A1263" s="4" t="s">
        <v>33</v>
      </c>
      <c r="B1263" s="4"/>
      <c r="C1263" s="4" t="s">
        <v>27</v>
      </c>
      <c r="D1263" s="4"/>
      <c r="E1263" s="1">
        <v>869</v>
      </c>
      <c r="F1263" s="1">
        <v>112</v>
      </c>
      <c r="G1263" s="1">
        <v>163</v>
      </c>
      <c r="H1263" s="1">
        <v>9</v>
      </c>
      <c r="I1263" s="1">
        <v>0</v>
      </c>
    </row>
    <row r="1264" spans="1:9" ht="23.25">
      <c r="A1264" s="4" t="s">
        <v>34</v>
      </c>
      <c r="B1264" s="4"/>
      <c r="C1264" s="4" t="s">
        <v>27</v>
      </c>
      <c r="D1264" s="4"/>
      <c r="E1264" s="1">
        <v>646046</v>
      </c>
      <c r="F1264" s="1">
        <v>77022</v>
      </c>
      <c r="G1264" s="1">
        <v>65970</v>
      </c>
      <c r="H1264" s="1">
        <v>15682</v>
      </c>
      <c r="I1264" s="1">
        <v>420383</v>
      </c>
    </row>
    <row r="1265" spans="1:9" ht="23.25">
      <c r="A1265" s="4" t="s">
        <v>35</v>
      </c>
      <c r="B1265" s="4"/>
      <c r="C1265" s="4" t="s">
        <v>27</v>
      </c>
      <c r="D1265" s="4"/>
      <c r="E1265" s="1">
        <v>0</v>
      </c>
      <c r="F1265" s="1">
        <v>0</v>
      </c>
      <c r="G1265" s="1">
        <v>0</v>
      </c>
      <c r="H1265" s="1">
        <v>0</v>
      </c>
      <c r="I1265" s="1">
        <v>0</v>
      </c>
    </row>
    <row r="1266" spans="1:9" ht="23.25">
      <c r="A1266" s="4" t="s">
        <v>36</v>
      </c>
      <c r="B1266" s="4"/>
      <c r="C1266" s="4" t="s">
        <v>27</v>
      </c>
      <c r="D1266" s="4"/>
      <c r="E1266" s="1">
        <v>2915631</v>
      </c>
      <c r="F1266" s="1">
        <v>228378</v>
      </c>
      <c r="G1266" s="1">
        <v>395922</v>
      </c>
      <c r="H1266" s="1">
        <v>22679</v>
      </c>
      <c r="I1266" s="1">
        <v>6988</v>
      </c>
    </row>
    <row r="1267" spans="1:9" ht="23.25">
      <c r="A1267" s="4" t="s">
        <v>37</v>
      </c>
      <c r="B1267" s="4"/>
      <c r="C1267" s="4" t="s">
        <v>27</v>
      </c>
      <c r="D1267" s="4"/>
      <c r="E1267" s="1">
        <v>268424</v>
      </c>
      <c r="F1267" s="1">
        <v>12427</v>
      </c>
      <c r="G1267" s="1">
        <v>11978</v>
      </c>
      <c r="H1267" s="1">
        <v>2518</v>
      </c>
      <c r="I1267" s="1">
        <v>46416</v>
      </c>
    </row>
    <row r="1268" spans="1:9" ht="23.25">
      <c r="A1268" s="4" t="s">
        <v>38</v>
      </c>
      <c r="B1268" s="4"/>
      <c r="C1268" s="4" t="s">
        <v>27</v>
      </c>
      <c r="D1268" s="4"/>
      <c r="E1268" s="1">
        <v>0</v>
      </c>
      <c r="F1268" s="1">
        <v>0</v>
      </c>
      <c r="G1268" s="1">
        <v>0</v>
      </c>
      <c r="H1268" s="1">
        <v>0</v>
      </c>
      <c r="I1268" s="1">
        <v>0</v>
      </c>
    </row>
    <row r="1269" spans="1:9" ht="23.25">
      <c r="A1269" s="4" t="s">
        <v>39</v>
      </c>
      <c r="B1269" s="4"/>
      <c r="C1269" s="4" t="s">
        <v>27</v>
      </c>
      <c r="D1269" s="4"/>
      <c r="E1269" s="1">
        <v>1209418</v>
      </c>
      <c r="F1269" s="1">
        <v>32725</v>
      </c>
      <c r="G1269" s="1">
        <v>75242</v>
      </c>
      <c r="H1269" s="1">
        <v>8429</v>
      </c>
      <c r="I1269" s="1">
        <v>491174</v>
      </c>
    </row>
    <row r="1270" spans="1:9" ht="23.25">
      <c r="A1270" s="4" t="s">
        <v>40</v>
      </c>
      <c r="B1270" s="4"/>
      <c r="C1270" s="4" t="s">
        <v>27</v>
      </c>
      <c r="D1270" s="4"/>
      <c r="E1270" s="1">
        <v>0</v>
      </c>
      <c r="F1270" s="1">
        <v>0</v>
      </c>
      <c r="G1270" s="1">
        <v>0</v>
      </c>
      <c r="H1270" s="1">
        <v>0</v>
      </c>
      <c r="I1270" s="1">
        <v>0</v>
      </c>
    </row>
    <row r="1271" spans="1:9" ht="23.25">
      <c r="A1271" s="4" t="s">
        <v>41</v>
      </c>
      <c r="B1271" s="4"/>
      <c r="C1271" s="4" t="s">
        <v>27</v>
      </c>
      <c r="D1271" s="4"/>
      <c r="E1271" s="1">
        <v>0</v>
      </c>
      <c r="F1271" s="1">
        <v>0</v>
      </c>
      <c r="G1271" s="1">
        <v>0</v>
      </c>
      <c r="H1271" s="1">
        <v>0</v>
      </c>
      <c r="I1271" s="1">
        <v>0</v>
      </c>
    </row>
    <row r="1272" spans="1:9" ht="23.25">
      <c r="A1272" s="4" t="s">
        <v>42</v>
      </c>
      <c r="B1272" s="4"/>
      <c r="C1272" s="4" t="s">
        <v>27</v>
      </c>
      <c r="D1272" s="4"/>
      <c r="E1272" s="1">
        <v>0</v>
      </c>
      <c r="F1272" s="1">
        <v>0</v>
      </c>
      <c r="G1272" s="1">
        <v>0</v>
      </c>
      <c r="H1272" s="1">
        <v>0</v>
      </c>
      <c r="I1272" s="1">
        <v>0</v>
      </c>
    </row>
    <row r="1273" spans="1:9" ht="23.25">
      <c r="A1273" s="4" t="s">
        <v>43</v>
      </c>
      <c r="B1273" s="4"/>
      <c r="C1273" s="4" t="s">
        <v>27</v>
      </c>
      <c r="D1273" s="4"/>
      <c r="E1273" s="1">
        <v>0</v>
      </c>
      <c r="F1273" s="1">
        <v>0</v>
      </c>
      <c r="G1273" s="1">
        <v>0</v>
      </c>
      <c r="H1273" s="1">
        <v>0</v>
      </c>
      <c r="I1273" s="1">
        <v>0</v>
      </c>
    </row>
    <row r="1274" spans="1:9" ht="23.25">
      <c r="A1274" s="4" t="s">
        <v>44</v>
      </c>
      <c r="B1274" s="4"/>
      <c r="C1274" s="4" t="s">
        <v>27</v>
      </c>
      <c r="D1274" s="4"/>
      <c r="E1274" s="1">
        <v>0</v>
      </c>
      <c r="F1274" s="1">
        <v>0</v>
      </c>
      <c r="G1274" s="1">
        <v>0</v>
      </c>
      <c r="H1274" s="1">
        <v>0</v>
      </c>
      <c r="I1274" s="1">
        <v>0</v>
      </c>
    </row>
    <row r="1275" spans="1:9" ht="23.25">
      <c r="A1275" s="4" t="s">
        <v>45</v>
      </c>
      <c r="B1275" s="4"/>
      <c r="C1275" s="4" t="s">
        <v>27</v>
      </c>
      <c r="D1275" s="4"/>
      <c r="E1275" s="1">
        <v>329081</v>
      </c>
      <c r="F1275" s="1">
        <v>16932</v>
      </c>
      <c r="G1275" s="1">
        <v>0</v>
      </c>
      <c r="H1275" s="1">
        <v>4503</v>
      </c>
      <c r="I1275" s="1">
        <v>25571</v>
      </c>
    </row>
    <row r="1276" spans="1:9" ht="23.25">
      <c r="A1276" s="4" t="s">
        <v>46</v>
      </c>
      <c r="B1276" s="4"/>
      <c r="C1276" s="4" t="s">
        <v>27</v>
      </c>
      <c r="D1276" s="4"/>
      <c r="E1276" s="1">
        <v>25330</v>
      </c>
      <c r="F1276" s="1">
        <v>1412</v>
      </c>
      <c r="G1276" s="1">
        <v>0</v>
      </c>
      <c r="H1276" s="1">
        <v>207</v>
      </c>
      <c r="I1276" s="1">
        <v>0</v>
      </c>
    </row>
    <row r="1277" spans="1:9" ht="23.25">
      <c r="A1277" s="4" t="s">
        <v>47</v>
      </c>
      <c r="B1277" s="4"/>
      <c r="C1277" s="4" t="s">
        <v>27</v>
      </c>
      <c r="D1277" s="4"/>
      <c r="E1277" s="1">
        <v>85323</v>
      </c>
      <c r="F1277" s="1">
        <v>0</v>
      </c>
      <c r="G1277" s="1">
        <v>0</v>
      </c>
      <c r="H1277" s="1">
        <v>0</v>
      </c>
      <c r="I1277" s="1">
        <v>0</v>
      </c>
    </row>
    <row r="1278" spans="1:9" ht="23.25">
      <c r="A1278" s="4" t="s">
        <v>48</v>
      </c>
      <c r="B1278" s="4"/>
      <c r="C1278" s="4" t="s">
        <v>27</v>
      </c>
      <c r="D1278" s="4"/>
      <c r="E1278" s="1">
        <v>0</v>
      </c>
      <c r="F1278" s="1">
        <v>0</v>
      </c>
      <c r="G1278" s="1">
        <v>0</v>
      </c>
      <c r="H1278" s="1">
        <v>0</v>
      </c>
      <c r="I1278" s="1">
        <v>0</v>
      </c>
    </row>
    <row r="1279" spans="1:9" ht="23.25">
      <c r="A1279" s="4" t="s">
        <v>49</v>
      </c>
      <c r="B1279" s="4"/>
      <c r="C1279" s="4" t="s">
        <v>27</v>
      </c>
      <c r="D1279" s="4"/>
      <c r="E1279" s="1">
        <v>0</v>
      </c>
      <c r="F1279" s="1">
        <v>0</v>
      </c>
      <c r="G1279" s="1">
        <v>0</v>
      </c>
      <c r="H1279" s="1">
        <v>0</v>
      </c>
      <c r="I1279" s="1">
        <v>0</v>
      </c>
    </row>
    <row r="1280" spans="1:9" ht="23.25">
      <c r="A1280" s="4" t="s">
        <v>50</v>
      </c>
      <c r="B1280" s="4"/>
      <c r="C1280" s="4" t="s">
        <v>27</v>
      </c>
      <c r="D1280" s="4"/>
      <c r="E1280" s="1">
        <v>0</v>
      </c>
      <c r="F1280" s="1">
        <v>0</v>
      </c>
      <c r="G1280" s="1">
        <v>0</v>
      </c>
      <c r="H1280" s="1">
        <v>0</v>
      </c>
      <c r="I1280" s="1">
        <v>0</v>
      </c>
    </row>
    <row r="1281" spans="1:9" ht="23.25">
      <c r="A1281" s="4" t="s">
        <v>51</v>
      </c>
      <c r="B1281" s="4"/>
      <c r="C1281" s="4" t="s">
        <v>27</v>
      </c>
      <c r="D1281" s="4"/>
      <c r="E1281" s="1">
        <v>12998</v>
      </c>
      <c r="F1281" s="1">
        <v>586</v>
      </c>
      <c r="G1281" s="1">
        <v>1155</v>
      </c>
      <c r="H1281" s="1">
        <v>114</v>
      </c>
      <c r="I1281" s="1">
        <v>0</v>
      </c>
    </row>
    <row r="1282" spans="1:9" ht="23.25">
      <c r="A1282" s="4" t="s">
        <v>52</v>
      </c>
      <c r="B1282" s="4"/>
      <c r="C1282" s="4" t="s">
        <v>27</v>
      </c>
      <c r="D1282" s="4"/>
      <c r="E1282" s="1">
        <v>1346367</v>
      </c>
      <c r="F1282" s="1">
        <v>1082</v>
      </c>
      <c r="G1282" s="1">
        <v>2431</v>
      </c>
      <c r="H1282" s="1">
        <v>596</v>
      </c>
      <c r="I1282" s="1">
        <v>0</v>
      </c>
    </row>
    <row r="1283" spans="1:9" ht="23.25">
      <c r="A1283" s="4" t="s">
        <v>53</v>
      </c>
      <c r="B1283" s="4"/>
      <c r="C1283" s="4" t="s">
        <v>27</v>
      </c>
      <c r="D1283" s="4"/>
      <c r="E1283" s="1">
        <v>17019</v>
      </c>
      <c r="F1283" s="1">
        <v>0</v>
      </c>
      <c r="G1283" s="1">
        <v>0</v>
      </c>
      <c r="H1283" s="1">
        <v>0</v>
      </c>
      <c r="I1283" s="1">
        <v>0</v>
      </c>
    </row>
    <row r="1284" spans="1:9" ht="23.25">
      <c r="A1284" s="4" t="s">
        <v>54</v>
      </c>
      <c r="B1284" s="4"/>
      <c r="C1284" s="4" t="s">
        <v>27</v>
      </c>
      <c r="D1284" s="4"/>
      <c r="E1284" s="1">
        <v>32709</v>
      </c>
      <c r="F1284" s="1">
        <v>0</v>
      </c>
      <c r="G1284" s="1">
        <v>0</v>
      </c>
      <c r="H1284" s="1">
        <v>0</v>
      </c>
      <c r="I1284" s="1">
        <v>0</v>
      </c>
    </row>
    <row r="1285" spans="1:9" ht="23.25">
      <c r="A1285" s="4" t="s">
        <v>55</v>
      </c>
      <c r="B1285" s="4"/>
      <c r="C1285" s="4" t="s">
        <v>27</v>
      </c>
      <c r="D1285" s="4"/>
      <c r="E1285" s="1">
        <v>0</v>
      </c>
      <c r="F1285" s="1">
        <v>0</v>
      </c>
      <c r="G1285" s="1">
        <v>0</v>
      </c>
      <c r="H1285" s="1">
        <v>0</v>
      </c>
      <c r="I1285" s="1">
        <v>0</v>
      </c>
    </row>
    <row r="1286" spans="1:9" ht="23.25">
      <c r="A1286" s="4" t="s">
        <v>56</v>
      </c>
      <c r="B1286" s="4"/>
      <c r="C1286" s="4" t="s">
        <v>27</v>
      </c>
      <c r="D1286" s="4"/>
      <c r="E1286" s="1">
        <v>0</v>
      </c>
      <c r="F1286" s="1">
        <v>-1891970</v>
      </c>
      <c r="G1286" s="1">
        <v>-1551825</v>
      </c>
      <c r="H1286" s="1">
        <v>0</v>
      </c>
      <c r="I1286" s="1">
        <v>0</v>
      </c>
    </row>
    <row r="1287" spans="1:9" ht="23.25">
      <c r="A1287" s="4" t="s">
        <v>57</v>
      </c>
      <c r="B1287" s="4"/>
      <c r="C1287" s="4" t="s">
        <v>27</v>
      </c>
      <c r="D1287" s="4"/>
      <c r="E1287" s="1">
        <v>37447</v>
      </c>
      <c r="F1287" s="1">
        <v>0</v>
      </c>
      <c r="G1287" s="1">
        <v>0</v>
      </c>
      <c r="H1287" s="1">
        <v>0</v>
      </c>
      <c r="I1287" s="1">
        <v>0</v>
      </c>
    </row>
    <row r="1288" spans="1:9" ht="23.25">
      <c r="A1288" s="4" t="s">
        <v>58</v>
      </c>
      <c r="B1288" s="4"/>
      <c r="C1288" s="4" t="s">
        <v>27</v>
      </c>
      <c r="D1288" s="4"/>
      <c r="E1288" s="1">
        <v>55286</v>
      </c>
      <c r="F1288" s="1">
        <v>0</v>
      </c>
      <c r="G1288" s="1">
        <v>0</v>
      </c>
      <c r="H1288" s="1">
        <v>-542851</v>
      </c>
      <c r="I1288" s="1">
        <v>0</v>
      </c>
    </row>
    <row r="1289" spans="1:9" ht="23.25">
      <c r="A1289" s="4" t="s">
        <v>59</v>
      </c>
      <c r="B1289" s="4"/>
      <c r="C1289" s="4" t="s">
        <v>27</v>
      </c>
      <c r="D1289" s="4"/>
      <c r="E1289" s="1">
        <v>65247</v>
      </c>
      <c r="F1289" s="1">
        <v>0</v>
      </c>
      <c r="G1289" s="1">
        <v>0</v>
      </c>
      <c r="H1289" s="1">
        <v>0</v>
      </c>
      <c r="I1289" s="1">
        <v>0</v>
      </c>
    </row>
    <row r="1290" spans="1:9" ht="23.25">
      <c r="A1290" s="4" t="s">
        <v>60</v>
      </c>
      <c r="B1290" s="4"/>
      <c r="C1290" s="4" t="s">
        <v>27</v>
      </c>
      <c r="D1290" s="4"/>
      <c r="E1290" s="1">
        <v>363017</v>
      </c>
      <c r="F1290" s="1">
        <v>0</v>
      </c>
      <c r="G1290" s="1">
        <v>0</v>
      </c>
      <c r="H1290" s="1">
        <v>0</v>
      </c>
      <c r="I1290" s="1">
        <v>0</v>
      </c>
    </row>
    <row r="1291" spans="1:9" ht="23.25">
      <c r="A1291" s="4" t="s">
        <v>61</v>
      </c>
      <c r="B1291" s="4"/>
      <c r="C1291" s="4" t="s">
        <v>27</v>
      </c>
      <c r="D1291" s="4"/>
      <c r="E1291" s="1">
        <v>15877</v>
      </c>
      <c r="F1291" s="1">
        <v>0</v>
      </c>
      <c r="G1291" s="1">
        <v>0</v>
      </c>
      <c r="H1291" s="1">
        <v>0</v>
      </c>
      <c r="I1291" s="1">
        <v>0</v>
      </c>
    </row>
    <row r="1292" spans="1:9" ht="23.25">
      <c r="A1292" s="4" t="s">
        <v>62</v>
      </c>
      <c r="B1292" s="4"/>
      <c r="C1292" s="4" t="s">
        <v>27</v>
      </c>
      <c r="D1292" s="4"/>
      <c r="E1292" s="1">
        <v>1107626</v>
      </c>
      <c r="F1292" s="1">
        <v>0</v>
      </c>
      <c r="G1292" s="1">
        <v>0</v>
      </c>
      <c r="H1292" s="1">
        <v>0</v>
      </c>
      <c r="I1292" s="1">
        <v>0</v>
      </c>
    </row>
    <row r="1293" spans="1:9" ht="23.25">
      <c r="A1293" s="4" t="s">
        <v>63</v>
      </c>
      <c r="B1293" s="4"/>
      <c r="C1293" s="4" t="s">
        <v>27</v>
      </c>
      <c r="D1293" s="4"/>
      <c r="E1293" s="1">
        <v>22538</v>
      </c>
      <c r="F1293" s="1">
        <v>0</v>
      </c>
      <c r="G1293" s="1">
        <v>0</v>
      </c>
      <c r="H1293" s="1">
        <v>0</v>
      </c>
      <c r="I1293" s="1">
        <v>0</v>
      </c>
    </row>
    <row r="1294" spans="1:9" ht="23.25">
      <c r="A1294" s="4" t="s">
        <v>64</v>
      </c>
      <c r="B1294" s="4"/>
      <c r="C1294" s="4" t="s">
        <v>27</v>
      </c>
      <c r="D1294" s="4"/>
      <c r="E1294" s="1">
        <v>31053</v>
      </c>
      <c r="F1294" s="1">
        <v>0</v>
      </c>
      <c r="G1294" s="1">
        <v>0</v>
      </c>
      <c r="H1294" s="1">
        <v>0</v>
      </c>
      <c r="I1294" s="1">
        <v>0</v>
      </c>
    </row>
    <row r="1295" spans="1:9" ht="23.25">
      <c r="A1295" s="4" t="s">
        <v>65</v>
      </c>
      <c r="B1295" s="4"/>
      <c r="C1295" s="4" t="s">
        <v>27</v>
      </c>
      <c r="D1295" s="4"/>
      <c r="E1295" s="1">
        <v>104995</v>
      </c>
      <c r="F1295" s="1">
        <v>0</v>
      </c>
      <c r="G1295" s="1">
        <v>0</v>
      </c>
      <c r="H1295" s="1">
        <v>0</v>
      </c>
      <c r="I1295" s="1">
        <v>10797</v>
      </c>
    </row>
    <row r="1296" spans="1:9" ht="23.25">
      <c r="A1296" s="4" t="s">
        <v>66</v>
      </c>
      <c r="B1296" s="4"/>
      <c r="C1296" s="4" t="s">
        <v>27</v>
      </c>
      <c r="D1296" s="4"/>
      <c r="E1296" s="1">
        <v>58891734</v>
      </c>
      <c r="F1296" s="1">
        <v>0</v>
      </c>
      <c r="G1296" s="1">
        <v>0</v>
      </c>
      <c r="H1296" s="1">
        <v>0</v>
      </c>
      <c r="I1296" s="1">
        <v>38271849</v>
      </c>
    </row>
    <row r="1297" spans="1:9" ht="23.25">
      <c r="A1297" s="4" t="s">
        <v>67</v>
      </c>
      <c r="B1297" s="4"/>
      <c r="C1297" s="4" t="s">
        <v>27</v>
      </c>
      <c r="D1297" s="4"/>
      <c r="E1297" s="1">
        <v>3185990</v>
      </c>
      <c r="F1297" s="1">
        <v>0</v>
      </c>
      <c r="G1297" s="1">
        <v>0</v>
      </c>
      <c r="H1297" s="1">
        <v>0</v>
      </c>
      <c r="I1297" s="1">
        <v>0</v>
      </c>
    </row>
    <row r="1298" spans="1:9" ht="23.25">
      <c r="A1298" s="4" t="s">
        <v>68</v>
      </c>
      <c r="B1298" s="4"/>
      <c r="C1298" s="4" t="s">
        <v>27</v>
      </c>
      <c r="D1298" s="4"/>
      <c r="E1298" s="1">
        <v>5546964</v>
      </c>
      <c r="F1298" s="1">
        <v>0</v>
      </c>
      <c r="G1298" s="1">
        <v>0</v>
      </c>
      <c r="H1298" s="1">
        <v>0</v>
      </c>
      <c r="I1298" s="1">
        <v>0</v>
      </c>
    </row>
    <row r="1299" spans="1:9" ht="23.25">
      <c r="A1299" s="4" t="s">
        <v>69</v>
      </c>
      <c r="B1299" s="4"/>
      <c r="C1299" s="4" t="s">
        <v>27</v>
      </c>
      <c r="D1299" s="4"/>
      <c r="E1299" s="1">
        <v>2177845</v>
      </c>
      <c r="F1299" s="1">
        <v>0</v>
      </c>
      <c r="G1299" s="1">
        <v>0</v>
      </c>
      <c r="H1299" s="1">
        <v>0</v>
      </c>
      <c r="I1299" s="1">
        <v>0</v>
      </c>
    </row>
    <row r="1300" spans="1:9" ht="23.25">
      <c r="A1300" s="4" t="s">
        <v>70</v>
      </c>
      <c r="B1300" s="4"/>
      <c r="C1300" s="4" t="s">
        <v>27</v>
      </c>
      <c r="D1300" s="4"/>
      <c r="E1300" s="1">
        <v>1506350</v>
      </c>
      <c r="F1300" s="1">
        <v>0</v>
      </c>
      <c r="G1300" s="1">
        <v>0</v>
      </c>
      <c r="H1300" s="1">
        <v>0</v>
      </c>
      <c r="I1300" s="1">
        <v>0</v>
      </c>
    </row>
    <row r="1301" spans="1:9" ht="23.25">
      <c r="A1301" s="4" t="s">
        <v>71</v>
      </c>
      <c r="B1301" s="4"/>
      <c r="C1301" s="4" t="s">
        <v>27</v>
      </c>
      <c r="D1301" s="4"/>
      <c r="E1301" s="1">
        <v>12417149</v>
      </c>
      <c r="F1301" s="1">
        <v>0</v>
      </c>
      <c r="G1301" s="1">
        <v>0</v>
      </c>
      <c r="H1301" s="1">
        <v>0</v>
      </c>
      <c r="I1301" s="1">
        <v>0</v>
      </c>
    </row>
    <row r="1302" spans="1:9" ht="23.25">
      <c r="A1302" s="4" t="s">
        <v>72</v>
      </c>
      <c r="B1302" s="4"/>
      <c r="C1302" s="4" t="s">
        <v>27</v>
      </c>
      <c r="D1302" s="4"/>
      <c r="E1302" s="1">
        <v>71308883</v>
      </c>
      <c r="F1302" s="1">
        <v>0</v>
      </c>
      <c r="G1302" s="1">
        <v>0</v>
      </c>
      <c r="H1302" s="1">
        <v>0</v>
      </c>
      <c r="I1302" s="1">
        <v>0</v>
      </c>
    </row>
    <row r="1303" spans="1:9" ht="23.25">
      <c r="A1303" s="4" t="s">
        <v>8</v>
      </c>
      <c r="B1303" s="4"/>
      <c r="C1303" s="4" t="s">
        <v>28</v>
      </c>
      <c r="D1303" s="4"/>
      <c r="E1303" s="1">
        <v>0</v>
      </c>
      <c r="F1303" s="1">
        <v>0</v>
      </c>
      <c r="G1303" s="1">
        <v>0</v>
      </c>
      <c r="H1303" s="1">
        <v>0</v>
      </c>
      <c r="I1303" s="1">
        <v>0</v>
      </c>
    </row>
    <row r="1304" spans="1:9" ht="23.25">
      <c r="A1304" s="4" t="s">
        <v>9</v>
      </c>
      <c r="B1304" s="4"/>
      <c r="C1304" s="4" t="s">
        <v>28</v>
      </c>
      <c r="D1304" s="4"/>
      <c r="E1304" s="1">
        <v>0</v>
      </c>
      <c r="F1304" s="1">
        <v>0</v>
      </c>
      <c r="G1304" s="1">
        <v>0</v>
      </c>
      <c r="H1304" s="1">
        <v>0</v>
      </c>
      <c r="I1304" s="1">
        <v>0</v>
      </c>
    </row>
    <row r="1305" spans="1:9" ht="23.25">
      <c r="A1305" s="4" t="s">
        <v>10</v>
      </c>
      <c r="B1305" s="4"/>
      <c r="C1305" s="4" t="s">
        <v>28</v>
      </c>
      <c r="D1305" s="4"/>
      <c r="E1305" s="1">
        <v>0</v>
      </c>
      <c r="F1305" s="1">
        <v>0</v>
      </c>
      <c r="G1305" s="1">
        <v>0</v>
      </c>
      <c r="H1305" s="1">
        <v>0</v>
      </c>
      <c r="I1305" s="1">
        <v>0</v>
      </c>
    </row>
    <row r="1306" spans="1:9" ht="23.25">
      <c r="A1306" s="4" t="s">
        <v>11</v>
      </c>
      <c r="B1306" s="4"/>
      <c r="C1306" s="4" t="s">
        <v>28</v>
      </c>
      <c r="D1306" s="4"/>
      <c r="E1306" s="1">
        <v>5136281</v>
      </c>
      <c r="F1306" s="1">
        <v>106703</v>
      </c>
      <c r="G1306" s="1">
        <v>63319</v>
      </c>
      <c r="H1306" s="1">
        <v>7597</v>
      </c>
      <c r="I1306" s="1">
        <v>4791091</v>
      </c>
    </row>
    <row r="1307" spans="1:9" ht="23.25">
      <c r="A1307" s="4" t="s">
        <v>12</v>
      </c>
      <c r="B1307" s="4"/>
      <c r="C1307" s="4" t="s">
        <v>28</v>
      </c>
      <c r="D1307" s="4"/>
      <c r="E1307" s="1">
        <v>7016675</v>
      </c>
      <c r="F1307" s="1">
        <v>462201</v>
      </c>
      <c r="G1307" s="1">
        <v>1311613</v>
      </c>
      <c r="H1307" s="1">
        <v>31624</v>
      </c>
      <c r="I1307" s="1">
        <v>0</v>
      </c>
    </row>
    <row r="1308" spans="1:9" ht="23.25">
      <c r="A1308" s="4" t="s">
        <v>13</v>
      </c>
      <c r="B1308" s="4"/>
      <c r="C1308" s="4" t="s">
        <v>28</v>
      </c>
      <c r="D1308" s="4"/>
      <c r="E1308" s="1">
        <v>206684</v>
      </c>
      <c r="F1308" s="1">
        <v>678</v>
      </c>
      <c r="G1308" s="1">
        <v>0</v>
      </c>
      <c r="H1308" s="1">
        <v>4901</v>
      </c>
      <c r="I1308" s="1">
        <v>0</v>
      </c>
    </row>
    <row r="1309" spans="1:9" ht="23.25">
      <c r="A1309" s="4" t="s">
        <v>14</v>
      </c>
      <c r="B1309" s="4"/>
      <c r="C1309" s="4" t="s">
        <v>28</v>
      </c>
      <c r="D1309" s="4"/>
      <c r="E1309" s="1">
        <v>0</v>
      </c>
      <c r="F1309" s="1">
        <v>0</v>
      </c>
      <c r="G1309" s="1">
        <v>0</v>
      </c>
      <c r="H1309" s="1">
        <v>0</v>
      </c>
      <c r="I1309" s="1">
        <v>0</v>
      </c>
    </row>
    <row r="1310" spans="1:9" ht="23.25">
      <c r="A1310" s="4" t="s">
        <v>15</v>
      </c>
      <c r="B1310" s="4"/>
      <c r="C1310" s="4" t="s">
        <v>28</v>
      </c>
      <c r="D1310" s="4"/>
      <c r="E1310" s="1">
        <v>28781423</v>
      </c>
      <c r="F1310" s="1">
        <v>2643183</v>
      </c>
      <c r="G1310" s="1">
        <v>1154027</v>
      </c>
      <c r="H1310" s="1">
        <v>533109</v>
      </c>
      <c r="I1310" s="1">
        <v>17703561</v>
      </c>
    </row>
    <row r="1311" spans="1:9" ht="23.25">
      <c r="A1311" s="4" t="s">
        <v>16</v>
      </c>
      <c r="B1311" s="4"/>
      <c r="C1311" s="4" t="s">
        <v>28</v>
      </c>
      <c r="D1311" s="4"/>
      <c r="E1311" s="1">
        <v>0</v>
      </c>
      <c r="F1311" s="1">
        <v>0</v>
      </c>
      <c r="G1311" s="1">
        <v>0</v>
      </c>
      <c r="H1311" s="1">
        <v>0</v>
      </c>
      <c r="I1311" s="1">
        <v>0</v>
      </c>
    </row>
    <row r="1312" spans="1:9" ht="23.25">
      <c r="A1312" s="4" t="s">
        <v>17</v>
      </c>
      <c r="B1312" s="4"/>
      <c r="C1312" s="4" t="s">
        <v>28</v>
      </c>
      <c r="D1312" s="4"/>
      <c r="E1312" s="1">
        <v>33440</v>
      </c>
      <c r="F1312" s="1">
        <v>868</v>
      </c>
      <c r="G1312" s="1">
        <v>499</v>
      </c>
      <c r="H1312" s="1">
        <v>770</v>
      </c>
      <c r="I1312" s="1">
        <v>0</v>
      </c>
    </row>
    <row r="1313" spans="1:9" ht="23.25">
      <c r="A1313" s="4" t="s">
        <v>18</v>
      </c>
      <c r="B1313" s="4"/>
      <c r="C1313" s="4" t="s">
        <v>28</v>
      </c>
      <c r="D1313" s="4"/>
      <c r="E1313" s="1">
        <v>0</v>
      </c>
      <c r="F1313" s="1">
        <v>0</v>
      </c>
      <c r="G1313" s="1">
        <v>0</v>
      </c>
      <c r="H1313" s="1">
        <v>0</v>
      </c>
      <c r="I1313" s="1">
        <v>0</v>
      </c>
    </row>
    <row r="1314" spans="1:9" ht="23.25">
      <c r="A1314" s="4" t="s">
        <v>19</v>
      </c>
      <c r="B1314" s="4"/>
      <c r="C1314" s="4" t="s">
        <v>28</v>
      </c>
      <c r="D1314" s="4"/>
      <c r="E1314" s="1">
        <v>0</v>
      </c>
      <c r="F1314" s="1">
        <v>0</v>
      </c>
      <c r="G1314" s="1">
        <v>0</v>
      </c>
      <c r="H1314" s="1">
        <v>0</v>
      </c>
      <c r="I1314" s="1">
        <v>0</v>
      </c>
    </row>
    <row r="1315" spans="1:9" ht="23.25">
      <c r="A1315" s="4" t="s">
        <v>20</v>
      </c>
      <c r="B1315" s="4"/>
      <c r="C1315" s="4" t="s">
        <v>28</v>
      </c>
      <c r="D1315" s="4"/>
      <c r="E1315" s="1">
        <v>0</v>
      </c>
      <c r="F1315" s="1">
        <v>0</v>
      </c>
      <c r="G1315" s="1">
        <v>0</v>
      </c>
      <c r="H1315" s="1">
        <v>0</v>
      </c>
      <c r="I1315" s="1">
        <v>0</v>
      </c>
    </row>
    <row r="1316" spans="1:9" ht="23.25">
      <c r="A1316" s="4" t="s">
        <v>21</v>
      </c>
      <c r="B1316" s="4"/>
      <c r="C1316" s="4" t="s">
        <v>28</v>
      </c>
      <c r="D1316" s="4"/>
      <c r="E1316" s="1">
        <v>0</v>
      </c>
      <c r="F1316" s="1">
        <v>0</v>
      </c>
      <c r="G1316" s="1">
        <v>0</v>
      </c>
      <c r="H1316" s="1">
        <v>0</v>
      </c>
      <c r="I1316" s="1">
        <v>0</v>
      </c>
    </row>
    <row r="1317" spans="1:9" ht="23.25">
      <c r="A1317" s="4" t="s">
        <v>22</v>
      </c>
      <c r="B1317" s="4"/>
      <c r="C1317" s="4" t="s">
        <v>28</v>
      </c>
      <c r="D1317" s="4"/>
      <c r="E1317" s="1">
        <v>0</v>
      </c>
      <c r="F1317" s="1">
        <v>0</v>
      </c>
      <c r="G1317" s="1">
        <v>0</v>
      </c>
      <c r="H1317" s="1">
        <v>0</v>
      </c>
      <c r="I1317" s="1">
        <v>0</v>
      </c>
    </row>
    <row r="1318" spans="1:9" ht="23.25">
      <c r="A1318" s="4" t="s">
        <v>23</v>
      </c>
      <c r="B1318" s="4"/>
      <c r="C1318" s="4" t="s">
        <v>28</v>
      </c>
      <c r="D1318" s="4"/>
      <c r="E1318" s="1">
        <v>295788</v>
      </c>
      <c r="F1318" s="1">
        <v>12571</v>
      </c>
      <c r="G1318" s="1">
        <v>9091</v>
      </c>
      <c r="H1318" s="1">
        <v>4571</v>
      </c>
      <c r="I1318" s="1">
        <v>0</v>
      </c>
    </row>
    <row r="1319" spans="1:9" ht="23.25">
      <c r="A1319" s="4" t="s">
        <v>24</v>
      </c>
      <c r="B1319" s="4"/>
      <c r="C1319" s="4" t="s">
        <v>28</v>
      </c>
      <c r="D1319" s="4"/>
      <c r="E1319" s="1">
        <v>3162941</v>
      </c>
      <c r="F1319" s="1">
        <v>70755</v>
      </c>
      <c r="G1319" s="1">
        <v>133245</v>
      </c>
      <c r="H1319" s="1">
        <v>49834</v>
      </c>
      <c r="I1319" s="1">
        <v>0</v>
      </c>
    </row>
    <row r="1320" spans="1:9" ht="23.25">
      <c r="A1320" s="4" t="s">
        <v>25</v>
      </c>
      <c r="B1320" s="4"/>
      <c r="C1320" s="4" t="s">
        <v>28</v>
      </c>
      <c r="D1320" s="4"/>
      <c r="E1320" s="1">
        <v>46659247</v>
      </c>
      <c r="F1320" s="1">
        <v>1108928</v>
      </c>
      <c r="G1320" s="1">
        <v>1799859</v>
      </c>
      <c r="H1320" s="1">
        <v>640069</v>
      </c>
      <c r="I1320" s="1">
        <v>8938635</v>
      </c>
    </row>
    <row r="1321" spans="1:9" ht="23.25">
      <c r="A1321" s="4" t="s">
        <v>26</v>
      </c>
      <c r="B1321" s="4"/>
      <c r="C1321" s="4" t="s">
        <v>28</v>
      </c>
      <c r="D1321" s="4"/>
      <c r="E1321" s="1">
        <v>17786538</v>
      </c>
      <c r="F1321" s="1">
        <v>872163</v>
      </c>
      <c r="G1321" s="1">
        <v>662212</v>
      </c>
      <c r="H1321" s="1">
        <v>257141</v>
      </c>
      <c r="I1321" s="1">
        <v>11011320</v>
      </c>
    </row>
    <row r="1322" spans="1:9" ht="23.25">
      <c r="A1322" s="4" t="s">
        <v>27</v>
      </c>
      <c r="B1322" s="4"/>
      <c r="C1322" s="4" t="s">
        <v>28</v>
      </c>
      <c r="D1322" s="4"/>
      <c r="E1322" s="1">
        <v>0</v>
      </c>
      <c r="F1322" s="1">
        <v>0</v>
      </c>
      <c r="G1322" s="1">
        <v>0</v>
      </c>
      <c r="H1322" s="1">
        <v>0</v>
      </c>
      <c r="I1322" s="1">
        <v>0</v>
      </c>
    </row>
    <row r="1323" spans="1:9" ht="23.25">
      <c r="A1323" s="4" t="s">
        <v>28</v>
      </c>
      <c r="B1323" s="4"/>
      <c r="C1323" s="4" t="s">
        <v>28</v>
      </c>
      <c r="D1323" s="4"/>
      <c r="E1323" s="1">
        <v>43970950</v>
      </c>
      <c r="F1323" s="1">
        <v>2895330</v>
      </c>
      <c r="G1323" s="1">
        <v>1856740</v>
      </c>
      <c r="H1323" s="1">
        <v>574210</v>
      </c>
      <c r="I1323" s="1">
        <v>4335335</v>
      </c>
    </row>
    <row r="1324" spans="1:9" ht="23.25">
      <c r="A1324" s="4" t="s">
        <v>29</v>
      </c>
      <c r="B1324" s="4"/>
      <c r="C1324" s="4" t="s">
        <v>28</v>
      </c>
      <c r="D1324" s="4"/>
      <c r="E1324" s="1">
        <v>0</v>
      </c>
      <c r="F1324" s="1">
        <v>0</v>
      </c>
      <c r="G1324" s="1">
        <v>0</v>
      </c>
      <c r="H1324" s="1">
        <v>0</v>
      </c>
      <c r="I1324" s="1">
        <v>0</v>
      </c>
    </row>
    <row r="1325" spans="1:9" ht="23.25">
      <c r="A1325" s="4" t="s">
        <v>30</v>
      </c>
      <c r="B1325" s="4"/>
      <c r="C1325" s="4" t="s">
        <v>28</v>
      </c>
      <c r="D1325" s="4"/>
      <c r="E1325" s="1">
        <v>0</v>
      </c>
      <c r="F1325" s="1">
        <v>0</v>
      </c>
      <c r="G1325" s="1">
        <v>0</v>
      </c>
      <c r="H1325" s="1">
        <v>0</v>
      </c>
      <c r="I1325" s="1">
        <v>0</v>
      </c>
    </row>
    <row r="1326" spans="1:9" ht="23.25">
      <c r="A1326" s="4" t="s">
        <v>31</v>
      </c>
      <c r="B1326" s="4"/>
      <c r="C1326" s="4" t="s">
        <v>28</v>
      </c>
      <c r="D1326" s="4"/>
      <c r="E1326" s="1">
        <v>0</v>
      </c>
      <c r="F1326" s="1">
        <v>0</v>
      </c>
      <c r="G1326" s="1">
        <v>0</v>
      </c>
      <c r="H1326" s="1">
        <v>0</v>
      </c>
      <c r="I1326" s="1">
        <v>0</v>
      </c>
    </row>
    <row r="1327" spans="1:9" ht="23.25">
      <c r="A1327" s="4" t="s">
        <v>32</v>
      </c>
      <c r="B1327" s="4"/>
      <c r="C1327" s="4" t="s">
        <v>28</v>
      </c>
      <c r="D1327" s="4"/>
      <c r="E1327" s="1">
        <v>2405839</v>
      </c>
      <c r="F1327" s="1">
        <v>115961</v>
      </c>
      <c r="G1327" s="1">
        <v>66345</v>
      </c>
      <c r="H1327" s="1">
        <v>23849</v>
      </c>
      <c r="I1327" s="1">
        <v>257312</v>
      </c>
    </row>
    <row r="1328" spans="1:9" ht="23.25">
      <c r="A1328" s="4" t="s">
        <v>33</v>
      </c>
      <c r="B1328" s="4"/>
      <c r="C1328" s="4" t="s">
        <v>28</v>
      </c>
      <c r="D1328" s="4"/>
      <c r="E1328" s="1">
        <v>8654</v>
      </c>
      <c r="F1328" s="1">
        <v>897</v>
      </c>
      <c r="G1328" s="1">
        <v>1782</v>
      </c>
      <c r="H1328" s="1">
        <v>103</v>
      </c>
      <c r="I1328" s="1">
        <v>0</v>
      </c>
    </row>
    <row r="1329" spans="1:9" ht="23.25">
      <c r="A1329" s="4" t="s">
        <v>34</v>
      </c>
      <c r="B1329" s="4"/>
      <c r="C1329" s="4" t="s">
        <v>28</v>
      </c>
      <c r="D1329" s="4"/>
      <c r="E1329" s="1">
        <v>18751645</v>
      </c>
      <c r="F1329" s="1">
        <v>1937699</v>
      </c>
      <c r="G1329" s="1">
        <v>1455110</v>
      </c>
      <c r="H1329" s="1">
        <v>435888</v>
      </c>
      <c r="I1329" s="1">
        <v>12119316</v>
      </c>
    </row>
    <row r="1330" spans="1:9" ht="23.25">
      <c r="A1330" s="4" t="s">
        <v>35</v>
      </c>
      <c r="B1330" s="4"/>
      <c r="C1330" s="4" t="s">
        <v>28</v>
      </c>
      <c r="D1330" s="4"/>
      <c r="E1330" s="1">
        <v>0</v>
      </c>
      <c r="F1330" s="1">
        <v>0</v>
      </c>
      <c r="G1330" s="1">
        <v>0</v>
      </c>
      <c r="H1330" s="1">
        <v>0</v>
      </c>
      <c r="I1330" s="1">
        <v>0</v>
      </c>
    </row>
    <row r="1331" spans="1:9" ht="23.25">
      <c r="A1331" s="4" t="s">
        <v>36</v>
      </c>
      <c r="B1331" s="4"/>
      <c r="C1331" s="4" t="s">
        <v>28</v>
      </c>
      <c r="D1331" s="4"/>
      <c r="E1331" s="1">
        <v>3580693</v>
      </c>
      <c r="F1331" s="1">
        <v>336737</v>
      </c>
      <c r="G1331" s="1">
        <v>414114</v>
      </c>
      <c r="H1331" s="1">
        <v>41943</v>
      </c>
      <c r="I1331" s="1">
        <v>1527824</v>
      </c>
    </row>
    <row r="1332" spans="1:9" ht="23.25">
      <c r="A1332" s="4" t="s">
        <v>37</v>
      </c>
      <c r="B1332" s="4"/>
      <c r="C1332" s="4" t="s">
        <v>28</v>
      </c>
      <c r="D1332" s="4"/>
      <c r="E1332" s="1">
        <v>6815001</v>
      </c>
      <c r="F1332" s="1">
        <v>171765</v>
      </c>
      <c r="G1332" s="1">
        <v>213487</v>
      </c>
      <c r="H1332" s="1">
        <v>55982</v>
      </c>
      <c r="I1332" s="1">
        <v>1205204</v>
      </c>
    </row>
    <row r="1333" spans="1:9" ht="23.25">
      <c r="A1333" s="4" t="s">
        <v>38</v>
      </c>
      <c r="B1333" s="4"/>
      <c r="C1333" s="4" t="s">
        <v>28</v>
      </c>
      <c r="D1333" s="4"/>
      <c r="E1333" s="1">
        <v>0</v>
      </c>
      <c r="F1333" s="1">
        <v>0</v>
      </c>
      <c r="G1333" s="1">
        <v>0</v>
      </c>
      <c r="H1333" s="1">
        <v>0</v>
      </c>
      <c r="I1333" s="1">
        <v>0</v>
      </c>
    </row>
    <row r="1334" spans="1:9" ht="23.25">
      <c r="A1334" s="4" t="s">
        <v>39</v>
      </c>
      <c r="B1334" s="4"/>
      <c r="C1334" s="4" t="s">
        <v>28</v>
      </c>
      <c r="D1334" s="4"/>
      <c r="E1334" s="1">
        <v>16192344</v>
      </c>
      <c r="F1334" s="1">
        <v>287621</v>
      </c>
      <c r="G1334" s="1">
        <v>448340</v>
      </c>
      <c r="H1334" s="1">
        <v>107929</v>
      </c>
      <c r="I1334" s="1">
        <v>7170291</v>
      </c>
    </row>
    <row r="1335" spans="1:9" ht="23.25">
      <c r="A1335" s="4" t="s">
        <v>40</v>
      </c>
      <c r="B1335" s="4"/>
      <c r="C1335" s="4" t="s">
        <v>28</v>
      </c>
      <c r="D1335" s="4"/>
      <c r="E1335" s="1">
        <v>0</v>
      </c>
      <c r="F1335" s="1">
        <v>0</v>
      </c>
      <c r="G1335" s="1">
        <v>0</v>
      </c>
      <c r="H1335" s="1">
        <v>0</v>
      </c>
      <c r="I1335" s="1">
        <v>0</v>
      </c>
    </row>
    <row r="1336" spans="1:9" ht="23.25">
      <c r="A1336" s="4" t="s">
        <v>41</v>
      </c>
      <c r="B1336" s="4"/>
      <c r="C1336" s="4" t="s">
        <v>28</v>
      </c>
      <c r="D1336" s="4"/>
      <c r="E1336" s="1">
        <v>17835717</v>
      </c>
      <c r="F1336" s="1">
        <v>1421716</v>
      </c>
      <c r="G1336" s="1">
        <v>1206855</v>
      </c>
      <c r="H1336" s="1">
        <v>203429</v>
      </c>
      <c r="I1336" s="1">
        <v>162450</v>
      </c>
    </row>
    <row r="1337" spans="1:9" ht="23.25">
      <c r="A1337" s="4" t="s">
        <v>42</v>
      </c>
      <c r="B1337" s="4"/>
      <c r="C1337" s="4" t="s">
        <v>28</v>
      </c>
      <c r="D1337" s="4"/>
      <c r="E1337" s="1">
        <v>0</v>
      </c>
      <c r="F1337" s="1">
        <v>0</v>
      </c>
      <c r="G1337" s="1">
        <v>0</v>
      </c>
      <c r="H1337" s="1">
        <v>0</v>
      </c>
      <c r="I1337" s="1">
        <v>0</v>
      </c>
    </row>
    <row r="1338" spans="1:9" ht="23.25">
      <c r="A1338" s="4" t="s">
        <v>43</v>
      </c>
      <c r="B1338" s="4"/>
      <c r="C1338" s="4" t="s">
        <v>28</v>
      </c>
      <c r="D1338" s="4"/>
      <c r="E1338" s="1">
        <v>0</v>
      </c>
      <c r="F1338" s="1">
        <v>0</v>
      </c>
      <c r="G1338" s="1">
        <v>0</v>
      </c>
      <c r="H1338" s="1">
        <v>0</v>
      </c>
      <c r="I1338" s="1">
        <v>0</v>
      </c>
    </row>
    <row r="1339" spans="1:9" ht="23.25">
      <c r="A1339" s="4" t="s">
        <v>44</v>
      </c>
      <c r="B1339" s="4"/>
      <c r="C1339" s="4" t="s">
        <v>28</v>
      </c>
      <c r="D1339" s="4"/>
      <c r="E1339" s="1">
        <v>28085433</v>
      </c>
      <c r="F1339" s="1">
        <v>603449</v>
      </c>
      <c r="G1339" s="1">
        <v>952323</v>
      </c>
      <c r="H1339" s="1">
        <v>47865</v>
      </c>
      <c r="I1339" s="1">
        <v>25090064</v>
      </c>
    </row>
    <row r="1340" spans="1:9" ht="23.25">
      <c r="A1340" s="4" t="s">
        <v>45</v>
      </c>
      <c r="B1340" s="4"/>
      <c r="C1340" s="4" t="s">
        <v>28</v>
      </c>
      <c r="D1340" s="4"/>
      <c r="E1340" s="1">
        <v>3214595</v>
      </c>
      <c r="F1340" s="1">
        <v>215851</v>
      </c>
      <c r="G1340" s="1">
        <v>0</v>
      </c>
      <c r="H1340" s="1">
        <v>36129</v>
      </c>
      <c r="I1340" s="1">
        <v>416258</v>
      </c>
    </row>
    <row r="1341" spans="1:9" ht="23.25">
      <c r="A1341" s="4" t="s">
        <v>46</v>
      </c>
      <c r="B1341" s="4"/>
      <c r="C1341" s="4" t="s">
        <v>28</v>
      </c>
      <c r="D1341" s="4"/>
      <c r="E1341" s="1">
        <v>243245</v>
      </c>
      <c r="F1341" s="1">
        <v>11206</v>
      </c>
      <c r="G1341" s="1">
        <v>7189</v>
      </c>
      <c r="H1341" s="1">
        <v>1900</v>
      </c>
      <c r="I1341" s="1">
        <v>0</v>
      </c>
    </row>
    <row r="1342" spans="1:9" ht="23.25">
      <c r="A1342" s="4" t="s">
        <v>47</v>
      </c>
      <c r="B1342" s="4"/>
      <c r="C1342" s="4" t="s">
        <v>28</v>
      </c>
      <c r="D1342" s="4"/>
      <c r="E1342" s="1">
        <v>2181959</v>
      </c>
      <c r="F1342" s="1">
        <v>0</v>
      </c>
      <c r="G1342" s="1">
        <v>0</v>
      </c>
      <c r="H1342" s="1">
        <v>0</v>
      </c>
      <c r="I1342" s="1">
        <v>0</v>
      </c>
    </row>
    <row r="1343" spans="1:9" ht="23.25">
      <c r="A1343" s="4" t="s">
        <v>48</v>
      </c>
      <c r="B1343" s="4"/>
      <c r="C1343" s="4" t="s">
        <v>28</v>
      </c>
      <c r="D1343" s="4"/>
      <c r="E1343" s="1">
        <v>0</v>
      </c>
      <c r="F1343" s="1">
        <v>0</v>
      </c>
      <c r="G1343" s="1">
        <v>0</v>
      </c>
      <c r="H1343" s="1">
        <v>0</v>
      </c>
      <c r="I1343" s="1">
        <v>0</v>
      </c>
    </row>
    <row r="1344" spans="1:9" ht="23.25">
      <c r="A1344" s="4" t="s">
        <v>49</v>
      </c>
      <c r="B1344" s="4"/>
      <c r="C1344" s="4" t="s">
        <v>28</v>
      </c>
      <c r="D1344" s="4"/>
      <c r="E1344" s="1">
        <v>0</v>
      </c>
      <c r="F1344" s="1">
        <v>0</v>
      </c>
      <c r="G1344" s="1">
        <v>0</v>
      </c>
      <c r="H1344" s="1">
        <v>0</v>
      </c>
      <c r="I1344" s="1">
        <v>0</v>
      </c>
    </row>
    <row r="1345" spans="1:9" ht="23.25">
      <c r="A1345" s="4" t="s">
        <v>50</v>
      </c>
      <c r="B1345" s="4"/>
      <c r="C1345" s="4" t="s">
        <v>28</v>
      </c>
      <c r="D1345" s="4"/>
      <c r="E1345" s="1">
        <v>67293</v>
      </c>
      <c r="F1345" s="1">
        <v>6898</v>
      </c>
      <c r="G1345" s="1">
        <v>1750</v>
      </c>
      <c r="H1345" s="1">
        <v>721</v>
      </c>
      <c r="I1345" s="1">
        <v>0</v>
      </c>
    </row>
    <row r="1346" spans="1:9" ht="23.25">
      <c r="A1346" s="4" t="s">
        <v>51</v>
      </c>
      <c r="B1346" s="4"/>
      <c r="C1346" s="4" t="s">
        <v>28</v>
      </c>
      <c r="D1346" s="4"/>
      <c r="E1346" s="1">
        <v>420253</v>
      </c>
      <c r="F1346" s="1">
        <v>19233</v>
      </c>
      <c r="G1346" s="1">
        <v>35539</v>
      </c>
      <c r="H1346" s="1">
        <v>4279</v>
      </c>
      <c r="I1346" s="1">
        <v>0</v>
      </c>
    </row>
    <row r="1347" spans="1:9" ht="23.25">
      <c r="A1347" s="4" t="s">
        <v>52</v>
      </c>
      <c r="B1347" s="4"/>
      <c r="C1347" s="4" t="s">
        <v>28</v>
      </c>
      <c r="D1347" s="4"/>
      <c r="E1347" s="1">
        <v>7883063</v>
      </c>
      <c r="F1347" s="1">
        <v>10328</v>
      </c>
      <c r="G1347" s="1">
        <v>18214</v>
      </c>
      <c r="H1347" s="1">
        <v>1905</v>
      </c>
      <c r="I1347" s="1">
        <v>0</v>
      </c>
    </row>
    <row r="1348" spans="1:9" ht="23.25">
      <c r="A1348" s="4" t="s">
        <v>53</v>
      </c>
      <c r="B1348" s="4"/>
      <c r="C1348" s="4" t="s">
        <v>28</v>
      </c>
      <c r="D1348" s="4"/>
      <c r="E1348" s="1">
        <v>1716650</v>
      </c>
      <c r="F1348" s="1">
        <v>0</v>
      </c>
      <c r="G1348" s="1">
        <v>0</v>
      </c>
      <c r="H1348" s="1">
        <v>0</v>
      </c>
      <c r="I1348" s="1">
        <v>0</v>
      </c>
    </row>
    <row r="1349" spans="1:9" ht="23.25">
      <c r="A1349" s="4" t="s">
        <v>54</v>
      </c>
      <c r="B1349" s="4"/>
      <c r="C1349" s="4" t="s">
        <v>28</v>
      </c>
      <c r="D1349" s="4"/>
      <c r="E1349" s="1">
        <v>251228</v>
      </c>
      <c r="F1349" s="1">
        <v>0</v>
      </c>
      <c r="G1349" s="1">
        <v>0</v>
      </c>
      <c r="H1349" s="1">
        <v>0</v>
      </c>
      <c r="I1349" s="1">
        <v>0</v>
      </c>
    </row>
    <row r="1350" spans="1:9" ht="23.25">
      <c r="A1350" s="4" t="s">
        <v>55</v>
      </c>
      <c r="B1350" s="4"/>
      <c r="C1350" s="4" t="s">
        <v>28</v>
      </c>
      <c r="D1350" s="4"/>
      <c r="E1350" s="1">
        <v>0</v>
      </c>
      <c r="F1350" s="1">
        <v>0</v>
      </c>
      <c r="G1350" s="1">
        <v>0</v>
      </c>
      <c r="H1350" s="1">
        <v>0</v>
      </c>
      <c r="I1350" s="1">
        <v>0</v>
      </c>
    </row>
    <row r="1351" spans="1:9" ht="23.25">
      <c r="A1351" s="4" t="s">
        <v>56</v>
      </c>
      <c r="B1351" s="4"/>
      <c r="C1351" s="4" t="s">
        <v>28</v>
      </c>
      <c r="D1351" s="4"/>
      <c r="E1351" s="1">
        <v>0</v>
      </c>
      <c r="F1351" s="1">
        <v>-13312741</v>
      </c>
      <c r="G1351" s="1">
        <v>-11811653</v>
      </c>
      <c r="H1351" s="1">
        <v>0</v>
      </c>
      <c r="I1351" s="1">
        <v>0</v>
      </c>
    </row>
    <row r="1352" spans="1:9" ht="23.25">
      <c r="A1352" s="4" t="s">
        <v>57</v>
      </c>
      <c r="B1352" s="4"/>
      <c r="C1352" s="4" t="s">
        <v>28</v>
      </c>
      <c r="D1352" s="4"/>
      <c r="E1352" s="1">
        <v>1151470</v>
      </c>
      <c r="F1352" s="1">
        <v>0</v>
      </c>
      <c r="G1352" s="1">
        <v>0</v>
      </c>
      <c r="H1352" s="1">
        <v>0</v>
      </c>
      <c r="I1352" s="1">
        <v>0</v>
      </c>
    </row>
    <row r="1353" spans="1:9" ht="23.25">
      <c r="A1353" s="4" t="s">
        <v>58</v>
      </c>
      <c r="B1353" s="4"/>
      <c r="C1353" s="4" t="s">
        <v>28</v>
      </c>
      <c r="D1353" s="4"/>
      <c r="E1353" s="1">
        <v>3067723</v>
      </c>
      <c r="F1353" s="1">
        <v>0</v>
      </c>
      <c r="G1353" s="1">
        <v>0</v>
      </c>
      <c r="H1353" s="1">
        <v>-3065748</v>
      </c>
      <c r="I1353" s="1">
        <v>0</v>
      </c>
    </row>
    <row r="1354" spans="1:9" ht="23.25">
      <c r="A1354" s="4" t="s">
        <v>59</v>
      </c>
      <c r="B1354" s="4"/>
      <c r="C1354" s="4" t="s">
        <v>28</v>
      </c>
      <c r="D1354" s="4"/>
      <c r="E1354" s="1">
        <v>222566</v>
      </c>
      <c r="F1354" s="1">
        <v>0</v>
      </c>
      <c r="G1354" s="1">
        <v>0</v>
      </c>
      <c r="H1354" s="1">
        <v>0</v>
      </c>
      <c r="I1354" s="1">
        <v>0</v>
      </c>
    </row>
    <row r="1355" spans="1:9" ht="23.25">
      <c r="A1355" s="4" t="s">
        <v>60</v>
      </c>
      <c r="B1355" s="4"/>
      <c r="C1355" s="4" t="s">
        <v>28</v>
      </c>
      <c r="D1355" s="4"/>
      <c r="E1355" s="1">
        <v>6599057</v>
      </c>
      <c r="F1355" s="1">
        <v>0</v>
      </c>
      <c r="G1355" s="1">
        <v>0</v>
      </c>
      <c r="H1355" s="1">
        <v>0</v>
      </c>
      <c r="I1355" s="1">
        <v>0</v>
      </c>
    </row>
    <row r="1356" spans="1:9" ht="23.25">
      <c r="A1356" s="4" t="s">
        <v>61</v>
      </c>
      <c r="B1356" s="4"/>
      <c r="C1356" s="4" t="s">
        <v>28</v>
      </c>
      <c r="D1356" s="4"/>
      <c r="E1356" s="1">
        <v>127331</v>
      </c>
      <c r="F1356" s="1">
        <v>0</v>
      </c>
      <c r="G1356" s="1">
        <v>0</v>
      </c>
      <c r="H1356" s="1">
        <v>0</v>
      </c>
      <c r="I1356" s="1">
        <v>0</v>
      </c>
    </row>
    <row r="1357" spans="1:9" ht="23.25">
      <c r="A1357" s="4" t="s">
        <v>62</v>
      </c>
      <c r="B1357" s="4"/>
      <c r="C1357" s="4" t="s">
        <v>28</v>
      </c>
      <c r="D1357" s="4"/>
      <c r="E1357" s="1">
        <v>16009802</v>
      </c>
      <c r="F1357" s="1">
        <v>0</v>
      </c>
      <c r="G1357" s="1">
        <v>0</v>
      </c>
      <c r="H1357" s="1">
        <v>0</v>
      </c>
      <c r="I1357" s="1">
        <v>0</v>
      </c>
    </row>
    <row r="1358" spans="1:9" ht="23.25">
      <c r="A1358" s="4" t="s">
        <v>63</v>
      </c>
      <c r="B1358" s="4"/>
      <c r="C1358" s="4" t="s">
        <v>28</v>
      </c>
      <c r="D1358" s="4"/>
      <c r="E1358" s="1">
        <v>238829</v>
      </c>
      <c r="F1358" s="1">
        <v>0</v>
      </c>
      <c r="G1358" s="1">
        <v>0</v>
      </c>
      <c r="H1358" s="1">
        <v>0</v>
      </c>
      <c r="I1358" s="1">
        <v>0</v>
      </c>
    </row>
    <row r="1359" spans="1:9" ht="23.25">
      <c r="A1359" s="4" t="s">
        <v>64</v>
      </c>
      <c r="B1359" s="4"/>
      <c r="C1359" s="4" t="s">
        <v>28</v>
      </c>
      <c r="D1359" s="4"/>
      <c r="E1359" s="1">
        <v>530144</v>
      </c>
      <c r="F1359" s="1">
        <v>0</v>
      </c>
      <c r="G1359" s="1">
        <v>0</v>
      </c>
      <c r="H1359" s="1">
        <v>0</v>
      </c>
      <c r="I1359" s="1">
        <v>0</v>
      </c>
    </row>
    <row r="1360" spans="1:9" ht="23.25">
      <c r="A1360" s="4" t="s">
        <v>65</v>
      </c>
      <c r="B1360" s="4"/>
      <c r="C1360" s="4" t="s">
        <v>28</v>
      </c>
      <c r="D1360" s="4"/>
      <c r="E1360" s="1">
        <v>1799732</v>
      </c>
      <c r="F1360" s="1">
        <v>0</v>
      </c>
      <c r="G1360" s="1">
        <v>0</v>
      </c>
      <c r="H1360" s="1">
        <v>0</v>
      </c>
      <c r="I1360" s="1">
        <v>188354</v>
      </c>
    </row>
    <row r="1361" spans="1:9" ht="23.25">
      <c r="A1361" s="4" t="s">
        <v>66</v>
      </c>
      <c r="B1361" s="4"/>
      <c r="C1361" s="4" t="s">
        <v>28</v>
      </c>
      <c r="D1361" s="4"/>
      <c r="E1361" s="1">
        <v>292450233</v>
      </c>
      <c r="F1361" s="1">
        <v>0</v>
      </c>
      <c r="G1361" s="1">
        <v>0</v>
      </c>
      <c r="H1361" s="1">
        <v>0</v>
      </c>
      <c r="I1361" s="1">
        <v>94917015</v>
      </c>
    </row>
    <row r="1362" spans="1:9" ht="23.25">
      <c r="A1362" s="4" t="s">
        <v>67</v>
      </c>
      <c r="B1362" s="4"/>
      <c r="C1362" s="4" t="s">
        <v>28</v>
      </c>
      <c r="D1362" s="4"/>
      <c r="E1362" s="1">
        <v>28569844</v>
      </c>
      <c r="F1362" s="1">
        <v>0</v>
      </c>
      <c r="G1362" s="1">
        <v>0</v>
      </c>
      <c r="H1362" s="1">
        <v>0</v>
      </c>
      <c r="I1362" s="1">
        <v>0</v>
      </c>
    </row>
    <row r="1363" spans="1:9" ht="23.25">
      <c r="A1363" s="4" t="s">
        <v>68</v>
      </c>
      <c r="B1363" s="4"/>
      <c r="C1363" s="4" t="s">
        <v>28</v>
      </c>
      <c r="D1363" s="4"/>
      <c r="E1363" s="1">
        <v>55224412</v>
      </c>
      <c r="F1363" s="1">
        <v>0</v>
      </c>
      <c r="G1363" s="1">
        <v>0</v>
      </c>
      <c r="H1363" s="1">
        <v>0</v>
      </c>
      <c r="I1363" s="1">
        <v>0</v>
      </c>
    </row>
    <row r="1364" spans="1:9" ht="23.25">
      <c r="A1364" s="4" t="s">
        <v>69</v>
      </c>
      <c r="B1364" s="4"/>
      <c r="C1364" s="4" t="s">
        <v>28</v>
      </c>
      <c r="D1364" s="4"/>
      <c r="E1364" s="1">
        <v>29391696</v>
      </c>
      <c r="F1364" s="1">
        <v>0</v>
      </c>
      <c r="G1364" s="1">
        <v>0</v>
      </c>
      <c r="H1364" s="1">
        <v>0</v>
      </c>
      <c r="I1364" s="1">
        <v>0</v>
      </c>
    </row>
    <row r="1365" spans="1:9" ht="23.25">
      <c r="A1365" s="4" t="s">
        <v>70</v>
      </c>
      <c r="B1365" s="4"/>
      <c r="C1365" s="4" t="s">
        <v>28</v>
      </c>
      <c r="D1365" s="4"/>
      <c r="E1365" s="1">
        <v>152310138</v>
      </c>
      <c r="F1365" s="1">
        <v>0</v>
      </c>
      <c r="G1365" s="1">
        <v>0</v>
      </c>
      <c r="H1365" s="1">
        <v>0</v>
      </c>
      <c r="I1365" s="1">
        <v>0</v>
      </c>
    </row>
    <row r="1366" spans="1:9" ht="23.25">
      <c r="A1366" s="4" t="s">
        <v>71</v>
      </c>
      <c r="B1366" s="4"/>
      <c r="C1366" s="4" t="s">
        <v>28</v>
      </c>
      <c r="D1366" s="4"/>
      <c r="E1366" s="1">
        <v>265496090</v>
      </c>
      <c r="F1366" s="1">
        <v>0</v>
      </c>
      <c r="G1366" s="1">
        <v>0</v>
      </c>
      <c r="H1366" s="1">
        <v>0</v>
      </c>
      <c r="I1366" s="1">
        <v>0</v>
      </c>
    </row>
    <row r="1367" spans="1:9" ht="23.25">
      <c r="A1367" s="4" t="s">
        <v>72</v>
      </c>
      <c r="B1367" s="4"/>
      <c r="C1367" s="4" t="s">
        <v>28</v>
      </c>
      <c r="D1367" s="4"/>
      <c r="E1367" s="1">
        <v>557946323</v>
      </c>
      <c r="F1367" s="1">
        <v>0</v>
      </c>
      <c r="G1367" s="1">
        <v>0</v>
      </c>
      <c r="H1367" s="1">
        <v>0</v>
      </c>
      <c r="I1367" s="1">
        <v>0</v>
      </c>
    </row>
    <row r="1368" spans="1:9" ht="23.25">
      <c r="A1368" s="4" t="s">
        <v>8</v>
      </c>
      <c r="B1368" s="4"/>
      <c r="C1368" s="4" t="s">
        <v>29</v>
      </c>
      <c r="D1368" s="4"/>
      <c r="E1368" s="1">
        <v>0</v>
      </c>
      <c r="F1368" s="1">
        <v>0</v>
      </c>
      <c r="G1368" s="1">
        <v>0</v>
      </c>
      <c r="H1368" s="1">
        <v>0</v>
      </c>
      <c r="I1368" s="1">
        <v>0</v>
      </c>
    </row>
    <row r="1369" spans="1:9" ht="23.25">
      <c r="A1369" s="4" t="s">
        <v>9</v>
      </c>
      <c r="B1369" s="4"/>
      <c r="C1369" s="4" t="s">
        <v>29</v>
      </c>
      <c r="D1369" s="4"/>
      <c r="E1369" s="1">
        <v>0</v>
      </c>
      <c r="F1369" s="1">
        <v>0</v>
      </c>
      <c r="G1369" s="1">
        <v>0</v>
      </c>
      <c r="H1369" s="1">
        <v>0</v>
      </c>
      <c r="I1369" s="1">
        <v>0</v>
      </c>
    </row>
    <row r="1370" spans="1:9" ht="23.25">
      <c r="A1370" s="4" t="s">
        <v>10</v>
      </c>
      <c r="B1370" s="4"/>
      <c r="C1370" s="4" t="s">
        <v>29</v>
      </c>
      <c r="D1370" s="4"/>
      <c r="E1370" s="1">
        <v>0</v>
      </c>
      <c r="F1370" s="1">
        <v>0</v>
      </c>
      <c r="G1370" s="1">
        <v>0</v>
      </c>
      <c r="H1370" s="1">
        <v>0</v>
      </c>
      <c r="I1370" s="1">
        <v>0</v>
      </c>
    </row>
    <row r="1371" spans="1:9" ht="23.25">
      <c r="A1371" s="4" t="s">
        <v>11</v>
      </c>
      <c r="B1371" s="4"/>
      <c r="C1371" s="4" t="s">
        <v>29</v>
      </c>
      <c r="D1371" s="4"/>
      <c r="E1371" s="1">
        <v>0</v>
      </c>
      <c r="F1371" s="1">
        <v>0</v>
      </c>
      <c r="G1371" s="1">
        <v>0</v>
      </c>
      <c r="H1371" s="1">
        <v>0</v>
      </c>
      <c r="I1371" s="1">
        <v>0</v>
      </c>
    </row>
    <row r="1372" spans="1:9" ht="23.25">
      <c r="A1372" s="4" t="s">
        <v>12</v>
      </c>
      <c r="B1372" s="4"/>
      <c r="C1372" s="4" t="s">
        <v>29</v>
      </c>
      <c r="D1372" s="4"/>
      <c r="E1372" s="1">
        <v>0</v>
      </c>
      <c r="F1372" s="1">
        <v>0</v>
      </c>
      <c r="G1372" s="1">
        <v>0</v>
      </c>
      <c r="H1372" s="1">
        <v>0</v>
      </c>
      <c r="I1372" s="1">
        <v>0</v>
      </c>
    </row>
    <row r="1373" spans="1:9" ht="23.25">
      <c r="A1373" s="4" t="s">
        <v>13</v>
      </c>
      <c r="B1373" s="4"/>
      <c r="C1373" s="4" t="s">
        <v>29</v>
      </c>
      <c r="D1373" s="4"/>
      <c r="E1373" s="1">
        <v>0</v>
      </c>
      <c r="F1373" s="1">
        <v>0</v>
      </c>
      <c r="G1373" s="1">
        <v>0</v>
      </c>
      <c r="H1373" s="1">
        <v>0</v>
      </c>
      <c r="I1373" s="1">
        <v>0</v>
      </c>
    </row>
    <row r="1374" spans="1:9" ht="23.25">
      <c r="A1374" s="4" t="s">
        <v>14</v>
      </c>
      <c r="B1374" s="4"/>
      <c r="C1374" s="4" t="s">
        <v>29</v>
      </c>
      <c r="D1374" s="4"/>
      <c r="E1374" s="1">
        <v>0</v>
      </c>
      <c r="F1374" s="1">
        <v>0</v>
      </c>
      <c r="G1374" s="1">
        <v>0</v>
      </c>
      <c r="H1374" s="1">
        <v>0</v>
      </c>
      <c r="I1374" s="1">
        <v>0</v>
      </c>
    </row>
    <row r="1375" spans="1:9" ht="23.25">
      <c r="A1375" s="4" t="s">
        <v>15</v>
      </c>
      <c r="B1375" s="4"/>
      <c r="C1375" s="4" t="s">
        <v>29</v>
      </c>
      <c r="D1375" s="4"/>
      <c r="E1375" s="1">
        <v>1479335</v>
      </c>
      <c r="F1375" s="1">
        <v>83067</v>
      </c>
      <c r="G1375" s="1">
        <v>20492</v>
      </c>
      <c r="H1375" s="1">
        <v>11985</v>
      </c>
      <c r="I1375" s="1">
        <v>94892</v>
      </c>
    </row>
    <row r="1376" spans="1:9" ht="23.25">
      <c r="A1376" s="4" t="s">
        <v>16</v>
      </c>
      <c r="B1376" s="4"/>
      <c r="C1376" s="4" t="s">
        <v>29</v>
      </c>
      <c r="D1376" s="4"/>
      <c r="E1376" s="1">
        <v>0</v>
      </c>
      <c r="F1376" s="1">
        <v>0</v>
      </c>
      <c r="G1376" s="1">
        <v>0</v>
      </c>
      <c r="H1376" s="1">
        <v>0</v>
      </c>
      <c r="I1376" s="1">
        <v>0</v>
      </c>
    </row>
    <row r="1377" spans="1:9" ht="23.25">
      <c r="A1377" s="4" t="s">
        <v>17</v>
      </c>
      <c r="B1377" s="4"/>
      <c r="C1377" s="4" t="s">
        <v>29</v>
      </c>
      <c r="D1377" s="4"/>
      <c r="E1377" s="1">
        <v>5016</v>
      </c>
      <c r="F1377" s="1">
        <v>333</v>
      </c>
      <c r="G1377" s="1">
        <v>0</v>
      </c>
      <c r="H1377" s="1">
        <v>41</v>
      </c>
      <c r="I1377" s="1">
        <v>0</v>
      </c>
    </row>
    <row r="1378" spans="1:9" ht="23.25">
      <c r="A1378" s="4" t="s">
        <v>18</v>
      </c>
      <c r="B1378" s="4"/>
      <c r="C1378" s="4" t="s">
        <v>29</v>
      </c>
      <c r="D1378" s="4"/>
      <c r="E1378" s="1">
        <v>0</v>
      </c>
      <c r="F1378" s="1">
        <v>0</v>
      </c>
      <c r="G1378" s="1">
        <v>0</v>
      </c>
      <c r="H1378" s="1">
        <v>0</v>
      </c>
      <c r="I1378" s="1">
        <v>0</v>
      </c>
    </row>
    <row r="1379" spans="1:9" ht="23.25">
      <c r="A1379" s="4" t="s">
        <v>19</v>
      </c>
      <c r="B1379" s="4"/>
      <c r="C1379" s="4" t="s">
        <v>29</v>
      </c>
      <c r="D1379" s="4"/>
      <c r="E1379" s="1">
        <v>0</v>
      </c>
      <c r="F1379" s="1">
        <v>0</v>
      </c>
      <c r="G1379" s="1">
        <v>0</v>
      </c>
      <c r="H1379" s="1">
        <v>0</v>
      </c>
      <c r="I1379" s="1">
        <v>0</v>
      </c>
    </row>
    <row r="1380" spans="1:9" ht="23.25">
      <c r="A1380" s="4" t="s">
        <v>20</v>
      </c>
      <c r="B1380" s="4"/>
      <c r="C1380" s="4" t="s">
        <v>29</v>
      </c>
      <c r="D1380" s="4"/>
      <c r="E1380" s="1">
        <v>0</v>
      </c>
      <c r="F1380" s="1">
        <v>0</v>
      </c>
      <c r="G1380" s="1">
        <v>0</v>
      </c>
      <c r="H1380" s="1">
        <v>0</v>
      </c>
      <c r="I1380" s="1">
        <v>0</v>
      </c>
    </row>
    <row r="1381" spans="1:9" ht="23.25">
      <c r="A1381" s="4" t="s">
        <v>21</v>
      </c>
      <c r="B1381" s="4"/>
      <c r="C1381" s="4" t="s">
        <v>29</v>
      </c>
      <c r="D1381" s="4"/>
      <c r="E1381" s="1">
        <v>0</v>
      </c>
      <c r="F1381" s="1">
        <v>0</v>
      </c>
      <c r="G1381" s="1">
        <v>0</v>
      </c>
      <c r="H1381" s="1">
        <v>0</v>
      </c>
      <c r="I1381" s="1">
        <v>0</v>
      </c>
    </row>
    <row r="1382" spans="1:9" ht="23.25">
      <c r="A1382" s="4" t="s">
        <v>22</v>
      </c>
      <c r="B1382" s="4"/>
      <c r="C1382" s="4" t="s">
        <v>29</v>
      </c>
      <c r="D1382" s="4"/>
      <c r="E1382" s="1">
        <v>0</v>
      </c>
      <c r="F1382" s="1">
        <v>0</v>
      </c>
      <c r="G1382" s="1">
        <v>0</v>
      </c>
      <c r="H1382" s="1">
        <v>0</v>
      </c>
      <c r="I1382" s="1">
        <v>0</v>
      </c>
    </row>
    <row r="1383" spans="1:9" ht="23.25">
      <c r="A1383" s="4" t="s">
        <v>23</v>
      </c>
      <c r="B1383" s="4"/>
      <c r="C1383" s="4" t="s">
        <v>29</v>
      </c>
      <c r="D1383" s="4"/>
      <c r="E1383" s="1">
        <v>0</v>
      </c>
      <c r="F1383" s="1">
        <v>0</v>
      </c>
      <c r="G1383" s="1">
        <v>0</v>
      </c>
      <c r="H1383" s="1">
        <v>0</v>
      </c>
      <c r="I1383" s="1">
        <v>0</v>
      </c>
    </row>
    <row r="1384" spans="1:9" ht="23.25">
      <c r="A1384" s="4" t="s">
        <v>24</v>
      </c>
      <c r="B1384" s="4"/>
      <c r="C1384" s="4" t="s">
        <v>29</v>
      </c>
      <c r="D1384" s="4"/>
      <c r="E1384" s="1">
        <v>0</v>
      </c>
      <c r="F1384" s="1">
        <v>0</v>
      </c>
      <c r="G1384" s="1">
        <v>0</v>
      </c>
      <c r="H1384" s="1">
        <v>0</v>
      </c>
      <c r="I1384" s="1">
        <v>0</v>
      </c>
    </row>
    <row r="1385" spans="1:9" ht="23.25">
      <c r="A1385" s="4" t="s">
        <v>25</v>
      </c>
      <c r="B1385" s="4"/>
      <c r="C1385" s="4" t="s">
        <v>29</v>
      </c>
      <c r="D1385" s="4"/>
      <c r="E1385" s="1">
        <v>0</v>
      </c>
      <c r="F1385" s="1">
        <v>0</v>
      </c>
      <c r="G1385" s="1">
        <v>0</v>
      </c>
      <c r="H1385" s="1">
        <v>0</v>
      </c>
      <c r="I1385" s="1">
        <v>0</v>
      </c>
    </row>
    <row r="1386" spans="1:9" ht="23.25">
      <c r="A1386" s="4" t="s">
        <v>26</v>
      </c>
      <c r="B1386" s="4"/>
      <c r="C1386" s="4" t="s">
        <v>29</v>
      </c>
      <c r="D1386" s="4"/>
      <c r="E1386" s="1">
        <v>0</v>
      </c>
      <c r="F1386" s="1">
        <v>0</v>
      </c>
      <c r="G1386" s="1">
        <v>0</v>
      </c>
      <c r="H1386" s="1">
        <v>0</v>
      </c>
      <c r="I1386" s="1">
        <v>0</v>
      </c>
    </row>
    <row r="1387" spans="1:9" ht="23.25">
      <c r="A1387" s="4" t="s">
        <v>27</v>
      </c>
      <c r="B1387" s="4"/>
      <c r="C1387" s="4" t="s">
        <v>29</v>
      </c>
      <c r="D1387" s="4"/>
      <c r="E1387" s="1">
        <v>0</v>
      </c>
      <c r="F1387" s="1">
        <v>0</v>
      </c>
      <c r="G1387" s="1">
        <v>0</v>
      </c>
      <c r="H1387" s="1">
        <v>0</v>
      </c>
      <c r="I1387" s="1">
        <v>0</v>
      </c>
    </row>
    <row r="1388" spans="1:9" ht="23.25">
      <c r="A1388" s="4" t="s">
        <v>28</v>
      </c>
      <c r="B1388" s="4"/>
      <c r="C1388" s="4" t="s">
        <v>29</v>
      </c>
      <c r="D1388" s="4"/>
      <c r="E1388" s="1">
        <v>0</v>
      </c>
      <c r="F1388" s="1">
        <v>0</v>
      </c>
      <c r="G1388" s="1">
        <v>0</v>
      </c>
      <c r="H1388" s="1">
        <v>0</v>
      </c>
      <c r="I1388" s="1">
        <v>0</v>
      </c>
    </row>
    <row r="1389" spans="1:9" ht="23.25">
      <c r="A1389" s="4" t="s">
        <v>29</v>
      </c>
      <c r="B1389" s="4"/>
      <c r="C1389" s="4" t="s">
        <v>29</v>
      </c>
      <c r="D1389" s="4"/>
      <c r="E1389" s="1">
        <v>6234431</v>
      </c>
      <c r="F1389" s="1">
        <v>266644</v>
      </c>
      <c r="G1389" s="1">
        <v>0</v>
      </c>
      <c r="H1389" s="1">
        <v>141972</v>
      </c>
      <c r="I1389" s="1">
        <v>142716</v>
      </c>
    </row>
    <row r="1390" spans="1:9" ht="23.25">
      <c r="A1390" s="4" t="s">
        <v>30</v>
      </c>
      <c r="B1390" s="4"/>
      <c r="C1390" s="4" t="s">
        <v>29</v>
      </c>
      <c r="D1390" s="4"/>
      <c r="E1390" s="1">
        <v>0</v>
      </c>
      <c r="F1390" s="1">
        <v>0</v>
      </c>
      <c r="G1390" s="1">
        <v>0</v>
      </c>
      <c r="H1390" s="1">
        <v>0</v>
      </c>
      <c r="I1390" s="1">
        <v>0</v>
      </c>
    </row>
    <row r="1391" spans="1:9" ht="23.25">
      <c r="A1391" s="4" t="s">
        <v>31</v>
      </c>
      <c r="B1391" s="4"/>
      <c r="C1391" s="4" t="s">
        <v>29</v>
      </c>
      <c r="D1391" s="4"/>
      <c r="E1391" s="1">
        <v>0</v>
      </c>
      <c r="F1391" s="1">
        <v>0</v>
      </c>
      <c r="G1391" s="1">
        <v>0</v>
      </c>
      <c r="H1391" s="1">
        <v>0</v>
      </c>
      <c r="I1391" s="1">
        <v>0</v>
      </c>
    </row>
    <row r="1392" spans="1:9" ht="23.25">
      <c r="A1392" s="4" t="s">
        <v>32</v>
      </c>
      <c r="B1392" s="4"/>
      <c r="C1392" s="4" t="s">
        <v>29</v>
      </c>
      <c r="D1392" s="4"/>
      <c r="E1392" s="1">
        <v>991499</v>
      </c>
      <c r="F1392" s="1">
        <v>48927</v>
      </c>
      <c r="G1392" s="1">
        <v>48700</v>
      </c>
      <c r="H1392" s="1">
        <v>16438</v>
      </c>
      <c r="I1392" s="1">
        <v>323260</v>
      </c>
    </row>
    <row r="1393" spans="1:9" ht="23.25">
      <c r="A1393" s="4" t="s">
        <v>33</v>
      </c>
      <c r="B1393" s="4"/>
      <c r="C1393" s="4" t="s">
        <v>29</v>
      </c>
      <c r="D1393" s="4"/>
      <c r="E1393" s="1">
        <v>770</v>
      </c>
      <c r="F1393" s="1">
        <v>71</v>
      </c>
      <c r="G1393" s="1">
        <v>93</v>
      </c>
      <c r="H1393" s="1">
        <v>7</v>
      </c>
      <c r="I1393" s="1">
        <v>0</v>
      </c>
    </row>
    <row r="1394" spans="1:9" ht="23.25">
      <c r="A1394" s="4" t="s">
        <v>34</v>
      </c>
      <c r="B1394" s="4"/>
      <c r="C1394" s="4" t="s">
        <v>29</v>
      </c>
      <c r="D1394" s="4"/>
      <c r="E1394" s="1">
        <v>47098</v>
      </c>
      <c r="F1394" s="1">
        <v>3386</v>
      </c>
      <c r="G1394" s="1">
        <v>1567</v>
      </c>
      <c r="H1394" s="1">
        <v>914</v>
      </c>
      <c r="I1394" s="1">
        <v>26054</v>
      </c>
    </row>
    <row r="1395" spans="1:9" ht="23.25">
      <c r="A1395" s="4" t="s">
        <v>35</v>
      </c>
      <c r="B1395" s="4"/>
      <c r="C1395" s="4" t="s">
        <v>29</v>
      </c>
      <c r="D1395" s="4"/>
      <c r="E1395" s="1">
        <v>573</v>
      </c>
      <c r="F1395" s="1">
        <v>50</v>
      </c>
      <c r="G1395" s="1">
        <v>48</v>
      </c>
      <c r="H1395" s="1">
        <v>20</v>
      </c>
      <c r="I1395" s="1">
        <v>0</v>
      </c>
    </row>
    <row r="1396" spans="1:9" ht="23.25">
      <c r="A1396" s="4" t="s">
        <v>36</v>
      </c>
      <c r="B1396" s="4"/>
      <c r="C1396" s="4" t="s">
        <v>29</v>
      </c>
      <c r="D1396" s="4"/>
      <c r="E1396" s="1">
        <v>48631</v>
      </c>
      <c r="F1396" s="1">
        <v>3821</v>
      </c>
      <c r="G1396" s="1">
        <v>6974</v>
      </c>
      <c r="H1396" s="1">
        <v>358</v>
      </c>
      <c r="I1396" s="1">
        <v>1903</v>
      </c>
    </row>
    <row r="1397" spans="1:9" ht="23.25">
      <c r="A1397" s="4" t="s">
        <v>37</v>
      </c>
      <c r="B1397" s="4"/>
      <c r="C1397" s="4" t="s">
        <v>29</v>
      </c>
      <c r="D1397" s="4"/>
      <c r="E1397" s="1">
        <v>49718</v>
      </c>
      <c r="F1397" s="1">
        <v>2444</v>
      </c>
      <c r="G1397" s="1">
        <v>3587</v>
      </c>
      <c r="H1397" s="1">
        <v>511</v>
      </c>
      <c r="I1397" s="1">
        <v>8744</v>
      </c>
    </row>
    <row r="1398" spans="1:9" ht="23.25">
      <c r="A1398" s="4" t="s">
        <v>38</v>
      </c>
      <c r="B1398" s="4"/>
      <c r="C1398" s="4" t="s">
        <v>29</v>
      </c>
      <c r="D1398" s="4"/>
      <c r="E1398" s="1">
        <v>0</v>
      </c>
      <c r="F1398" s="1">
        <v>0</v>
      </c>
      <c r="G1398" s="1">
        <v>0</v>
      </c>
      <c r="H1398" s="1">
        <v>0</v>
      </c>
      <c r="I1398" s="1">
        <v>0</v>
      </c>
    </row>
    <row r="1399" spans="1:9" ht="23.25">
      <c r="A1399" s="4" t="s">
        <v>39</v>
      </c>
      <c r="B1399" s="4"/>
      <c r="C1399" s="4" t="s">
        <v>29</v>
      </c>
      <c r="D1399" s="4"/>
      <c r="E1399" s="1">
        <v>15779</v>
      </c>
      <c r="F1399" s="1">
        <v>671</v>
      </c>
      <c r="G1399" s="1">
        <v>596</v>
      </c>
      <c r="H1399" s="1">
        <v>113</v>
      </c>
      <c r="I1399" s="1">
        <v>3914</v>
      </c>
    </row>
    <row r="1400" spans="1:9" ht="23.25">
      <c r="A1400" s="4" t="s">
        <v>40</v>
      </c>
      <c r="B1400" s="4"/>
      <c r="C1400" s="4" t="s">
        <v>29</v>
      </c>
      <c r="D1400" s="4"/>
      <c r="E1400" s="1">
        <v>0</v>
      </c>
      <c r="F1400" s="1">
        <v>0</v>
      </c>
      <c r="G1400" s="1">
        <v>0</v>
      </c>
      <c r="H1400" s="1">
        <v>0</v>
      </c>
      <c r="I1400" s="1">
        <v>0</v>
      </c>
    </row>
    <row r="1401" spans="1:9" ht="23.25">
      <c r="A1401" s="4" t="s">
        <v>41</v>
      </c>
      <c r="B1401" s="4"/>
      <c r="C1401" s="4" t="s">
        <v>29</v>
      </c>
      <c r="D1401" s="4"/>
      <c r="E1401" s="1">
        <v>0</v>
      </c>
      <c r="F1401" s="1">
        <v>0</v>
      </c>
      <c r="G1401" s="1">
        <v>0</v>
      </c>
      <c r="H1401" s="1">
        <v>0</v>
      </c>
      <c r="I1401" s="1">
        <v>0</v>
      </c>
    </row>
    <row r="1402" spans="1:9" ht="23.25">
      <c r="A1402" s="4" t="s">
        <v>42</v>
      </c>
      <c r="B1402" s="4"/>
      <c r="C1402" s="4" t="s">
        <v>29</v>
      </c>
      <c r="D1402" s="4"/>
      <c r="E1402" s="1">
        <v>0</v>
      </c>
      <c r="F1402" s="1">
        <v>0</v>
      </c>
      <c r="G1402" s="1">
        <v>0</v>
      </c>
      <c r="H1402" s="1">
        <v>0</v>
      </c>
      <c r="I1402" s="1">
        <v>0</v>
      </c>
    </row>
    <row r="1403" spans="1:9" ht="23.25">
      <c r="A1403" s="4" t="s">
        <v>43</v>
      </c>
      <c r="B1403" s="4"/>
      <c r="C1403" s="4" t="s">
        <v>29</v>
      </c>
      <c r="D1403" s="4"/>
      <c r="E1403" s="1">
        <v>40345</v>
      </c>
      <c r="F1403" s="1">
        <v>1720</v>
      </c>
      <c r="G1403" s="1">
        <v>840</v>
      </c>
      <c r="H1403" s="1">
        <v>76</v>
      </c>
      <c r="I1403" s="1">
        <v>24170</v>
      </c>
    </row>
    <row r="1404" spans="1:9" ht="23.25">
      <c r="A1404" s="4" t="s">
        <v>44</v>
      </c>
      <c r="B1404" s="4"/>
      <c r="C1404" s="4" t="s">
        <v>29</v>
      </c>
      <c r="D1404" s="4"/>
      <c r="E1404" s="1">
        <v>1553</v>
      </c>
      <c r="F1404" s="1">
        <v>64</v>
      </c>
      <c r="G1404" s="1">
        <v>73</v>
      </c>
      <c r="H1404" s="1">
        <v>12</v>
      </c>
      <c r="I1404" s="1">
        <v>198</v>
      </c>
    </row>
    <row r="1405" spans="1:9" ht="23.25">
      <c r="A1405" s="4" t="s">
        <v>45</v>
      </c>
      <c r="B1405" s="4"/>
      <c r="C1405" s="4" t="s">
        <v>29</v>
      </c>
      <c r="D1405" s="4"/>
      <c r="E1405" s="1">
        <v>168565</v>
      </c>
      <c r="F1405" s="1">
        <v>13671</v>
      </c>
      <c r="G1405" s="1">
        <v>0</v>
      </c>
      <c r="H1405" s="1">
        <v>2538</v>
      </c>
      <c r="I1405" s="1">
        <v>0</v>
      </c>
    </row>
    <row r="1406" spans="1:9" ht="23.25">
      <c r="A1406" s="4" t="s">
        <v>46</v>
      </c>
      <c r="B1406" s="4"/>
      <c r="C1406" s="4" t="s">
        <v>29</v>
      </c>
      <c r="D1406" s="4"/>
      <c r="E1406" s="1">
        <v>910</v>
      </c>
      <c r="F1406" s="1">
        <v>27</v>
      </c>
      <c r="G1406" s="1">
        <v>0</v>
      </c>
      <c r="H1406" s="1">
        <v>0</v>
      </c>
      <c r="I1406" s="1">
        <v>0</v>
      </c>
    </row>
    <row r="1407" spans="1:9" ht="23.25">
      <c r="A1407" s="4" t="s">
        <v>47</v>
      </c>
      <c r="B1407" s="4"/>
      <c r="C1407" s="4" t="s">
        <v>29</v>
      </c>
      <c r="D1407" s="4"/>
      <c r="E1407" s="1">
        <v>2238</v>
      </c>
      <c r="F1407" s="1">
        <v>0</v>
      </c>
      <c r="G1407" s="1">
        <v>0</v>
      </c>
      <c r="H1407" s="1">
        <v>0</v>
      </c>
      <c r="I1407" s="1">
        <v>0</v>
      </c>
    </row>
    <row r="1408" spans="1:9" ht="23.25">
      <c r="A1408" s="4" t="s">
        <v>48</v>
      </c>
      <c r="B1408" s="4"/>
      <c r="C1408" s="4" t="s">
        <v>29</v>
      </c>
      <c r="D1408" s="4"/>
      <c r="E1408" s="1">
        <v>0</v>
      </c>
      <c r="F1408" s="1">
        <v>0</v>
      </c>
      <c r="G1408" s="1">
        <v>0</v>
      </c>
      <c r="H1408" s="1">
        <v>0</v>
      </c>
      <c r="I1408" s="1">
        <v>0</v>
      </c>
    </row>
    <row r="1409" spans="1:9" ht="23.25">
      <c r="A1409" s="4" t="s">
        <v>49</v>
      </c>
      <c r="B1409" s="4"/>
      <c r="C1409" s="4" t="s">
        <v>29</v>
      </c>
      <c r="D1409" s="4"/>
      <c r="E1409" s="1">
        <v>0</v>
      </c>
      <c r="F1409" s="1">
        <v>0</v>
      </c>
      <c r="G1409" s="1">
        <v>0</v>
      </c>
      <c r="H1409" s="1">
        <v>0</v>
      </c>
      <c r="I1409" s="1">
        <v>0</v>
      </c>
    </row>
    <row r="1410" spans="1:9" ht="23.25">
      <c r="A1410" s="4" t="s">
        <v>50</v>
      </c>
      <c r="B1410" s="4"/>
      <c r="C1410" s="4" t="s">
        <v>29</v>
      </c>
      <c r="D1410" s="4"/>
      <c r="E1410" s="1">
        <v>0</v>
      </c>
      <c r="F1410" s="1">
        <v>0</v>
      </c>
      <c r="G1410" s="1">
        <v>0</v>
      </c>
      <c r="H1410" s="1">
        <v>0</v>
      </c>
      <c r="I1410" s="1">
        <v>0</v>
      </c>
    </row>
    <row r="1411" spans="1:9" ht="23.25">
      <c r="A1411" s="4" t="s">
        <v>51</v>
      </c>
      <c r="B1411" s="4"/>
      <c r="C1411" s="4" t="s">
        <v>29</v>
      </c>
      <c r="D1411" s="4"/>
      <c r="E1411" s="1">
        <v>3722</v>
      </c>
      <c r="F1411" s="1">
        <v>46</v>
      </c>
      <c r="G1411" s="1">
        <v>64</v>
      </c>
      <c r="H1411" s="1">
        <v>40</v>
      </c>
      <c r="I1411" s="1">
        <v>0</v>
      </c>
    </row>
    <row r="1412" spans="1:9" ht="23.25">
      <c r="A1412" s="4" t="s">
        <v>52</v>
      </c>
      <c r="B1412" s="4"/>
      <c r="C1412" s="4" t="s">
        <v>29</v>
      </c>
      <c r="D1412" s="4"/>
      <c r="E1412" s="1">
        <v>111186</v>
      </c>
      <c r="F1412" s="1">
        <v>28</v>
      </c>
      <c r="G1412" s="1">
        <v>51</v>
      </c>
      <c r="H1412" s="1">
        <v>6</v>
      </c>
      <c r="I1412" s="1">
        <v>0</v>
      </c>
    </row>
    <row r="1413" spans="1:9" ht="23.25">
      <c r="A1413" s="4" t="s">
        <v>53</v>
      </c>
      <c r="B1413" s="4"/>
      <c r="C1413" s="4" t="s">
        <v>29</v>
      </c>
      <c r="D1413" s="4"/>
      <c r="E1413" s="1">
        <v>3552</v>
      </c>
      <c r="F1413" s="1">
        <v>0</v>
      </c>
      <c r="G1413" s="1">
        <v>0</v>
      </c>
      <c r="H1413" s="1">
        <v>0</v>
      </c>
      <c r="I1413" s="1">
        <v>0</v>
      </c>
    </row>
    <row r="1414" spans="1:9" ht="23.25">
      <c r="A1414" s="4" t="s">
        <v>54</v>
      </c>
      <c r="B1414" s="4"/>
      <c r="C1414" s="4" t="s">
        <v>29</v>
      </c>
      <c r="D1414" s="4"/>
      <c r="E1414" s="1">
        <v>6298</v>
      </c>
      <c r="F1414" s="1">
        <v>0</v>
      </c>
      <c r="G1414" s="1">
        <v>0</v>
      </c>
      <c r="H1414" s="1">
        <v>0</v>
      </c>
      <c r="I1414" s="1">
        <v>0</v>
      </c>
    </row>
    <row r="1415" spans="1:9" ht="23.25">
      <c r="A1415" s="4" t="s">
        <v>55</v>
      </c>
      <c r="B1415" s="4"/>
      <c r="C1415" s="4" t="s">
        <v>29</v>
      </c>
      <c r="D1415" s="4"/>
      <c r="E1415" s="1">
        <v>0</v>
      </c>
      <c r="F1415" s="1">
        <v>0</v>
      </c>
      <c r="G1415" s="1">
        <v>0</v>
      </c>
      <c r="H1415" s="1">
        <v>0</v>
      </c>
      <c r="I1415" s="1">
        <v>0</v>
      </c>
    </row>
    <row r="1416" spans="1:9" ht="23.25">
      <c r="A1416" s="4" t="s">
        <v>56</v>
      </c>
      <c r="B1416" s="4"/>
      <c r="C1416" s="4" t="s">
        <v>29</v>
      </c>
      <c r="D1416" s="4"/>
      <c r="E1416" s="1">
        <v>0</v>
      </c>
      <c r="F1416" s="1">
        <v>-424970</v>
      </c>
      <c r="G1416" s="1">
        <v>-83085</v>
      </c>
      <c r="H1416" s="1">
        <v>0</v>
      </c>
      <c r="I1416" s="1">
        <v>0</v>
      </c>
    </row>
    <row r="1417" spans="1:9" ht="23.25">
      <c r="A1417" s="4" t="s">
        <v>57</v>
      </c>
      <c r="B1417" s="4"/>
      <c r="C1417" s="4" t="s">
        <v>29</v>
      </c>
      <c r="D1417" s="4"/>
      <c r="E1417" s="1">
        <v>16990</v>
      </c>
      <c r="F1417" s="1">
        <v>0</v>
      </c>
      <c r="G1417" s="1">
        <v>0</v>
      </c>
      <c r="H1417" s="1">
        <v>0</v>
      </c>
      <c r="I1417" s="1">
        <v>0</v>
      </c>
    </row>
    <row r="1418" spans="1:9" ht="23.25">
      <c r="A1418" s="4" t="s">
        <v>58</v>
      </c>
      <c r="B1418" s="4"/>
      <c r="C1418" s="4" t="s">
        <v>29</v>
      </c>
      <c r="D1418" s="4"/>
      <c r="E1418" s="1">
        <v>19163</v>
      </c>
      <c r="F1418" s="1">
        <v>0</v>
      </c>
      <c r="G1418" s="1">
        <v>0</v>
      </c>
      <c r="H1418" s="1">
        <v>-175031</v>
      </c>
      <c r="I1418" s="1">
        <v>0</v>
      </c>
    </row>
    <row r="1419" spans="1:9" ht="23.25">
      <c r="A1419" s="4" t="s">
        <v>59</v>
      </c>
      <c r="B1419" s="4"/>
      <c r="C1419" s="4" t="s">
        <v>29</v>
      </c>
      <c r="D1419" s="4"/>
      <c r="E1419" s="1">
        <v>3516</v>
      </c>
      <c r="F1419" s="1">
        <v>0</v>
      </c>
      <c r="G1419" s="1">
        <v>0</v>
      </c>
      <c r="H1419" s="1">
        <v>0</v>
      </c>
      <c r="I1419" s="1">
        <v>0</v>
      </c>
    </row>
    <row r="1420" spans="1:9" ht="23.25">
      <c r="A1420" s="4" t="s">
        <v>60</v>
      </c>
      <c r="B1420" s="4"/>
      <c r="C1420" s="4" t="s">
        <v>29</v>
      </c>
      <c r="D1420" s="4"/>
      <c r="E1420" s="1">
        <v>33589</v>
      </c>
      <c r="F1420" s="1">
        <v>0</v>
      </c>
      <c r="G1420" s="1">
        <v>0</v>
      </c>
      <c r="H1420" s="1">
        <v>0</v>
      </c>
      <c r="I1420" s="1">
        <v>0</v>
      </c>
    </row>
    <row r="1421" spans="1:9" ht="23.25">
      <c r="A1421" s="4" t="s">
        <v>61</v>
      </c>
      <c r="B1421" s="4"/>
      <c r="C1421" s="4" t="s">
        <v>29</v>
      </c>
      <c r="D1421" s="4"/>
      <c r="E1421" s="1">
        <v>11853</v>
      </c>
      <c r="F1421" s="1">
        <v>0</v>
      </c>
      <c r="G1421" s="1">
        <v>0</v>
      </c>
      <c r="H1421" s="1">
        <v>0</v>
      </c>
      <c r="I1421" s="1">
        <v>0</v>
      </c>
    </row>
    <row r="1422" spans="1:9" ht="23.25">
      <c r="A1422" s="4" t="s">
        <v>62</v>
      </c>
      <c r="B1422" s="4"/>
      <c r="C1422" s="4" t="s">
        <v>29</v>
      </c>
      <c r="D1422" s="4"/>
      <c r="E1422" s="1">
        <v>610914</v>
      </c>
      <c r="F1422" s="1">
        <v>0</v>
      </c>
      <c r="G1422" s="1">
        <v>0</v>
      </c>
      <c r="H1422" s="1">
        <v>0</v>
      </c>
      <c r="I1422" s="1">
        <v>0</v>
      </c>
    </row>
    <row r="1423" spans="1:9" ht="23.25">
      <c r="A1423" s="4" t="s">
        <v>63</v>
      </c>
      <c r="B1423" s="4"/>
      <c r="C1423" s="4" t="s">
        <v>29</v>
      </c>
      <c r="D1423" s="4"/>
      <c r="E1423" s="1">
        <v>15906</v>
      </c>
      <c r="F1423" s="1">
        <v>0</v>
      </c>
      <c r="G1423" s="1">
        <v>0</v>
      </c>
      <c r="H1423" s="1">
        <v>0</v>
      </c>
      <c r="I1423" s="1">
        <v>0</v>
      </c>
    </row>
    <row r="1424" spans="1:9" ht="23.25">
      <c r="A1424" s="4" t="s">
        <v>64</v>
      </c>
      <c r="B1424" s="4"/>
      <c r="C1424" s="4" t="s">
        <v>29</v>
      </c>
      <c r="D1424" s="4"/>
      <c r="E1424" s="1">
        <v>613500</v>
      </c>
      <c r="F1424" s="1">
        <v>0</v>
      </c>
      <c r="G1424" s="1">
        <v>0</v>
      </c>
      <c r="H1424" s="1">
        <v>0</v>
      </c>
      <c r="I1424" s="1">
        <v>0</v>
      </c>
    </row>
    <row r="1425" spans="1:9" ht="23.25">
      <c r="A1425" s="4" t="s">
        <v>65</v>
      </c>
      <c r="B1425" s="4"/>
      <c r="C1425" s="4" t="s">
        <v>29</v>
      </c>
      <c r="D1425" s="4"/>
      <c r="E1425" s="1">
        <v>56212</v>
      </c>
      <c r="F1425" s="1">
        <v>0</v>
      </c>
      <c r="G1425" s="1">
        <v>0</v>
      </c>
      <c r="H1425" s="1">
        <v>0</v>
      </c>
      <c r="I1425" s="1">
        <v>6526</v>
      </c>
    </row>
    <row r="1426" spans="1:9" ht="23.25">
      <c r="A1426" s="4" t="s">
        <v>66</v>
      </c>
      <c r="B1426" s="4"/>
      <c r="C1426" s="4" t="s">
        <v>29</v>
      </c>
      <c r="D1426" s="4"/>
      <c r="E1426" s="1">
        <v>10592862</v>
      </c>
      <c r="F1426" s="1">
        <v>0</v>
      </c>
      <c r="G1426" s="1">
        <v>0</v>
      </c>
      <c r="H1426" s="1">
        <v>0</v>
      </c>
      <c r="I1426" s="1">
        <v>632377</v>
      </c>
    </row>
    <row r="1427" spans="1:9" ht="23.25">
      <c r="A1427" s="4" t="s">
        <v>67</v>
      </c>
      <c r="B1427" s="4"/>
      <c r="C1427" s="4" t="s">
        <v>29</v>
      </c>
      <c r="D1427" s="4"/>
      <c r="E1427" s="1">
        <v>2936191</v>
      </c>
      <c r="F1427" s="1">
        <v>0</v>
      </c>
      <c r="G1427" s="1">
        <v>0</v>
      </c>
      <c r="H1427" s="1">
        <v>0</v>
      </c>
      <c r="I1427" s="1">
        <v>0</v>
      </c>
    </row>
    <row r="1428" spans="1:9" ht="23.25">
      <c r="A1428" s="4" t="s">
        <v>68</v>
      </c>
      <c r="B1428" s="4"/>
      <c r="C1428" s="4" t="s">
        <v>29</v>
      </c>
      <c r="D1428" s="4"/>
      <c r="E1428" s="1">
        <v>5869258</v>
      </c>
      <c r="F1428" s="1">
        <v>0</v>
      </c>
      <c r="G1428" s="1">
        <v>0</v>
      </c>
      <c r="H1428" s="1">
        <v>0</v>
      </c>
      <c r="I1428" s="1">
        <v>0</v>
      </c>
    </row>
    <row r="1429" spans="1:9" ht="23.25">
      <c r="A1429" s="4" t="s">
        <v>69</v>
      </c>
      <c r="B1429" s="4"/>
      <c r="C1429" s="4" t="s">
        <v>29</v>
      </c>
      <c r="D1429" s="4"/>
      <c r="E1429" s="1">
        <v>1342188</v>
      </c>
      <c r="F1429" s="1">
        <v>0</v>
      </c>
      <c r="G1429" s="1">
        <v>0</v>
      </c>
      <c r="H1429" s="1">
        <v>0</v>
      </c>
      <c r="I1429" s="1">
        <v>0</v>
      </c>
    </row>
    <row r="1430" spans="1:9" ht="23.25">
      <c r="A1430" s="4" t="s">
        <v>70</v>
      </c>
      <c r="B1430" s="4"/>
      <c r="C1430" s="4" t="s">
        <v>29</v>
      </c>
      <c r="D1430" s="4"/>
      <c r="E1430" s="1">
        <v>29375406</v>
      </c>
      <c r="F1430" s="1">
        <v>0</v>
      </c>
      <c r="G1430" s="1">
        <v>0</v>
      </c>
      <c r="H1430" s="1">
        <v>0</v>
      </c>
      <c r="I1430" s="1">
        <v>0</v>
      </c>
    </row>
    <row r="1431" spans="1:9" ht="23.25">
      <c r="A1431" s="4" t="s">
        <v>71</v>
      </c>
      <c r="B1431" s="4"/>
      <c r="C1431" s="4" t="s">
        <v>29</v>
      </c>
      <c r="D1431" s="4"/>
      <c r="E1431" s="1">
        <v>39523043</v>
      </c>
      <c r="F1431" s="1">
        <v>0</v>
      </c>
      <c r="G1431" s="1">
        <v>0</v>
      </c>
      <c r="H1431" s="1">
        <v>0</v>
      </c>
      <c r="I1431" s="1">
        <v>0</v>
      </c>
    </row>
    <row r="1432" spans="1:9" ht="23.25">
      <c r="A1432" s="4" t="s">
        <v>72</v>
      </c>
      <c r="B1432" s="4"/>
      <c r="C1432" s="4" t="s">
        <v>29</v>
      </c>
      <c r="D1432" s="4"/>
      <c r="E1432" s="1">
        <v>50115905</v>
      </c>
      <c r="F1432" s="1">
        <v>0</v>
      </c>
      <c r="G1432" s="1">
        <v>0</v>
      </c>
      <c r="H1432" s="1">
        <v>0</v>
      </c>
      <c r="I1432" s="1">
        <v>0</v>
      </c>
    </row>
    <row r="1433" spans="1:9" ht="23.25">
      <c r="A1433" s="4" t="s">
        <v>8</v>
      </c>
      <c r="B1433" s="4"/>
      <c r="C1433" s="4" t="s">
        <v>30</v>
      </c>
      <c r="D1433" s="4"/>
      <c r="E1433" s="1">
        <v>0</v>
      </c>
      <c r="F1433" s="1">
        <v>0</v>
      </c>
      <c r="G1433" s="1">
        <v>0</v>
      </c>
      <c r="H1433" s="1">
        <v>0</v>
      </c>
      <c r="I1433" s="1">
        <v>0</v>
      </c>
    </row>
    <row r="1434" spans="1:9" ht="23.25">
      <c r="A1434" s="4" t="s">
        <v>9</v>
      </c>
      <c r="B1434" s="4"/>
      <c r="C1434" s="4" t="s">
        <v>30</v>
      </c>
      <c r="D1434" s="4"/>
      <c r="E1434" s="1">
        <v>0</v>
      </c>
      <c r="F1434" s="1">
        <v>0</v>
      </c>
      <c r="G1434" s="1">
        <v>0</v>
      </c>
      <c r="H1434" s="1">
        <v>0</v>
      </c>
      <c r="I1434" s="1">
        <v>0</v>
      </c>
    </row>
    <row r="1435" spans="1:9" ht="23.25">
      <c r="A1435" s="4" t="s">
        <v>10</v>
      </c>
      <c r="B1435" s="4"/>
      <c r="C1435" s="4" t="s">
        <v>30</v>
      </c>
      <c r="D1435" s="4"/>
      <c r="E1435" s="1">
        <v>0</v>
      </c>
      <c r="F1435" s="1">
        <v>0</v>
      </c>
      <c r="G1435" s="1">
        <v>0</v>
      </c>
      <c r="H1435" s="1">
        <v>0</v>
      </c>
      <c r="I1435" s="1">
        <v>0</v>
      </c>
    </row>
    <row r="1436" spans="1:9" ht="23.25">
      <c r="A1436" s="4" t="s">
        <v>11</v>
      </c>
      <c r="B1436" s="4"/>
      <c r="C1436" s="4" t="s">
        <v>30</v>
      </c>
      <c r="D1436" s="4"/>
      <c r="E1436" s="1">
        <v>0</v>
      </c>
      <c r="F1436" s="1">
        <v>0</v>
      </c>
      <c r="G1436" s="1">
        <v>0</v>
      </c>
      <c r="H1436" s="1">
        <v>0</v>
      </c>
      <c r="I1436" s="1">
        <v>0</v>
      </c>
    </row>
    <row r="1437" spans="1:9" ht="23.25">
      <c r="A1437" s="4" t="s">
        <v>12</v>
      </c>
      <c r="B1437" s="4"/>
      <c r="C1437" s="4" t="s">
        <v>30</v>
      </c>
      <c r="D1437" s="4"/>
      <c r="E1437" s="1">
        <v>0</v>
      </c>
      <c r="F1437" s="1">
        <v>0</v>
      </c>
      <c r="G1437" s="1">
        <v>0</v>
      </c>
      <c r="H1437" s="1">
        <v>0</v>
      </c>
      <c r="I1437" s="1">
        <v>0</v>
      </c>
    </row>
    <row r="1438" spans="1:9" ht="23.25">
      <c r="A1438" s="4" t="s">
        <v>13</v>
      </c>
      <c r="B1438" s="4"/>
      <c r="C1438" s="4" t="s">
        <v>30</v>
      </c>
      <c r="D1438" s="4"/>
      <c r="E1438" s="1">
        <v>0</v>
      </c>
      <c r="F1438" s="1">
        <v>0</v>
      </c>
      <c r="G1438" s="1">
        <v>0</v>
      </c>
      <c r="H1438" s="1">
        <v>0</v>
      </c>
      <c r="I1438" s="1">
        <v>0</v>
      </c>
    </row>
    <row r="1439" spans="1:9" ht="23.25">
      <c r="A1439" s="4" t="s">
        <v>14</v>
      </c>
      <c r="B1439" s="4"/>
      <c r="C1439" s="4" t="s">
        <v>30</v>
      </c>
      <c r="D1439" s="4"/>
      <c r="E1439" s="1">
        <v>0</v>
      </c>
      <c r="F1439" s="1">
        <v>0</v>
      </c>
      <c r="G1439" s="1">
        <v>0</v>
      </c>
      <c r="H1439" s="1">
        <v>0</v>
      </c>
      <c r="I1439" s="1">
        <v>0</v>
      </c>
    </row>
    <row r="1440" spans="1:9" ht="23.25">
      <c r="A1440" s="4" t="s">
        <v>15</v>
      </c>
      <c r="B1440" s="4"/>
      <c r="C1440" s="4" t="s">
        <v>30</v>
      </c>
      <c r="D1440" s="4"/>
      <c r="E1440" s="1">
        <v>89683</v>
      </c>
      <c r="F1440" s="1">
        <v>4196</v>
      </c>
      <c r="G1440" s="1">
        <v>2486</v>
      </c>
      <c r="H1440" s="1">
        <v>691</v>
      </c>
      <c r="I1440" s="1">
        <v>4158</v>
      </c>
    </row>
    <row r="1441" spans="1:9" ht="23.25">
      <c r="A1441" s="4" t="s">
        <v>16</v>
      </c>
      <c r="B1441" s="4"/>
      <c r="C1441" s="4" t="s">
        <v>30</v>
      </c>
      <c r="D1441" s="4"/>
      <c r="E1441" s="1">
        <v>6667100</v>
      </c>
      <c r="F1441" s="1">
        <v>112780</v>
      </c>
      <c r="G1441" s="1">
        <v>0</v>
      </c>
      <c r="H1441" s="1">
        <v>3144</v>
      </c>
      <c r="I1441" s="1">
        <v>1075316</v>
      </c>
    </row>
    <row r="1442" spans="1:9" ht="23.25">
      <c r="A1442" s="4" t="s">
        <v>17</v>
      </c>
      <c r="B1442" s="4"/>
      <c r="C1442" s="4" t="s">
        <v>30</v>
      </c>
      <c r="D1442" s="4"/>
      <c r="E1442" s="1">
        <v>0</v>
      </c>
      <c r="F1442" s="1">
        <v>0</v>
      </c>
      <c r="G1442" s="1">
        <v>0</v>
      </c>
      <c r="H1442" s="1">
        <v>0</v>
      </c>
      <c r="I1442" s="1">
        <v>0</v>
      </c>
    </row>
    <row r="1443" spans="1:9" ht="23.25">
      <c r="A1443" s="4" t="s">
        <v>18</v>
      </c>
      <c r="B1443" s="4"/>
      <c r="C1443" s="4" t="s">
        <v>30</v>
      </c>
      <c r="D1443" s="4"/>
      <c r="E1443" s="1">
        <v>0</v>
      </c>
      <c r="F1443" s="1">
        <v>0</v>
      </c>
      <c r="G1443" s="1">
        <v>0</v>
      </c>
      <c r="H1443" s="1">
        <v>0</v>
      </c>
      <c r="I1443" s="1">
        <v>0</v>
      </c>
    </row>
    <row r="1444" spans="1:9" ht="23.25">
      <c r="A1444" s="4" t="s">
        <v>19</v>
      </c>
      <c r="B1444" s="4"/>
      <c r="C1444" s="4" t="s">
        <v>30</v>
      </c>
      <c r="D1444" s="4"/>
      <c r="E1444" s="1">
        <v>0</v>
      </c>
      <c r="F1444" s="1">
        <v>0</v>
      </c>
      <c r="G1444" s="1">
        <v>0</v>
      </c>
      <c r="H1444" s="1">
        <v>0</v>
      </c>
      <c r="I1444" s="1">
        <v>0</v>
      </c>
    </row>
    <row r="1445" spans="1:9" ht="23.25">
      <c r="A1445" s="4" t="s">
        <v>20</v>
      </c>
      <c r="B1445" s="4"/>
      <c r="C1445" s="4" t="s">
        <v>30</v>
      </c>
      <c r="D1445" s="4"/>
      <c r="E1445" s="1">
        <v>0</v>
      </c>
      <c r="F1445" s="1">
        <v>0</v>
      </c>
      <c r="G1445" s="1">
        <v>0</v>
      </c>
      <c r="H1445" s="1">
        <v>0</v>
      </c>
      <c r="I1445" s="1">
        <v>0</v>
      </c>
    </row>
    <row r="1446" spans="1:9" ht="23.25">
      <c r="A1446" s="4" t="s">
        <v>21</v>
      </c>
      <c r="B1446" s="4"/>
      <c r="C1446" s="4" t="s">
        <v>30</v>
      </c>
      <c r="D1446" s="4"/>
      <c r="E1446" s="1">
        <v>2739</v>
      </c>
      <c r="F1446" s="1">
        <v>0</v>
      </c>
      <c r="G1446" s="1">
        <v>0</v>
      </c>
      <c r="H1446" s="1">
        <v>0</v>
      </c>
      <c r="I1446" s="1">
        <v>0</v>
      </c>
    </row>
    <row r="1447" spans="1:9" ht="23.25">
      <c r="A1447" s="4" t="s">
        <v>22</v>
      </c>
      <c r="B1447" s="4"/>
      <c r="C1447" s="4" t="s">
        <v>30</v>
      </c>
      <c r="D1447" s="4"/>
      <c r="E1447" s="1">
        <v>0</v>
      </c>
      <c r="F1447" s="1">
        <v>0</v>
      </c>
      <c r="G1447" s="1">
        <v>0</v>
      </c>
      <c r="H1447" s="1">
        <v>0</v>
      </c>
      <c r="I1447" s="1">
        <v>0</v>
      </c>
    </row>
    <row r="1448" spans="1:9" ht="23.25">
      <c r="A1448" s="4" t="s">
        <v>23</v>
      </c>
      <c r="B1448" s="4"/>
      <c r="C1448" s="4" t="s">
        <v>30</v>
      </c>
      <c r="D1448" s="4"/>
      <c r="E1448" s="1">
        <v>0</v>
      </c>
      <c r="F1448" s="1">
        <v>0</v>
      </c>
      <c r="G1448" s="1">
        <v>0</v>
      </c>
      <c r="H1448" s="1">
        <v>0</v>
      </c>
      <c r="I1448" s="1">
        <v>0</v>
      </c>
    </row>
    <row r="1449" spans="1:9" ht="23.25">
      <c r="A1449" s="4" t="s">
        <v>24</v>
      </c>
      <c r="B1449" s="4"/>
      <c r="C1449" s="4" t="s">
        <v>30</v>
      </c>
      <c r="D1449" s="4"/>
      <c r="E1449" s="1">
        <v>116920</v>
      </c>
      <c r="F1449" s="1">
        <v>299</v>
      </c>
      <c r="G1449" s="1">
        <v>10514</v>
      </c>
      <c r="H1449" s="1">
        <v>863</v>
      </c>
      <c r="I1449" s="1">
        <v>0</v>
      </c>
    </row>
    <row r="1450" spans="1:9" ht="23.25">
      <c r="A1450" s="4" t="s">
        <v>25</v>
      </c>
      <c r="B1450" s="4"/>
      <c r="C1450" s="4" t="s">
        <v>30</v>
      </c>
      <c r="D1450" s="4"/>
      <c r="E1450" s="1">
        <v>0</v>
      </c>
      <c r="F1450" s="1">
        <v>0</v>
      </c>
      <c r="G1450" s="1">
        <v>0</v>
      </c>
      <c r="H1450" s="1">
        <v>0</v>
      </c>
      <c r="I1450" s="1">
        <v>0</v>
      </c>
    </row>
    <row r="1451" spans="1:9" ht="23.25">
      <c r="A1451" s="4" t="s">
        <v>26</v>
      </c>
      <c r="B1451" s="4"/>
      <c r="C1451" s="4" t="s">
        <v>30</v>
      </c>
      <c r="D1451" s="4"/>
      <c r="E1451" s="1">
        <v>0</v>
      </c>
      <c r="F1451" s="1">
        <v>0</v>
      </c>
      <c r="G1451" s="1">
        <v>0</v>
      </c>
      <c r="H1451" s="1">
        <v>0</v>
      </c>
      <c r="I1451" s="1">
        <v>0</v>
      </c>
    </row>
    <row r="1452" spans="1:9" ht="23.25">
      <c r="A1452" s="4" t="s">
        <v>27</v>
      </c>
      <c r="B1452" s="4"/>
      <c r="C1452" s="4" t="s">
        <v>30</v>
      </c>
      <c r="D1452" s="4"/>
      <c r="E1452" s="1">
        <v>0</v>
      </c>
      <c r="F1452" s="1">
        <v>0</v>
      </c>
      <c r="G1452" s="1">
        <v>0</v>
      </c>
      <c r="H1452" s="1">
        <v>0</v>
      </c>
      <c r="I1452" s="1">
        <v>0</v>
      </c>
    </row>
    <row r="1453" spans="1:9" ht="23.25">
      <c r="A1453" s="4" t="s">
        <v>28</v>
      </c>
      <c r="B1453" s="4"/>
      <c r="C1453" s="4" t="s">
        <v>30</v>
      </c>
      <c r="D1453" s="4"/>
      <c r="E1453" s="1">
        <v>0</v>
      </c>
      <c r="F1453" s="1">
        <v>0</v>
      </c>
      <c r="G1453" s="1">
        <v>0</v>
      </c>
      <c r="H1453" s="1">
        <v>0</v>
      </c>
      <c r="I1453" s="1">
        <v>0</v>
      </c>
    </row>
    <row r="1454" spans="1:9" ht="23.25">
      <c r="A1454" s="4" t="s">
        <v>29</v>
      </c>
      <c r="B1454" s="4"/>
      <c r="C1454" s="4" t="s">
        <v>30</v>
      </c>
      <c r="D1454" s="4"/>
      <c r="E1454" s="1">
        <v>0</v>
      </c>
      <c r="F1454" s="1">
        <v>0</v>
      </c>
      <c r="G1454" s="1">
        <v>0</v>
      </c>
      <c r="H1454" s="1">
        <v>0</v>
      </c>
      <c r="I1454" s="1">
        <v>0</v>
      </c>
    </row>
    <row r="1455" spans="1:9" ht="23.25">
      <c r="A1455" s="4" t="s">
        <v>30</v>
      </c>
      <c r="B1455" s="4"/>
      <c r="C1455" s="4" t="s">
        <v>30</v>
      </c>
      <c r="D1455" s="4"/>
      <c r="E1455" s="1">
        <v>53298110</v>
      </c>
      <c r="F1455" s="1">
        <v>2963472</v>
      </c>
      <c r="G1455" s="1">
        <v>2041186</v>
      </c>
      <c r="H1455" s="1">
        <v>93749</v>
      </c>
      <c r="I1455" s="1">
        <v>34164640</v>
      </c>
    </row>
    <row r="1456" spans="1:9" ht="23.25">
      <c r="A1456" s="4" t="s">
        <v>31</v>
      </c>
      <c r="B1456" s="4"/>
      <c r="C1456" s="4" t="s">
        <v>30</v>
      </c>
      <c r="D1456" s="4"/>
      <c r="E1456" s="1">
        <v>27954</v>
      </c>
      <c r="F1456" s="1">
        <v>4435</v>
      </c>
      <c r="G1456" s="1">
        <v>5601</v>
      </c>
      <c r="H1456" s="1">
        <v>180</v>
      </c>
      <c r="I1456" s="1">
        <v>0</v>
      </c>
    </row>
    <row r="1457" spans="1:9" ht="23.25">
      <c r="A1457" s="4" t="s">
        <v>32</v>
      </c>
      <c r="B1457" s="4"/>
      <c r="C1457" s="4" t="s">
        <v>30</v>
      </c>
      <c r="D1457" s="4"/>
      <c r="E1457" s="1">
        <v>471020</v>
      </c>
      <c r="F1457" s="1">
        <v>36422</v>
      </c>
      <c r="G1457" s="1">
        <v>31805</v>
      </c>
      <c r="H1457" s="1">
        <v>5462</v>
      </c>
      <c r="I1457" s="1">
        <v>205597</v>
      </c>
    </row>
    <row r="1458" spans="1:9" ht="23.25">
      <c r="A1458" s="4" t="s">
        <v>33</v>
      </c>
      <c r="B1458" s="4"/>
      <c r="C1458" s="4" t="s">
        <v>30</v>
      </c>
      <c r="D1458" s="4"/>
      <c r="E1458" s="1">
        <v>4885</v>
      </c>
      <c r="F1458" s="1">
        <v>597</v>
      </c>
      <c r="G1458" s="1">
        <v>1251</v>
      </c>
      <c r="H1458" s="1">
        <v>57</v>
      </c>
      <c r="I1458" s="1">
        <v>0</v>
      </c>
    </row>
    <row r="1459" spans="1:9" ht="23.25">
      <c r="A1459" s="4" t="s">
        <v>34</v>
      </c>
      <c r="B1459" s="4"/>
      <c r="C1459" s="4" t="s">
        <v>30</v>
      </c>
      <c r="D1459" s="4"/>
      <c r="E1459" s="1">
        <v>33647196</v>
      </c>
      <c r="F1459" s="1">
        <v>1785221</v>
      </c>
      <c r="G1459" s="1">
        <v>1169812</v>
      </c>
      <c r="H1459" s="1">
        <v>274044</v>
      </c>
      <c r="I1459" s="1">
        <v>4256064</v>
      </c>
    </row>
    <row r="1460" spans="1:9" ht="23.25">
      <c r="A1460" s="4" t="s">
        <v>35</v>
      </c>
      <c r="B1460" s="4"/>
      <c r="C1460" s="4" t="s">
        <v>30</v>
      </c>
      <c r="D1460" s="4"/>
      <c r="E1460" s="1">
        <v>0</v>
      </c>
      <c r="F1460" s="1">
        <v>0</v>
      </c>
      <c r="G1460" s="1">
        <v>0</v>
      </c>
      <c r="H1460" s="1">
        <v>0</v>
      </c>
      <c r="I1460" s="1">
        <v>0</v>
      </c>
    </row>
    <row r="1461" spans="1:9" ht="23.25">
      <c r="A1461" s="4" t="s">
        <v>36</v>
      </c>
      <c r="B1461" s="4"/>
      <c r="C1461" s="4" t="s">
        <v>30</v>
      </c>
      <c r="D1461" s="4"/>
      <c r="E1461" s="1">
        <v>3087959</v>
      </c>
      <c r="F1461" s="1">
        <v>315543</v>
      </c>
      <c r="G1461" s="1">
        <v>338435</v>
      </c>
      <c r="H1461" s="1">
        <v>40403</v>
      </c>
      <c r="I1461" s="1">
        <v>2219971</v>
      </c>
    </row>
    <row r="1462" spans="1:9" ht="23.25">
      <c r="A1462" s="4" t="s">
        <v>37</v>
      </c>
      <c r="B1462" s="4"/>
      <c r="C1462" s="4" t="s">
        <v>30</v>
      </c>
      <c r="D1462" s="4"/>
      <c r="E1462" s="1">
        <v>2830743</v>
      </c>
      <c r="F1462" s="1">
        <v>116804</v>
      </c>
      <c r="G1462" s="1">
        <v>140306</v>
      </c>
      <c r="H1462" s="1">
        <v>25745</v>
      </c>
      <c r="I1462" s="1">
        <v>517327</v>
      </c>
    </row>
    <row r="1463" spans="1:9" ht="23.25">
      <c r="A1463" s="4" t="s">
        <v>38</v>
      </c>
      <c r="B1463" s="4"/>
      <c r="C1463" s="4" t="s">
        <v>30</v>
      </c>
      <c r="D1463" s="4"/>
      <c r="E1463" s="1">
        <v>3606</v>
      </c>
      <c r="F1463" s="1">
        <v>320</v>
      </c>
      <c r="G1463" s="1">
        <v>426</v>
      </c>
      <c r="H1463" s="1">
        <v>110</v>
      </c>
      <c r="I1463" s="1">
        <v>0</v>
      </c>
    </row>
    <row r="1464" spans="1:9" ht="23.25">
      <c r="A1464" s="4" t="s">
        <v>39</v>
      </c>
      <c r="B1464" s="4"/>
      <c r="C1464" s="4" t="s">
        <v>30</v>
      </c>
      <c r="D1464" s="4"/>
      <c r="E1464" s="1">
        <v>1052641</v>
      </c>
      <c r="F1464" s="1">
        <v>49821</v>
      </c>
      <c r="G1464" s="1">
        <v>43389</v>
      </c>
      <c r="H1464" s="1">
        <v>7880</v>
      </c>
      <c r="I1464" s="1">
        <v>438945</v>
      </c>
    </row>
    <row r="1465" spans="1:9" ht="23.25">
      <c r="A1465" s="4" t="s">
        <v>40</v>
      </c>
      <c r="B1465" s="4"/>
      <c r="C1465" s="4" t="s">
        <v>30</v>
      </c>
      <c r="D1465" s="4"/>
      <c r="E1465" s="1">
        <v>0</v>
      </c>
      <c r="F1465" s="1">
        <v>0</v>
      </c>
      <c r="G1465" s="1">
        <v>0</v>
      </c>
      <c r="H1465" s="1">
        <v>0</v>
      </c>
      <c r="I1465" s="1">
        <v>0</v>
      </c>
    </row>
    <row r="1466" spans="1:9" ht="23.25">
      <c r="A1466" s="4" t="s">
        <v>41</v>
      </c>
      <c r="B1466" s="4"/>
      <c r="C1466" s="4" t="s">
        <v>30</v>
      </c>
      <c r="D1466" s="4"/>
      <c r="E1466" s="1">
        <v>0</v>
      </c>
      <c r="F1466" s="1">
        <v>0</v>
      </c>
      <c r="G1466" s="1">
        <v>0</v>
      </c>
      <c r="H1466" s="1">
        <v>0</v>
      </c>
      <c r="I1466" s="1">
        <v>0</v>
      </c>
    </row>
    <row r="1467" spans="1:9" ht="23.25">
      <c r="A1467" s="4" t="s">
        <v>42</v>
      </c>
      <c r="B1467" s="4"/>
      <c r="C1467" s="4" t="s">
        <v>30</v>
      </c>
      <c r="D1467" s="4"/>
      <c r="E1467" s="1">
        <v>0</v>
      </c>
      <c r="F1467" s="1">
        <v>0</v>
      </c>
      <c r="G1467" s="1">
        <v>0</v>
      </c>
      <c r="H1467" s="1">
        <v>0</v>
      </c>
      <c r="I1467" s="1">
        <v>0</v>
      </c>
    </row>
    <row r="1468" spans="1:9" ht="23.25">
      <c r="A1468" s="4" t="s">
        <v>43</v>
      </c>
      <c r="B1468" s="4"/>
      <c r="C1468" s="4" t="s">
        <v>30</v>
      </c>
      <c r="D1468" s="4"/>
      <c r="E1468" s="1">
        <v>0</v>
      </c>
      <c r="F1468" s="1">
        <v>0</v>
      </c>
      <c r="G1468" s="1">
        <v>0</v>
      </c>
      <c r="H1468" s="1">
        <v>0</v>
      </c>
      <c r="I1468" s="1">
        <v>0</v>
      </c>
    </row>
    <row r="1469" spans="1:9" ht="23.25">
      <c r="A1469" s="4" t="s">
        <v>44</v>
      </c>
      <c r="B1469" s="4"/>
      <c r="C1469" s="4" t="s">
        <v>30</v>
      </c>
      <c r="D1469" s="4"/>
      <c r="E1469" s="1">
        <v>542951</v>
      </c>
      <c r="F1469" s="1">
        <v>12711</v>
      </c>
      <c r="G1469" s="1">
        <v>17665</v>
      </c>
      <c r="H1469" s="1">
        <v>1308</v>
      </c>
      <c r="I1469" s="1">
        <v>432536</v>
      </c>
    </row>
    <row r="1470" spans="1:9" ht="23.25">
      <c r="A1470" s="4" t="s">
        <v>45</v>
      </c>
      <c r="B1470" s="4"/>
      <c r="C1470" s="4" t="s">
        <v>30</v>
      </c>
      <c r="D1470" s="4"/>
      <c r="E1470" s="1">
        <v>1602602</v>
      </c>
      <c r="F1470" s="1">
        <v>122409</v>
      </c>
      <c r="G1470" s="1">
        <v>0</v>
      </c>
      <c r="H1470" s="1">
        <v>20197</v>
      </c>
      <c r="I1470" s="1">
        <v>0</v>
      </c>
    </row>
    <row r="1471" spans="1:9" ht="23.25">
      <c r="A1471" s="4" t="s">
        <v>46</v>
      </c>
      <c r="B1471" s="4"/>
      <c r="C1471" s="4" t="s">
        <v>30</v>
      </c>
      <c r="D1471" s="4"/>
      <c r="E1471" s="1">
        <v>91482</v>
      </c>
      <c r="F1471" s="1">
        <v>6215</v>
      </c>
      <c r="G1471" s="1">
        <v>1212</v>
      </c>
      <c r="H1471" s="1">
        <v>775</v>
      </c>
      <c r="I1471" s="1">
        <v>0</v>
      </c>
    </row>
    <row r="1472" spans="1:9" ht="23.25">
      <c r="A1472" s="4" t="s">
        <v>47</v>
      </c>
      <c r="B1472" s="4"/>
      <c r="C1472" s="4" t="s">
        <v>30</v>
      </c>
      <c r="D1472" s="4"/>
      <c r="E1472" s="1">
        <v>157489</v>
      </c>
      <c r="F1472" s="1">
        <v>0</v>
      </c>
      <c r="G1472" s="1">
        <v>0</v>
      </c>
      <c r="H1472" s="1">
        <v>0</v>
      </c>
      <c r="I1472" s="1">
        <v>0</v>
      </c>
    </row>
    <row r="1473" spans="1:9" ht="23.25">
      <c r="A1473" s="4" t="s">
        <v>48</v>
      </c>
      <c r="B1473" s="4"/>
      <c r="C1473" s="4" t="s">
        <v>30</v>
      </c>
      <c r="D1473" s="4"/>
      <c r="E1473" s="1">
        <v>0</v>
      </c>
      <c r="F1473" s="1">
        <v>0</v>
      </c>
      <c r="G1473" s="1">
        <v>0</v>
      </c>
      <c r="H1473" s="1">
        <v>0</v>
      </c>
      <c r="I1473" s="1">
        <v>0</v>
      </c>
    </row>
    <row r="1474" spans="1:9" ht="23.25">
      <c r="A1474" s="4" t="s">
        <v>49</v>
      </c>
      <c r="B1474" s="4"/>
      <c r="C1474" s="4" t="s">
        <v>30</v>
      </c>
      <c r="D1474" s="4"/>
      <c r="E1474" s="1">
        <v>0</v>
      </c>
      <c r="F1474" s="1">
        <v>0</v>
      </c>
      <c r="G1474" s="1">
        <v>0</v>
      </c>
      <c r="H1474" s="1">
        <v>0</v>
      </c>
      <c r="I1474" s="1">
        <v>0</v>
      </c>
    </row>
    <row r="1475" spans="1:9" ht="23.25">
      <c r="A1475" s="4" t="s">
        <v>50</v>
      </c>
      <c r="B1475" s="4"/>
      <c r="C1475" s="4" t="s">
        <v>30</v>
      </c>
      <c r="D1475" s="4"/>
      <c r="E1475" s="1">
        <v>16079</v>
      </c>
      <c r="F1475" s="1">
        <v>2225</v>
      </c>
      <c r="G1475" s="1">
        <v>2017</v>
      </c>
      <c r="H1475" s="1">
        <v>160</v>
      </c>
      <c r="I1475" s="1">
        <v>0</v>
      </c>
    </row>
    <row r="1476" spans="1:9" ht="23.25">
      <c r="A1476" s="4" t="s">
        <v>51</v>
      </c>
      <c r="B1476" s="4"/>
      <c r="C1476" s="4" t="s">
        <v>30</v>
      </c>
      <c r="D1476" s="4"/>
      <c r="E1476" s="1">
        <v>74562</v>
      </c>
      <c r="F1476" s="1">
        <v>3548</v>
      </c>
      <c r="G1476" s="1">
        <v>4740</v>
      </c>
      <c r="H1476" s="1">
        <v>715</v>
      </c>
      <c r="I1476" s="1">
        <v>0</v>
      </c>
    </row>
    <row r="1477" spans="1:9" ht="23.25">
      <c r="A1477" s="4" t="s">
        <v>52</v>
      </c>
      <c r="B1477" s="4"/>
      <c r="C1477" s="4" t="s">
        <v>30</v>
      </c>
      <c r="D1477" s="4"/>
      <c r="E1477" s="1">
        <v>13167223</v>
      </c>
      <c r="F1477" s="1">
        <v>2705</v>
      </c>
      <c r="G1477" s="1">
        <v>4609</v>
      </c>
      <c r="H1477" s="1">
        <v>795</v>
      </c>
      <c r="I1477" s="1">
        <v>0</v>
      </c>
    </row>
    <row r="1478" spans="1:9" ht="23.25">
      <c r="A1478" s="4" t="s">
        <v>53</v>
      </c>
      <c r="B1478" s="4"/>
      <c r="C1478" s="4" t="s">
        <v>30</v>
      </c>
      <c r="D1478" s="4"/>
      <c r="E1478" s="1">
        <v>117784</v>
      </c>
      <c r="F1478" s="1">
        <v>0</v>
      </c>
      <c r="G1478" s="1">
        <v>0</v>
      </c>
      <c r="H1478" s="1">
        <v>0</v>
      </c>
      <c r="I1478" s="1">
        <v>0</v>
      </c>
    </row>
    <row r="1479" spans="1:9" ht="23.25">
      <c r="A1479" s="4" t="s">
        <v>54</v>
      </c>
      <c r="B1479" s="4"/>
      <c r="C1479" s="4" t="s">
        <v>30</v>
      </c>
      <c r="D1479" s="4"/>
      <c r="E1479" s="1">
        <v>110734</v>
      </c>
      <c r="F1479" s="1">
        <v>0</v>
      </c>
      <c r="G1479" s="1">
        <v>0</v>
      </c>
      <c r="H1479" s="1">
        <v>0</v>
      </c>
      <c r="I1479" s="1">
        <v>0</v>
      </c>
    </row>
    <row r="1480" spans="1:9" ht="23.25">
      <c r="A1480" s="4" t="s">
        <v>55</v>
      </c>
      <c r="B1480" s="4"/>
      <c r="C1480" s="4" t="s">
        <v>30</v>
      </c>
      <c r="D1480" s="4"/>
      <c r="E1480" s="1">
        <v>0</v>
      </c>
      <c r="F1480" s="1">
        <v>0</v>
      </c>
      <c r="G1480" s="1">
        <v>0</v>
      </c>
      <c r="H1480" s="1">
        <v>0</v>
      </c>
      <c r="I1480" s="1">
        <v>0</v>
      </c>
    </row>
    <row r="1481" spans="1:9" ht="23.25">
      <c r="A1481" s="4" t="s">
        <v>56</v>
      </c>
      <c r="B1481" s="4"/>
      <c r="C1481" s="4" t="s">
        <v>30</v>
      </c>
      <c r="D1481" s="4"/>
      <c r="E1481" s="1">
        <v>0</v>
      </c>
      <c r="F1481" s="1">
        <v>-5539723</v>
      </c>
      <c r="G1481" s="1">
        <v>-3815454</v>
      </c>
      <c r="H1481" s="1">
        <v>0</v>
      </c>
      <c r="I1481" s="1">
        <v>0</v>
      </c>
    </row>
    <row r="1482" spans="1:9" ht="23.25">
      <c r="A1482" s="4" t="s">
        <v>57</v>
      </c>
      <c r="B1482" s="4"/>
      <c r="C1482" s="4" t="s">
        <v>30</v>
      </c>
      <c r="D1482" s="4"/>
      <c r="E1482" s="1">
        <v>223426</v>
      </c>
      <c r="F1482" s="1">
        <v>0</v>
      </c>
      <c r="G1482" s="1">
        <v>0</v>
      </c>
      <c r="H1482" s="1">
        <v>0</v>
      </c>
      <c r="I1482" s="1">
        <v>0</v>
      </c>
    </row>
    <row r="1483" spans="1:9" ht="23.25">
      <c r="A1483" s="4" t="s">
        <v>58</v>
      </c>
      <c r="B1483" s="4"/>
      <c r="C1483" s="4" t="s">
        <v>30</v>
      </c>
      <c r="D1483" s="4"/>
      <c r="E1483" s="1">
        <v>687077</v>
      </c>
      <c r="F1483" s="1">
        <v>0</v>
      </c>
      <c r="G1483" s="1">
        <v>0</v>
      </c>
      <c r="H1483" s="1">
        <v>-476278</v>
      </c>
      <c r="I1483" s="1">
        <v>0</v>
      </c>
    </row>
    <row r="1484" spans="1:9" ht="23.25">
      <c r="A1484" s="4" t="s">
        <v>59</v>
      </c>
      <c r="B1484" s="4"/>
      <c r="C1484" s="4" t="s">
        <v>30</v>
      </c>
      <c r="D1484" s="4"/>
      <c r="E1484" s="1">
        <v>171017</v>
      </c>
      <c r="F1484" s="1">
        <v>0</v>
      </c>
      <c r="G1484" s="1">
        <v>0</v>
      </c>
      <c r="H1484" s="1">
        <v>0</v>
      </c>
      <c r="I1484" s="1">
        <v>0</v>
      </c>
    </row>
    <row r="1485" spans="1:9" ht="23.25">
      <c r="A1485" s="4" t="s">
        <v>60</v>
      </c>
      <c r="B1485" s="4"/>
      <c r="C1485" s="4" t="s">
        <v>30</v>
      </c>
      <c r="D1485" s="4"/>
      <c r="E1485" s="1">
        <v>3576568</v>
      </c>
      <c r="F1485" s="1">
        <v>0</v>
      </c>
      <c r="G1485" s="1">
        <v>0</v>
      </c>
      <c r="H1485" s="1">
        <v>0</v>
      </c>
      <c r="I1485" s="1">
        <v>0</v>
      </c>
    </row>
    <row r="1486" spans="1:9" ht="23.25">
      <c r="A1486" s="4" t="s">
        <v>61</v>
      </c>
      <c r="B1486" s="4"/>
      <c r="C1486" s="4" t="s">
        <v>30</v>
      </c>
      <c r="D1486" s="4"/>
      <c r="E1486" s="1">
        <v>210976</v>
      </c>
      <c r="F1486" s="1">
        <v>0</v>
      </c>
      <c r="G1486" s="1">
        <v>0</v>
      </c>
      <c r="H1486" s="1">
        <v>0</v>
      </c>
      <c r="I1486" s="1">
        <v>0</v>
      </c>
    </row>
    <row r="1487" spans="1:9" ht="23.25">
      <c r="A1487" s="4" t="s">
        <v>62</v>
      </c>
      <c r="B1487" s="4"/>
      <c r="C1487" s="4" t="s">
        <v>30</v>
      </c>
      <c r="D1487" s="4"/>
      <c r="E1487" s="1">
        <v>1655866</v>
      </c>
      <c r="F1487" s="1">
        <v>0</v>
      </c>
      <c r="G1487" s="1">
        <v>0</v>
      </c>
      <c r="H1487" s="1">
        <v>0</v>
      </c>
      <c r="I1487" s="1">
        <v>0</v>
      </c>
    </row>
    <row r="1488" spans="1:9" ht="23.25">
      <c r="A1488" s="4" t="s">
        <v>63</v>
      </c>
      <c r="B1488" s="4"/>
      <c r="C1488" s="4" t="s">
        <v>30</v>
      </c>
      <c r="D1488" s="4"/>
      <c r="E1488" s="1">
        <v>90928</v>
      </c>
      <c r="F1488" s="1">
        <v>0</v>
      </c>
      <c r="G1488" s="1">
        <v>0</v>
      </c>
      <c r="H1488" s="1">
        <v>0</v>
      </c>
      <c r="I1488" s="1">
        <v>0</v>
      </c>
    </row>
    <row r="1489" spans="1:9" ht="23.25">
      <c r="A1489" s="4" t="s">
        <v>64</v>
      </c>
      <c r="B1489" s="4"/>
      <c r="C1489" s="4" t="s">
        <v>30</v>
      </c>
      <c r="D1489" s="4"/>
      <c r="E1489" s="1">
        <v>261020</v>
      </c>
      <c r="F1489" s="1">
        <v>0</v>
      </c>
      <c r="G1489" s="1">
        <v>0</v>
      </c>
      <c r="H1489" s="1">
        <v>0</v>
      </c>
      <c r="I1489" s="1">
        <v>0</v>
      </c>
    </row>
    <row r="1490" spans="1:9" ht="23.25">
      <c r="A1490" s="4" t="s">
        <v>65</v>
      </c>
      <c r="B1490" s="4"/>
      <c r="C1490" s="4" t="s">
        <v>30</v>
      </c>
      <c r="D1490" s="4"/>
      <c r="E1490" s="1">
        <v>890457</v>
      </c>
      <c r="F1490" s="1">
        <v>0</v>
      </c>
      <c r="G1490" s="1">
        <v>0</v>
      </c>
      <c r="H1490" s="1">
        <v>0</v>
      </c>
      <c r="I1490" s="1">
        <v>97865</v>
      </c>
    </row>
    <row r="1491" spans="1:9" ht="23.25">
      <c r="A1491" s="4" t="s">
        <v>66</v>
      </c>
      <c r="B1491" s="4"/>
      <c r="C1491" s="4" t="s">
        <v>30</v>
      </c>
      <c r="D1491" s="4"/>
      <c r="E1491" s="1">
        <v>124948797</v>
      </c>
      <c r="F1491" s="1">
        <v>0</v>
      </c>
      <c r="G1491" s="1">
        <v>0</v>
      </c>
      <c r="H1491" s="1">
        <v>0</v>
      </c>
      <c r="I1491" s="1">
        <v>43412419</v>
      </c>
    </row>
    <row r="1492" spans="1:9" ht="23.25">
      <c r="A1492" s="4" t="s">
        <v>67</v>
      </c>
      <c r="B1492" s="4"/>
      <c r="C1492" s="4" t="s">
        <v>30</v>
      </c>
      <c r="D1492" s="4"/>
      <c r="E1492" s="1">
        <v>17141312</v>
      </c>
      <c r="F1492" s="1">
        <v>0</v>
      </c>
      <c r="G1492" s="1">
        <v>0</v>
      </c>
      <c r="H1492" s="1">
        <v>0</v>
      </c>
      <c r="I1492" s="1">
        <v>0</v>
      </c>
    </row>
    <row r="1493" spans="1:9" ht="23.25">
      <c r="A1493" s="4" t="s">
        <v>68</v>
      </c>
      <c r="B1493" s="4"/>
      <c r="C1493" s="4" t="s">
        <v>30</v>
      </c>
      <c r="D1493" s="4"/>
      <c r="E1493" s="1">
        <v>25551965</v>
      </c>
      <c r="F1493" s="1">
        <v>0</v>
      </c>
      <c r="G1493" s="1">
        <v>0</v>
      </c>
      <c r="H1493" s="1">
        <v>0</v>
      </c>
      <c r="I1493" s="1">
        <v>0</v>
      </c>
    </row>
    <row r="1494" spans="1:9" ht="23.25">
      <c r="A1494" s="4" t="s">
        <v>69</v>
      </c>
      <c r="B1494" s="4"/>
      <c r="C1494" s="4" t="s">
        <v>30</v>
      </c>
      <c r="D1494" s="4"/>
      <c r="E1494" s="1">
        <v>16210599</v>
      </c>
      <c r="F1494" s="1">
        <v>0</v>
      </c>
      <c r="G1494" s="1">
        <v>0</v>
      </c>
      <c r="H1494" s="1">
        <v>0</v>
      </c>
      <c r="I1494" s="1">
        <v>0</v>
      </c>
    </row>
    <row r="1495" spans="1:9" ht="23.25">
      <c r="A1495" s="4" t="s">
        <v>70</v>
      </c>
      <c r="B1495" s="4"/>
      <c r="C1495" s="4" t="s">
        <v>30</v>
      </c>
      <c r="D1495" s="4"/>
      <c r="E1495" s="1">
        <v>3967570</v>
      </c>
      <c r="F1495" s="1">
        <v>0</v>
      </c>
      <c r="G1495" s="1">
        <v>0</v>
      </c>
      <c r="H1495" s="1">
        <v>0</v>
      </c>
      <c r="I1495" s="1">
        <v>0</v>
      </c>
    </row>
    <row r="1496" spans="1:9" ht="23.25">
      <c r="A1496" s="4" t="s">
        <v>71</v>
      </c>
      <c r="B1496" s="4"/>
      <c r="C1496" s="4" t="s">
        <v>30</v>
      </c>
      <c r="D1496" s="4"/>
      <c r="E1496" s="1">
        <v>62871446</v>
      </c>
      <c r="F1496" s="1">
        <v>0</v>
      </c>
      <c r="G1496" s="1">
        <v>0</v>
      </c>
      <c r="H1496" s="1">
        <v>0</v>
      </c>
      <c r="I1496" s="1">
        <v>0</v>
      </c>
    </row>
    <row r="1497" spans="1:9" ht="23.25">
      <c r="A1497" s="4" t="s">
        <v>72</v>
      </c>
      <c r="B1497" s="4"/>
      <c r="C1497" s="4" t="s">
        <v>30</v>
      </c>
      <c r="D1497" s="4"/>
      <c r="E1497" s="1">
        <v>187820243</v>
      </c>
      <c r="F1497" s="1">
        <v>0</v>
      </c>
      <c r="G1497" s="1">
        <v>0</v>
      </c>
      <c r="H1497" s="1">
        <v>0</v>
      </c>
      <c r="I1497" s="1">
        <v>0</v>
      </c>
    </row>
    <row r="1498" spans="1:9" ht="23.25">
      <c r="A1498" s="4" t="s">
        <v>8</v>
      </c>
      <c r="B1498" s="4"/>
      <c r="C1498" s="4" t="s">
        <v>31</v>
      </c>
      <c r="D1498" s="4"/>
      <c r="E1498" s="1">
        <v>0</v>
      </c>
      <c r="F1498" s="1">
        <v>0</v>
      </c>
      <c r="G1498" s="1">
        <v>0</v>
      </c>
      <c r="H1498" s="1">
        <v>0</v>
      </c>
      <c r="I1498" s="1">
        <v>0</v>
      </c>
    </row>
    <row r="1499" spans="1:9" ht="23.25">
      <c r="A1499" s="4" t="s">
        <v>9</v>
      </c>
      <c r="B1499" s="4"/>
      <c r="C1499" s="4" t="s">
        <v>31</v>
      </c>
      <c r="D1499" s="4"/>
      <c r="E1499" s="1">
        <v>0</v>
      </c>
      <c r="F1499" s="1">
        <v>0</v>
      </c>
      <c r="G1499" s="1">
        <v>0</v>
      </c>
      <c r="H1499" s="1">
        <v>0</v>
      </c>
      <c r="I1499" s="1">
        <v>0</v>
      </c>
    </row>
    <row r="1500" spans="1:9" ht="23.25">
      <c r="A1500" s="4" t="s">
        <v>10</v>
      </c>
      <c r="B1500" s="4"/>
      <c r="C1500" s="4" t="s">
        <v>31</v>
      </c>
      <c r="D1500" s="4"/>
      <c r="E1500" s="1">
        <v>0</v>
      </c>
      <c r="F1500" s="1">
        <v>0</v>
      </c>
      <c r="G1500" s="1">
        <v>0</v>
      </c>
      <c r="H1500" s="1">
        <v>0</v>
      </c>
      <c r="I1500" s="1">
        <v>0</v>
      </c>
    </row>
    <row r="1501" spans="1:9" ht="23.25">
      <c r="A1501" s="4" t="s">
        <v>11</v>
      </c>
      <c r="B1501" s="4"/>
      <c r="C1501" s="4" t="s">
        <v>31</v>
      </c>
      <c r="D1501" s="4"/>
      <c r="E1501" s="1">
        <v>0</v>
      </c>
      <c r="F1501" s="1">
        <v>0</v>
      </c>
      <c r="G1501" s="1">
        <v>0</v>
      </c>
      <c r="H1501" s="1">
        <v>0</v>
      </c>
      <c r="I1501" s="1">
        <v>0</v>
      </c>
    </row>
    <row r="1502" spans="1:9" ht="23.25">
      <c r="A1502" s="4" t="s">
        <v>12</v>
      </c>
      <c r="B1502" s="4"/>
      <c r="C1502" s="4" t="s">
        <v>31</v>
      </c>
      <c r="D1502" s="4"/>
      <c r="E1502" s="1">
        <v>0</v>
      </c>
      <c r="F1502" s="1">
        <v>0</v>
      </c>
      <c r="G1502" s="1">
        <v>0</v>
      </c>
      <c r="H1502" s="1">
        <v>0</v>
      </c>
      <c r="I1502" s="1">
        <v>0</v>
      </c>
    </row>
    <row r="1503" spans="1:9" ht="23.25">
      <c r="A1503" s="4" t="s">
        <v>13</v>
      </c>
      <c r="B1503" s="4"/>
      <c r="C1503" s="4" t="s">
        <v>31</v>
      </c>
      <c r="D1503" s="4"/>
      <c r="E1503" s="1">
        <v>0</v>
      </c>
      <c r="F1503" s="1">
        <v>0</v>
      </c>
      <c r="G1503" s="1">
        <v>0</v>
      </c>
      <c r="H1503" s="1">
        <v>0</v>
      </c>
      <c r="I1503" s="1">
        <v>0</v>
      </c>
    </row>
    <row r="1504" spans="1:9" ht="23.25">
      <c r="A1504" s="4" t="s">
        <v>14</v>
      </c>
      <c r="B1504" s="4"/>
      <c r="C1504" s="4" t="s">
        <v>31</v>
      </c>
      <c r="D1504" s="4"/>
      <c r="E1504" s="1">
        <v>0</v>
      </c>
      <c r="F1504" s="1">
        <v>0</v>
      </c>
      <c r="G1504" s="1">
        <v>0</v>
      </c>
      <c r="H1504" s="1">
        <v>0</v>
      </c>
      <c r="I1504" s="1">
        <v>0</v>
      </c>
    </row>
    <row r="1505" spans="1:9" ht="23.25">
      <c r="A1505" s="4" t="s">
        <v>15</v>
      </c>
      <c r="B1505" s="4"/>
      <c r="C1505" s="4" t="s">
        <v>31</v>
      </c>
      <c r="D1505" s="4"/>
      <c r="E1505" s="1">
        <v>12982</v>
      </c>
      <c r="F1505" s="1">
        <v>958</v>
      </c>
      <c r="G1505" s="1">
        <v>510</v>
      </c>
      <c r="H1505" s="1">
        <v>228</v>
      </c>
      <c r="I1505" s="1">
        <v>4570</v>
      </c>
    </row>
    <row r="1506" spans="1:9" ht="23.25">
      <c r="A1506" s="4" t="s">
        <v>16</v>
      </c>
      <c r="B1506" s="4"/>
      <c r="C1506" s="4" t="s">
        <v>31</v>
      </c>
      <c r="D1506" s="4"/>
      <c r="E1506" s="1">
        <v>18311</v>
      </c>
      <c r="F1506" s="1">
        <v>339</v>
      </c>
      <c r="G1506" s="1">
        <v>0</v>
      </c>
      <c r="H1506" s="1">
        <v>19</v>
      </c>
      <c r="I1506" s="1">
        <v>0</v>
      </c>
    </row>
    <row r="1507" spans="1:9" ht="23.25">
      <c r="A1507" s="4" t="s">
        <v>17</v>
      </c>
      <c r="B1507" s="4"/>
      <c r="C1507" s="4" t="s">
        <v>31</v>
      </c>
      <c r="D1507" s="4"/>
      <c r="E1507" s="1">
        <v>0</v>
      </c>
      <c r="F1507" s="1">
        <v>0</v>
      </c>
      <c r="G1507" s="1">
        <v>0</v>
      </c>
      <c r="H1507" s="1">
        <v>0</v>
      </c>
      <c r="I1507" s="1">
        <v>0</v>
      </c>
    </row>
    <row r="1508" spans="1:9" ht="23.25">
      <c r="A1508" s="4" t="s">
        <v>18</v>
      </c>
      <c r="B1508" s="4"/>
      <c r="C1508" s="4" t="s">
        <v>31</v>
      </c>
      <c r="D1508" s="4"/>
      <c r="E1508" s="1">
        <v>0</v>
      </c>
      <c r="F1508" s="1">
        <v>0</v>
      </c>
      <c r="G1508" s="1">
        <v>0</v>
      </c>
      <c r="H1508" s="1">
        <v>0</v>
      </c>
      <c r="I1508" s="1">
        <v>0</v>
      </c>
    </row>
    <row r="1509" spans="1:9" ht="23.25">
      <c r="A1509" s="4" t="s">
        <v>19</v>
      </c>
      <c r="B1509" s="4"/>
      <c r="C1509" s="4" t="s">
        <v>31</v>
      </c>
      <c r="D1509" s="4"/>
      <c r="E1509" s="1">
        <v>0</v>
      </c>
      <c r="F1509" s="1">
        <v>0</v>
      </c>
      <c r="G1509" s="1">
        <v>0</v>
      </c>
      <c r="H1509" s="1">
        <v>0</v>
      </c>
      <c r="I1509" s="1">
        <v>0</v>
      </c>
    </row>
    <row r="1510" spans="1:9" ht="23.25">
      <c r="A1510" s="4" t="s">
        <v>20</v>
      </c>
      <c r="B1510" s="4"/>
      <c r="C1510" s="4" t="s">
        <v>31</v>
      </c>
      <c r="D1510" s="4"/>
      <c r="E1510" s="1">
        <v>0</v>
      </c>
      <c r="F1510" s="1">
        <v>0</v>
      </c>
      <c r="G1510" s="1">
        <v>0</v>
      </c>
      <c r="H1510" s="1">
        <v>0</v>
      </c>
      <c r="I1510" s="1">
        <v>0</v>
      </c>
    </row>
    <row r="1511" spans="1:9" ht="23.25">
      <c r="A1511" s="4" t="s">
        <v>21</v>
      </c>
      <c r="B1511" s="4"/>
      <c r="C1511" s="4" t="s">
        <v>31</v>
      </c>
      <c r="D1511" s="4"/>
      <c r="E1511" s="1">
        <v>0</v>
      </c>
      <c r="F1511" s="1">
        <v>0</v>
      </c>
      <c r="G1511" s="1">
        <v>0</v>
      </c>
      <c r="H1511" s="1">
        <v>0</v>
      </c>
      <c r="I1511" s="1">
        <v>0</v>
      </c>
    </row>
    <row r="1512" spans="1:9" ht="23.25">
      <c r="A1512" s="4" t="s">
        <v>22</v>
      </c>
      <c r="B1512" s="4"/>
      <c r="C1512" s="4" t="s">
        <v>31</v>
      </c>
      <c r="D1512" s="4"/>
      <c r="E1512" s="1">
        <v>381545</v>
      </c>
      <c r="F1512" s="1">
        <v>6175</v>
      </c>
      <c r="G1512" s="1">
        <v>9960</v>
      </c>
      <c r="H1512" s="1">
        <v>1120</v>
      </c>
      <c r="I1512" s="1">
        <v>120039</v>
      </c>
    </row>
    <row r="1513" spans="1:9" ht="23.25">
      <c r="A1513" s="4" t="s">
        <v>23</v>
      </c>
      <c r="B1513" s="4"/>
      <c r="C1513" s="4" t="s">
        <v>31</v>
      </c>
      <c r="D1513" s="4"/>
      <c r="E1513" s="1">
        <v>0</v>
      </c>
      <c r="F1513" s="1">
        <v>0</v>
      </c>
      <c r="G1513" s="1">
        <v>0</v>
      </c>
      <c r="H1513" s="1">
        <v>0</v>
      </c>
      <c r="I1513" s="1">
        <v>0</v>
      </c>
    </row>
    <row r="1514" spans="1:9" ht="23.25">
      <c r="A1514" s="4" t="s">
        <v>24</v>
      </c>
      <c r="B1514" s="4"/>
      <c r="C1514" s="4" t="s">
        <v>31</v>
      </c>
      <c r="D1514" s="4"/>
      <c r="E1514" s="1">
        <v>9255</v>
      </c>
      <c r="F1514" s="1">
        <v>82</v>
      </c>
      <c r="G1514" s="1">
        <v>253</v>
      </c>
      <c r="H1514" s="1">
        <v>69</v>
      </c>
      <c r="I1514" s="1">
        <v>0</v>
      </c>
    </row>
    <row r="1515" spans="1:9" ht="23.25">
      <c r="A1515" s="4" t="s">
        <v>25</v>
      </c>
      <c r="B1515" s="4"/>
      <c r="C1515" s="4" t="s">
        <v>31</v>
      </c>
      <c r="D1515" s="4"/>
      <c r="E1515" s="1">
        <v>0</v>
      </c>
      <c r="F1515" s="1">
        <v>0</v>
      </c>
      <c r="G1515" s="1">
        <v>0</v>
      </c>
      <c r="H1515" s="1">
        <v>0</v>
      </c>
      <c r="I1515" s="1">
        <v>0</v>
      </c>
    </row>
    <row r="1516" spans="1:9" ht="23.25">
      <c r="A1516" s="4" t="s">
        <v>26</v>
      </c>
      <c r="B1516" s="4"/>
      <c r="C1516" s="4" t="s">
        <v>31</v>
      </c>
      <c r="D1516" s="4"/>
      <c r="E1516" s="1">
        <v>0</v>
      </c>
      <c r="F1516" s="1">
        <v>0</v>
      </c>
      <c r="G1516" s="1">
        <v>0</v>
      </c>
      <c r="H1516" s="1">
        <v>0</v>
      </c>
      <c r="I1516" s="1">
        <v>0</v>
      </c>
    </row>
    <row r="1517" spans="1:9" ht="23.25">
      <c r="A1517" s="4" t="s">
        <v>27</v>
      </c>
      <c r="B1517" s="4"/>
      <c r="C1517" s="4" t="s">
        <v>31</v>
      </c>
      <c r="D1517" s="4"/>
      <c r="E1517" s="1">
        <v>0</v>
      </c>
      <c r="F1517" s="1">
        <v>0</v>
      </c>
      <c r="G1517" s="1">
        <v>0</v>
      </c>
      <c r="H1517" s="1">
        <v>0</v>
      </c>
      <c r="I1517" s="1">
        <v>0</v>
      </c>
    </row>
    <row r="1518" spans="1:9" ht="23.25">
      <c r="A1518" s="4" t="s">
        <v>28</v>
      </c>
      <c r="B1518" s="4"/>
      <c r="C1518" s="4" t="s">
        <v>31</v>
      </c>
      <c r="D1518" s="4"/>
      <c r="E1518" s="1">
        <v>0</v>
      </c>
      <c r="F1518" s="1">
        <v>0</v>
      </c>
      <c r="G1518" s="1">
        <v>0</v>
      </c>
      <c r="H1518" s="1">
        <v>0</v>
      </c>
      <c r="I1518" s="1">
        <v>0</v>
      </c>
    </row>
    <row r="1519" spans="1:9" ht="23.25">
      <c r="A1519" s="4" t="s">
        <v>29</v>
      </c>
      <c r="B1519" s="4"/>
      <c r="C1519" s="4" t="s">
        <v>31</v>
      </c>
      <c r="D1519" s="4"/>
      <c r="E1519" s="1">
        <v>0</v>
      </c>
      <c r="F1519" s="1">
        <v>0</v>
      </c>
      <c r="G1519" s="1">
        <v>0</v>
      </c>
      <c r="H1519" s="1">
        <v>0</v>
      </c>
      <c r="I1519" s="1">
        <v>0</v>
      </c>
    </row>
    <row r="1520" spans="1:9" ht="23.25">
      <c r="A1520" s="4" t="s">
        <v>30</v>
      </c>
      <c r="B1520" s="4"/>
      <c r="C1520" s="4" t="s">
        <v>31</v>
      </c>
      <c r="D1520" s="4"/>
      <c r="E1520" s="1">
        <v>121519644</v>
      </c>
      <c r="F1520" s="1">
        <v>11926827</v>
      </c>
      <c r="G1520" s="1">
        <v>9435354</v>
      </c>
      <c r="H1520" s="1">
        <v>1400284</v>
      </c>
      <c r="I1520" s="1">
        <v>34250874</v>
      </c>
    </row>
    <row r="1521" spans="1:9" ht="23.25">
      <c r="A1521" s="4" t="s">
        <v>31</v>
      </c>
      <c r="B1521" s="4"/>
      <c r="C1521" s="4" t="s">
        <v>31</v>
      </c>
      <c r="D1521" s="4"/>
      <c r="E1521" s="1">
        <v>10864185</v>
      </c>
      <c r="F1521" s="1">
        <v>368970</v>
      </c>
      <c r="G1521" s="1">
        <v>580498</v>
      </c>
      <c r="H1521" s="1">
        <v>55238</v>
      </c>
      <c r="I1521" s="1">
        <v>5247509</v>
      </c>
    </row>
    <row r="1522" spans="1:9" ht="23.25">
      <c r="A1522" s="4" t="s">
        <v>32</v>
      </c>
      <c r="B1522" s="4"/>
      <c r="C1522" s="4" t="s">
        <v>31</v>
      </c>
      <c r="D1522" s="4"/>
      <c r="E1522" s="1">
        <v>1206367</v>
      </c>
      <c r="F1522" s="1">
        <v>85697</v>
      </c>
      <c r="G1522" s="1">
        <v>79459</v>
      </c>
      <c r="H1522" s="1">
        <v>13692</v>
      </c>
      <c r="I1522" s="1">
        <v>280538</v>
      </c>
    </row>
    <row r="1523" spans="1:9" ht="23.25">
      <c r="A1523" s="4" t="s">
        <v>33</v>
      </c>
      <c r="B1523" s="4"/>
      <c r="C1523" s="4" t="s">
        <v>31</v>
      </c>
      <c r="D1523" s="4"/>
      <c r="E1523" s="1">
        <v>6598</v>
      </c>
      <c r="F1523" s="1">
        <v>689</v>
      </c>
      <c r="G1523" s="1">
        <v>1411</v>
      </c>
      <c r="H1523" s="1">
        <v>53</v>
      </c>
      <c r="I1523" s="1">
        <v>0</v>
      </c>
    </row>
    <row r="1524" spans="1:9" ht="23.25">
      <c r="A1524" s="4" t="s">
        <v>34</v>
      </c>
      <c r="B1524" s="4"/>
      <c r="C1524" s="4" t="s">
        <v>31</v>
      </c>
      <c r="D1524" s="4"/>
      <c r="E1524" s="1">
        <v>1680749</v>
      </c>
      <c r="F1524" s="1">
        <v>171571</v>
      </c>
      <c r="G1524" s="1">
        <v>76193</v>
      </c>
      <c r="H1524" s="1">
        <v>24978</v>
      </c>
      <c r="I1524" s="1">
        <v>462654</v>
      </c>
    </row>
    <row r="1525" spans="1:9" ht="23.25">
      <c r="A1525" s="4" t="s">
        <v>35</v>
      </c>
      <c r="B1525" s="4"/>
      <c r="C1525" s="4" t="s">
        <v>31</v>
      </c>
      <c r="D1525" s="4"/>
      <c r="E1525" s="1">
        <v>0</v>
      </c>
      <c r="F1525" s="1">
        <v>0</v>
      </c>
      <c r="G1525" s="1">
        <v>0</v>
      </c>
      <c r="H1525" s="1">
        <v>0</v>
      </c>
      <c r="I1525" s="1">
        <v>0</v>
      </c>
    </row>
    <row r="1526" spans="1:9" ht="23.25">
      <c r="A1526" s="4" t="s">
        <v>36</v>
      </c>
      <c r="B1526" s="4"/>
      <c r="C1526" s="4" t="s">
        <v>31</v>
      </c>
      <c r="D1526" s="4"/>
      <c r="E1526" s="1">
        <v>2578792</v>
      </c>
      <c r="F1526" s="1">
        <v>274226</v>
      </c>
      <c r="G1526" s="1">
        <v>376735</v>
      </c>
      <c r="H1526" s="1">
        <v>32652</v>
      </c>
      <c r="I1526" s="1">
        <v>1482338</v>
      </c>
    </row>
    <row r="1527" spans="1:9" ht="23.25">
      <c r="A1527" s="4" t="s">
        <v>37</v>
      </c>
      <c r="B1527" s="4"/>
      <c r="C1527" s="4" t="s">
        <v>31</v>
      </c>
      <c r="D1527" s="4"/>
      <c r="E1527" s="1">
        <v>2852018</v>
      </c>
      <c r="F1527" s="1">
        <v>105850</v>
      </c>
      <c r="G1527" s="1">
        <v>98720</v>
      </c>
      <c r="H1527" s="1">
        <v>24535</v>
      </c>
      <c r="I1527" s="1">
        <v>559361</v>
      </c>
    </row>
    <row r="1528" spans="1:9" ht="23.25">
      <c r="A1528" s="4" t="s">
        <v>38</v>
      </c>
      <c r="B1528" s="4"/>
      <c r="C1528" s="4" t="s">
        <v>31</v>
      </c>
      <c r="D1528" s="4"/>
      <c r="E1528" s="1">
        <v>5227090</v>
      </c>
      <c r="F1528" s="1">
        <v>513615</v>
      </c>
      <c r="G1528" s="1">
        <v>729336</v>
      </c>
      <c r="H1528" s="1">
        <v>142566</v>
      </c>
      <c r="I1528" s="1">
        <v>3066930</v>
      </c>
    </row>
    <row r="1529" spans="1:9" ht="23.25">
      <c r="A1529" s="4" t="s">
        <v>39</v>
      </c>
      <c r="B1529" s="4"/>
      <c r="C1529" s="4" t="s">
        <v>31</v>
      </c>
      <c r="D1529" s="4"/>
      <c r="E1529" s="1">
        <v>4151893</v>
      </c>
      <c r="F1529" s="1">
        <v>135088</v>
      </c>
      <c r="G1529" s="1">
        <v>141231</v>
      </c>
      <c r="H1529" s="1">
        <v>32020</v>
      </c>
      <c r="I1529" s="1">
        <v>1825753</v>
      </c>
    </row>
    <row r="1530" spans="1:9" ht="23.25">
      <c r="A1530" s="4" t="s">
        <v>40</v>
      </c>
      <c r="B1530" s="4"/>
      <c r="C1530" s="4" t="s">
        <v>31</v>
      </c>
      <c r="D1530" s="4"/>
      <c r="E1530" s="1">
        <v>0</v>
      </c>
      <c r="F1530" s="1">
        <v>0</v>
      </c>
      <c r="G1530" s="1">
        <v>0</v>
      </c>
      <c r="H1530" s="1">
        <v>0</v>
      </c>
      <c r="I1530" s="1">
        <v>0</v>
      </c>
    </row>
    <row r="1531" spans="1:9" ht="23.25">
      <c r="A1531" s="4" t="s">
        <v>41</v>
      </c>
      <c r="B1531" s="4"/>
      <c r="C1531" s="4" t="s">
        <v>31</v>
      </c>
      <c r="D1531" s="4"/>
      <c r="E1531" s="1">
        <v>0</v>
      </c>
      <c r="F1531" s="1">
        <v>0</v>
      </c>
      <c r="G1531" s="1">
        <v>0</v>
      </c>
      <c r="H1531" s="1">
        <v>0</v>
      </c>
      <c r="I1531" s="1">
        <v>0</v>
      </c>
    </row>
    <row r="1532" spans="1:9" ht="23.25">
      <c r="A1532" s="4" t="s">
        <v>42</v>
      </c>
      <c r="B1532" s="4"/>
      <c r="C1532" s="4" t="s">
        <v>31</v>
      </c>
      <c r="D1532" s="4"/>
      <c r="E1532" s="1">
        <v>0</v>
      </c>
      <c r="F1532" s="1">
        <v>0</v>
      </c>
      <c r="G1532" s="1">
        <v>0</v>
      </c>
      <c r="H1532" s="1">
        <v>0</v>
      </c>
      <c r="I1532" s="1">
        <v>0</v>
      </c>
    </row>
    <row r="1533" spans="1:9" ht="23.25">
      <c r="A1533" s="4" t="s">
        <v>43</v>
      </c>
      <c r="B1533" s="4"/>
      <c r="C1533" s="4" t="s">
        <v>31</v>
      </c>
      <c r="D1533" s="4"/>
      <c r="E1533" s="1">
        <v>396</v>
      </c>
      <c r="F1533" s="1">
        <v>19</v>
      </c>
      <c r="G1533" s="1">
        <v>9</v>
      </c>
      <c r="H1533" s="1">
        <v>1</v>
      </c>
      <c r="I1533" s="1">
        <v>0</v>
      </c>
    </row>
    <row r="1534" spans="1:9" ht="23.25">
      <c r="A1534" s="4" t="s">
        <v>44</v>
      </c>
      <c r="B1534" s="4"/>
      <c r="C1534" s="4" t="s">
        <v>31</v>
      </c>
      <c r="D1534" s="4"/>
      <c r="E1534" s="1">
        <v>1825167</v>
      </c>
      <c r="F1534" s="1">
        <v>59463</v>
      </c>
      <c r="G1534" s="1">
        <v>96745</v>
      </c>
      <c r="H1534" s="1">
        <v>5770</v>
      </c>
      <c r="I1534" s="1">
        <v>1051379</v>
      </c>
    </row>
    <row r="1535" spans="1:9" ht="23.25">
      <c r="A1535" s="4" t="s">
        <v>45</v>
      </c>
      <c r="B1535" s="4"/>
      <c r="C1535" s="4" t="s">
        <v>31</v>
      </c>
      <c r="D1535" s="4"/>
      <c r="E1535" s="1">
        <v>1397941</v>
      </c>
      <c r="F1535" s="1">
        <v>108065</v>
      </c>
      <c r="G1535" s="1">
        <v>0</v>
      </c>
      <c r="H1535" s="1">
        <v>16400</v>
      </c>
      <c r="I1535" s="1">
        <v>0</v>
      </c>
    </row>
    <row r="1536" spans="1:9" ht="23.25">
      <c r="A1536" s="4" t="s">
        <v>46</v>
      </c>
      <c r="B1536" s="4"/>
      <c r="C1536" s="4" t="s">
        <v>31</v>
      </c>
      <c r="D1536" s="4"/>
      <c r="E1536" s="1">
        <v>427701</v>
      </c>
      <c r="F1536" s="1">
        <v>16929</v>
      </c>
      <c r="G1536" s="1">
        <v>12194</v>
      </c>
      <c r="H1536" s="1">
        <v>4178</v>
      </c>
      <c r="I1536" s="1">
        <v>0</v>
      </c>
    </row>
    <row r="1537" spans="1:9" ht="23.25">
      <c r="A1537" s="4" t="s">
        <v>47</v>
      </c>
      <c r="B1537" s="4"/>
      <c r="C1537" s="4" t="s">
        <v>31</v>
      </c>
      <c r="D1537" s="4"/>
      <c r="E1537" s="1">
        <v>494754</v>
      </c>
      <c r="F1537" s="1">
        <v>0</v>
      </c>
      <c r="G1537" s="1">
        <v>0</v>
      </c>
      <c r="H1537" s="1">
        <v>0</v>
      </c>
      <c r="I1537" s="1">
        <v>0</v>
      </c>
    </row>
    <row r="1538" spans="1:9" ht="23.25">
      <c r="A1538" s="4" t="s">
        <v>48</v>
      </c>
      <c r="B1538" s="4"/>
      <c r="C1538" s="4" t="s">
        <v>31</v>
      </c>
      <c r="D1538" s="4"/>
      <c r="E1538" s="1">
        <v>0</v>
      </c>
      <c r="F1538" s="1">
        <v>0</v>
      </c>
      <c r="G1538" s="1">
        <v>0</v>
      </c>
      <c r="H1538" s="1">
        <v>0</v>
      </c>
      <c r="I1538" s="1">
        <v>0</v>
      </c>
    </row>
    <row r="1539" spans="1:9" ht="23.25">
      <c r="A1539" s="4" t="s">
        <v>49</v>
      </c>
      <c r="B1539" s="4"/>
      <c r="C1539" s="4" t="s">
        <v>31</v>
      </c>
      <c r="D1539" s="4"/>
      <c r="E1539" s="1">
        <v>8841183</v>
      </c>
      <c r="F1539" s="1">
        <v>868263</v>
      </c>
      <c r="G1539" s="1">
        <v>446753</v>
      </c>
      <c r="H1539" s="1">
        <v>40007</v>
      </c>
      <c r="I1539" s="1">
        <v>6719224</v>
      </c>
    </row>
    <row r="1540" spans="1:9" ht="23.25">
      <c r="A1540" s="4" t="s">
        <v>50</v>
      </c>
      <c r="B1540" s="4"/>
      <c r="C1540" s="4" t="s">
        <v>31</v>
      </c>
      <c r="D1540" s="4"/>
      <c r="E1540" s="1">
        <v>0</v>
      </c>
      <c r="F1540" s="1">
        <v>0</v>
      </c>
      <c r="G1540" s="1">
        <v>0</v>
      </c>
      <c r="H1540" s="1">
        <v>0</v>
      </c>
      <c r="I1540" s="1">
        <v>0</v>
      </c>
    </row>
    <row r="1541" spans="1:9" ht="23.25">
      <c r="A1541" s="4" t="s">
        <v>51</v>
      </c>
      <c r="B1541" s="4"/>
      <c r="C1541" s="4" t="s">
        <v>31</v>
      </c>
      <c r="D1541" s="4"/>
      <c r="E1541" s="1">
        <v>10617466</v>
      </c>
      <c r="F1541" s="1">
        <v>791310</v>
      </c>
      <c r="G1541" s="1">
        <v>1185098</v>
      </c>
      <c r="H1541" s="1">
        <v>146968</v>
      </c>
      <c r="I1541" s="1">
        <v>4444375</v>
      </c>
    </row>
    <row r="1542" spans="1:9" ht="23.25">
      <c r="A1542" s="4" t="s">
        <v>52</v>
      </c>
      <c r="B1542" s="4"/>
      <c r="C1542" s="4" t="s">
        <v>31</v>
      </c>
      <c r="D1542" s="4"/>
      <c r="E1542" s="1">
        <v>7346637</v>
      </c>
      <c r="F1542" s="1">
        <v>1855</v>
      </c>
      <c r="G1542" s="1">
        <v>3170</v>
      </c>
      <c r="H1542" s="1">
        <v>342</v>
      </c>
      <c r="I1542" s="1">
        <v>0</v>
      </c>
    </row>
    <row r="1543" spans="1:9" ht="23.25">
      <c r="A1543" s="4" t="s">
        <v>53</v>
      </c>
      <c r="B1543" s="4"/>
      <c r="C1543" s="4" t="s">
        <v>31</v>
      </c>
      <c r="D1543" s="4"/>
      <c r="E1543" s="1">
        <v>109091</v>
      </c>
      <c r="F1543" s="1">
        <v>0</v>
      </c>
      <c r="G1543" s="1">
        <v>0</v>
      </c>
      <c r="H1543" s="1">
        <v>0</v>
      </c>
      <c r="I1543" s="1">
        <v>0</v>
      </c>
    </row>
    <row r="1544" spans="1:9" ht="23.25">
      <c r="A1544" s="4" t="s">
        <v>54</v>
      </c>
      <c r="B1544" s="4"/>
      <c r="C1544" s="4" t="s">
        <v>31</v>
      </c>
      <c r="D1544" s="4"/>
      <c r="E1544" s="1">
        <v>160077</v>
      </c>
      <c r="F1544" s="1">
        <v>0</v>
      </c>
      <c r="G1544" s="1">
        <v>0</v>
      </c>
      <c r="H1544" s="1">
        <v>0</v>
      </c>
      <c r="I1544" s="1">
        <v>0</v>
      </c>
    </row>
    <row r="1545" spans="1:9" ht="23.25">
      <c r="A1545" s="4" t="s">
        <v>55</v>
      </c>
      <c r="B1545" s="4"/>
      <c r="C1545" s="4" t="s">
        <v>31</v>
      </c>
      <c r="D1545" s="4"/>
      <c r="E1545" s="1">
        <v>0</v>
      </c>
      <c r="F1545" s="1">
        <v>0</v>
      </c>
      <c r="G1545" s="1">
        <v>0</v>
      </c>
      <c r="H1545" s="1">
        <v>0</v>
      </c>
      <c r="I1545" s="1">
        <v>0</v>
      </c>
    </row>
    <row r="1546" spans="1:9" ht="23.25">
      <c r="A1546" s="4" t="s">
        <v>56</v>
      </c>
      <c r="B1546" s="4"/>
      <c r="C1546" s="4" t="s">
        <v>31</v>
      </c>
      <c r="D1546" s="4"/>
      <c r="E1546" s="1">
        <v>0</v>
      </c>
      <c r="F1546" s="1">
        <v>-15435991</v>
      </c>
      <c r="G1546" s="1">
        <v>-13273629</v>
      </c>
      <c r="H1546" s="1">
        <v>0</v>
      </c>
      <c r="I1546" s="1">
        <v>0</v>
      </c>
    </row>
    <row r="1547" spans="1:9" ht="23.25">
      <c r="A1547" s="4" t="s">
        <v>57</v>
      </c>
      <c r="B1547" s="4"/>
      <c r="C1547" s="4" t="s">
        <v>31</v>
      </c>
      <c r="D1547" s="4"/>
      <c r="E1547" s="1">
        <v>1677548</v>
      </c>
      <c r="F1547" s="1">
        <v>0</v>
      </c>
      <c r="G1547" s="1">
        <v>0</v>
      </c>
      <c r="H1547" s="1">
        <v>0</v>
      </c>
      <c r="I1547" s="1">
        <v>0</v>
      </c>
    </row>
    <row r="1548" spans="1:9" ht="23.25">
      <c r="A1548" s="4" t="s">
        <v>58</v>
      </c>
      <c r="B1548" s="4"/>
      <c r="C1548" s="4" t="s">
        <v>31</v>
      </c>
      <c r="D1548" s="4"/>
      <c r="E1548" s="1">
        <v>1435690</v>
      </c>
      <c r="F1548" s="1">
        <v>0</v>
      </c>
      <c r="G1548" s="1">
        <v>0</v>
      </c>
      <c r="H1548" s="1">
        <v>-1941120</v>
      </c>
      <c r="I1548" s="1">
        <v>0</v>
      </c>
    </row>
    <row r="1549" spans="1:9" ht="23.25">
      <c r="A1549" s="4" t="s">
        <v>59</v>
      </c>
      <c r="B1549" s="4"/>
      <c r="C1549" s="4" t="s">
        <v>31</v>
      </c>
      <c r="D1549" s="4"/>
      <c r="E1549" s="1">
        <v>418565</v>
      </c>
      <c r="F1549" s="1">
        <v>0</v>
      </c>
      <c r="G1549" s="1">
        <v>0</v>
      </c>
      <c r="H1549" s="1">
        <v>0</v>
      </c>
      <c r="I1549" s="1">
        <v>0</v>
      </c>
    </row>
    <row r="1550" spans="1:9" ht="23.25">
      <c r="A1550" s="4" t="s">
        <v>60</v>
      </c>
      <c r="B1550" s="4"/>
      <c r="C1550" s="4" t="s">
        <v>31</v>
      </c>
      <c r="D1550" s="4"/>
      <c r="E1550" s="1">
        <v>4914198</v>
      </c>
      <c r="F1550" s="1">
        <v>0</v>
      </c>
      <c r="G1550" s="1">
        <v>0</v>
      </c>
      <c r="H1550" s="1">
        <v>0</v>
      </c>
      <c r="I1550" s="1">
        <v>0</v>
      </c>
    </row>
    <row r="1551" spans="1:9" ht="23.25">
      <c r="A1551" s="4" t="s">
        <v>61</v>
      </c>
      <c r="B1551" s="4"/>
      <c r="C1551" s="4" t="s">
        <v>31</v>
      </c>
      <c r="D1551" s="4"/>
      <c r="E1551" s="1">
        <v>408720</v>
      </c>
      <c r="F1551" s="1">
        <v>0</v>
      </c>
      <c r="G1551" s="1">
        <v>0</v>
      </c>
      <c r="H1551" s="1">
        <v>0</v>
      </c>
      <c r="I1551" s="1">
        <v>0</v>
      </c>
    </row>
    <row r="1552" spans="1:9" ht="23.25">
      <c r="A1552" s="4" t="s">
        <v>62</v>
      </c>
      <c r="B1552" s="4"/>
      <c r="C1552" s="4" t="s">
        <v>31</v>
      </c>
      <c r="D1552" s="4"/>
      <c r="E1552" s="1">
        <v>7412918</v>
      </c>
      <c r="F1552" s="1">
        <v>0</v>
      </c>
      <c r="G1552" s="1">
        <v>0</v>
      </c>
      <c r="H1552" s="1">
        <v>0</v>
      </c>
      <c r="I1552" s="1">
        <v>0</v>
      </c>
    </row>
    <row r="1553" spans="1:9" ht="23.25">
      <c r="A1553" s="4" t="s">
        <v>63</v>
      </c>
      <c r="B1553" s="4"/>
      <c r="C1553" s="4" t="s">
        <v>31</v>
      </c>
      <c r="D1553" s="4"/>
      <c r="E1553" s="1">
        <v>182325</v>
      </c>
      <c r="F1553" s="1">
        <v>0</v>
      </c>
      <c r="G1553" s="1">
        <v>0</v>
      </c>
      <c r="H1553" s="1">
        <v>0</v>
      </c>
      <c r="I1553" s="1">
        <v>0</v>
      </c>
    </row>
    <row r="1554" spans="1:9" ht="23.25">
      <c r="A1554" s="4" t="s">
        <v>64</v>
      </c>
      <c r="B1554" s="4"/>
      <c r="C1554" s="4" t="s">
        <v>31</v>
      </c>
      <c r="D1554" s="4"/>
      <c r="E1554" s="1">
        <v>245927</v>
      </c>
      <c r="F1554" s="1">
        <v>0</v>
      </c>
      <c r="G1554" s="1">
        <v>0</v>
      </c>
      <c r="H1554" s="1">
        <v>0</v>
      </c>
      <c r="I1554" s="1">
        <v>0</v>
      </c>
    </row>
    <row r="1555" spans="1:9" ht="23.25">
      <c r="A1555" s="4" t="s">
        <v>65</v>
      </c>
      <c r="B1555" s="4"/>
      <c r="C1555" s="4" t="s">
        <v>31</v>
      </c>
      <c r="D1555" s="4"/>
      <c r="E1555" s="1">
        <v>1958628</v>
      </c>
      <c r="F1555" s="1">
        <v>0</v>
      </c>
      <c r="G1555" s="1">
        <v>0</v>
      </c>
      <c r="H1555" s="1">
        <v>0</v>
      </c>
      <c r="I1555" s="1">
        <v>175168</v>
      </c>
    </row>
    <row r="1556" spans="1:9" ht="23.25">
      <c r="A1556" s="4" t="s">
        <v>66</v>
      </c>
      <c r="B1556" s="4"/>
      <c r="C1556" s="4" t="s">
        <v>31</v>
      </c>
      <c r="D1556" s="4"/>
      <c r="E1556" s="1">
        <v>200384361</v>
      </c>
      <c r="F1556" s="1">
        <v>0</v>
      </c>
      <c r="G1556" s="1">
        <v>0</v>
      </c>
      <c r="H1556" s="1">
        <v>0</v>
      </c>
      <c r="I1556" s="1">
        <v>59690712</v>
      </c>
    </row>
    <row r="1557" spans="1:9" ht="23.25">
      <c r="A1557" s="4" t="s">
        <v>67</v>
      </c>
      <c r="B1557" s="4"/>
      <c r="C1557" s="4" t="s">
        <v>31</v>
      </c>
      <c r="D1557" s="4"/>
      <c r="E1557" s="1">
        <v>29888490</v>
      </c>
      <c r="F1557" s="1">
        <v>0</v>
      </c>
      <c r="G1557" s="1">
        <v>0</v>
      </c>
      <c r="H1557" s="1">
        <v>0</v>
      </c>
      <c r="I1557" s="1">
        <v>0</v>
      </c>
    </row>
    <row r="1558" spans="1:9" ht="23.25">
      <c r="A1558" s="4" t="s">
        <v>68</v>
      </c>
      <c r="B1558" s="4"/>
      <c r="C1558" s="4" t="s">
        <v>31</v>
      </c>
      <c r="D1558" s="4"/>
      <c r="E1558" s="1">
        <v>37597366</v>
      </c>
      <c r="F1558" s="1">
        <v>0</v>
      </c>
      <c r="G1558" s="1">
        <v>0</v>
      </c>
      <c r="H1558" s="1">
        <v>0</v>
      </c>
      <c r="I1558" s="1">
        <v>0</v>
      </c>
    </row>
    <row r="1559" spans="1:9" ht="23.25">
      <c r="A1559" s="4" t="s">
        <v>69</v>
      </c>
      <c r="B1559" s="4"/>
      <c r="C1559" s="4" t="s">
        <v>31</v>
      </c>
      <c r="D1559" s="4"/>
      <c r="E1559" s="1">
        <v>15295478</v>
      </c>
      <c r="F1559" s="1">
        <v>0</v>
      </c>
      <c r="G1559" s="1">
        <v>0</v>
      </c>
      <c r="H1559" s="1">
        <v>0</v>
      </c>
      <c r="I1559" s="1">
        <v>0</v>
      </c>
    </row>
    <row r="1560" spans="1:9" ht="23.25">
      <c r="A1560" s="4" t="s">
        <v>70</v>
      </c>
      <c r="B1560" s="4"/>
      <c r="C1560" s="4" t="s">
        <v>31</v>
      </c>
      <c r="D1560" s="4"/>
      <c r="E1560" s="1">
        <v>8664710</v>
      </c>
      <c r="F1560" s="1">
        <v>0</v>
      </c>
      <c r="G1560" s="1">
        <v>0</v>
      </c>
      <c r="H1560" s="1">
        <v>0</v>
      </c>
      <c r="I1560" s="1">
        <v>0</v>
      </c>
    </row>
    <row r="1561" spans="1:9" ht="23.25">
      <c r="A1561" s="4" t="s">
        <v>71</v>
      </c>
      <c r="B1561" s="4"/>
      <c r="C1561" s="4" t="s">
        <v>31</v>
      </c>
      <c r="D1561" s="4"/>
      <c r="E1561" s="1">
        <v>91446044</v>
      </c>
      <c r="F1561" s="1">
        <v>0</v>
      </c>
      <c r="G1561" s="1">
        <v>0</v>
      </c>
      <c r="H1561" s="1">
        <v>0</v>
      </c>
      <c r="I1561" s="1">
        <v>0</v>
      </c>
    </row>
    <row r="1562" spans="1:9" ht="23.25">
      <c r="A1562" s="4" t="s">
        <v>72</v>
      </c>
      <c r="B1562" s="4"/>
      <c r="C1562" s="4" t="s">
        <v>31</v>
      </c>
      <c r="D1562" s="4"/>
      <c r="E1562" s="1">
        <v>291830405</v>
      </c>
      <c r="F1562" s="1">
        <v>0</v>
      </c>
      <c r="G1562" s="1">
        <v>0</v>
      </c>
      <c r="H1562" s="1">
        <v>0</v>
      </c>
      <c r="I1562" s="1">
        <v>0</v>
      </c>
    </row>
    <row r="1563" spans="1:9" ht="23.25">
      <c r="A1563" s="4" t="s">
        <v>8</v>
      </c>
      <c r="B1563" s="4"/>
      <c r="C1563" s="4" t="s">
        <v>32</v>
      </c>
      <c r="D1563" s="4"/>
      <c r="E1563" s="1">
        <v>187802</v>
      </c>
      <c r="F1563" s="1">
        <v>14388</v>
      </c>
      <c r="G1563" s="1">
        <v>0</v>
      </c>
      <c r="H1563" s="1">
        <v>1434</v>
      </c>
      <c r="I1563" s="1">
        <v>0</v>
      </c>
    </row>
    <row r="1564" spans="1:9" ht="23.25">
      <c r="A1564" s="4" t="s">
        <v>9</v>
      </c>
      <c r="B1564" s="4"/>
      <c r="C1564" s="4" t="s">
        <v>32</v>
      </c>
      <c r="D1564" s="4"/>
      <c r="E1564" s="1">
        <v>0</v>
      </c>
      <c r="F1564" s="1">
        <v>0</v>
      </c>
      <c r="G1564" s="1">
        <v>0</v>
      </c>
      <c r="H1564" s="1">
        <v>0</v>
      </c>
      <c r="I1564" s="1">
        <v>0</v>
      </c>
    </row>
    <row r="1565" spans="1:9" ht="23.25">
      <c r="A1565" s="4" t="s">
        <v>10</v>
      </c>
      <c r="B1565" s="4"/>
      <c r="C1565" s="4" t="s">
        <v>32</v>
      </c>
      <c r="D1565" s="4"/>
      <c r="E1565" s="1">
        <v>0</v>
      </c>
      <c r="F1565" s="1">
        <v>0</v>
      </c>
      <c r="G1565" s="1">
        <v>0</v>
      </c>
      <c r="H1565" s="1">
        <v>0</v>
      </c>
      <c r="I1565" s="1">
        <v>0</v>
      </c>
    </row>
    <row r="1566" spans="1:9" ht="23.25">
      <c r="A1566" s="4" t="s">
        <v>11</v>
      </c>
      <c r="B1566" s="4"/>
      <c r="C1566" s="4" t="s">
        <v>32</v>
      </c>
      <c r="D1566" s="4"/>
      <c r="E1566" s="1">
        <v>0</v>
      </c>
      <c r="F1566" s="1">
        <v>0</v>
      </c>
      <c r="G1566" s="1">
        <v>0</v>
      </c>
      <c r="H1566" s="1">
        <v>0</v>
      </c>
      <c r="I1566" s="1">
        <v>0</v>
      </c>
    </row>
    <row r="1567" spans="1:9" ht="23.25">
      <c r="A1567" s="4" t="s">
        <v>12</v>
      </c>
      <c r="B1567" s="4"/>
      <c r="C1567" s="4" t="s">
        <v>32</v>
      </c>
      <c r="D1567" s="4"/>
      <c r="E1567" s="1">
        <v>0</v>
      </c>
      <c r="F1567" s="1">
        <v>0</v>
      </c>
      <c r="G1567" s="1">
        <v>0</v>
      </c>
      <c r="H1567" s="1">
        <v>0</v>
      </c>
      <c r="I1567" s="1">
        <v>0</v>
      </c>
    </row>
    <row r="1568" spans="1:9" ht="23.25">
      <c r="A1568" s="4" t="s">
        <v>13</v>
      </c>
      <c r="B1568" s="4"/>
      <c r="C1568" s="4" t="s">
        <v>32</v>
      </c>
      <c r="D1568" s="4"/>
      <c r="E1568" s="1">
        <v>0</v>
      </c>
      <c r="F1568" s="1">
        <v>0</v>
      </c>
      <c r="G1568" s="1">
        <v>0</v>
      </c>
      <c r="H1568" s="1">
        <v>0</v>
      </c>
      <c r="I1568" s="1">
        <v>0</v>
      </c>
    </row>
    <row r="1569" spans="1:9" ht="23.25">
      <c r="A1569" s="4" t="s">
        <v>14</v>
      </c>
      <c r="B1569" s="4"/>
      <c r="C1569" s="4" t="s">
        <v>32</v>
      </c>
      <c r="D1569" s="4"/>
      <c r="E1569" s="1">
        <v>0</v>
      </c>
      <c r="F1569" s="1">
        <v>0</v>
      </c>
      <c r="G1569" s="1">
        <v>0</v>
      </c>
      <c r="H1569" s="1">
        <v>0</v>
      </c>
      <c r="I1569" s="1">
        <v>0</v>
      </c>
    </row>
    <row r="1570" spans="1:9" ht="23.25">
      <c r="A1570" s="4" t="s">
        <v>15</v>
      </c>
      <c r="B1570" s="4"/>
      <c r="C1570" s="4" t="s">
        <v>32</v>
      </c>
      <c r="D1570" s="4"/>
      <c r="E1570" s="1">
        <v>3128</v>
      </c>
      <c r="F1570" s="1">
        <v>143</v>
      </c>
      <c r="G1570" s="1">
        <v>0</v>
      </c>
      <c r="H1570" s="1">
        <v>20</v>
      </c>
      <c r="I1570" s="1">
        <v>2796</v>
      </c>
    </row>
    <row r="1571" spans="1:9" ht="23.25">
      <c r="A1571" s="4" t="s">
        <v>16</v>
      </c>
      <c r="B1571" s="4"/>
      <c r="C1571" s="4" t="s">
        <v>32</v>
      </c>
      <c r="D1571" s="4"/>
      <c r="E1571" s="1">
        <v>0</v>
      </c>
      <c r="F1571" s="1">
        <v>0</v>
      </c>
      <c r="G1571" s="1">
        <v>0</v>
      </c>
      <c r="H1571" s="1">
        <v>0</v>
      </c>
      <c r="I1571" s="1">
        <v>0</v>
      </c>
    </row>
    <row r="1572" spans="1:9" ht="23.25">
      <c r="A1572" s="4" t="s">
        <v>17</v>
      </c>
      <c r="B1572" s="4"/>
      <c r="C1572" s="4" t="s">
        <v>32</v>
      </c>
      <c r="D1572" s="4"/>
      <c r="E1572" s="1">
        <v>6063713</v>
      </c>
      <c r="F1572" s="1">
        <v>388354</v>
      </c>
      <c r="G1572" s="1">
        <v>0</v>
      </c>
      <c r="H1572" s="1">
        <v>81019</v>
      </c>
      <c r="I1572" s="1">
        <v>0</v>
      </c>
    </row>
    <row r="1573" spans="1:9" ht="23.25">
      <c r="A1573" s="4" t="s">
        <v>18</v>
      </c>
      <c r="B1573" s="4"/>
      <c r="C1573" s="4" t="s">
        <v>32</v>
      </c>
      <c r="D1573" s="4"/>
      <c r="E1573" s="1">
        <v>0</v>
      </c>
      <c r="F1573" s="1">
        <v>0</v>
      </c>
      <c r="G1573" s="1">
        <v>0</v>
      </c>
      <c r="H1573" s="1">
        <v>0</v>
      </c>
      <c r="I1573" s="1">
        <v>0</v>
      </c>
    </row>
    <row r="1574" spans="1:9" ht="23.25">
      <c r="A1574" s="4" t="s">
        <v>19</v>
      </c>
      <c r="B1574" s="4"/>
      <c r="C1574" s="4" t="s">
        <v>32</v>
      </c>
      <c r="D1574" s="4"/>
      <c r="E1574" s="1">
        <v>0</v>
      </c>
      <c r="F1574" s="1">
        <v>0</v>
      </c>
      <c r="G1574" s="1">
        <v>0</v>
      </c>
      <c r="H1574" s="1">
        <v>0</v>
      </c>
      <c r="I1574" s="1">
        <v>0</v>
      </c>
    </row>
    <row r="1575" spans="1:9" ht="23.25">
      <c r="A1575" s="4" t="s">
        <v>20</v>
      </c>
      <c r="B1575" s="4"/>
      <c r="C1575" s="4" t="s">
        <v>32</v>
      </c>
      <c r="D1575" s="4"/>
      <c r="E1575" s="1">
        <v>0</v>
      </c>
      <c r="F1575" s="1">
        <v>0</v>
      </c>
      <c r="G1575" s="1">
        <v>0</v>
      </c>
      <c r="H1575" s="1">
        <v>0</v>
      </c>
      <c r="I1575" s="1">
        <v>0</v>
      </c>
    </row>
    <row r="1576" spans="1:9" ht="23.25">
      <c r="A1576" s="4" t="s">
        <v>21</v>
      </c>
      <c r="B1576" s="4"/>
      <c r="C1576" s="4" t="s">
        <v>32</v>
      </c>
      <c r="D1576" s="4"/>
      <c r="E1576" s="1">
        <v>410497</v>
      </c>
      <c r="F1576" s="1">
        <v>43886</v>
      </c>
      <c r="G1576" s="1">
        <v>0</v>
      </c>
      <c r="H1576" s="1">
        <v>38553</v>
      </c>
      <c r="I1576" s="1">
        <v>36439</v>
      </c>
    </row>
    <row r="1577" spans="1:9" ht="23.25">
      <c r="A1577" s="4" t="s">
        <v>22</v>
      </c>
      <c r="B1577" s="4"/>
      <c r="C1577" s="4" t="s">
        <v>32</v>
      </c>
      <c r="D1577" s="4"/>
      <c r="E1577" s="1">
        <v>0</v>
      </c>
      <c r="F1577" s="1">
        <v>0</v>
      </c>
      <c r="G1577" s="1">
        <v>0</v>
      </c>
      <c r="H1577" s="1">
        <v>0</v>
      </c>
      <c r="I1577" s="1">
        <v>0</v>
      </c>
    </row>
    <row r="1578" spans="1:9" ht="23.25">
      <c r="A1578" s="4" t="s">
        <v>23</v>
      </c>
      <c r="B1578" s="4"/>
      <c r="C1578" s="4" t="s">
        <v>32</v>
      </c>
      <c r="D1578" s="4"/>
      <c r="E1578" s="1">
        <v>0</v>
      </c>
      <c r="F1578" s="1">
        <v>0</v>
      </c>
      <c r="G1578" s="1">
        <v>0</v>
      </c>
      <c r="H1578" s="1">
        <v>0</v>
      </c>
      <c r="I1578" s="1">
        <v>0</v>
      </c>
    </row>
    <row r="1579" spans="1:9" ht="23.25">
      <c r="A1579" s="4" t="s">
        <v>24</v>
      </c>
      <c r="B1579" s="4"/>
      <c r="C1579" s="4" t="s">
        <v>32</v>
      </c>
      <c r="D1579" s="4"/>
      <c r="E1579" s="1">
        <v>327252</v>
      </c>
      <c r="F1579" s="1">
        <v>213</v>
      </c>
      <c r="G1579" s="1">
        <v>27962</v>
      </c>
      <c r="H1579" s="1">
        <v>3157</v>
      </c>
      <c r="I1579" s="1">
        <v>77258</v>
      </c>
    </row>
    <row r="1580" spans="1:9" ht="23.25">
      <c r="A1580" s="4" t="s">
        <v>25</v>
      </c>
      <c r="B1580" s="4"/>
      <c r="C1580" s="4" t="s">
        <v>32</v>
      </c>
      <c r="D1580" s="4"/>
      <c r="E1580" s="1">
        <v>1572475</v>
      </c>
      <c r="F1580" s="1">
        <v>101313</v>
      </c>
      <c r="G1580" s="1">
        <v>100717</v>
      </c>
      <c r="H1580" s="1">
        <v>29048</v>
      </c>
      <c r="I1580" s="1">
        <v>0</v>
      </c>
    </row>
    <row r="1581" spans="1:9" ht="23.25">
      <c r="A1581" s="4" t="s">
        <v>26</v>
      </c>
      <c r="B1581" s="4"/>
      <c r="C1581" s="4" t="s">
        <v>32</v>
      </c>
      <c r="D1581" s="4"/>
      <c r="E1581" s="1">
        <v>10757</v>
      </c>
      <c r="F1581" s="1">
        <v>1020</v>
      </c>
      <c r="G1581" s="1">
        <v>336</v>
      </c>
      <c r="H1581" s="1">
        <v>151</v>
      </c>
      <c r="I1581" s="1">
        <v>0</v>
      </c>
    </row>
    <row r="1582" spans="1:9" ht="23.25">
      <c r="A1582" s="4" t="s">
        <v>27</v>
      </c>
      <c r="B1582" s="4"/>
      <c r="C1582" s="4" t="s">
        <v>32</v>
      </c>
      <c r="D1582" s="4"/>
      <c r="E1582" s="1">
        <v>0</v>
      </c>
      <c r="F1582" s="1">
        <v>0</v>
      </c>
      <c r="G1582" s="1">
        <v>0</v>
      </c>
      <c r="H1582" s="1">
        <v>0</v>
      </c>
      <c r="I1582" s="1">
        <v>0</v>
      </c>
    </row>
    <row r="1583" spans="1:9" ht="23.25">
      <c r="A1583" s="4" t="s">
        <v>28</v>
      </c>
      <c r="B1583" s="4"/>
      <c r="C1583" s="4" t="s">
        <v>32</v>
      </c>
      <c r="D1583" s="4"/>
      <c r="E1583" s="1">
        <v>0</v>
      </c>
      <c r="F1583" s="1">
        <v>0</v>
      </c>
      <c r="G1583" s="1">
        <v>0</v>
      </c>
      <c r="H1583" s="1">
        <v>0</v>
      </c>
      <c r="I1583" s="1">
        <v>0</v>
      </c>
    </row>
    <row r="1584" spans="1:9" ht="23.25">
      <c r="A1584" s="4" t="s">
        <v>29</v>
      </c>
      <c r="B1584" s="4"/>
      <c r="C1584" s="4" t="s">
        <v>32</v>
      </c>
      <c r="D1584" s="4"/>
      <c r="E1584" s="1">
        <v>0</v>
      </c>
      <c r="F1584" s="1">
        <v>0</v>
      </c>
      <c r="G1584" s="1">
        <v>0</v>
      </c>
      <c r="H1584" s="1">
        <v>0</v>
      </c>
      <c r="I1584" s="1">
        <v>0</v>
      </c>
    </row>
    <row r="1585" spans="1:9" ht="23.25">
      <c r="A1585" s="4" t="s">
        <v>30</v>
      </c>
      <c r="B1585" s="4"/>
      <c r="C1585" s="4" t="s">
        <v>32</v>
      </c>
      <c r="D1585" s="4"/>
      <c r="E1585" s="1">
        <v>28378</v>
      </c>
      <c r="F1585" s="1">
        <v>155</v>
      </c>
      <c r="G1585" s="1">
        <v>99</v>
      </c>
      <c r="H1585" s="1">
        <v>86</v>
      </c>
      <c r="I1585" s="1">
        <v>0</v>
      </c>
    </row>
    <row r="1586" spans="1:9" ht="23.25">
      <c r="A1586" s="4" t="s">
        <v>31</v>
      </c>
      <c r="B1586" s="4"/>
      <c r="C1586" s="4" t="s">
        <v>32</v>
      </c>
      <c r="D1586" s="4"/>
      <c r="E1586" s="1">
        <v>18632</v>
      </c>
      <c r="F1586" s="1">
        <v>3533</v>
      </c>
      <c r="G1586" s="1">
        <v>3717</v>
      </c>
      <c r="H1586" s="1">
        <v>100</v>
      </c>
      <c r="I1586" s="1">
        <v>0</v>
      </c>
    </row>
    <row r="1587" spans="1:9" ht="23.25">
      <c r="A1587" s="4" t="s">
        <v>32</v>
      </c>
      <c r="B1587" s="4"/>
      <c r="C1587" s="4" t="s">
        <v>32</v>
      </c>
      <c r="D1587" s="4"/>
      <c r="E1587" s="1">
        <v>88412212</v>
      </c>
      <c r="F1587" s="1">
        <v>6919846</v>
      </c>
      <c r="G1587" s="1">
        <v>6690020</v>
      </c>
      <c r="H1587" s="1">
        <v>1610924</v>
      </c>
      <c r="I1587" s="1">
        <v>65383657</v>
      </c>
    </row>
    <row r="1588" spans="1:9" ht="23.25">
      <c r="A1588" s="4" t="s">
        <v>33</v>
      </c>
      <c r="B1588" s="4"/>
      <c r="C1588" s="4" t="s">
        <v>32</v>
      </c>
      <c r="D1588" s="4"/>
      <c r="E1588" s="1">
        <v>5709</v>
      </c>
      <c r="F1588" s="1">
        <v>363</v>
      </c>
      <c r="G1588" s="1">
        <v>567</v>
      </c>
      <c r="H1588" s="1">
        <v>51</v>
      </c>
      <c r="I1588" s="1">
        <v>0</v>
      </c>
    </row>
    <row r="1589" spans="1:9" ht="23.25">
      <c r="A1589" s="4" t="s">
        <v>34</v>
      </c>
      <c r="B1589" s="4"/>
      <c r="C1589" s="4" t="s">
        <v>32</v>
      </c>
      <c r="D1589" s="4"/>
      <c r="E1589" s="1">
        <v>10463460</v>
      </c>
      <c r="F1589" s="1">
        <v>1290179</v>
      </c>
      <c r="G1589" s="1">
        <v>893131</v>
      </c>
      <c r="H1589" s="1">
        <v>237014</v>
      </c>
      <c r="I1589" s="1">
        <v>6133387</v>
      </c>
    </row>
    <row r="1590" spans="1:9" ht="23.25">
      <c r="A1590" s="4" t="s">
        <v>35</v>
      </c>
      <c r="B1590" s="4"/>
      <c r="C1590" s="4" t="s">
        <v>32</v>
      </c>
      <c r="D1590" s="4"/>
      <c r="E1590" s="1">
        <v>0</v>
      </c>
      <c r="F1590" s="1">
        <v>0</v>
      </c>
      <c r="G1590" s="1">
        <v>0</v>
      </c>
      <c r="H1590" s="1">
        <v>0</v>
      </c>
      <c r="I1590" s="1">
        <v>0</v>
      </c>
    </row>
    <row r="1591" spans="1:9" ht="23.25">
      <c r="A1591" s="4" t="s">
        <v>36</v>
      </c>
      <c r="B1591" s="4"/>
      <c r="C1591" s="4" t="s">
        <v>32</v>
      </c>
      <c r="D1591" s="4"/>
      <c r="E1591" s="1">
        <v>8219020</v>
      </c>
      <c r="F1591" s="1">
        <v>1123431</v>
      </c>
      <c r="G1591" s="1">
        <v>947057</v>
      </c>
      <c r="H1591" s="1">
        <v>130168</v>
      </c>
      <c r="I1591" s="1">
        <v>4934856</v>
      </c>
    </row>
    <row r="1592" spans="1:9" ht="23.25">
      <c r="A1592" s="4" t="s">
        <v>37</v>
      </c>
      <c r="B1592" s="4"/>
      <c r="C1592" s="4" t="s">
        <v>32</v>
      </c>
      <c r="D1592" s="4"/>
      <c r="E1592" s="1">
        <v>1807902</v>
      </c>
      <c r="F1592" s="1">
        <v>141482</v>
      </c>
      <c r="G1592" s="1">
        <v>120548</v>
      </c>
      <c r="H1592" s="1">
        <v>22231</v>
      </c>
      <c r="I1592" s="1">
        <v>325827</v>
      </c>
    </row>
    <row r="1593" spans="1:9" ht="23.25">
      <c r="A1593" s="4" t="s">
        <v>38</v>
      </c>
      <c r="B1593" s="4"/>
      <c r="C1593" s="4" t="s">
        <v>32</v>
      </c>
      <c r="D1593" s="4"/>
      <c r="E1593" s="1">
        <v>0</v>
      </c>
      <c r="F1593" s="1">
        <v>0</v>
      </c>
      <c r="G1593" s="1">
        <v>0</v>
      </c>
      <c r="H1593" s="1">
        <v>0</v>
      </c>
      <c r="I1593" s="1">
        <v>0</v>
      </c>
    </row>
    <row r="1594" spans="1:9" ht="23.25">
      <c r="A1594" s="4" t="s">
        <v>39</v>
      </c>
      <c r="B1594" s="4"/>
      <c r="C1594" s="4" t="s">
        <v>32</v>
      </c>
      <c r="D1594" s="4"/>
      <c r="E1594" s="1">
        <v>1890973</v>
      </c>
      <c r="F1594" s="1">
        <v>32897</v>
      </c>
      <c r="G1594" s="1">
        <v>45072</v>
      </c>
      <c r="H1594" s="1">
        <v>14756</v>
      </c>
      <c r="I1594" s="1">
        <v>876662</v>
      </c>
    </row>
    <row r="1595" spans="1:9" ht="23.25">
      <c r="A1595" s="4" t="s">
        <v>40</v>
      </c>
      <c r="B1595" s="4"/>
      <c r="C1595" s="4" t="s">
        <v>32</v>
      </c>
      <c r="D1595" s="4"/>
      <c r="E1595" s="1">
        <v>0</v>
      </c>
      <c r="F1595" s="1">
        <v>0</v>
      </c>
      <c r="G1595" s="1">
        <v>0</v>
      </c>
      <c r="H1595" s="1">
        <v>0</v>
      </c>
      <c r="I1595" s="1">
        <v>0</v>
      </c>
    </row>
    <row r="1596" spans="1:9" ht="23.25">
      <c r="A1596" s="4" t="s">
        <v>41</v>
      </c>
      <c r="B1596" s="4"/>
      <c r="C1596" s="4" t="s">
        <v>32</v>
      </c>
      <c r="D1596" s="4"/>
      <c r="E1596" s="1">
        <v>0</v>
      </c>
      <c r="F1596" s="1">
        <v>0</v>
      </c>
      <c r="G1596" s="1">
        <v>0</v>
      </c>
      <c r="H1596" s="1">
        <v>0</v>
      </c>
      <c r="I1596" s="1">
        <v>0</v>
      </c>
    </row>
    <row r="1597" spans="1:9" ht="23.25">
      <c r="A1597" s="4" t="s">
        <v>42</v>
      </c>
      <c r="B1597" s="4"/>
      <c r="C1597" s="4" t="s">
        <v>32</v>
      </c>
      <c r="D1597" s="4"/>
      <c r="E1597" s="1">
        <v>0</v>
      </c>
      <c r="F1597" s="1">
        <v>0</v>
      </c>
      <c r="G1597" s="1">
        <v>0</v>
      </c>
      <c r="H1597" s="1">
        <v>0</v>
      </c>
      <c r="I1597" s="1">
        <v>0</v>
      </c>
    </row>
    <row r="1598" spans="1:9" ht="23.25">
      <c r="A1598" s="4" t="s">
        <v>43</v>
      </c>
      <c r="B1598" s="4"/>
      <c r="C1598" s="4" t="s">
        <v>32</v>
      </c>
      <c r="D1598" s="4"/>
      <c r="E1598" s="1">
        <v>15867</v>
      </c>
      <c r="F1598" s="1">
        <v>514</v>
      </c>
      <c r="G1598" s="1">
        <v>495</v>
      </c>
      <c r="H1598" s="1">
        <v>0</v>
      </c>
      <c r="I1598" s="1">
        <v>9468</v>
      </c>
    </row>
    <row r="1599" spans="1:9" ht="23.25">
      <c r="A1599" s="4" t="s">
        <v>44</v>
      </c>
      <c r="B1599" s="4"/>
      <c r="C1599" s="4" t="s">
        <v>32</v>
      </c>
      <c r="D1599" s="4"/>
      <c r="E1599" s="1">
        <v>1398979</v>
      </c>
      <c r="F1599" s="1">
        <v>18862</v>
      </c>
      <c r="G1599" s="1">
        <v>39967</v>
      </c>
      <c r="H1599" s="1">
        <v>2683</v>
      </c>
      <c r="I1599" s="1">
        <v>1121681</v>
      </c>
    </row>
    <row r="1600" spans="1:9" ht="23.25">
      <c r="A1600" s="4" t="s">
        <v>45</v>
      </c>
      <c r="B1600" s="4"/>
      <c r="C1600" s="4" t="s">
        <v>32</v>
      </c>
      <c r="D1600" s="4"/>
      <c r="E1600" s="1">
        <v>1075781</v>
      </c>
      <c r="F1600" s="1">
        <v>39918</v>
      </c>
      <c r="G1600" s="1">
        <v>0</v>
      </c>
      <c r="H1600" s="1">
        <v>10559</v>
      </c>
      <c r="I1600" s="1">
        <v>0</v>
      </c>
    </row>
    <row r="1601" spans="1:9" ht="23.25">
      <c r="A1601" s="4" t="s">
        <v>46</v>
      </c>
      <c r="B1601" s="4"/>
      <c r="C1601" s="4" t="s">
        <v>32</v>
      </c>
      <c r="D1601" s="4"/>
      <c r="E1601" s="1">
        <v>188390</v>
      </c>
      <c r="F1601" s="1">
        <v>6430</v>
      </c>
      <c r="G1601" s="1">
        <v>0</v>
      </c>
      <c r="H1601" s="1">
        <v>1572</v>
      </c>
      <c r="I1601" s="1">
        <v>0</v>
      </c>
    </row>
    <row r="1602" spans="1:9" ht="23.25">
      <c r="A1602" s="4" t="s">
        <v>47</v>
      </c>
      <c r="B1602" s="4"/>
      <c r="C1602" s="4" t="s">
        <v>32</v>
      </c>
      <c r="D1602" s="4"/>
      <c r="E1602" s="1">
        <v>222659</v>
      </c>
      <c r="F1602" s="1">
        <v>0</v>
      </c>
      <c r="G1602" s="1">
        <v>0</v>
      </c>
      <c r="H1602" s="1">
        <v>0</v>
      </c>
      <c r="I1602" s="1">
        <v>0</v>
      </c>
    </row>
    <row r="1603" spans="1:9" ht="23.25">
      <c r="A1603" s="4" t="s">
        <v>48</v>
      </c>
      <c r="B1603" s="4"/>
      <c r="C1603" s="4" t="s">
        <v>32</v>
      </c>
      <c r="D1603" s="4"/>
      <c r="E1603" s="1">
        <v>0</v>
      </c>
      <c r="F1603" s="1">
        <v>0</v>
      </c>
      <c r="G1603" s="1">
        <v>0</v>
      </c>
      <c r="H1603" s="1">
        <v>0</v>
      </c>
      <c r="I1603" s="1">
        <v>0</v>
      </c>
    </row>
    <row r="1604" spans="1:9" ht="23.25">
      <c r="A1604" s="4" t="s">
        <v>49</v>
      </c>
      <c r="B1604" s="4"/>
      <c r="C1604" s="4" t="s">
        <v>32</v>
      </c>
      <c r="D1604" s="4"/>
      <c r="E1604" s="1">
        <v>0</v>
      </c>
      <c r="F1604" s="1">
        <v>0</v>
      </c>
      <c r="G1604" s="1">
        <v>0</v>
      </c>
      <c r="H1604" s="1">
        <v>0</v>
      </c>
      <c r="I1604" s="1">
        <v>0</v>
      </c>
    </row>
    <row r="1605" spans="1:9" ht="23.25">
      <c r="A1605" s="4" t="s">
        <v>50</v>
      </c>
      <c r="B1605" s="4"/>
      <c r="C1605" s="4" t="s">
        <v>32</v>
      </c>
      <c r="D1605" s="4"/>
      <c r="E1605" s="1">
        <v>0</v>
      </c>
      <c r="F1605" s="1">
        <v>0</v>
      </c>
      <c r="G1605" s="1">
        <v>0</v>
      </c>
      <c r="H1605" s="1">
        <v>0</v>
      </c>
      <c r="I1605" s="1">
        <v>0</v>
      </c>
    </row>
    <row r="1606" spans="1:9" ht="23.25">
      <c r="A1606" s="4" t="s">
        <v>51</v>
      </c>
      <c r="B1606" s="4"/>
      <c r="C1606" s="4" t="s">
        <v>32</v>
      </c>
      <c r="D1606" s="4"/>
      <c r="E1606" s="1">
        <v>390953</v>
      </c>
      <c r="F1606" s="1">
        <v>31611</v>
      </c>
      <c r="G1606" s="1">
        <v>51688</v>
      </c>
      <c r="H1606" s="1">
        <v>4080</v>
      </c>
      <c r="I1606" s="1">
        <v>0</v>
      </c>
    </row>
    <row r="1607" spans="1:9" ht="23.25">
      <c r="A1607" s="4" t="s">
        <v>52</v>
      </c>
      <c r="B1607" s="4"/>
      <c r="C1607" s="4" t="s">
        <v>32</v>
      </c>
      <c r="D1607" s="4"/>
      <c r="E1607" s="1">
        <v>5747087</v>
      </c>
      <c r="F1607" s="1">
        <v>3219</v>
      </c>
      <c r="G1607" s="1">
        <v>6157</v>
      </c>
      <c r="H1607" s="1">
        <v>1883</v>
      </c>
      <c r="I1607" s="1">
        <v>0</v>
      </c>
    </row>
    <row r="1608" spans="1:9" ht="23.25">
      <c r="A1608" s="4" t="s">
        <v>53</v>
      </c>
      <c r="B1608" s="4"/>
      <c r="C1608" s="4" t="s">
        <v>32</v>
      </c>
      <c r="D1608" s="4"/>
      <c r="E1608" s="1">
        <v>240453</v>
      </c>
      <c r="F1608" s="1">
        <v>0</v>
      </c>
      <c r="G1608" s="1">
        <v>0</v>
      </c>
      <c r="H1608" s="1">
        <v>0</v>
      </c>
      <c r="I1608" s="1">
        <v>0</v>
      </c>
    </row>
    <row r="1609" spans="1:9" ht="23.25">
      <c r="A1609" s="4" t="s">
        <v>54</v>
      </c>
      <c r="B1609" s="4"/>
      <c r="C1609" s="4" t="s">
        <v>32</v>
      </c>
      <c r="D1609" s="4"/>
      <c r="E1609" s="1">
        <v>166994</v>
      </c>
      <c r="F1609" s="1">
        <v>0</v>
      </c>
      <c r="G1609" s="1">
        <v>0</v>
      </c>
      <c r="H1609" s="1">
        <v>0</v>
      </c>
      <c r="I1609" s="1">
        <v>0</v>
      </c>
    </row>
    <row r="1610" spans="1:9" ht="23.25">
      <c r="A1610" s="4" t="s">
        <v>55</v>
      </c>
      <c r="B1610" s="4"/>
      <c r="C1610" s="4" t="s">
        <v>32</v>
      </c>
      <c r="D1610" s="4"/>
      <c r="E1610" s="1">
        <v>0</v>
      </c>
      <c r="F1610" s="1">
        <v>0</v>
      </c>
      <c r="G1610" s="1">
        <v>0</v>
      </c>
      <c r="H1610" s="1">
        <v>0</v>
      </c>
      <c r="I1610" s="1">
        <v>0</v>
      </c>
    </row>
    <row r="1611" spans="1:9" ht="23.25">
      <c r="A1611" s="4" t="s">
        <v>56</v>
      </c>
      <c r="B1611" s="4"/>
      <c r="C1611" s="4" t="s">
        <v>32</v>
      </c>
      <c r="D1611" s="4"/>
      <c r="E1611" s="1">
        <v>0</v>
      </c>
      <c r="F1611" s="1">
        <v>-10161757</v>
      </c>
      <c r="G1611" s="1">
        <v>-8927533</v>
      </c>
      <c r="H1611" s="1">
        <v>0</v>
      </c>
      <c r="I1611" s="1">
        <v>0</v>
      </c>
    </row>
    <row r="1612" spans="1:9" ht="23.25">
      <c r="A1612" s="4" t="s">
        <v>57</v>
      </c>
      <c r="B1612" s="4"/>
      <c r="C1612" s="4" t="s">
        <v>32</v>
      </c>
      <c r="D1612" s="4"/>
      <c r="E1612" s="1">
        <v>240779</v>
      </c>
      <c r="F1612" s="1">
        <v>0</v>
      </c>
      <c r="G1612" s="1">
        <v>0</v>
      </c>
      <c r="H1612" s="1">
        <v>0</v>
      </c>
      <c r="I1612" s="1">
        <v>0</v>
      </c>
    </row>
    <row r="1613" spans="1:9" ht="23.25">
      <c r="A1613" s="4" t="s">
        <v>58</v>
      </c>
      <c r="B1613" s="4"/>
      <c r="C1613" s="4" t="s">
        <v>32</v>
      </c>
      <c r="D1613" s="4"/>
      <c r="E1613" s="1">
        <v>418455</v>
      </c>
      <c r="F1613" s="1">
        <v>0</v>
      </c>
      <c r="G1613" s="1">
        <v>0</v>
      </c>
      <c r="H1613" s="1">
        <v>-2189489</v>
      </c>
      <c r="I1613" s="1">
        <v>0</v>
      </c>
    </row>
    <row r="1614" spans="1:9" ht="23.25">
      <c r="A1614" s="4" t="s">
        <v>59</v>
      </c>
      <c r="B1614" s="4"/>
      <c r="C1614" s="4" t="s">
        <v>32</v>
      </c>
      <c r="D1614" s="4"/>
      <c r="E1614" s="1">
        <v>410663</v>
      </c>
      <c r="F1614" s="1">
        <v>0</v>
      </c>
      <c r="G1614" s="1">
        <v>0</v>
      </c>
      <c r="H1614" s="1">
        <v>0</v>
      </c>
      <c r="I1614" s="1">
        <v>0</v>
      </c>
    </row>
    <row r="1615" spans="1:9" ht="23.25">
      <c r="A1615" s="4" t="s">
        <v>60</v>
      </c>
      <c r="B1615" s="4"/>
      <c r="C1615" s="4" t="s">
        <v>32</v>
      </c>
      <c r="D1615" s="4"/>
      <c r="E1615" s="1">
        <v>3399780</v>
      </c>
      <c r="F1615" s="1">
        <v>0</v>
      </c>
      <c r="G1615" s="1">
        <v>0</v>
      </c>
      <c r="H1615" s="1">
        <v>0</v>
      </c>
      <c r="I1615" s="1">
        <v>0</v>
      </c>
    </row>
    <row r="1616" spans="1:9" ht="23.25">
      <c r="A1616" s="4" t="s">
        <v>61</v>
      </c>
      <c r="B1616" s="4"/>
      <c r="C1616" s="4" t="s">
        <v>32</v>
      </c>
      <c r="D1616" s="4"/>
      <c r="E1616" s="1">
        <v>143569</v>
      </c>
      <c r="F1616" s="1">
        <v>0</v>
      </c>
      <c r="G1616" s="1">
        <v>0</v>
      </c>
      <c r="H1616" s="1">
        <v>0</v>
      </c>
      <c r="I1616" s="1">
        <v>0</v>
      </c>
    </row>
    <row r="1617" spans="1:9" ht="23.25">
      <c r="A1617" s="4" t="s">
        <v>62</v>
      </c>
      <c r="B1617" s="4"/>
      <c r="C1617" s="4" t="s">
        <v>32</v>
      </c>
      <c r="D1617" s="4"/>
      <c r="E1617" s="1">
        <v>5334616</v>
      </c>
      <c r="F1617" s="1">
        <v>0</v>
      </c>
      <c r="G1617" s="1">
        <v>0</v>
      </c>
      <c r="H1617" s="1">
        <v>0</v>
      </c>
      <c r="I1617" s="1">
        <v>0</v>
      </c>
    </row>
    <row r="1618" spans="1:9" ht="23.25">
      <c r="A1618" s="4" t="s">
        <v>63</v>
      </c>
      <c r="B1618" s="4"/>
      <c r="C1618" s="4" t="s">
        <v>32</v>
      </c>
      <c r="D1618" s="4"/>
      <c r="E1618" s="1">
        <v>279363</v>
      </c>
      <c r="F1618" s="1">
        <v>0</v>
      </c>
      <c r="G1618" s="1">
        <v>0</v>
      </c>
      <c r="H1618" s="1">
        <v>0</v>
      </c>
      <c r="I1618" s="1">
        <v>0</v>
      </c>
    </row>
    <row r="1619" spans="1:9" ht="23.25">
      <c r="A1619" s="4" t="s">
        <v>64</v>
      </c>
      <c r="B1619" s="4"/>
      <c r="C1619" s="4" t="s">
        <v>32</v>
      </c>
      <c r="D1619" s="4"/>
      <c r="E1619" s="1">
        <v>163777</v>
      </c>
      <c r="F1619" s="1">
        <v>0</v>
      </c>
      <c r="G1619" s="1">
        <v>0</v>
      </c>
      <c r="H1619" s="1">
        <v>0</v>
      </c>
      <c r="I1619" s="1">
        <v>0</v>
      </c>
    </row>
    <row r="1620" spans="1:9" ht="23.25">
      <c r="A1620" s="4" t="s">
        <v>65</v>
      </c>
      <c r="B1620" s="4"/>
      <c r="C1620" s="4" t="s">
        <v>32</v>
      </c>
      <c r="D1620" s="4"/>
      <c r="E1620" s="1">
        <v>885677</v>
      </c>
      <c r="F1620" s="1">
        <v>0</v>
      </c>
      <c r="G1620" s="1">
        <v>0</v>
      </c>
      <c r="H1620" s="1">
        <v>0</v>
      </c>
      <c r="I1620" s="1">
        <v>102627</v>
      </c>
    </row>
    <row r="1621" spans="1:9" ht="23.25">
      <c r="A1621" s="4" t="s">
        <v>66</v>
      </c>
      <c r="B1621" s="4"/>
      <c r="C1621" s="4" t="s">
        <v>32</v>
      </c>
      <c r="D1621" s="4"/>
      <c r="E1621" s="1">
        <v>140145752</v>
      </c>
      <c r="F1621" s="1">
        <v>0</v>
      </c>
      <c r="G1621" s="1">
        <v>0</v>
      </c>
      <c r="H1621" s="1">
        <v>0</v>
      </c>
      <c r="I1621" s="1">
        <v>79004658</v>
      </c>
    </row>
    <row r="1622" spans="1:9" ht="23.25">
      <c r="A1622" s="4" t="s">
        <v>67</v>
      </c>
      <c r="B1622" s="4"/>
      <c r="C1622" s="4" t="s">
        <v>32</v>
      </c>
      <c r="D1622" s="4"/>
      <c r="E1622" s="1">
        <v>16018297</v>
      </c>
      <c r="F1622" s="1">
        <v>0</v>
      </c>
      <c r="G1622" s="1">
        <v>0</v>
      </c>
      <c r="H1622" s="1">
        <v>0</v>
      </c>
      <c r="I1622" s="1">
        <v>0</v>
      </c>
    </row>
    <row r="1623" spans="1:9" ht="23.25">
      <c r="A1623" s="4" t="s">
        <v>68</v>
      </c>
      <c r="B1623" s="4"/>
      <c r="C1623" s="4" t="s">
        <v>32</v>
      </c>
      <c r="D1623" s="4"/>
      <c r="E1623" s="1">
        <v>26432469</v>
      </c>
      <c r="F1623" s="1">
        <v>0</v>
      </c>
      <c r="G1623" s="1">
        <v>0</v>
      </c>
      <c r="H1623" s="1">
        <v>0</v>
      </c>
      <c r="I1623" s="1">
        <v>0</v>
      </c>
    </row>
    <row r="1624" spans="1:9" ht="23.25">
      <c r="A1624" s="4" t="s">
        <v>69</v>
      </c>
      <c r="B1624" s="4"/>
      <c r="C1624" s="4" t="s">
        <v>32</v>
      </c>
      <c r="D1624" s="4"/>
      <c r="E1624" s="1">
        <v>13748888</v>
      </c>
      <c r="F1624" s="1">
        <v>0</v>
      </c>
      <c r="G1624" s="1">
        <v>0</v>
      </c>
      <c r="H1624" s="1">
        <v>0</v>
      </c>
      <c r="I1624" s="1">
        <v>0</v>
      </c>
    </row>
    <row r="1625" spans="1:9" ht="23.25">
      <c r="A1625" s="4" t="s">
        <v>70</v>
      </c>
      <c r="B1625" s="4"/>
      <c r="C1625" s="4" t="s">
        <v>32</v>
      </c>
      <c r="D1625" s="4"/>
      <c r="E1625" s="1">
        <v>4237165</v>
      </c>
      <c r="F1625" s="1">
        <v>0</v>
      </c>
      <c r="G1625" s="1">
        <v>0</v>
      </c>
      <c r="H1625" s="1">
        <v>0</v>
      </c>
      <c r="I1625" s="1">
        <v>0</v>
      </c>
    </row>
    <row r="1626" spans="1:9" ht="23.25">
      <c r="A1626" s="4" t="s">
        <v>71</v>
      </c>
      <c r="B1626" s="4"/>
      <c r="C1626" s="4" t="s">
        <v>32</v>
      </c>
      <c r="D1626" s="4"/>
      <c r="E1626" s="1">
        <v>60436819</v>
      </c>
      <c r="F1626" s="1">
        <v>0</v>
      </c>
      <c r="G1626" s="1">
        <v>0</v>
      </c>
      <c r="H1626" s="1">
        <v>0</v>
      </c>
      <c r="I1626" s="1">
        <v>0</v>
      </c>
    </row>
    <row r="1627" spans="1:9" ht="23.25">
      <c r="A1627" s="4" t="s">
        <v>72</v>
      </c>
      <c r="B1627" s="4"/>
      <c r="C1627" s="4" t="s">
        <v>32</v>
      </c>
      <c r="D1627" s="4"/>
      <c r="E1627" s="1">
        <v>200582571</v>
      </c>
      <c r="F1627" s="1">
        <v>0</v>
      </c>
      <c r="G1627" s="1">
        <v>0</v>
      </c>
      <c r="H1627" s="1">
        <v>0</v>
      </c>
      <c r="I1627" s="1">
        <v>0</v>
      </c>
    </row>
    <row r="1628" spans="1:9" ht="23.25">
      <c r="A1628" s="4" t="s">
        <v>8</v>
      </c>
      <c r="B1628" s="4"/>
      <c r="C1628" s="4" t="s">
        <v>33</v>
      </c>
      <c r="D1628" s="4"/>
      <c r="E1628" s="1">
        <v>0</v>
      </c>
      <c r="F1628" s="1">
        <v>0</v>
      </c>
      <c r="G1628" s="1">
        <v>0</v>
      </c>
      <c r="H1628" s="1">
        <v>0</v>
      </c>
      <c r="I1628" s="1">
        <v>0</v>
      </c>
    </row>
    <row r="1629" spans="1:9" ht="23.25">
      <c r="A1629" s="4" t="s">
        <v>9</v>
      </c>
      <c r="B1629" s="4"/>
      <c r="C1629" s="4" t="s">
        <v>33</v>
      </c>
      <c r="D1629" s="4"/>
      <c r="E1629" s="1">
        <v>0</v>
      </c>
      <c r="F1629" s="1">
        <v>0</v>
      </c>
      <c r="G1629" s="1">
        <v>0</v>
      </c>
      <c r="H1629" s="1">
        <v>0</v>
      </c>
      <c r="I1629" s="1">
        <v>0</v>
      </c>
    </row>
    <row r="1630" spans="1:9" ht="23.25">
      <c r="A1630" s="4" t="s">
        <v>10</v>
      </c>
      <c r="B1630" s="4"/>
      <c r="C1630" s="4" t="s">
        <v>33</v>
      </c>
      <c r="D1630" s="4"/>
      <c r="E1630" s="1">
        <v>0</v>
      </c>
      <c r="F1630" s="1">
        <v>0</v>
      </c>
      <c r="G1630" s="1">
        <v>0</v>
      </c>
      <c r="H1630" s="1">
        <v>0</v>
      </c>
      <c r="I1630" s="1">
        <v>0</v>
      </c>
    </row>
    <row r="1631" spans="1:9" ht="23.25">
      <c r="A1631" s="4" t="s">
        <v>11</v>
      </c>
      <c r="B1631" s="4"/>
      <c r="C1631" s="4" t="s">
        <v>33</v>
      </c>
      <c r="D1631" s="4"/>
      <c r="E1631" s="1">
        <v>0</v>
      </c>
      <c r="F1631" s="1">
        <v>0</v>
      </c>
      <c r="G1631" s="1">
        <v>0</v>
      </c>
      <c r="H1631" s="1">
        <v>0</v>
      </c>
      <c r="I1631" s="1">
        <v>0</v>
      </c>
    </row>
    <row r="1632" spans="1:9" ht="23.25">
      <c r="A1632" s="4" t="s">
        <v>12</v>
      </c>
      <c r="B1632" s="4"/>
      <c r="C1632" s="4" t="s">
        <v>33</v>
      </c>
      <c r="D1632" s="4"/>
      <c r="E1632" s="1">
        <v>0</v>
      </c>
      <c r="F1632" s="1">
        <v>0</v>
      </c>
      <c r="G1632" s="1">
        <v>0</v>
      </c>
      <c r="H1632" s="1">
        <v>0</v>
      </c>
      <c r="I1632" s="1">
        <v>0</v>
      </c>
    </row>
    <row r="1633" spans="1:9" ht="23.25">
      <c r="A1633" s="4" t="s">
        <v>13</v>
      </c>
      <c r="B1633" s="4"/>
      <c r="C1633" s="4" t="s">
        <v>33</v>
      </c>
      <c r="D1633" s="4"/>
      <c r="E1633" s="1">
        <v>0</v>
      </c>
      <c r="F1633" s="1">
        <v>0</v>
      </c>
      <c r="G1633" s="1">
        <v>0</v>
      </c>
      <c r="H1633" s="1">
        <v>0</v>
      </c>
      <c r="I1633" s="1">
        <v>0</v>
      </c>
    </row>
    <row r="1634" spans="1:9" ht="23.25">
      <c r="A1634" s="4" t="s">
        <v>14</v>
      </c>
      <c r="B1634" s="4"/>
      <c r="C1634" s="4" t="s">
        <v>33</v>
      </c>
      <c r="D1634" s="4"/>
      <c r="E1634" s="1">
        <v>0</v>
      </c>
      <c r="F1634" s="1">
        <v>0</v>
      </c>
      <c r="G1634" s="1">
        <v>0</v>
      </c>
      <c r="H1634" s="1">
        <v>0</v>
      </c>
      <c r="I1634" s="1">
        <v>0</v>
      </c>
    </row>
    <row r="1635" spans="1:9" ht="23.25">
      <c r="A1635" s="4" t="s">
        <v>15</v>
      </c>
      <c r="B1635" s="4"/>
      <c r="C1635" s="4" t="s">
        <v>33</v>
      </c>
      <c r="D1635" s="4"/>
      <c r="E1635" s="1">
        <v>0</v>
      </c>
      <c r="F1635" s="1">
        <v>0</v>
      </c>
      <c r="G1635" s="1">
        <v>0</v>
      </c>
      <c r="H1635" s="1">
        <v>0</v>
      </c>
      <c r="I1635" s="1">
        <v>0</v>
      </c>
    </row>
    <row r="1636" spans="1:9" ht="23.25">
      <c r="A1636" s="4" t="s">
        <v>16</v>
      </c>
      <c r="B1636" s="4"/>
      <c r="C1636" s="4" t="s">
        <v>33</v>
      </c>
      <c r="D1636" s="4"/>
      <c r="E1636" s="1">
        <v>0</v>
      </c>
      <c r="F1636" s="1">
        <v>0</v>
      </c>
      <c r="G1636" s="1">
        <v>0</v>
      </c>
      <c r="H1636" s="1">
        <v>0</v>
      </c>
      <c r="I1636" s="1">
        <v>0</v>
      </c>
    </row>
    <row r="1637" spans="1:9" ht="23.25">
      <c r="A1637" s="4" t="s">
        <v>17</v>
      </c>
      <c r="B1637" s="4"/>
      <c r="C1637" s="4" t="s">
        <v>33</v>
      </c>
      <c r="D1637" s="4"/>
      <c r="E1637" s="1">
        <v>0</v>
      </c>
      <c r="F1637" s="1">
        <v>0</v>
      </c>
      <c r="G1637" s="1">
        <v>0</v>
      </c>
      <c r="H1637" s="1">
        <v>0</v>
      </c>
      <c r="I1637" s="1">
        <v>0</v>
      </c>
    </row>
    <row r="1638" spans="1:9" ht="23.25">
      <c r="A1638" s="4" t="s">
        <v>18</v>
      </c>
      <c r="B1638" s="4"/>
      <c r="C1638" s="4" t="s">
        <v>33</v>
      </c>
      <c r="D1638" s="4"/>
      <c r="E1638" s="1">
        <v>0</v>
      </c>
      <c r="F1638" s="1">
        <v>0</v>
      </c>
      <c r="G1638" s="1">
        <v>0</v>
      </c>
      <c r="H1638" s="1">
        <v>0</v>
      </c>
      <c r="I1638" s="1">
        <v>0</v>
      </c>
    </row>
    <row r="1639" spans="1:9" ht="23.25">
      <c r="A1639" s="4" t="s">
        <v>19</v>
      </c>
      <c r="B1639" s="4"/>
      <c r="C1639" s="4" t="s">
        <v>33</v>
      </c>
      <c r="D1639" s="4"/>
      <c r="E1639" s="1">
        <v>0</v>
      </c>
      <c r="F1639" s="1">
        <v>0</v>
      </c>
      <c r="G1639" s="1">
        <v>0</v>
      </c>
      <c r="H1639" s="1">
        <v>0</v>
      </c>
      <c r="I1639" s="1">
        <v>0</v>
      </c>
    </row>
    <row r="1640" spans="1:9" ht="23.25">
      <c r="A1640" s="4" t="s">
        <v>20</v>
      </c>
      <c r="B1640" s="4"/>
      <c r="C1640" s="4" t="s">
        <v>33</v>
      </c>
      <c r="D1640" s="4"/>
      <c r="E1640" s="1">
        <v>0</v>
      </c>
      <c r="F1640" s="1">
        <v>0</v>
      </c>
      <c r="G1640" s="1">
        <v>0</v>
      </c>
      <c r="H1640" s="1">
        <v>0</v>
      </c>
      <c r="I1640" s="1">
        <v>0</v>
      </c>
    </row>
    <row r="1641" spans="1:9" ht="23.25">
      <c r="A1641" s="4" t="s">
        <v>21</v>
      </c>
      <c r="B1641" s="4"/>
      <c r="C1641" s="4" t="s">
        <v>33</v>
      </c>
      <c r="D1641" s="4"/>
      <c r="E1641" s="1">
        <v>0</v>
      </c>
      <c r="F1641" s="1">
        <v>0</v>
      </c>
      <c r="G1641" s="1">
        <v>0</v>
      </c>
      <c r="H1641" s="1">
        <v>0</v>
      </c>
      <c r="I1641" s="1">
        <v>0</v>
      </c>
    </row>
    <row r="1642" spans="1:9" ht="23.25">
      <c r="A1642" s="4" t="s">
        <v>22</v>
      </c>
      <c r="B1642" s="4"/>
      <c r="C1642" s="4" t="s">
        <v>33</v>
      </c>
      <c r="D1642" s="4"/>
      <c r="E1642" s="1">
        <v>0</v>
      </c>
      <c r="F1642" s="1">
        <v>0</v>
      </c>
      <c r="G1642" s="1">
        <v>0</v>
      </c>
      <c r="H1642" s="1">
        <v>0</v>
      </c>
      <c r="I1642" s="1">
        <v>0</v>
      </c>
    </row>
    <row r="1643" spans="1:9" ht="23.25">
      <c r="A1643" s="4" t="s">
        <v>23</v>
      </c>
      <c r="B1643" s="4"/>
      <c r="C1643" s="4" t="s">
        <v>33</v>
      </c>
      <c r="D1643" s="4"/>
      <c r="E1643" s="1">
        <v>0</v>
      </c>
      <c r="F1643" s="1">
        <v>0</v>
      </c>
      <c r="G1643" s="1">
        <v>0</v>
      </c>
      <c r="H1643" s="1">
        <v>0</v>
      </c>
      <c r="I1643" s="1">
        <v>0</v>
      </c>
    </row>
    <row r="1644" spans="1:9" ht="23.25">
      <c r="A1644" s="4" t="s">
        <v>24</v>
      </c>
      <c r="B1644" s="4"/>
      <c r="C1644" s="4" t="s">
        <v>33</v>
      </c>
      <c r="D1644" s="4"/>
      <c r="E1644" s="1">
        <v>679</v>
      </c>
      <c r="F1644" s="1">
        <v>26</v>
      </c>
      <c r="G1644" s="1">
        <v>128</v>
      </c>
      <c r="H1644" s="1">
        <v>5</v>
      </c>
      <c r="I1644" s="1">
        <v>0</v>
      </c>
    </row>
    <row r="1645" spans="1:9" ht="23.25">
      <c r="A1645" s="4" t="s">
        <v>25</v>
      </c>
      <c r="B1645" s="4"/>
      <c r="C1645" s="4" t="s">
        <v>33</v>
      </c>
      <c r="D1645" s="4"/>
      <c r="E1645" s="1">
        <v>0</v>
      </c>
      <c r="F1645" s="1">
        <v>0</v>
      </c>
      <c r="G1645" s="1">
        <v>0</v>
      </c>
      <c r="H1645" s="1">
        <v>0</v>
      </c>
      <c r="I1645" s="1">
        <v>0</v>
      </c>
    </row>
    <row r="1646" spans="1:9" ht="23.25">
      <c r="A1646" s="4" t="s">
        <v>26</v>
      </c>
      <c r="B1646" s="4"/>
      <c r="C1646" s="4" t="s">
        <v>33</v>
      </c>
      <c r="D1646" s="4"/>
      <c r="E1646" s="1">
        <v>0</v>
      </c>
      <c r="F1646" s="1">
        <v>0</v>
      </c>
      <c r="G1646" s="1">
        <v>0</v>
      </c>
      <c r="H1646" s="1">
        <v>0</v>
      </c>
      <c r="I1646" s="1">
        <v>0</v>
      </c>
    </row>
    <row r="1647" spans="1:9" ht="23.25">
      <c r="A1647" s="4" t="s">
        <v>27</v>
      </c>
      <c r="B1647" s="4"/>
      <c r="C1647" s="4" t="s">
        <v>33</v>
      </c>
      <c r="D1647" s="4"/>
      <c r="E1647" s="1">
        <v>0</v>
      </c>
      <c r="F1647" s="1">
        <v>0</v>
      </c>
      <c r="G1647" s="1">
        <v>0</v>
      </c>
      <c r="H1647" s="1">
        <v>0</v>
      </c>
      <c r="I1647" s="1">
        <v>0</v>
      </c>
    </row>
    <row r="1648" spans="1:9" ht="23.25">
      <c r="A1648" s="4" t="s">
        <v>28</v>
      </c>
      <c r="B1648" s="4"/>
      <c r="C1648" s="4" t="s">
        <v>33</v>
      </c>
      <c r="D1648" s="4"/>
      <c r="E1648" s="1">
        <v>0</v>
      </c>
      <c r="F1648" s="1">
        <v>0</v>
      </c>
      <c r="G1648" s="1">
        <v>0</v>
      </c>
      <c r="H1648" s="1">
        <v>0</v>
      </c>
      <c r="I1648" s="1">
        <v>0</v>
      </c>
    </row>
    <row r="1649" spans="1:9" ht="23.25">
      <c r="A1649" s="4" t="s">
        <v>29</v>
      </c>
      <c r="B1649" s="4"/>
      <c r="C1649" s="4" t="s">
        <v>33</v>
      </c>
      <c r="D1649" s="4"/>
      <c r="E1649" s="1">
        <v>0</v>
      </c>
      <c r="F1649" s="1">
        <v>0</v>
      </c>
      <c r="G1649" s="1">
        <v>0</v>
      </c>
      <c r="H1649" s="1">
        <v>0</v>
      </c>
      <c r="I1649" s="1">
        <v>0</v>
      </c>
    </row>
    <row r="1650" spans="1:9" ht="23.25">
      <c r="A1650" s="4" t="s">
        <v>30</v>
      </c>
      <c r="B1650" s="4"/>
      <c r="C1650" s="4" t="s">
        <v>33</v>
      </c>
      <c r="D1650" s="4"/>
      <c r="E1650" s="1">
        <v>8508</v>
      </c>
      <c r="F1650" s="1">
        <v>1171</v>
      </c>
      <c r="G1650" s="1">
        <v>388</v>
      </c>
      <c r="H1650" s="1">
        <v>19</v>
      </c>
      <c r="I1650" s="1">
        <v>0</v>
      </c>
    </row>
    <row r="1651" spans="1:9" ht="23.25">
      <c r="A1651" s="4" t="s">
        <v>31</v>
      </c>
      <c r="B1651" s="4"/>
      <c r="C1651" s="4" t="s">
        <v>33</v>
      </c>
      <c r="D1651" s="4"/>
      <c r="E1651" s="1">
        <v>0</v>
      </c>
      <c r="F1651" s="1">
        <v>0</v>
      </c>
      <c r="G1651" s="1">
        <v>0</v>
      </c>
      <c r="H1651" s="1">
        <v>0</v>
      </c>
      <c r="I1651" s="1">
        <v>0</v>
      </c>
    </row>
    <row r="1652" spans="1:9" ht="23.25">
      <c r="A1652" s="4" t="s">
        <v>32</v>
      </c>
      <c r="B1652" s="4"/>
      <c r="C1652" s="4" t="s">
        <v>33</v>
      </c>
      <c r="D1652" s="4"/>
      <c r="E1652" s="1">
        <v>28566506</v>
      </c>
      <c r="F1652" s="1">
        <v>2896181</v>
      </c>
      <c r="G1652" s="1">
        <v>1707876</v>
      </c>
      <c r="H1652" s="1">
        <v>479595</v>
      </c>
      <c r="I1652" s="1">
        <v>19521956</v>
      </c>
    </row>
    <row r="1653" spans="1:9" ht="23.25">
      <c r="A1653" s="4" t="s">
        <v>33</v>
      </c>
      <c r="B1653" s="4"/>
      <c r="C1653" s="4" t="s">
        <v>33</v>
      </c>
      <c r="D1653" s="4"/>
      <c r="E1653" s="1">
        <v>88813</v>
      </c>
      <c r="F1653" s="1">
        <v>9331</v>
      </c>
      <c r="G1653" s="1">
        <v>18663</v>
      </c>
      <c r="H1653" s="1">
        <v>955</v>
      </c>
      <c r="I1653" s="1">
        <v>37262</v>
      </c>
    </row>
    <row r="1654" spans="1:9" ht="23.25">
      <c r="A1654" s="4" t="s">
        <v>34</v>
      </c>
      <c r="B1654" s="4"/>
      <c r="C1654" s="4" t="s">
        <v>33</v>
      </c>
      <c r="D1654" s="4"/>
      <c r="E1654" s="1">
        <v>128175</v>
      </c>
      <c r="F1654" s="1">
        <v>11487</v>
      </c>
      <c r="G1654" s="1">
        <v>7782</v>
      </c>
      <c r="H1654" s="1">
        <v>2034</v>
      </c>
      <c r="I1654" s="1">
        <v>51591</v>
      </c>
    </row>
    <row r="1655" spans="1:9" ht="23.25">
      <c r="A1655" s="4" t="s">
        <v>35</v>
      </c>
      <c r="B1655" s="4"/>
      <c r="C1655" s="4" t="s">
        <v>33</v>
      </c>
      <c r="D1655" s="4"/>
      <c r="E1655" s="1">
        <v>0</v>
      </c>
      <c r="F1655" s="1">
        <v>0</v>
      </c>
      <c r="G1655" s="1">
        <v>0</v>
      </c>
      <c r="H1655" s="1">
        <v>0</v>
      </c>
      <c r="I1655" s="1">
        <v>0</v>
      </c>
    </row>
    <row r="1656" spans="1:9" ht="23.25">
      <c r="A1656" s="4" t="s">
        <v>36</v>
      </c>
      <c r="B1656" s="4"/>
      <c r="C1656" s="4" t="s">
        <v>33</v>
      </c>
      <c r="D1656" s="4"/>
      <c r="E1656" s="1">
        <v>14181536</v>
      </c>
      <c r="F1656" s="1">
        <v>1282445</v>
      </c>
      <c r="G1656" s="1">
        <v>1246364</v>
      </c>
      <c r="H1656" s="1">
        <v>181757</v>
      </c>
      <c r="I1656" s="1">
        <v>10678065</v>
      </c>
    </row>
    <row r="1657" spans="1:9" ht="23.25">
      <c r="A1657" s="4" t="s">
        <v>37</v>
      </c>
      <c r="B1657" s="4"/>
      <c r="C1657" s="4" t="s">
        <v>33</v>
      </c>
      <c r="D1657" s="4"/>
      <c r="E1657" s="1">
        <v>376511</v>
      </c>
      <c r="F1657" s="1">
        <v>28914</v>
      </c>
      <c r="G1657" s="1">
        <v>28662</v>
      </c>
      <c r="H1657" s="1">
        <v>3418</v>
      </c>
      <c r="I1657" s="1">
        <v>66074</v>
      </c>
    </row>
    <row r="1658" spans="1:9" ht="23.25">
      <c r="A1658" s="4" t="s">
        <v>38</v>
      </c>
      <c r="B1658" s="4"/>
      <c r="C1658" s="4" t="s">
        <v>33</v>
      </c>
      <c r="D1658" s="4"/>
      <c r="E1658" s="1">
        <v>0</v>
      </c>
      <c r="F1658" s="1">
        <v>0</v>
      </c>
      <c r="G1658" s="1">
        <v>0</v>
      </c>
      <c r="H1658" s="1">
        <v>0</v>
      </c>
      <c r="I1658" s="1">
        <v>0</v>
      </c>
    </row>
    <row r="1659" spans="1:9" ht="23.25">
      <c r="A1659" s="4" t="s">
        <v>39</v>
      </c>
      <c r="B1659" s="4"/>
      <c r="C1659" s="4" t="s">
        <v>33</v>
      </c>
      <c r="D1659" s="4"/>
      <c r="E1659" s="1">
        <v>2314611</v>
      </c>
      <c r="F1659" s="1">
        <v>75969</v>
      </c>
      <c r="G1659" s="1">
        <v>80631</v>
      </c>
      <c r="H1659" s="1">
        <v>16550</v>
      </c>
      <c r="I1659" s="1">
        <v>1105522</v>
      </c>
    </row>
    <row r="1660" spans="1:9" ht="23.25">
      <c r="A1660" s="4" t="s">
        <v>40</v>
      </c>
      <c r="B1660" s="4"/>
      <c r="C1660" s="4" t="s">
        <v>33</v>
      </c>
      <c r="D1660" s="4"/>
      <c r="E1660" s="1">
        <v>0</v>
      </c>
      <c r="F1660" s="1">
        <v>0</v>
      </c>
      <c r="G1660" s="1">
        <v>0</v>
      </c>
      <c r="H1660" s="1">
        <v>0</v>
      </c>
      <c r="I1660" s="1">
        <v>0</v>
      </c>
    </row>
    <row r="1661" spans="1:9" ht="23.25">
      <c r="A1661" s="4" t="s">
        <v>41</v>
      </c>
      <c r="B1661" s="4"/>
      <c r="C1661" s="4" t="s">
        <v>33</v>
      </c>
      <c r="D1661" s="4"/>
      <c r="E1661" s="1">
        <v>0</v>
      </c>
      <c r="F1661" s="1">
        <v>0</v>
      </c>
      <c r="G1661" s="1">
        <v>0</v>
      </c>
      <c r="H1661" s="1">
        <v>0</v>
      </c>
      <c r="I1661" s="1">
        <v>0</v>
      </c>
    </row>
    <row r="1662" spans="1:9" ht="23.25">
      <c r="A1662" s="4" t="s">
        <v>42</v>
      </c>
      <c r="B1662" s="4"/>
      <c r="C1662" s="4" t="s">
        <v>33</v>
      </c>
      <c r="D1662" s="4"/>
      <c r="E1662" s="1">
        <v>0</v>
      </c>
      <c r="F1662" s="1">
        <v>0</v>
      </c>
      <c r="G1662" s="1">
        <v>0</v>
      </c>
      <c r="H1662" s="1">
        <v>0</v>
      </c>
      <c r="I1662" s="1">
        <v>0</v>
      </c>
    </row>
    <row r="1663" spans="1:9" ht="23.25">
      <c r="A1663" s="4" t="s">
        <v>43</v>
      </c>
      <c r="B1663" s="4"/>
      <c r="C1663" s="4" t="s">
        <v>33</v>
      </c>
      <c r="D1663" s="4"/>
      <c r="E1663" s="1">
        <v>204007</v>
      </c>
      <c r="F1663" s="1">
        <v>12065</v>
      </c>
      <c r="G1663" s="1">
        <v>4246</v>
      </c>
      <c r="H1663" s="1">
        <v>320</v>
      </c>
      <c r="I1663" s="1">
        <v>121360</v>
      </c>
    </row>
    <row r="1664" spans="1:9" ht="23.25">
      <c r="A1664" s="4" t="s">
        <v>44</v>
      </c>
      <c r="B1664" s="4"/>
      <c r="C1664" s="4" t="s">
        <v>33</v>
      </c>
      <c r="D1664" s="4"/>
      <c r="E1664" s="1">
        <v>886601</v>
      </c>
      <c r="F1664" s="1">
        <v>15977</v>
      </c>
      <c r="G1664" s="1">
        <v>29343</v>
      </c>
      <c r="H1664" s="1">
        <v>1935</v>
      </c>
      <c r="I1664" s="1">
        <v>699630</v>
      </c>
    </row>
    <row r="1665" spans="1:9" ht="23.25">
      <c r="A1665" s="4" t="s">
        <v>45</v>
      </c>
      <c r="B1665" s="4"/>
      <c r="C1665" s="4" t="s">
        <v>33</v>
      </c>
      <c r="D1665" s="4"/>
      <c r="E1665" s="1">
        <v>424837</v>
      </c>
      <c r="F1665" s="1">
        <v>30028</v>
      </c>
      <c r="G1665" s="1">
        <v>0</v>
      </c>
      <c r="H1665" s="1">
        <v>6809</v>
      </c>
      <c r="I1665" s="1">
        <v>0</v>
      </c>
    </row>
    <row r="1666" spans="1:9" ht="23.25">
      <c r="A1666" s="4" t="s">
        <v>46</v>
      </c>
      <c r="B1666" s="4"/>
      <c r="C1666" s="4" t="s">
        <v>33</v>
      </c>
      <c r="D1666" s="4"/>
      <c r="E1666" s="1">
        <v>250248</v>
      </c>
      <c r="F1666" s="1">
        <v>9359</v>
      </c>
      <c r="G1666" s="1">
        <v>0</v>
      </c>
      <c r="H1666" s="1">
        <v>2138</v>
      </c>
      <c r="I1666" s="1">
        <v>0</v>
      </c>
    </row>
    <row r="1667" spans="1:9" ht="23.25">
      <c r="A1667" s="4" t="s">
        <v>47</v>
      </c>
      <c r="B1667" s="4"/>
      <c r="C1667" s="4" t="s">
        <v>33</v>
      </c>
      <c r="D1667" s="4"/>
      <c r="E1667" s="1">
        <v>62601</v>
      </c>
      <c r="F1667" s="1">
        <v>0</v>
      </c>
      <c r="G1667" s="1">
        <v>0</v>
      </c>
      <c r="H1667" s="1">
        <v>0</v>
      </c>
      <c r="I1667" s="1">
        <v>0</v>
      </c>
    </row>
    <row r="1668" spans="1:9" ht="23.25">
      <c r="A1668" s="4" t="s">
        <v>48</v>
      </c>
      <c r="B1668" s="4"/>
      <c r="C1668" s="4" t="s">
        <v>33</v>
      </c>
      <c r="D1668" s="4"/>
      <c r="E1668" s="1">
        <v>0</v>
      </c>
      <c r="F1668" s="1">
        <v>0</v>
      </c>
      <c r="G1668" s="1">
        <v>0</v>
      </c>
      <c r="H1668" s="1">
        <v>0</v>
      </c>
      <c r="I1668" s="1">
        <v>0</v>
      </c>
    </row>
    <row r="1669" spans="1:9" ht="23.25">
      <c r="A1669" s="4" t="s">
        <v>49</v>
      </c>
      <c r="B1669" s="4"/>
      <c r="C1669" s="4" t="s">
        <v>33</v>
      </c>
      <c r="D1669" s="4"/>
      <c r="E1669" s="1">
        <v>0</v>
      </c>
      <c r="F1669" s="1">
        <v>0</v>
      </c>
      <c r="G1669" s="1">
        <v>0</v>
      </c>
      <c r="H1669" s="1">
        <v>0</v>
      </c>
      <c r="I1669" s="1">
        <v>0</v>
      </c>
    </row>
    <row r="1670" spans="1:9" ht="23.25">
      <c r="A1670" s="4" t="s">
        <v>50</v>
      </c>
      <c r="B1670" s="4"/>
      <c r="C1670" s="4" t="s">
        <v>33</v>
      </c>
      <c r="D1670" s="4"/>
      <c r="E1670" s="1">
        <v>0</v>
      </c>
      <c r="F1670" s="1">
        <v>0</v>
      </c>
      <c r="G1670" s="1">
        <v>0</v>
      </c>
      <c r="H1670" s="1">
        <v>0</v>
      </c>
      <c r="I1670" s="1">
        <v>0</v>
      </c>
    </row>
    <row r="1671" spans="1:9" ht="23.25">
      <c r="A1671" s="4" t="s">
        <v>51</v>
      </c>
      <c r="B1671" s="4"/>
      <c r="C1671" s="4" t="s">
        <v>33</v>
      </c>
      <c r="D1671" s="4"/>
      <c r="E1671" s="1">
        <v>665214</v>
      </c>
      <c r="F1671" s="1">
        <v>44009</v>
      </c>
      <c r="G1671" s="1">
        <v>40307</v>
      </c>
      <c r="H1671" s="1">
        <v>7103</v>
      </c>
      <c r="I1671" s="1">
        <v>244248</v>
      </c>
    </row>
    <row r="1672" spans="1:9" ht="23.25">
      <c r="A1672" s="4" t="s">
        <v>52</v>
      </c>
      <c r="B1672" s="4"/>
      <c r="C1672" s="4" t="s">
        <v>33</v>
      </c>
      <c r="D1672" s="4"/>
      <c r="E1672" s="1">
        <v>1632622</v>
      </c>
      <c r="F1672" s="1">
        <v>44</v>
      </c>
      <c r="G1672" s="1">
        <v>96</v>
      </c>
      <c r="H1672" s="1">
        <v>27</v>
      </c>
      <c r="I1672" s="1">
        <v>0</v>
      </c>
    </row>
    <row r="1673" spans="1:9" ht="23.25">
      <c r="A1673" s="4" t="s">
        <v>53</v>
      </c>
      <c r="B1673" s="4"/>
      <c r="C1673" s="4" t="s">
        <v>33</v>
      </c>
      <c r="D1673" s="4"/>
      <c r="E1673" s="1">
        <v>21459</v>
      </c>
      <c r="F1673" s="1">
        <v>0</v>
      </c>
      <c r="G1673" s="1">
        <v>0</v>
      </c>
      <c r="H1673" s="1">
        <v>0</v>
      </c>
      <c r="I1673" s="1">
        <v>0</v>
      </c>
    </row>
    <row r="1674" spans="1:9" ht="23.25">
      <c r="A1674" s="4" t="s">
        <v>54</v>
      </c>
      <c r="B1674" s="4"/>
      <c r="C1674" s="4" t="s">
        <v>33</v>
      </c>
      <c r="D1674" s="4"/>
      <c r="E1674" s="1">
        <v>76735</v>
      </c>
      <c r="F1674" s="1">
        <v>0</v>
      </c>
      <c r="G1674" s="1">
        <v>0</v>
      </c>
      <c r="H1674" s="1">
        <v>0</v>
      </c>
      <c r="I1674" s="1">
        <v>0</v>
      </c>
    </row>
    <row r="1675" spans="1:9" ht="23.25">
      <c r="A1675" s="4" t="s">
        <v>55</v>
      </c>
      <c r="B1675" s="4"/>
      <c r="C1675" s="4" t="s">
        <v>33</v>
      </c>
      <c r="D1675" s="4"/>
      <c r="E1675" s="1">
        <v>0</v>
      </c>
      <c r="F1675" s="1">
        <v>0</v>
      </c>
      <c r="G1675" s="1">
        <v>0</v>
      </c>
      <c r="H1675" s="1">
        <v>0</v>
      </c>
      <c r="I1675" s="1">
        <v>0</v>
      </c>
    </row>
    <row r="1676" spans="1:9" ht="23.25">
      <c r="A1676" s="4" t="s">
        <v>56</v>
      </c>
      <c r="B1676" s="4"/>
      <c r="C1676" s="4" t="s">
        <v>33</v>
      </c>
      <c r="D1676" s="4"/>
      <c r="E1676" s="1">
        <v>0</v>
      </c>
      <c r="F1676" s="1">
        <v>-4417006</v>
      </c>
      <c r="G1676" s="1">
        <v>-3164486</v>
      </c>
      <c r="H1676" s="1">
        <v>0</v>
      </c>
      <c r="I1676" s="1">
        <v>0</v>
      </c>
    </row>
    <row r="1677" spans="1:9" ht="23.25">
      <c r="A1677" s="4" t="s">
        <v>57</v>
      </c>
      <c r="B1677" s="4"/>
      <c r="C1677" s="4" t="s">
        <v>33</v>
      </c>
      <c r="D1677" s="4"/>
      <c r="E1677" s="1">
        <v>93809</v>
      </c>
      <c r="F1677" s="1">
        <v>0</v>
      </c>
      <c r="G1677" s="1">
        <v>0</v>
      </c>
      <c r="H1677" s="1">
        <v>0</v>
      </c>
      <c r="I1677" s="1">
        <v>0</v>
      </c>
    </row>
    <row r="1678" spans="1:9" ht="23.25">
      <c r="A1678" s="4" t="s">
        <v>58</v>
      </c>
      <c r="B1678" s="4"/>
      <c r="C1678" s="4" t="s">
        <v>33</v>
      </c>
      <c r="D1678" s="4"/>
      <c r="E1678" s="1">
        <v>68875</v>
      </c>
      <c r="F1678" s="1">
        <v>0</v>
      </c>
      <c r="G1678" s="1">
        <v>0</v>
      </c>
      <c r="H1678" s="1">
        <v>-702665</v>
      </c>
      <c r="I1678" s="1">
        <v>0</v>
      </c>
    </row>
    <row r="1679" spans="1:9" ht="23.25">
      <c r="A1679" s="4" t="s">
        <v>59</v>
      </c>
      <c r="B1679" s="4"/>
      <c r="C1679" s="4" t="s">
        <v>33</v>
      </c>
      <c r="D1679" s="4"/>
      <c r="E1679" s="1">
        <v>68918</v>
      </c>
      <c r="F1679" s="1">
        <v>0</v>
      </c>
      <c r="G1679" s="1">
        <v>0</v>
      </c>
      <c r="H1679" s="1">
        <v>0</v>
      </c>
      <c r="I1679" s="1">
        <v>0</v>
      </c>
    </row>
    <row r="1680" spans="1:9" ht="23.25">
      <c r="A1680" s="4" t="s">
        <v>60</v>
      </c>
      <c r="B1680" s="4"/>
      <c r="C1680" s="4" t="s">
        <v>33</v>
      </c>
      <c r="D1680" s="4"/>
      <c r="E1680" s="1">
        <v>777491</v>
      </c>
      <c r="F1680" s="1">
        <v>0</v>
      </c>
      <c r="G1680" s="1">
        <v>0</v>
      </c>
      <c r="H1680" s="1">
        <v>0</v>
      </c>
      <c r="I1680" s="1">
        <v>0</v>
      </c>
    </row>
    <row r="1681" spans="1:9" ht="23.25">
      <c r="A1681" s="4" t="s">
        <v>61</v>
      </c>
      <c r="B1681" s="4"/>
      <c r="C1681" s="4" t="s">
        <v>33</v>
      </c>
      <c r="D1681" s="4"/>
      <c r="E1681" s="1">
        <v>109412</v>
      </c>
      <c r="F1681" s="1">
        <v>0</v>
      </c>
      <c r="G1681" s="1">
        <v>0</v>
      </c>
      <c r="H1681" s="1">
        <v>0</v>
      </c>
      <c r="I1681" s="1">
        <v>0</v>
      </c>
    </row>
    <row r="1682" spans="1:9" ht="23.25">
      <c r="A1682" s="4" t="s">
        <v>62</v>
      </c>
      <c r="B1682" s="4"/>
      <c r="C1682" s="4" t="s">
        <v>33</v>
      </c>
      <c r="D1682" s="4"/>
      <c r="E1682" s="1">
        <v>1498435</v>
      </c>
      <c r="F1682" s="1">
        <v>0</v>
      </c>
      <c r="G1682" s="1">
        <v>0</v>
      </c>
      <c r="H1682" s="1">
        <v>0</v>
      </c>
      <c r="I1682" s="1">
        <v>0</v>
      </c>
    </row>
    <row r="1683" spans="1:9" ht="23.25">
      <c r="A1683" s="4" t="s">
        <v>63</v>
      </c>
      <c r="B1683" s="4"/>
      <c r="C1683" s="4" t="s">
        <v>33</v>
      </c>
      <c r="D1683" s="4"/>
      <c r="E1683" s="1">
        <v>24482</v>
      </c>
      <c r="F1683" s="1">
        <v>0</v>
      </c>
      <c r="G1683" s="1">
        <v>0</v>
      </c>
      <c r="H1683" s="1">
        <v>0</v>
      </c>
      <c r="I1683" s="1">
        <v>0</v>
      </c>
    </row>
    <row r="1684" spans="1:9" ht="23.25">
      <c r="A1684" s="4" t="s">
        <v>64</v>
      </c>
      <c r="B1684" s="4"/>
      <c r="C1684" s="4" t="s">
        <v>33</v>
      </c>
      <c r="D1684" s="4"/>
      <c r="E1684" s="1">
        <v>135931</v>
      </c>
      <c r="F1684" s="1">
        <v>0</v>
      </c>
      <c r="G1684" s="1">
        <v>0</v>
      </c>
      <c r="H1684" s="1">
        <v>0</v>
      </c>
      <c r="I1684" s="1">
        <v>0</v>
      </c>
    </row>
    <row r="1685" spans="1:9" ht="23.25">
      <c r="A1685" s="4" t="s">
        <v>65</v>
      </c>
      <c r="B1685" s="4"/>
      <c r="C1685" s="4" t="s">
        <v>33</v>
      </c>
      <c r="D1685" s="4"/>
      <c r="E1685" s="1">
        <v>579607</v>
      </c>
      <c r="F1685" s="1">
        <v>0</v>
      </c>
      <c r="G1685" s="1">
        <v>0</v>
      </c>
      <c r="H1685" s="1">
        <v>0</v>
      </c>
      <c r="I1685" s="1">
        <v>61085</v>
      </c>
    </row>
    <row r="1686" spans="1:9" ht="23.25">
      <c r="A1686" s="4" t="s">
        <v>66</v>
      </c>
      <c r="B1686" s="4"/>
      <c r="C1686" s="4" t="s">
        <v>33</v>
      </c>
      <c r="D1686" s="4"/>
      <c r="E1686" s="1">
        <v>53246623</v>
      </c>
      <c r="F1686" s="1">
        <v>0</v>
      </c>
      <c r="G1686" s="1">
        <v>0</v>
      </c>
      <c r="H1686" s="1">
        <v>0</v>
      </c>
      <c r="I1686" s="1">
        <v>32586793</v>
      </c>
    </row>
    <row r="1687" spans="1:9" ht="23.25">
      <c r="A1687" s="4" t="s">
        <v>67</v>
      </c>
      <c r="B1687" s="4"/>
      <c r="C1687" s="4" t="s">
        <v>33</v>
      </c>
      <c r="D1687" s="4"/>
      <c r="E1687" s="1">
        <v>8521990</v>
      </c>
      <c r="F1687" s="1">
        <v>0</v>
      </c>
      <c r="G1687" s="1">
        <v>0</v>
      </c>
      <c r="H1687" s="1">
        <v>0</v>
      </c>
      <c r="I1687" s="1">
        <v>0</v>
      </c>
    </row>
    <row r="1688" spans="1:9" ht="23.25">
      <c r="A1688" s="4" t="s">
        <v>68</v>
      </c>
      <c r="B1688" s="4"/>
      <c r="C1688" s="4" t="s">
        <v>33</v>
      </c>
      <c r="D1688" s="4"/>
      <c r="E1688" s="1">
        <v>9746331</v>
      </c>
      <c r="F1688" s="1">
        <v>0</v>
      </c>
      <c r="G1688" s="1">
        <v>0</v>
      </c>
      <c r="H1688" s="1">
        <v>0</v>
      </c>
      <c r="I1688" s="1">
        <v>0</v>
      </c>
    </row>
    <row r="1689" spans="1:9" ht="23.25">
      <c r="A1689" s="4" t="s">
        <v>69</v>
      </c>
      <c r="B1689" s="4"/>
      <c r="C1689" s="4" t="s">
        <v>33</v>
      </c>
      <c r="D1689" s="4"/>
      <c r="E1689" s="1">
        <v>5121897</v>
      </c>
      <c r="F1689" s="1">
        <v>0</v>
      </c>
      <c r="G1689" s="1">
        <v>0</v>
      </c>
      <c r="H1689" s="1">
        <v>0</v>
      </c>
      <c r="I1689" s="1">
        <v>0</v>
      </c>
    </row>
    <row r="1690" spans="1:9" ht="23.25">
      <c r="A1690" s="4" t="s">
        <v>70</v>
      </c>
      <c r="B1690" s="4"/>
      <c r="C1690" s="4" t="s">
        <v>33</v>
      </c>
      <c r="D1690" s="4"/>
      <c r="E1690" s="1">
        <v>1678479</v>
      </c>
      <c r="F1690" s="1">
        <v>0</v>
      </c>
      <c r="G1690" s="1">
        <v>0</v>
      </c>
      <c r="H1690" s="1">
        <v>0</v>
      </c>
      <c r="I1690" s="1">
        <v>0</v>
      </c>
    </row>
    <row r="1691" spans="1:9" ht="23.25">
      <c r="A1691" s="4" t="s">
        <v>71</v>
      </c>
      <c r="B1691" s="4"/>
      <c r="C1691" s="4" t="s">
        <v>33</v>
      </c>
      <c r="D1691" s="4"/>
      <c r="E1691" s="1">
        <v>25068697</v>
      </c>
      <c r="F1691" s="1">
        <v>0</v>
      </c>
      <c r="G1691" s="1">
        <v>0</v>
      </c>
      <c r="H1691" s="1">
        <v>0</v>
      </c>
      <c r="I1691" s="1">
        <v>0</v>
      </c>
    </row>
    <row r="1692" spans="1:9" ht="23.25">
      <c r="A1692" s="4" t="s">
        <v>72</v>
      </c>
      <c r="B1692" s="4"/>
      <c r="C1692" s="4" t="s">
        <v>33</v>
      </c>
      <c r="D1692" s="4"/>
      <c r="E1692" s="1">
        <v>78315320</v>
      </c>
      <c r="F1692" s="1">
        <v>0</v>
      </c>
      <c r="G1692" s="1">
        <v>0</v>
      </c>
      <c r="H1692" s="1">
        <v>0</v>
      </c>
      <c r="I1692" s="1">
        <v>0</v>
      </c>
    </row>
    <row r="1693" spans="1:9" ht="23.25">
      <c r="A1693" s="4" t="s">
        <v>8</v>
      </c>
      <c r="B1693" s="4"/>
      <c r="C1693" s="4" t="s">
        <v>34</v>
      </c>
      <c r="D1693" s="4"/>
      <c r="E1693" s="1">
        <v>0</v>
      </c>
      <c r="F1693" s="1">
        <v>0</v>
      </c>
      <c r="G1693" s="1">
        <v>0</v>
      </c>
      <c r="H1693" s="1">
        <v>0</v>
      </c>
      <c r="I1693" s="1">
        <v>0</v>
      </c>
    </row>
    <row r="1694" spans="1:9" ht="23.25">
      <c r="A1694" s="4" t="s">
        <v>9</v>
      </c>
      <c r="B1694" s="4"/>
      <c r="C1694" s="4" t="s">
        <v>34</v>
      </c>
      <c r="D1694" s="4"/>
      <c r="E1694" s="1">
        <v>0</v>
      </c>
      <c r="F1694" s="1">
        <v>0</v>
      </c>
      <c r="G1694" s="1">
        <v>0</v>
      </c>
      <c r="H1694" s="1">
        <v>0</v>
      </c>
      <c r="I1694" s="1">
        <v>0</v>
      </c>
    </row>
    <row r="1695" spans="1:9" ht="23.25">
      <c r="A1695" s="4" t="s">
        <v>10</v>
      </c>
      <c r="B1695" s="4"/>
      <c r="C1695" s="4" t="s">
        <v>34</v>
      </c>
      <c r="D1695" s="4"/>
      <c r="E1695" s="1">
        <v>0</v>
      </c>
      <c r="F1695" s="1">
        <v>0</v>
      </c>
      <c r="G1695" s="1">
        <v>0</v>
      </c>
      <c r="H1695" s="1">
        <v>0</v>
      </c>
      <c r="I1695" s="1">
        <v>0</v>
      </c>
    </row>
    <row r="1696" spans="1:9" ht="23.25">
      <c r="A1696" s="4" t="s">
        <v>11</v>
      </c>
      <c r="B1696" s="4"/>
      <c r="C1696" s="4" t="s">
        <v>34</v>
      </c>
      <c r="D1696" s="4"/>
      <c r="E1696" s="1">
        <v>0</v>
      </c>
      <c r="F1696" s="1">
        <v>0</v>
      </c>
      <c r="G1696" s="1">
        <v>0</v>
      </c>
      <c r="H1696" s="1">
        <v>0</v>
      </c>
      <c r="I1696" s="1">
        <v>0</v>
      </c>
    </row>
    <row r="1697" spans="1:9" ht="23.25">
      <c r="A1697" s="4" t="s">
        <v>12</v>
      </c>
      <c r="B1697" s="4"/>
      <c r="C1697" s="4" t="s">
        <v>34</v>
      </c>
      <c r="D1697" s="4"/>
      <c r="E1697" s="1">
        <v>1104460</v>
      </c>
      <c r="F1697" s="1">
        <v>90758</v>
      </c>
      <c r="G1697" s="1">
        <v>0</v>
      </c>
      <c r="H1697" s="1">
        <v>25277</v>
      </c>
      <c r="I1697" s="1">
        <v>0</v>
      </c>
    </row>
    <row r="1698" spans="1:9" ht="23.25">
      <c r="A1698" s="4" t="s">
        <v>13</v>
      </c>
      <c r="B1698" s="4"/>
      <c r="C1698" s="4" t="s">
        <v>34</v>
      </c>
      <c r="D1698" s="4"/>
      <c r="E1698" s="1">
        <v>0</v>
      </c>
      <c r="F1698" s="1">
        <v>0</v>
      </c>
      <c r="G1698" s="1">
        <v>0</v>
      </c>
      <c r="H1698" s="1">
        <v>0</v>
      </c>
      <c r="I1698" s="1">
        <v>0</v>
      </c>
    </row>
    <row r="1699" spans="1:9" ht="23.25">
      <c r="A1699" s="4" t="s">
        <v>14</v>
      </c>
      <c r="B1699" s="4"/>
      <c r="C1699" s="4" t="s">
        <v>34</v>
      </c>
      <c r="D1699" s="4"/>
      <c r="E1699" s="1">
        <v>0</v>
      </c>
      <c r="F1699" s="1">
        <v>0</v>
      </c>
      <c r="G1699" s="1">
        <v>0</v>
      </c>
      <c r="H1699" s="1">
        <v>0</v>
      </c>
      <c r="I1699" s="1">
        <v>0</v>
      </c>
    </row>
    <row r="1700" spans="1:9" ht="23.25">
      <c r="A1700" s="4" t="s">
        <v>15</v>
      </c>
      <c r="B1700" s="4"/>
      <c r="C1700" s="4" t="s">
        <v>34</v>
      </c>
      <c r="D1700" s="4"/>
      <c r="E1700" s="1">
        <v>0</v>
      </c>
      <c r="F1700" s="1">
        <v>0</v>
      </c>
      <c r="G1700" s="1">
        <v>0</v>
      </c>
      <c r="H1700" s="1">
        <v>0</v>
      </c>
      <c r="I1700" s="1">
        <v>0</v>
      </c>
    </row>
    <row r="1701" spans="1:9" ht="23.25">
      <c r="A1701" s="4" t="s">
        <v>16</v>
      </c>
      <c r="B1701" s="4"/>
      <c r="C1701" s="4" t="s">
        <v>34</v>
      </c>
      <c r="D1701" s="4"/>
      <c r="E1701" s="1">
        <v>0</v>
      </c>
      <c r="F1701" s="1">
        <v>0</v>
      </c>
      <c r="G1701" s="1">
        <v>0</v>
      </c>
      <c r="H1701" s="1">
        <v>0</v>
      </c>
      <c r="I1701" s="1">
        <v>0</v>
      </c>
    </row>
    <row r="1702" spans="1:9" ht="23.25">
      <c r="A1702" s="4" t="s">
        <v>17</v>
      </c>
      <c r="B1702" s="4"/>
      <c r="C1702" s="4" t="s">
        <v>34</v>
      </c>
      <c r="D1702" s="4"/>
      <c r="E1702" s="1">
        <v>0</v>
      </c>
      <c r="F1702" s="1">
        <v>0</v>
      </c>
      <c r="G1702" s="1">
        <v>0</v>
      </c>
      <c r="H1702" s="1">
        <v>0</v>
      </c>
      <c r="I1702" s="1">
        <v>0</v>
      </c>
    </row>
    <row r="1703" spans="1:9" ht="23.25">
      <c r="A1703" s="4" t="s">
        <v>18</v>
      </c>
      <c r="B1703" s="4"/>
      <c r="C1703" s="4" t="s">
        <v>34</v>
      </c>
      <c r="D1703" s="4"/>
      <c r="E1703" s="1">
        <v>0</v>
      </c>
      <c r="F1703" s="1">
        <v>0</v>
      </c>
      <c r="G1703" s="1">
        <v>0</v>
      </c>
      <c r="H1703" s="1">
        <v>0</v>
      </c>
      <c r="I1703" s="1">
        <v>0</v>
      </c>
    </row>
    <row r="1704" spans="1:9" ht="23.25">
      <c r="A1704" s="4" t="s">
        <v>19</v>
      </c>
      <c r="B1704" s="4"/>
      <c r="C1704" s="4" t="s">
        <v>34</v>
      </c>
      <c r="D1704" s="4"/>
      <c r="E1704" s="1">
        <v>3145740</v>
      </c>
      <c r="F1704" s="1">
        <v>35208</v>
      </c>
      <c r="G1704" s="1">
        <v>0</v>
      </c>
      <c r="H1704" s="1">
        <v>19583</v>
      </c>
      <c r="I1704" s="1">
        <v>2375183</v>
      </c>
    </row>
    <row r="1705" spans="1:9" ht="23.25">
      <c r="A1705" s="4" t="s">
        <v>20</v>
      </c>
      <c r="B1705" s="4"/>
      <c r="C1705" s="4" t="s">
        <v>34</v>
      </c>
      <c r="D1705" s="4"/>
      <c r="E1705" s="1">
        <v>1096937</v>
      </c>
      <c r="F1705" s="1">
        <v>122013</v>
      </c>
      <c r="G1705" s="1">
        <v>0</v>
      </c>
      <c r="H1705" s="1">
        <v>28398</v>
      </c>
      <c r="I1705" s="1">
        <v>0</v>
      </c>
    </row>
    <row r="1706" spans="1:9" ht="23.25">
      <c r="A1706" s="4" t="s">
        <v>21</v>
      </c>
      <c r="B1706" s="4"/>
      <c r="C1706" s="4" t="s">
        <v>34</v>
      </c>
      <c r="D1706" s="4"/>
      <c r="E1706" s="1">
        <v>7405932</v>
      </c>
      <c r="F1706" s="1">
        <v>264210</v>
      </c>
      <c r="G1706" s="1">
        <v>61494</v>
      </c>
      <c r="H1706" s="1">
        <v>511882</v>
      </c>
      <c r="I1706" s="1">
        <v>2492525</v>
      </c>
    </row>
    <row r="1707" spans="1:9" ht="23.25">
      <c r="A1707" s="4" t="s">
        <v>22</v>
      </c>
      <c r="B1707" s="4"/>
      <c r="C1707" s="4" t="s">
        <v>34</v>
      </c>
      <c r="D1707" s="4"/>
      <c r="E1707" s="1">
        <v>0</v>
      </c>
      <c r="F1707" s="1">
        <v>0</v>
      </c>
      <c r="G1707" s="1">
        <v>0</v>
      </c>
      <c r="H1707" s="1">
        <v>0</v>
      </c>
      <c r="I1707" s="1">
        <v>0</v>
      </c>
    </row>
    <row r="1708" spans="1:9" ht="23.25">
      <c r="A1708" s="4" t="s">
        <v>23</v>
      </c>
      <c r="B1708" s="4"/>
      <c r="C1708" s="4" t="s">
        <v>34</v>
      </c>
      <c r="D1708" s="4"/>
      <c r="E1708" s="1">
        <v>578705</v>
      </c>
      <c r="F1708" s="1">
        <v>26504</v>
      </c>
      <c r="G1708" s="1">
        <v>16276</v>
      </c>
      <c r="H1708" s="1">
        <v>5383</v>
      </c>
      <c r="I1708" s="1">
        <v>0</v>
      </c>
    </row>
    <row r="1709" spans="1:9" ht="23.25">
      <c r="A1709" s="4" t="s">
        <v>24</v>
      </c>
      <c r="B1709" s="4"/>
      <c r="C1709" s="4" t="s">
        <v>34</v>
      </c>
      <c r="D1709" s="4"/>
      <c r="E1709" s="1">
        <v>2552134</v>
      </c>
      <c r="F1709" s="1">
        <v>24843</v>
      </c>
      <c r="G1709" s="1">
        <v>86178</v>
      </c>
      <c r="H1709" s="1">
        <v>19711</v>
      </c>
      <c r="I1709" s="1">
        <v>883765</v>
      </c>
    </row>
    <row r="1710" spans="1:9" ht="23.25">
      <c r="A1710" s="4" t="s">
        <v>25</v>
      </c>
      <c r="B1710" s="4"/>
      <c r="C1710" s="4" t="s">
        <v>34</v>
      </c>
      <c r="D1710" s="4"/>
      <c r="E1710" s="1">
        <v>449265</v>
      </c>
      <c r="F1710" s="1">
        <v>2573</v>
      </c>
      <c r="G1710" s="1">
        <v>1738</v>
      </c>
      <c r="H1710" s="1">
        <v>4722</v>
      </c>
      <c r="I1710" s="1">
        <v>241235</v>
      </c>
    </row>
    <row r="1711" spans="1:9" ht="23.25">
      <c r="A1711" s="4" t="s">
        <v>26</v>
      </c>
      <c r="B1711" s="4"/>
      <c r="C1711" s="4" t="s">
        <v>34</v>
      </c>
      <c r="D1711" s="4"/>
      <c r="E1711" s="1">
        <v>0</v>
      </c>
      <c r="F1711" s="1">
        <v>0</v>
      </c>
      <c r="G1711" s="1">
        <v>0</v>
      </c>
      <c r="H1711" s="1">
        <v>0</v>
      </c>
      <c r="I1711" s="1">
        <v>0</v>
      </c>
    </row>
    <row r="1712" spans="1:9" ht="23.25">
      <c r="A1712" s="4" t="s">
        <v>27</v>
      </c>
      <c r="B1712" s="4"/>
      <c r="C1712" s="4" t="s">
        <v>34</v>
      </c>
      <c r="D1712" s="4"/>
      <c r="E1712" s="1">
        <v>0</v>
      </c>
      <c r="F1712" s="1">
        <v>0</v>
      </c>
      <c r="G1712" s="1">
        <v>0</v>
      </c>
      <c r="H1712" s="1">
        <v>0</v>
      </c>
      <c r="I1712" s="1">
        <v>0</v>
      </c>
    </row>
    <row r="1713" spans="1:9" ht="23.25">
      <c r="A1713" s="4" t="s">
        <v>28</v>
      </c>
      <c r="B1713" s="4"/>
      <c r="C1713" s="4" t="s">
        <v>34</v>
      </c>
      <c r="D1713" s="4"/>
      <c r="E1713" s="1">
        <v>0</v>
      </c>
      <c r="F1713" s="1">
        <v>0</v>
      </c>
      <c r="G1713" s="1">
        <v>0</v>
      </c>
      <c r="H1713" s="1">
        <v>0</v>
      </c>
      <c r="I1713" s="1">
        <v>0</v>
      </c>
    </row>
    <row r="1714" spans="1:9" ht="23.25">
      <c r="A1714" s="4" t="s">
        <v>29</v>
      </c>
      <c r="B1714" s="4"/>
      <c r="C1714" s="4" t="s">
        <v>34</v>
      </c>
      <c r="D1714" s="4"/>
      <c r="E1714" s="1">
        <v>0</v>
      </c>
      <c r="F1714" s="1">
        <v>0</v>
      </c>
      <c r="G1714" s="1">
        <v>0</v>
      </c>
      <c r="H1714" s="1">
        <v>0</v>
      </c>
      <c r="I1714" s="1">
        <v>0</v>
      </c>
    </row>
    <row r="1715" spans="1:9" ht="23.25">
      <c r="A1715" s="4" t="s">
        <v>30</v>
      </c>
      <c r="B1715" s="4"/>
      <c r="C1715" s="4" t="s">
        <v>34</v>
      </c>
      <c r="D1715" s="4"/>
      <c r="E1715" s="1">
        <v>2282326</v>
      </c>
      <c r="F1715" s="1">
        <v>206779</v>
      </c>
      <c r="G1715" s="1">
        <v>90792</v>
      </c>
      <c r="H1715" s="1">
        <v>25599</v>
      </c>
      <c r="I1715" s="1">
        <v>0</v>
      </c>
    </row>
    <row r="1716" spans="1:9" ht="23.25">
      <c r="A1716" s="4" t="s">
        <v>31</v>
      </c>
      <c r="B1716" s="4"/>
      <c r="C1716" s="4" t="s">
        <v>34</v>
      </c>
      <c r="D1716" s="4"/>
      <c r="E1716" s="1">
        <v>75193</v>
      </c>
      <c r="F1716" s="1">
        <v>2268</v>
      </c>
      <c r="G1716" s="1">
        <v>10584</v>
      </c>
      <c r="H1716" s="1">
        <v>839</v>
      </c>
      <c r="I1716" s="1">
        <v>17</v>
      </c>
    </row>
    <row r="1717" spans="1:9" ht="23.25">
      <c r="A1717" s="4" t="s">
        <v>32</v>
      </c>
      <c r="B1717" s="4"/>
      <c r="C1717" s="4" t="s">
        <v>34</v>
      </c>
      <c r="D1717" s="4"/>
      <c r="E1717" s="1">
        <v>1705075</v>
      </c>
      <c r="F1717" s="1">
        <v>197167</v>
      </c>
      <c r="G1717" s="1">
        <v>178805</v>
      </c>
      <c r="H1717" s="1">
        <v>27660</v>
      </c>
      <c r="I1717" s="1">
        <v>0</v>
      </c>
    </row>
    <row r="1718" spans="1:9" ht="23.25">
      <c r="A1718" s="4" t="s">
        <v>33</v>
      </c>
      <c r="B1718" s="4"/>
      <c r="C1718" s="4" t="s">
        <v>34</v>
      </c>
      <c r="D1718" s="4"/>
      <c r="E1718" s="1">
        <v>31186</v>
      </c>
      <c r="F1718" s="1">
        <v>671</v>
      </c>
      <c r="G1718" s="1">
        <v>1512</v>
      </c>
      <c r="H1718" s="1">
        <v>222</v>
      </c>
      <c r="I1718" s="1">
        <v>0</v>
      </c>
    </row>
    <row r="1719" spans="1:9" ht="23.25">
      <c r="A1719" s="4" t="s">
        <v>34</v>
      </c>
      <c r="B1719" s="4"/>
      <c r="C1719" s="4" t="s">
        <v>34</v>
      </c>
      <c r="D1719" s="4"/>
      <c r="E1719" s="1">
        <v>322888358</v>
      </c>
      <c r="F1719" s="1">
        <v>21984937</v>
      </c>
      <c r="G1719" s="1">
        <v>11293600</v>
      </c>
      <c r="H1719" s="1">
        <v>3510931</v>
      </c>
      <c r="I1719" s="1">
        <v>186932063</v>
      </c>
    </row>
    <row r="1720" spans="1:9" ht="23.25">
      <c r="A1720" s="4" t="s">
        <v>35</v>
      </c>
      <c r="B1720" s="4"/>
      <c r="C1720" s="4" t="s">
        <v>34</v>
      </c>
      <c r="D1720" s="4"/>
      <c r="E1720" s="1">
        <v>0</v>
      </c>
      <c r="F1720" s="1">
        <v>0</v>
      </c>
      <c r="G1720" s="1">
        <v>0</v>
      </c>
      <c r="H1720" s="1">
        <v>0</v>
      </c>
      <c r="I1720" s="1">
        <v>0</v>
      </c>
    </row>
    <row r="1721" spans="1:9" ht="23.25">
      <c r="A1721" s="4" t="s">
        <v>36</v>
      </c>
      <c r="B1721" s="4"/>
      <c r="C1721" s="4" t="s">
        <v>34</v>
      </c>
      <c r="D1721" s="4"/>
      <c r="E1721" s="1">
        <v>2518926</v>
      </c>
      <c r="F1721" s="1">
        <v>160574</v>
      </c>
      <c r="G1721" s="1">
        <v>133705</v>
      </c>
      <c r="H1721" s="1">
        <v>22329</v>
      </c>
      <c r="I1721" s="1">
        <v>395707</v>
      </c>
    </row>
    <row r="1722" spans="1:9" ht="23.25">
      <c r="A1722" s="4" t="s">
        <v>37</v>
      </c>
      <c r="B1722" s="4"/>
      <c r="C1722" s="4" t="s">
        <v>34</v>
      </c>
      <c r="D1722" s="4"/>
      <c r="E1722" s="1">
        <v>77861438</v>
      </c>
      <c r="F1722" s="1">
        <v>3072915</v>
      </c>
      <c r="G1722" s="1">
        <v>3686827</v>
      </c>
      <c r="H1722" s="1">
        <v>686340</v>
      </c>
      <c r="I1722" s="1">
        <v>14937744</v>
      </c>
    </row>
    <row r="1723" spans="1:9" ht="23.25">
      <c r="A1723" s="4" t="s">
        <v>38</v>
      </c>
      <c r="B1723" s="4"/>
      <c r="C1723" s="4" t="s">
        <v>34</v>
      </c>
      <c r="D1723" s="4"/>
      <c r="E1723" s="1">
        <v>0</v>
      </c>
      <c r="F1723" s="1">
        <v>0</v>
      </c>
      <c r="G1723" s="1">
        <v>0</v>
      </c>
      <c r="H1723" s="1">
        <v>0</v>
      </c>
      <c r="I1723" s="1">
        <v>0</v>
      </c>
    </row>
    <row r="1724" spans="1:9" ht="23.25">
      <c r="A1724" s="4" t="s">
        <v>39</v>
      </c>
      <c r="B1724" s="4"/>
      <c r="C1724" s="4" t="s">
        <v>34</v>
      </c>
      <c r="D1724" s="4"/>
      <c r="E1724" s="1">
        <v>7078957</v>
      </c>
      <c r="F1724" s="1">
        <v>147164</v>
      </c>
      <c r="G1724" s="1">
        <v>223506</v>
      </c>
      <c r="H1724" s="1">
        <v>49695</v>
      </c>
      <c r="I1724" s="1">
        <v>2363049</v>
      </c>
    </row>
    <row r="1725" spans="1:9" ht="23.25">
      <c r="A1725" s="4" t="s">
        <v>40</v>
      </c>
      <c r="B1725" s="4"/>
      <c r="C1725" s="4" t="s">
        <v>34</v>
      </c>
      <c r="D1725" s="4"/>
      <c r="E1725" s="1">
        <v>566331</v>
      </c>
      <c r="F1725" s="1">
        <v>32573</v>
      </c>
      <c r="G1725" s="1">
        <v>22881</v>
      </c>
      <c r="H1725" s="1">
        <v>8205</v>
      </c>
      <c r="I1725" s="1">
        <v>0</v>
      </c>
    </row>
    <row r="1726" spans="1:9" ht="23.25">
      <c r="A1726" s="4" t="s">
        <v>41</v>
      </c>
      <c r="B1726" s="4"/>
      <c r="C1726" s="4" t="s">
        <v>34</v>
      </c>
      <c r="D1726" s="4"/>
      <c r="E1726" s="1">
        <v>107335</v>
      </c>
      <c r="F1726" s="1">
        <v>12061</v>
      </c>
      <c r="G1726" s="1">
        <v>13801</v>
      </c>
      <c r="H1726" s="1">
        <v>1284</v>
      </c>
      <c r="I1726" s="1">
        <v>0</v>
      </c>
    </row>
    <row r="1727" spans="1:9" ht="23.25">
      <c r="A1727" s="4" t="s">
        <v>42</v>
      </c>
      <c r="B1727" s="4"/>
      <c r="C1727" s="4" t="s">
        <v>34</v>
      </c>
      <c r="D1727" s="4"/>
      <c r="E1727" s="1">
        <v>0</v>
      </c>
      <c r="F1727" s="1">
        <v>0</v>
      </c>
      <c r="G1727" s="1">
        <v>0</v>
      </c>
      <c r="H1727" s="1">
        <v>0</v>
      </c>
      <c r="I1727" s="1">
        <v>0</v>
      </c>
    </row>
    <row r="1728" spans="1:9" ht="23.25">
      <c r="A1728" s="4" t="s">
        <v>43</v>
      </c>
      <c r="B1728" s="4"/>
      <c r="C1728" s="4" t="s">
        <v>34</v>
      </c>
      <c r="D1728" s="4"/>
      <c r="E1728" s="1">
        <v>63912</v>
      </c>
      <c r="F1728" s="1">
        <v>3827</v>
      </c>
      <c r="G1728" s="1">
        <v>1857</v>
      </c>
      <c r="H1728" s="1">
        <v>107</v>
      </c>
      <c r="I1728" s="1">
        <v>37822</v>
      </c>
    </row>
    <row r="1729" spans="1:9" ht="23.25">
      <c r="A1729" s="4" t="s">
        <v>44</v>
      </c>
      <c r="B1729" s="4"/>
      <c r="C1729" s="4" t="s">
        <v>34</v>
      </c>
      <c r="D1729" s="4"/>
      <c r="E1729" s="1">
        <v>1741644</v>
      </c>
      <c r="F1729" s="1">
        <v>17522</v>
      </c>
      <c r="G1729" s="1">
        <v>42273</v>
      </c>
      <c r="H1729" s="1">
        <v>3955</v>
      </c>
      <c r="I1729" s="1">
        <v>1441185</v>
      </c>
    </row>
    <row r="1730" spans="1:9" ht="23.25">
      <c r="A1730" s="4" t="s">
        <v>45</v>
      </c>
      <c r="B1730" s="4"/>
      <c r="C1730" s="4" t="s">
        <v>34</v>
      </c>
      <c r="D1730" s="4"/>
      <c r="E1730" s="1">
        <v>6946020</v>
      </c>
      <c r="F1730" s="1">
        <v>387468</v>
      </c>
      <c r="G1730" s="1">
        <v>0</v>
      </c>
      <c r="H1730" s="1">
        <v>71980</v>
      </c>
      <c r="I1730" s="1">
        <v>2597802</v>
      </c>
    </row>
    <row r="1731" spans="1:9" ht="23.25">
      <c r="A1731" s="4" t="s">
        <v>46</v>
      </c>
      <c r="B1731" s="4"/>
      <c r="C1731" s="4" t="s">
        <v>34</v>
      </c>
      <c r="D1731" s="4"/>
      <c r="E1731" s="1">
        <v>459977</v>
      </c>
      <c r="F1731" s="1">
        <v>20888</v>
      </c>
      <c r="G1731" s="1">
        <v>14166</v>
      </c>
      <c r="H1731" s="1">
        <v>4955</v>
      </c>
      <c r="I1731" s="1">
        <v>0</v>
      </c>
    </row>
    <row r="1732" spans="1:9" ht="23.25">
      <c r="A1732" s="4" t="s">
        <v>47</v>
      </c>
      <c r="B1732" s="4"/>
      <c r="C1732" s="4" t="s">
        <v>34</v>
      </c>
      <c r="D1732" s="4"/>
      <c r="E1732" s="1">
        <v>1553153</v>
      </c>
      <c r="F1732" s="1">
        <v>0</v>
      </c>
      <c r="G1732" s="1">
        <v>0</v>
      </c>
      <c r="H1732" s="1">
        <v>0</v>
      </c>
      <c r="I1732" s="1">
        <v>0</v>
      </c>
    </row>
    <row r="1733" spans="1:9" ht="23.25">
      <c r="A1733" s="4" t="s">
        <v>48</v>
      </c>
      <c r="B1733" s="4"/>
      <c r="C1733" s="4" t="s">
        <v>34</v>
      </c>
      <c r="D1733" s="4"/>
      <c r="E1733" s="1">
        <v>0</v>
      </c>
      <c r="F1733" s="1">
        <v>0</v>
      </c>
      <c r="G1733" s="1">
        <v>0</v>
      </c>
      <c r="H1733" s="1">
        <v>0</v>
      </c>
      <c r="I1733" s="1">
        <v>0</v>
      </c>
    </row>
    <row r="1734" spans="1:9" ht="23.25">
      <c r="A1734" s="4" t="s">
        <v>49</v>
      </c>
      <c r="B1734" s="4"/>
      <c r="C1734" s="4" t="s">
        <v>34</v>
      </c>
      <c r="D1734" s="4"/>
      <c r="E1734" s="1">
        <v>0</v>
      </c>
      <c r="F1734" s="1">
        <v>0</v>
      </c>
      <c r="G1734" s="1">
        <v>0</v>
      </c>
      <c r="H1734" s="1">
        <v>0</v>
      </c>
      <c r="I1734" s="1">
        <v>0</v>
      </c>
    </row>
    <row r="1735" spans="1:9" ht="23.25">
      <c r="A1735" s="4" t="s">
        <v>50</v>
      </c>
      <c r="B1735" s="4"/>
      <c r="C1735" s="4" t="s">
        <v>34</v>
      </c>
      <c r="D1735" s="4"/>
      <c r="E1735" s="1">
        <v>0</v>
      </c>
      <c r="F1735" s="1">
        <v>0</v>
      </c>
      <c r="G1735" s="1">
        <v>0</v>
      </c>
      <c r="H1735" s="1">
        <v>0</v>
      </c>
      <c r="I1735" s="1">
        <v>0</v>
      </c>
    </row>
    <row r="1736" spans="1:9" ht="23.25">
      <c r="A1736" s="4" t="s">
        <v>51</v>
      </c>
      <c r="B1736" s="4"/>
      <c r="C1736" s="4" t="s">
        <v>34</v>
      </c>
      <c r="D1736" s="4"/>
      <c r="E1736" s="1">
        <v>627273</v>
      </c>
      <c r="F1736" s="1">
        <v>45542</v>
      </c>
      <c r="G1736" s="1">
        <v>54297</v>
      </c>
      <c r="H1736" s="1">
        <v>6797</v>
      </c>
      <c r="I1736" s="1">
        <v>0</v>
      </c>
    </row>
    <row r="1737" spans="1:9" ht="23.25">
      <c r="A1737" s="4" t="s">
        <v>52</v>
      </c>
      <c r="B1737" s="4"/>
      <c r="C1737" s="4" t="s">
        <v>34</v>
      </c>
      <c r="D1737" s="4"/>
      <c r="E1737" s="1">
        <v>69114559</v>
      </c>
      <c r="F1737" s="1">
        <v>450891</v>
      </c>
      <c r="G1737" s="1">
        <v>783340</v>
      </c>
      <c r="H1737" s="1">
        <v>101797</v>
      </c>
      <c r="I1737" s="1">
        <v>18481184</v>
      </c>
    </row>
    <row r="1738" spans="1:9" ht="23.25">
      <c r="A1738" s="4" t="s">
        <v>53</v>
      </c>
      <c r="B1738" s="4"/>
      <c r="C1738" s="4" t="s">
        <v>34</v>
      </c>
      <c r="D1738" s="4"/>
      <c r="E1738" s="1">
        <v>1042790</v>
      </c>
      <c r="F1738" s="1">
        <v>0</v>
      </c>
      <c r="G1738" s="1">
        <v>0</v>
      </c>
      <c r="H1738" s="1">
        <v>0</v>
      </c>
      <c r="I1738" s="1">
        <v>0</v>
      </c>
    </row>
    <row r="1739" spans="1:9" ht="23.25">
      <c r="A1739" s="4" t="s">
        <v>54</v>
      </c>
      <c r="B1739" s="4"/>
      <c r="C1739" s="4" t="s">
        <v>34</v>
      </c>
      <c r="D1739" s="4"/>
      <c r="E1739" s="1">
        <v>561669</v>
      </c>
      <c r="F1739" s="1">
        <v>0</v>
      </c>
      <c r="G1739" s="1">
        <v>0</v>
      </c>
      <c r="H1739" s="1">
        <v>0</v>
      </c>
      <c r="I1739" s="1">
        <v>0</v>
      </c>
    </row>
    <row r="1740" spans="1:9" ht="23.25">
      <c r="A1740" s="4" t="s">
        <v>55</v>
      </c>
      <c r="B1740" s="4"/>
      <c r="C1740" s="4" t="s">
        <v>34</v>
      </c>
      <c r="D1740" s="4"/>
      <c r="E1740" s="1">
        <v>0</v>
      </c>
      <c r="F1740" s="1">
        <v>0</v>
      </c>
      <c r="G1740" s="1">
        <v>0</v>
      </c>
      <c r="H1740" s="1">
        <v>0</v>
      </c>
      <c r="I1740" s="1">
        <v>0</v>
      </c>
    </row>
    <row r="1741" spans="1:9" ht="23.25">
      <c r="A1741" s="4" t="s">
        <v>56</v>
      </c>
      <c r="B1741" s="4"/>
      <c r="C1741" s="4" t="s">
        <v>34</v>
      </c>
      <c r="D1741" s="4"/>
      <c r="E1741" s="1">
        <v>0</v>
      </c>
      <c r="F1741" s="1">
        <v>-27309356</v>
      </c>
      <c r="G1741" s="1">
        <v>-16717632</v>
      </c>
      <c r="H1741" s="1">
        <v>0</v>
      </c>
      <c r="I1741" s="1">
        <v>0</v>
      </c>
    </row>
    <row r="1742" spans="1:9" ht="23.25">
      <c r="A1742" s="4" t="s">
        <v>57</v>
      </c>
      <c r="B1742" s="4"/>
      <c r="C1742" s="4" t="s">
        <v>34</v>
      </c>
      <c r="D1742" s="4"/>
      <c r="E1742" s="1">
        <v>1233718</v>
      </c>
      <c r="F1742" s="1">
        <v>0</v>
      </c>
      <c r="G1742" s="1">
        <v>0</v>
      </c>
      <c r="H1742" s="1">
        <v>0</v>
      </c>
      <c r="I1742" s="1">
        <v>0</v>
      </c>
    </row>
    <row r="1743" spans="1:9" ht="23.25">
      <c r="A1743" s="4" t="s">
        <v>58</v>
      </c>
      <c r="B1743" s="4"/>
      <c r="C1743" s="4" t="s">
        <v>34</v>
      </c>
      <c r="D1743" s="4"/>
      <c r="E1743" s="1">
        <v>1723082</v>
      </c>
      <c r="F1743" s="1">
        <v>0</v>
      </c>
      <c r="G1743" s="1">
        <v>0</v>
      </c>
      <c r="H1743" s="1">
        <v>-5137651</v>
      </c>
      <c r="I1743" s="1">
        <v>0</v>
      </c>
    </row>
    <row r="1744" spans="1:9" ht="23.25">
      <c r="A1744" s="4" t="s">
        <v>59</v>
      </c>
      <c r="B1744" s="4"/>
      <c r="C1744" s="4" t="s">
        <v>34</v>
      </c>
      <c r="D1744" s="4"/>
      <c r="E1744" s="1">
        <v>757746</v>
      </c>
      <c r="F1744" s="1">
        <v>0</v>
      </c>
      <c r="G1744" s="1">
        <v>0</v>
      </c>
      <c r="H1744" s="1">
        <v>0</v>
      </c>
      <c r="I1744" s="1">
        <v>0</v>
      </c>
    </row>
    <row r="1745" spans="1:9" ht="23.25">
      <c r="A1745" s="4" t="s">
        <v>60</v>
      </c>
      <c r="B1745" s="4"/>
      <c r="C1745" s="4" t="s">
        <v>34</v>
      </c>
      <c r="D1745" s="4"/>
      <c r="E1745" s="1">
        <v>17418531</v>
      </c>
      <c r="F1745" s="1">
        <v>0</v>
      </c>
      <c r="G1745" s="1">
        <v>0</v>
      </c>
      <c r="H1745" s="1">
        <v>0</v>
      </c>
      <c r="I1745" s="1">
        <v>0</v>
      </c>
    </row>
    <row r="1746" spans="1:9" ht="23.25">
      <c r="A1746" s="4" t="s">
        <v>61</v>
      </c>
      <c r="B1746" s="4"/>
      <c r="C1746" s="4" t="s">
        <v>34</v>
      </c>
      <c r="D1746" s="4"/>
      <c r="E1746" s="1">
        <v>464674</v>
      </c>
      <c r="F1746" s="1">
        <v>0</v>
      </c>
      <c r="G1746" s="1">
        <v>0</v>
      </c>
      <c r="H1746" s="1">
        <v>0</v>
      </c>
      <c r="I1746" s="1">
        <v>0</v>
      </c>
    </row>
    <row r="1747" spans="1:9" ht="23.25">
      <c r="A1747" s="4" t="s">
        <v>62</v>
      </c>
      <c r="B1747" s="4"/>
      <c r="C1747" s="4" t="s">
        <v>34</v>
      </c>
      <c r="D1747" s="4"/>
      <c r="E1747" s="1">
        <v>18373459</v>
      </c>
      <c r="F1747" s="1">
        <v>0</v>
      </c>
      <c r="G1747" s="1">
        <v>0</v>
      </c>
      <c r="H1747" s="1">
        <v>0</v>
      </c>
      <c r="I1747" s="1">
        <v>0</v>
      </c>
    </row>
    <row r="1748" spans="1:9" ht="23.25">
      <c r="A1748" s="4" t="s">
        <v>63</v>
      </c>
      <c r="B1748" s="4"/>
      <c r="C1748" s="4" t="s">
        <v>34</v>
      </c>
      <c r="D1748" s="4"/>
      <c r="E1748" s="1">
        <v>619258</v>
      </c>
      <c r="F1748" s="1">
        <v>0</v>
      </c>
      <c r="G1748" s="1">
        <v>0</v>
      </c>
      <c r="H1748" s="1">
        <v>0</v>
      </c>
      <c r="I1748" s="1">
        <v>0</v>
      </c>
    </row>
    <row r="1749" spans="1:9" ht="23.25">
      <c r="A1749" s="4" t="s">
        <v>64</v>
      </c>
      <c r="B1749" s="4"/>
      <c r="C1749" s="4" t="s">
        <v>34</v>
      </c>
      <c r="D1749" s="4"/>
      <c r="E1749" s="1">
        <v>551059</v>
      </c>
      <c r="F1749" s="1">
        <v>0</v>
      </c>
      <c r="G1749" s="1">
        <v>0</v>
      </c>
      <c r="H1749" s="1">
        <v>0</v>
      </c>
      <c r="I1749" s="1">
        <v>0</v>
      </c>
    </row>
    <row r="1750" spans="1:9" ht="23.25">
      <c r="A1750" s="4" t="s">
        <v>65</v>
      </c>
      <c r="B1750" s="4"/>
      <c r="C1750" s="4" t="s">
        <v>34</v>
      </c>
      <c r="D1750" s="4"/>
      <c r="E1750" s="1">
        <v>2023470</v>
      </c>
      <c r="F1750" s="1">
        <v>0</v>
      </c>
      <c r="G1750" s="1">
        <v>0</v>
      </c>
      <c r="H1750" s="1">
        <v>0</v>
      </c>
      <c r="I1750" s="1">
        <v>206616</v>
      </c>
    </row>
    <row r="1751" spans="1:9" ht="23.25">
      <c r="A1751" s="4" t="s">
        <v>66</v>
      </c>
      <c r="B1751" s="4"/>
      <c r="C1751" s="4" t="s">
        <v>34</v>
      </c>
      <c r="D1751" s="4"/>
      <c r="E1751" s="1">
        <v>556724292</v>
      </c>
      <c r="F1751" s="1">
        <v>0</v>
      </c>
      <c r="G1751" s="1">
        <v>0</v>
      </c>
      <c r="H1751" s="1">
        <v>0</v>
      </c>
      <c r="I1751" s="1">
        <v>233385897</v>
      </c>
    </row>
    <row r="1752" spans="1:9" ht="23.25">
      <c r="A1752" s="4" t="s">
        <v>67</v>
      </c>
      <c r="B1752" s="4"/>
      <c r="C1752" s="4" t="s">
        <v>34</v>
      </c>
      <c r="D1752" s="4"/>
      <c r="E1752" s="1">
        <v>86118488</v>
      </c>
      <c r="F1752" s="1">
        <v>0</v>
      </c>
      <c r="G1752" s="1">
        <v>0</v>
      </c>
      <c r="H1752" s="1">
        <v>0</v>
      </c>
      <c r="I1752" s="1">
        <v>0</v>
      </c>
    </row>
    <row r="1753" spans="1:9" ht="23.25">
      <c r="A1753" s="4" t="s">
        <v>68</v>
      </c>
      <c r="B1753" s="4"/>
      <c r="C1753" s="4" t="s">
        <v>34</v>
      </c>
      <c r="D1753" s="4"/>
      <c r="E1753" s="1">
        <v>113625088</v>
      </c>
      <c r="F1753" s="1">
        <v>0</v>
      </c>
      <c r="G1753" s="1">
        <v>0</v>
      </c>
      <c r="H1753" s="1">
        <v>0</v>
      </c>
      <c r="I1753" s="1">
        <v>0</v>
      </c>
    </row>
    <row r="1754" spans="1:9" ht="23.25">
      <c r="A1754" s="4" t="s">
        <v>69</v>
      </c>
      <c r="B1754" s="4"/>
      <c r="C1754" s="4" t="s">
        <v>34</v>
      </c>
      <c r="D1754" s="4"/>
      <c r="E1754" s="1">
        <v>58052753</v>
      </c>
      <c r="F1754" s="1">
        <v>0</v>
      </c>
      <c r="G1754" s="1">
        <v>0</v>
      </c>
      <c r="H1754" s="1">
        <v>0</v>
      </c>
      <c r="I1754" s="1">
        <v>0</v>
      </c>
    </row>
    <row r="1755" spans="1:9" ht="23.25">
      <c r="A1755" s="4" t="s">
        <v>70</v>
      </c>
      <c r="B1755" s="4"/>
      <c r="C1755" s="4" t="s">
        <v>34</v>
      </c>
      <c r="D1755" s="4"/>
      <c r="E1755" s="1">
        <v>20642223</v>
      </c>
      <c r="F1755" s="1">
        <v>0</v>
      </c>
      <c r="G1755" s="1">
        <v>0</v>
      </c>
      <c r="H1755" s="1">
        <v>0</v>
      </c>
      <c r="I1755" s="1">
        <v>0</v>
      </c>
    </row>
    <row r="1756" spans="1:9" ht="23.25">
      <c r="A1756" s="4" t="s">
        <v>71</v>
      </c>
      <c r="B1756" s="4"/>
      <c r="C1756" s="4" t="s">
        <v>34</v>
      </c>
      <c r="D1756" s="4"/>
      <c r="E1756" s="1">
        <v>278438552</v>
      </c>
      <c r="F1756" s="1">
        <v>0</v>
      </c>
      <c r="G1756" s="1">
        <v>0</v>
      </c>
      <c r="H1756" s="1">
        <v>0</v>
      </c>
      <c r="I1756" s="1">
        <v>0</v>
      </c>
    </row>
    <row r="1757" spans="1:9" ht="23.25">
      <c r="A1757" s="4" t="s">
        <v>72</v>
      </c>
      <c r="B1757" s="4"/>
      <c r="C1757" s="4" t="s">
        <v>34</v>
      </c>
      <c r="D1757" s="4"/>
      <c r="E1757" s="1">
        <v>835162844</v>
      </c>
      <c r="F1757" s="1">
        <v>0</v>
      </c>
      <c r="G1757" s="1">
        <v>0</v>
      </c>
      <c r="H1757" s="1">
        <v>0</v>
      </c>
      <c r="I1757" s="1">
        <v>0</v>
      </c>
    </row>
    <row r="1758" spans="1:9" ht="23.25">
      <c r="A1758" s="4" t="s">
        <v>8</v>
      </c>
      <c r="B1758" s="4"/>
      <c r="C1758" s="4" t="s">
        <v>35</v>
      </c>
      <c r="D1758" s="4"/>
      <c r="E1758" s="1">
        <v>288979</v>
      </c>
      <c r="F1758" s="1">
        <v>13067</v>
      </c>
      <c r="G1758" s="1">
        <v>0</v>
      </c>
      <c r="H1758" s="1">
        <v>1789</v>
      </c>
      <c r="I1758" s="1">
        <v>0</v>
      </c>
    </row>
    <row r="1759" spans="1:9" ht="23.25">
      <c r="A1759" s="4" t="s">
        <v>9</v>
      </c>
      <c r="B1759" s="4"/>
      <c r="C1759" s="4" t="s">
        <v>35</v>
      </c>
      <c r="D1759" s="4"/>
      <c r="E1759" s="1">
        <v>41504</v>
      </c>
      <c r="F1759" s="1">
        <v>1366</v>
      </c>
      <c r="G1759" s="1">
        <v>0</v>
      </c>
      <c r="H1759" s="1">
        <v>296</v>
      </c>
      <c r="I1759" s="1">
        <v>0</v>
      </c>
    </row>
    <row r="1760" spans="1:9" ht="23.25">
      <c r="A1760" s="4" t="s">
        <v>10</v>
      </c>
      <c r="B1760" s="4"/>
      <c r="C1760" s="4" t="s">
        <v>35</v>
      </c>
      <c r="D1760" s="4"/>
      <c r="E1760" s="1">
        <v>0</v>
      </c>
      <c r="F1760" s="1">
        <v>0</v>
      </c>
      <c r="G1760" s="1">
        <v>0</v>
      </c>
      <c r="H1760" s="1">
        <v>0</v>
      </c>
      <c r="I1760" s="1">
        <v>0</v>
      </c>
    </row>
    <row r="1761" spans="1:9" ht="23.25">
      <c r="A1761" s="4" t="s">
        <v>11</v>
      </c>
      <c r="B1761" s="4"/>
      <c r="C1761" s="4" t="s">
        <v>35</v>
      </c>
      <c r="D1761" s="4"/>
      <c r="E1761" s="1">
        <v>480022</v>
      </c>
      <c r="F1761" s="1">
        <v>22870</v>
      </c>
      <c r="G1761" s="1">
        <v>5651</v>
      </c>
      <c r="H1761" s="1">
        <v>754</v>
      </c>
      <c r="I1761" s="1">
        <v>378983</v>
      </c>
    </row>
    <row r="1762" spans="1:9" ht="23.25">
      <c r="A1762" s="4" t="s">
        <v>12</v>
      </c>
      <c r="B1762" s="4"/>
      <c r="C1762" s="4" t="s">
        <v>35</v>
      </c>
      <c r="D1762" s="4"/>
      <c r="E1762" s="1">
        <v>3988</v>
      </c>
      <c r="F1762" s="1">
        <v>342</v>
      </c>
      <c r="G1762" s="1">
        <v>0</v>
      </c>
      <c r="H1762" s="1">
        <v>0</v>
      </c>
      <c r="I1762" s="1">
        <v>0</v>
      </c>
    </row>
    <row r="1763" spans="1:9" ht="23.25">
      <c r="A1763" s="4" t="s">
        <v>13</v>
      </c>
      <c r="B1763" s="4"/>
      <c r="C1763" s="4" t="s">
        <v>35</v>
      </c>
      <c r="D1763" s="4"/>
      <c r="E1763" s="1">
        <v>2232</v>
      </c>
      <c r="F1763" s="1">
        <v>0</v>
      </c>
      <c r="G1763" s="1">
        <v>0</v>
      </c>
      <c r="H1763" s="1">
        <v>0</v>
      </c>
      <c r="I1763" s="1">
        <v>0</v>
      </c>
    </row>
    <row r="1764" spans="1:9" ht="23.25">
      <c r="A1764" s="4" t="s">
        <v>14</v>
      </c>
      <c r="B1764" s="4"/>
      <c r="C1764" s="4" t="s">
        <v>35</v>
      </c>
      <c r="D1764" s="4"/>
      <c r="E1764" s="1">
        <v>0</v>
      </c>
      <c r="F1764" s="1">
        <v>0</v>
      </c>
      <c r="G1764" s="1">
        <v>0</v>
      </c>
      <c r="H1764" s="1">
        <v>0</v>
      </c>
      <c r="I1764" s="1">
        <v>0</v>
      </c>
    </row>
    <row r="1765" spans="1:9" ht="23.25">
      <c r="A1765" s="4" t="s">
        <v>15</v>
      </c>
      <c r="B1765" s="4"/>
      <c r="C1765" s="4" t="s">
        <v>35</v>
      </c>
      <c r="D1765" s="4"/>
      <c r="E1765" s="1">
        <v>163081</v>
      </c>
      <c r="F1765" s="1">
        <v>6089</v>
      </c>
      <c r="G1765" s="1">
        <v>1499</v>
      </c>
      <c r="H1765" s="1">
        <v>1630</v>
      </c>
      <c r="I1765" s="1">
        <v>2392</v>
      </c>
    </row>
    <row r="1766" spans="1:9" ht="23.25">
      <c r="A1766" s="4" t="s">
        <v>16</v>
      </c>
      <c r="B1766" s="4"/>
      <c r="C1766" s="4" t="s">
        <v>35</v>
      </c>
      <c r="D1766" s="4"/>
      <c r="E1766" s="1">
        <v>284322</v>
      </c>
      <c r="F1766" s="1">
        <v>7203</v>
      </c>
      <c r="G1766" s="1">
        <v>1683</v>
      </c>
      <c r="H1766" s="1">
        <v>577</v>
      </c>
      <c r="I1766" s="1">
        <v>0</v>
      </c>
    </row>
    <row r="1767" spans="1:9" ht="23.25">
      <c r="A1767" s="4" t="s">
        <v>17</v>
      </c>
      <c r="B1767" s="4"/>
      <c r="C1767" s="4" t="s">
        <v>35</v>
      </c>
      <c r="D1767" s="4"/>
      <c r="E1767" s="1">
        <v>15938</v>
      </c>
      <c r="F1767" s="1">
        <v>784</v>
      </c>
      <c r="G1767" s="1">
        <v>855</v>
      </c>
      <c r="H1767" s="1">
        <v>118</v>
      </c>
      <c r="I1767" s="1">
        <v>0</v>
      </c>
    </row>
    <row r="1768" spans="1:9" ht="23.25">
      <c r="A1768" s="4" t="s">
        <v>18</v>
      </c>
      <c r="B1768" s="4"/>
      <c r="C1768" s="4" t="s">
        <v>35</v>
      </c>
      <c r="D1768" s="4"/>
      <c r="E1768" s="1">
        <v>0</v>
      </c>
      <c r="F1768" s="1">
        <v>0</v>
      </c>
      <c r="G1768" s="1">
        <v>0</v>
      </c>
      <c r="H1768" s="1">
        <v>0</v>
      </c>
      <c r="I1768" s="1">
        <v>0</v>
      </c>
    </row>
    <row r="1769" spans="1:9" ht="23.25">
      <c r="A1769" s="4" t="s">
        <v>19</v>
      </c>
      <c r="B1769" s="4"/>
      <c r="C1769" s="4" t="s">
        <v>35</v>
      </c>
      <c r="D1769" s="4"/>
      <c r="E1769" s="1">
        <v>0</v>
      </c>
      <c r="F1769" s="1">
        <v>0</v>
      </c>
      <c r="G1769" s="1">
        <v>0</v>
      </c>
      <c r="H1769" s="1">
        <v>0</v>
      </c>
      <c r="I1769" s="1">
        <v>0</v>
      </c>
    </row>
    <row r="1770" spans="1:9" ht="23.25">
      <c r="A1770" s="4" t="s">
        <v>20</v>
      </c>
      <c r="B1770" s="4"/>
      <c r="C1770" s="4" t="s">
        <v>35</v>
      </c>
      <c r="D1770" s="4"/>
      <c r="E1770" s="1">
        <v>0</v>
      </c>
      <c r="F1770" s="1">
        <v>0</v>
      </c>
      <c r="G1770" s="1">
        <v>0</v>
      </c>
      <c r="H1770" s="1">
        <v>0</v>
      </c>
      <c r="I1770" s="1">
        <v>0</v>
      </c>
    </row>
    <row r="1771" spans="1:9" ht="23.25">
      <c r="A1771" s="4" t="s">
        <v>21</v>
      </c>
      <c r="B1771" s="4"/>
      <c r="C1771" s="4" t="s">
        <v>35</v>
      </c>
      <c r="D1771" s="4"/>
      <c r="E1771" s="1">
        <v>3704237</v>
      </c>
      <c r="F1771" s="1">
        <v>161765</v>
      </c>
      <c r="G1771" s="1">
        <v>8158</v>
      </c>
      <c r="H1771" s="1">
        <v>126378</v>
      </c>
      <c r="I1771" s="1">
        <v>1477908</v>
      </c>
    </row>
    <row r="1772" spans="1:9" ht="23.25">
      <c r="A1772" s="4" t="s">
        <v>22</v>
      </c>
      <c r="B1772" s="4"/>
      <c r="C1772" s="4" t="s">
        <v>35</v>
      </c>
      <c r="D1772" s="4"/>
      <c r="E1772" s="1">
        <v>0</v>
      </c>
      <c r="F1772" s="1">
        <v>0</v>
      </c>
      <c r="G1772" s="1">
        <v>0</v>
      </c>
      <c r="H1772" s="1">
        <v>0</v>
      </c>
      <c r="I1772" s="1">
        <v>0</v>
      </c>
    </row>
    <row r="1773" spans="1:9" ht="23.25">
      <c r="A1773" s="4" t="s">
        <v>23</v>
      </c>
      <c r="B1773" s="4"/>
      <c r="C1773" s="4" t="s">
        <v>35</v>
      </c>
      <c r="D1773" s="4"/>
      <c r="E1773" s="1">
        <v>0</v>
      </c>
      <c r="F1773" s="1">
        <v>0</v>
      </c>
      <c r="G1773" s="1">
        <v>0</v>
      </c>
      <c r="H1773" s="1">
        <v>0</v>
      </c>
      <c r="I1773" s="1">
        <v>0</v>
      </c>
    </row>
    <row r="1774" spans="1:9" ht="23.25">
      <c r="A1774" s="4" t="s">
        <v>24</v>
      </c>
      <c r="B1774" s="4"/>
      <c r="C1774" s="4" t="s">
        <v>35</v>
      </c>
      <c r="D1774" s="4"/>
      <c r="E1774" s="1">
        <v>69186</v>
      </c>
      <c r="F1774" s="1">
        <v>1692</v>
      </c>
      <c r="G1774" s="1">
        <v>2707</v>
      </c>
      <c r="H1774" s="1">
        <v>1192</v>
      </c>
      <c r="I1774" s="1">
        <v>0</v>
      </c>
    </row>
    <row r="1775" spans="1:9" ht="23.25">
      <c r="A1775" s="4" t="s">
        <v>25</v>
      </c>
      <c r="B1775" s="4"/>
      <c r="C1775" s="4" t="s">
        <v>35</v>
      </c>
      <c r="D1775" s="4"/>
      <c r="E1775" s="1">
        <v>505301</v>
      </c>
      <c r="F1775" s="1">
        <v>4248</v>
      </c>
      <c r="G1775" s="1">
        <v>110</v>
      </c>
      <c r="H1775" s="1">
        <v>4962</v>
      </c>
      <c r="I1775" s="1">
        <v>253591</v>
      </c>
    </row>
    <row r="1776" spans="1:9" ht="23.25">
      <c r="A1776" s="4" t="s">
        <v>26</v>
      </c>
      <c r="B1776" s="4"/>
      <c r="C1776" s="4" t="s">
        <v>35</v>
      </c>
      <c r="D1776" s="4"/>
      <c r="E1776" s="1">
        <v>50811</v>
      </c>
      <c r="F1776" s="1">
        <v>1355</v>
      </c>
      <c r="G1776" s="1">
        <v>1655</v>
      </c>
      <c r="H1776" s="1">
        <v>667</v>
      </c>
      <c r="I1776" s="1">
        <v>0</v>
      </c>
    </row>
    <row r="1777" spans="1:9" ht="23.25">
      <c r="A1777" s="4" t="s">
        <v>27</v>
      </c>
      <c r="B1777" s="4"/>
      <c r="C1777" s="4" t="s">
        <v>35</v>
      </c>
      <c r="D1777" s="4"/>
      <c r="E1777" s="1">
        <v>0</v>
      </c>
      <c r="F1777" s="1">
        <v>0</v>
      </c>
      <c r="G1777" s="1">
        <v>0</v>
      </c>
      <c r="H1777" s="1">
        <v>0</v>
      </c>
      <c r="I1777" s="1">
        <v>0</v>
      </c>
    </row>
    <row r="1778" spans="1:9" ht="23.25">
      <c r="A1778" s="4" t="s">
        <v>28</v>
      </c>
      <c r="B1778" s="4"/>
      <c r="C1778" s="4" t="s">
        <v>35</v>
      </c>
      <c r="D1778" s="4"/>
      <c r="E1778" s="1">
        <v>0</v>
      </c>
      <c r="F1778" s="1">
        <v>0</v>
      </c>
      <c r="G1778" s="1">
        <v>0</v>
      </c>
      <c r="H1778" s="1">
        <v>0</v>
      </c>
      <c r="I1778" s="1">
        <v>0</v>
      </c>
    </row>
    <row r="1779" spans="1:9" ht="23.25">
      <c r="A1779" s="4" t="s">
        <v>29</v>
      </c>
      <c r="B1779" s="4"/>
      <c r="C1779" s="4" t="s">
        <v>35</v>
      </c>
      <c r="D1779" s="4"/>
      <c r="E1779" s="1">
        <v>0</v>
      </c>
      <c r="F1779" s="1">
        <v>0</v>
      </c>
      <c r="G1779" s="1">
        <v>0</v>
      </c>
      <c r="H1779" s="1">
        <v>0</v>
      </c>
      <c r="I1779" s="1">
        <v>0</v>
      </c>
    </row>
    <row r="1780" spans="1:9" ht="23.25">
      <c r="A1780" s="4" t="s">
        <v>30</v>
      </c>
      <c r="B1780" s="4"/>
      <c r="C1780" s="4" t="s">
        <v>35</v>
      </c>
      <c r="D1780" s="4"/>
      <c r="E1780" s="1">
        <v>1602</v>
      </c>
      <c r="F1780" s="1">
        <v>157</v>
      </c>
      <c r="G1780" s="1">
        <v>0</v>
      </c>
      <c r="H1780" s="1">
        <v>5</v>
      </c>
      <c r="I1780" s="1">
        <v>0</v>
      </c>
    </row>
    <row r="1781" spans="1:9" ht="23.25">
      <c r="A1781" s="4" t="s">
        <v>31</v>
      </c>
      <c r="B1781" s="4"/>
      <c r="C1781" s="4" t="s">
        <v>35</v>
      </c>
      <c r="D1781" s="4"/>
      <c r="E1781" s="1">
        <v>0</v>
      </c>
      <c r="F1781" s="1">
        <v>0</v>
      </c>
      <c r="G1781" s="1">
        <v>0</v>
      </c>
      <c r="H1781" s="1">
        <v>0</v>
      </c>
      <c r="I1781" s="1">
        <v>0</v>
      </c>
    </row>
    <row r="1782" spans="1:9" ht="23.25">
      <c r="A1782" s="4" t="s">
        <v>32</v>
      </c>
      <c r="B1782" s="4"/>
      <c r="C1782" s="4" t="s">
        <v>35</v>
      </c>
      <c r="D1782" s="4"/>
      <c r="E1782" s="1">
        <v>202717</v>
      </c>
      <c r="F1782" s="1">
        <v>10502</v>
      </c>
      <c r="G1782" s="1">
        <v>4516</v>
      </c>
      <c r="H1782" s="1">
        <v>1891</v>
      </c>
      <c r="I1782" s="1">
        <v>0</v>
      </c>
    </row>
    <row r="1783" spans="1:9" ht="23.25">
      <c r="A1783" s="4" t="s">
        <v>33</v>
      </c>
      <c r="B1783" s="4"/>
      <c r="C1783" s="4" t="s">
        <v>35</v>
      </c>
      <c r="D1783" s="4"/>
      <c r="E1783" s="1">
        <v>0</v>
      </c>
      <c r="F1783" s="1">
        <v>0</v>
      </c>
      <c r="G1783" s="1">
        <v>0</v>
      </c>
      <c r="H1783" s="1">
        <v>0</v>
      </c>
      <c r="I1783" s="1">
        <v>0</v>
      </c>
    </row>
    <row r="1784" spans="1:9" ht="23.25">
      <c r="A1784" s="4" t="s">
        <v>34</v>
      </c>
      <c r="B1784" s="4"/>
      <c r="C1784" s="4" t="s">
        <v>35</v>
      </c>
      <c r="D1784" s="4"/>
      <c r="E1784" s="1">
        <v>23472382</v>
      </c>
      <c r="F1784" s="1">
        <v>1321323</v>
      </c>
      <c r="G1784" s="1">
        <v>489111</v>
      </c>
      <c r="H1784" s="1">
        <v>415558</v>
      </c>
      <c r="I1784" s="1">
        <v>18645926</v>
      </c>
    </row>
    <row r="1785" spans="1:9" ht="23.25">
      <c r="A1785" s="4" t="s">
        <v>35</v>
      </c>
      <c r="B1785" s="4"/>
      <c r="C1785" s="4" t="s">
        <v>35</v>
      </c>
      <c r="D1785" s="4"/>
      <c r="E1785" s="1">
        <v>11667881</v>
      </c>
      <c r="F1785" s="1">
        <v>901920</v>
      </c>
      <c r="G1785" s="1">
        <v>448311</v>
      </c>
      <c r="H1785" s="1">
        <v>474537</v>
      </c>
      <c r="I1785" s="1">
        <v>8441038</v>
      </c>
    </row>
    <row r="1786" spans="1:9" ht="23.25">
      <c r="A1786" s="4" t="s">
        <v>36</v>
      </c>
      <c r="B1786" s="4"/>
      <c r="C1786" s="4" t="s">
        <v>35</v>
      </c>
      <c r="D1786" s="4"/>
      <c r="E1786" s="1">
        <v>1227240</v>
      </c>
      <c r="F1786" s="1">
        <v>142286</v>
      </c>
      <c r="G1786" s="1">
        <v>32074</v>
      </c>
      <c r="H1786" s="1">
        <v>12642</v>
      </c>
      <c r="I1786" s="1">
        <v>827013</v>
      </c>
    </row>
    <row r="1787" spans="1:9" ht="23.25">
      <c r="A1787" s="4" t="s">
        <v>37</v>
      </c>
      <c r="B1787" s="4"/>
      <c r="C1787" s="4" t="s">
        <v>35</v>
      </c>
      <c r="D1787" s="4"/>
      <c r="E1787" s="1">
        <v>1042237</v>
      </c>
      <c r="F1787" s="1">
        <v>57149</v>
      </c>
      <c r="G1787" s="1">
        <v>31182</v>
      </c>
      <c r="H1787" s="1">
        <v>7153</v>
      </c>
      <c r="I1787" s="1">
        <v>197610</v>
      </c>
    </row>
    <row r="1788" spans="1:9" ht="23.25">
      <c r="A1788" s="4" t="s">
        <v>38</v>
      </c>
      <c r="B1788" s="4"/>
      <c r="C1788" s="4" t="s">
        <v>35</v>
      </c>
      <c r="D1788" s="4"/>
      <c r="E1788" s="1">
        <v>0</v>
      </c>
      <c r="F1788" s="1">
        <v>0</v>
      </c>
      <c r="G1788" s="1">
        <v>0</v>
      </c>
      <c r="H1788" s="1">
        <v>0</v>
      </c>
      <c r="I1788" s="1">
        <v>0</v>
      </c>
    </row>
    <row r="1789" spans="1:9" ht="23.25">
      <c r="A1789" s="4" t="s">
        <v>39</v>
      </c>
      <c r="B1789" s="4"/>
      <c r="C1789" s="4" t="s">
        <v>35</v>
      </c>
      <c r="D1789" s="4"/>
      <c r="E1789" s="1">
        <v>1455907</v>
      </c>
      <c r="F1789" s="1">
        <v>37479</v>
      </c>
      <c r="G1789" s="1">
        <v>33642</v>
      </c>
      <c r="H1789" s="1">
        <v>10581</v>
      </c>
      <c r="I1789" s="1">
        <v>687803</v>
      </c>
    </row>
    <row r="1790" spans="1:9" ht="23.25">
      <c r="A1790" s="4" t="s">
        <v>40</v>
      </c>
      <c r="B1790" s="4"/>
      <c r="C1790" s="4" t="s">
        <v>35</v>
      </c>
      <c r="D1790" s="4"/>
      <c r="E1790" s="1">
        <v>219801</v>
      </c>
      <c r="F1790" s="1">
        <v>15750</v>
      </c>
      <c r="G1790" s="1">
        <v>8903</v>
      </c>
      <c r="H1790" s="1">
        <v>3262</v>
      </c>
      <c r="I1790" s="1">
        <v>0</v>
      </c>
    </row>
    <row r="1791" spans="1:9" ht="23.25">
      <c r="A1791" s="4" t="s">
        <v>41</v>
      </c>
      <c r="B1791" s="4"/>
      <c r="C1791" s="4" t="s">
        <v>35</v>
      </c>
      <c r="D1791" s="4"/>
      <c r="E1791" s="1">
        <v>125170</v>
      </c>
      <c r="F1791" s="1">
        <v>18658</v>
      </c>
      <c r="G1791" s="1">
        <v>19427</v>
      </c>
      <c r="H1791" s="1">
        <v>1698</v>
      </c>
      <c r="I1791" s="1">
        <v>0</v>
      </c>
    </row>
    <row r="1792" spans="1:9" ht="23.25">
      <c r="A1792" s="4" t="s">
        <v>42</v>
      </c>
      <c r="B1792" s="4"/>
      <c r="C1792" s="4" t="s">
        <v>35</v>
      </c>
      <c r="D1792" s="4"/>
      <c r="E1792" s="1">
        <v>0</v>
      </c>
      <c r="F1792" s="1">
        <v>0</v>
      </c>
      <c r="G1792" s="1">
        <v>0</v>
      </c>
      <c r="H1792" s="1">
        <v>0</v>
      </c>
      <c r="I1792" s="1">
        <v>0</v>
      </c>
    </row>
    <row r="1793" spans="1:9" ht="23.25">
      <c r="A1793" s="4" t="s">
        <v>43</v>
      </c>
      <c r="B1793" s="4"/>
      <c r="C1793" s="4" t="s">
        <v>35</v>
      </c>
      <c r="D1793" s="4"/>
      <c r="E1793" s="1">
        <v>0</v>
      </c>
      <c r="F1793" s="1">
        <v>0</v>
      </c>
      <c r="G1793" s="1">
        <v>0</v>
      </c>
      <c r="H1793" s="1">
        <v>0</v>
      </c>
      <c r="I1793" s="1">
        <v>0</v>
      </c>
    </row>
    <row r="1794" spans="1:9" ht="23.25">
      <c r="A1794" s="4" t="s">
        <v>44</v>
      </c>
      <c r="B1794" s="4"/>
      <c r="C1794" s="4" t="s">
        <v>35</v>
      </c>
      <c r="D1794" s="4"/>
      <c r="E1794" s="1">
        <v>9735</v>
      </c>
      <c r="F1794" s="1">
        <v>71</v>
      </c>
      <c r="G1794" s="1">
        <v>585</v>
      </c>
      <c r="H1794" s="1">
        <v>16</v>
      </c>
      <c r="I1794" s="1">
        <v>7394</v>
      </c>
    </row>
    <row r="1795" spans="1:9" ht="23.25">
      <c r="A1795" s="4" t="s">
        <v>45</v>
      </c>
      <c r="B1795" s="4"/>
      <c r="C1795" s="4" t="s">
        <v>35</v>
      </c>
      <c r="D1795" s="4"/>
      <c r="E1795" s="1">
        <v>696813</v>
      </c>
      <c r="F1795" s="1">
        <v>42127</v>
      </c>
      <c r="G1795" s="1">
        <v>33</v>
      </c>
      <c r="H1795" s="1">
        <v>11589</v>
      </c>
      <c r="I1795" s="1">
        <v>0</v>
      </c>
    </row>
    <row r="1796" spans="1:9" ht="23.25">
      <c r="A1796" s="4" t="s">
        <v>46</v>
      </c>
      <c r="B1796" s="4"/>
      <c r="C1796" s="4" t="s">
        <v>35</v>
      </c>
      <c r="D1796" s="4"/>
      <c r="E1796" s="1">
        <v>35845</v>
      </c>
      <c r="F1796" s="1">
        <v>2252</v>
      </c>
      <c r="G1796" s="1">
        <v>0</v>
      </c>
      <c r="H1796" s="1">
        <v>744</v>
      </c>
      <c r="I1796" s="1">
        <v>0</v>
      </c>
    </row>
    <row r="1797" spans="1:9" ht="23.25">
      <c r="A1797" s="4" t="s">
        <v>47</v>
      </c>
      <c r="B1797" s="4"/>
      <c r="C1797" s="4" t="s">
        <v>35</v>
      </c>
      <c r="D1797" s="4"/>
      <c r="E1797" s="1">
        <v>40977</v>
      </c>
      <c r="F1797" s="1">
        <v>0</v>
      </c>
      <c r="G1797" s="1">
        <v>0</v>
      </c>
      <c r="H1797" s="1">
        <v>0</v>
      </c>
      <c r="I1797" s="1">
        <v>0</v>
      </c>
    </row>
    <row r="1798" spans="1:9" ht="23.25">
      <c r="A1798" s="4" t="s">
        <v>48</v>
      </c>
      <c r="B1798" s="4"/>
      <c r="C1798" s="4" t="s">
        <v>35</v>
      </c>
      <c r="D1798" s="4"/>
      <c r="E1798" s="1">
        <v>0</v>
      </c>
      <c r="F1798" s="1">
        <v>0</v>
      </c>
      <c r="G1798" s="1">
        <v>0</v>
      </c>
      <c r="H1798" s="1">
        <v>0</v>
      </c>
      <c r="I1798" s="1">
        <v>0</v>
      </c>
    </row>
    <row r="1799" spans="1:9" ht="23.25">
      <c r="A1799" s="4" t="s">
        <v>49</v>
      </c>
      <c r="B1799" s="4"/>
      <c r="C1799" s="4" t="s">
        <v>35</v>
      </c>
      <c r="D1799" s="4"/>
      <c r="E1799" s="1">
        <v>0</v>
      </c>
      <c r="F1799" s="1">
        <v>0</v>
      </c>
      <c r="G1799" s="1">
        <v>0</v>
      </c>
      <c r="H1799" s="1">
        <v>0</v>
      </c>
      <c r="I1799" s="1">
        <v>0</v>
      </c>
    </row>
    <row r="1800" spans="1:9" ht="23.25">
      <c r="A1800" s="4" t="s">
        <v>50</v>
      </c>
      <c r="B1800" s="4"/>
      <c r="C1800" s="4" t="s">
        <v>35</v>
      </c>
      <c r="D1800" s="4"/>
      <c r="E1800" s="1">
        <v>235427</v>
      </c>
      <c r="F1800" s="1">
        <v>18541</v>
      </c>
      <c r="G1800" s="1">
        <v>39840</v>
      </c>
      <c r="H1800" s="1">
        <v>2467</v>
      </c>
      <c r="I1800" s="1">
        <v>0</v>
      </c>
    </row>
    <row r="1801" spans="1:9" ht="23.25">
      <c r="A1801" s="4" t="s">
        <v>51</v>
      </c>
      <c r="B1801" s="4"/>
      <c r="C1801" s="4" t="s">
        <v>35</v>
      </c>
      <c r="D1801" s="4"/>
      <c r="E1801" s="1">
        <v>32271</v>
      </c>
      <c r="F1801" s="1">
        <v>1892</v>
      </c>
      <c r="G1801" s="1">
        <v>2136</v>
      </c>
      <c r="H1801" s="1">
        <v>284</v>
      </c>
      <c r="I1801" s="1">
        <v>0</v>
      </c>
    </row>
    <row r="1802" spans="1:9" ht="23.25">
      <c r="A1802" s="4" t="s">
        <v>52</v>
      </c>
      <c r="B1802" s="4"/>
      <c r="C1802" s="4" t="s">
        <v>35</v>
      </c>
      <c r="D1802" s="4"/>
      <c r="E1802" s="1">
        <v>1082098</v>
      </c>
      <c r="F1802" s="1">
        <v>1032</v>
      </c>
      <c r="G1802" s="1">
        <v>1916</v>
      </c>
      <c r="H1802" s="1">
        <v>190</v>
      </c>
      <c r="I1802" s="1">
        <v>0</v>
      </c>
    </row>
    <row r="1803" spans="1:9" ht="23.25">
      <c r="A1803" s="4" t="s">
        <v>53</v>
      </c>
      <c r="B1803" s="4"/>
      <c r="C1803" s="4" t="s">
        <v>35</v>
      </c>
      <c r="D1803" s="4"/>
      <c r="E1803" s="1">
        <v>37780</v>
      </c>
      <c r="F1803" s="1">
        <v>0</v>
      </c>
      <c r="G1803" s="1">
        <v>0</v>
      </c>
      <c r="H1803" s="1">
        <v>0</v>
      </c>
      <c r="I1803" s="1">
        <v>0</v>
      </c>
    </row>
    <row r="1804" spans="1:9" ht="23.25">
      <c r="A1804" s="4" t="s">
        <v>54</v>
      </c>
      <c r="B1804" s="4"/>
      <c r="C1804" s="4" t="s">
        <v>35</v>
      </c>
      <c r="D1804" s="4"/>
      <c r="E1804" s="1">
        <v>52615</v>
      </c>
      <c r="F1804" s="1">
        <v>0</v>
      </c>
      <c r="G1804" s="1">
        <v>0</v>
      </c>
      <c r="H1804" s="1">
        <v>0</v>
      </c>
      <c r="I1804" s="1">
        <v>0</v>
      </c>
    </row>
    <row r="1805" spans="1:9" ht="23.25">
      <c r="A1805" s="4" t="s">
        <v>55</v>
      </c>
      <c r="B1805" s="4"/>
      <c r="C1805" s="4" t="s">
        <v>35</v>
      </c>
      <c r="D1805" s="4"/>
      <c r="E1805" s="1">
        <v>0</v>
      </c>
      <c r="F1805" s="1">
        <v>0</v>
      </c>
      <c r="G1805" s="1">
        <v>0</v>
      </c>
      <c r="H1805" s="1">
        <v>0</v>
      </c>
      <c r="I1805" s="1">
        <v>0</v>
      </c>
    </row>
    <row r="1806" spans="1:9" ht="23.25">
      <c r="A1806" s="4" t="s">
        <v>56</v>
      </c>
      <c r="B1806" s="4"/>
      <c r="C1806" s="4" t="s">
        <v>35</v>
      </c>
      <c r="D1806" s="4"/>
      <c r="E1806" s="1">
        <v>0</v>
      </c>
      <c r="F1806" s="1">
        <v>-2791920</v>
      </c>
      <c r="G1806" s="1">
        <v>-1133994</v>
      </c>
      <c r="H1806" s="1">
        <v>0</v>
      </c>
      <c r="I1806" s="1">
        <v>0</v>
      </c>
    </row>
    <row r="1807" spans="1:9" ht="23.25">
      <c r="A1807" s="4" t="s">
        <v>57</v>
      </c>
      <c r="B1807" s="4"/>
      <c r="C1807" s="4" t="s">
        <v>35</v>
      </c>
      <c r="D1807" s="4"/>
      <c r="E1807" s="1">
        <v>442362</v>
      </c>
      <c r="F1807" s="1">
        <v>0</v>
      </c>
      <c r="G1807" s="1">
        <v>0</v>
      </c>
      <c r="H1807" s="1">
        <v>0</v>
      </c>
      <c r="I1807" s="1">
        <v>0</v>
      </c>
    </row>
    <row r="1808" spans="1:9" ht="23.25">
      <c r="A1808" s="4" t="s">
        <v>58</v>
      </c>
      <c r="B1808" s="4"/>
      <c r="C1808" s="4" t="s">
        <v>35</v>
      </c>
      <c r="D1808" s="4"/>
      <c r="E1808" s="1">
        <v>921189</v>
      </c>
      <c r="F1808" s="1">
        <v>0</v>
      </c>
      <c r="G1808" s="1">
        <v>0</v>
      </c>
      <c r="H1808" s="1">
        <v>-1080980</v>
      </c>
      <c r="I1808" s="1">
        <v>0</v>
      </c>
    </row>
    <row r="1809" spans="1:9" ht="23.25">
      <c r="A1809" s="4" t="s">
        <v>59</v>
      </c>
      <c r="B1809" s="4"/>
      <c r="C1809" s="4" t="s">
        <v>35</v>
      </c>
      <c r="D1809" s="4"/>
      <c r="E1809" s="1">
        <v>181145</v>
      </c>
      <c r="F1809" s="1">
        <v>0</v>
      </c>
      <c r="G1809" s="1">
        <v>0</v>
      </c>
      <c r="H1809" s="1">
        <v>0</v>
      </c>
      <c r="I1809" s="1">
        <v>0</v>
      </c>
    </row>
    <row r="1810" spans="1:9" ht="23.25">
      <c r="A1810" s="4" t="s">
        <v>60</v>
      </c>
      <c r="B1810" s="4"/>
      <c r="C1810" s="4" t="s">
        <v>35</v>
      </c>
      <c r="D1810" s="4"/>
      <c r="E1810" s="1">
        <v>1492566</v>
      </c>
      <c r="F1810" s="1">
        <v>0</v>
      </c>
      <c r="G1810" s="1">
        <v>0</v>
      </c>
      <c r="H1810" s="1">
        <v>0</v>
      </c>
      <c r="I1810" s="1">
        <v>0</v>
      </c>
    </row>
    <row r="1811" spans="1:9" ht="23.25">
      <c r="A1811" s="4" t="s">
        <v>61</v>
      </c>
      <c r="B1811" s="4"/>
      <c r="C1811" s="4" t="s">
        <v>35</v>
      </c>
      <c r="D1811" s="4"/>
      <c r="E1811" s="1">
        <v>215623</v>
      </c>
      <c r="F1811" s="1">
        <v>0</v>
      </c>
      <c r="G1811" s="1">
        <v>0</v>
      </c>
      <c r="H1811" s="1">
        <v>0</v>
      </c>
      <c r="I1811" s="1">
        <v>0</v>
      </c>
    </row>
    <row r="1812" spans="1:9" ht="23.25">
      <c r="A1812" s="4" t="s">
        <v>62</v>
      </c>
      <c r="B1812" s="4"/>
      <c r="C1812" s="4" t="s">
        <v>35</v>
      </c>
      <c r="D1812" s="4"/>
      <c r="E1812" s="1">
        <v>1814964</v>
      </c>
      <c r="F1812" s="1">
        <v>0</v>
      </c>
      <c r="G1812" s="1">
        <v>0</v>
      </c>
      <c r="H1812" s="1">
        <v>0</v>
      </c>
      <c r="I1812" s="1">
        <v>0</v>
      </c>
    </row>
    <row r="1813" spans="1:9" ht="23.25">
      <c r="A1813" s="4" t="s">
        <v>63</v>
      </c>
      <c r="B1813" s="4"/>
      <c r="C1813" s="4" t="s">
        <v>35</v>
      </c>
      <c r="D1813" s="4"/>
      <c r="E1813" s="1">
        <v>60297</v>
      </c>
      <c r="F1813" s="1">
        <v>0</v>
      </c>
      <c r="G1813" s="1">
        <v>0</v>
      </c>
      <c r="H1813" s="1">
        <v>0</v>
      </c>
      <c r="I1813" s="1">
        <v>0</v>
      </c>
    </row>
    <row r="1814" spans="1:9" ht="23.25">
      <c r="A1814" s="4" t="s">
        <v>64</v>
      </c>
      <c r="B1814" s="4"/>
      <c r="C1814" s="4" t="s">
        <v>35</v>
      </c>
      <c r="D1814" s="4"/>
      <c r="E1814" s="1">
        <v>95452</v>
      </c>
      <c r="F1814" s="1">
        <v>0</v>
      </c>
      <c r="G1814" s="1">
        <v>0</v>
      </c>
      <c r="H1814" s="1">
        <v>0</v>
      </c>
      <c r="I1814" s="1">
        <v>0</v>
      </c>
    </row>
    <row r="1815" spans="1:9" ht="23.25">
      <c r="A1815" s="4" t="s">
        <v>65</v>
      </c>
      <c r="B1815" s="4"/>
      <c r="C1815" s="4" t="s">
        <v>35</v>
      </c>
      <c r="D1815" s="4"/>
      <c r="E1815" s="1">
        <v>2268</v>
      </c>
      <c r="F1815" s="1">
        <v>0</v>
      </c>
      <c r="G1815" s="1">
        <v>0</v>
      </c>
      <c r="H1815" s="1">
        <v>0</v>
      </c>
      <c r="I1815" s="1">
        <v>240</v>
      </c>
    </row>
    <row r="1816" spans="1:9" ht="23.25">
      <c r="A1816" s="4" t="s">
        <v>66</v>
      </c>
      <c r="B1816" s="4"/>
      <c r="C1816" s="4" t="s">
        <v>35</v>
      </c>
      <c r="D1816" s="4"/>
      <c r="E1816" s="1">
        <v>52473965</v>
      </c>
      <c r="F1816" s="1">
        <v>0</v>
      </c>
      <c r="G1816" s="1">
        <v>0</v>
      </c>
      <c r="H1816" s="1">
        <v>0</v>
      </c>
      <c r="I1816" s="1">
        <v>30919898</v>
      </c>
    </row>
    <row r="1817" spans="1:9" ht="23.25">
      <c r="A1817" s="4" t="s">
        <v>67</v>
      </c>
      <c r="B1817" s="4"/>
      <c r="C1817" s="4" t="s">
        <v>35</v>
      </c>
      <c r="D1817" s="4"/>
      <c r="E1817" s="1">
        <v>5605242</v>
      </c>
      <c r="F1817" s="1">
        <v>0</v>
      </c>
      <c r="G1817" s="1">
        <v>0</v>
      </c>
      <c r="H1817" s="1">
        <v>0</v>
      </c>
      <c r="I1817" s="1">
        <v>0</v>
      </c>
    </row>
    <row r="1818" spans="1:9" ht="23.25">
      <c r="A1818" s="4" t="s">
        <v>68</v>
      </c>
      <c r="B1818" s="4"/>
      <c r="C1818" s="4" t="s">
        <v>35</v>
      </c>
      <c r="D1818" s="4"/>
      <c r="E1818" s="1">
        <v>7866354</v>
      </c>
      <c r="F1818" s="1">
        <v>0</v>
      </c>
      <c r="G1818" s="1">
        <v>0</v>
      </c>
      <c r="H1818" s="1">
        <v>0</v>
      </c>
      <c r="I1818" s="1">
        <v>0</v>
      </c>
    </row>
    <row r="1819" spans="1:9" ht="23.25">
      <c r="A1819" s="4" t="s">
        <v>69</v>
      </c>
      <c r="B1819" s="4"/>
      <c r="C1819" s="4" t="s">
        <v>35</v>
      </c>
      <c r="D1819" s="4"/>
      <c r="E1819" s="1">
        <v>2782923</v>
      </c>
      <c r="F1819" s="1">
        <v>0</v>
      </c>
      <c r="G1819" s="1">
        <v>0</v>
      </c>
      <c r="H1819" s="1">
        <v>0</v>
      </c>
      <c r="I1819" s="1">
        <v>0</v>
      </c>
    </row>
    <row r="1820" spans="1:9" ht="23.25">
      <c r="A1820" s="4" t="s">
        <v>70</v>
      </c>
      <c r="B1820" s="4"/>
      <c r="C1820" s="4" t="s">
        <v>35</v>
      </c>
      <c r="D1820" s="4"/>
      <c r="E1820" s="1">
        <v>1511548</v>
      </c>
      <c r="F1820" s="1">
        <v>0</v>
      </c>
      <c r="G1820" s="1">
        <v>0</v>
      </c>
      <c r="H1820" s="1">
        <v>0</v>
      </c>
      <c r="I1820" s="1">
        <v>0</v>
      </c>
    </row>
    <row r="1821" spans="1:9" ht="23.25">
      <c r="A1821" s="4" t="s">
        <v>71</v>
      </c>
      <c r="B1821" s="4"/>
      <c r="C1821" s="4" t="s">
        <v>35</v>
      </c>
      <c r="D1821" s="4"/>
      <c r="E1821" s="1">
        <v>17766067</v>
      </c>
      <c r="F1821" s="1">
        <v>0</v>
      </c>
      <c r="G1821" s="1">
        <v>0</v>
      </c>
      <c r="H1821" s="1">
        <v>0</v>
      </c>
      <c r="I1821" s="1">
        <v>0</v>
      </c>
    </row>
    <row r="1822" spans="1:9" ht="23.25">
      <c r="A1822" s="4" t="s">
        <v>72</v>
      </c>
      <c r="B1822" s="4"/>
      <c r="C1822" s="4" t="s">
        <v>35</v>
      </c>
      <c r="D1822" s="4"/>
      <c r="E1822" s="1">
        <v>70240032</v>
      </c>
      <c r="F1822" s="1">
        <v>0</v>
      </c>
      <c r="G1822" s="1">
        <v>0</v>
      </c>
      <c r="H1822" s="1">
        <v>0</v>
      </c>
      <c r="I1822" s="1">
        <v>0</v>
      </c>
    </row>
    <row r="1823" spans="1:9" ht="23.25">
      <c r="A1823" s="4" t="s">
        <v>8</v>
      </c>
      <c r="B1823" s="4"/>
      <c r="C1823" s="4" t="s">
        <v>36</v>
      </c>
      <c r="D1823" s="4"/>
      <c r="E1823" s="1">
        <v>0</v>
      </c>
      <c r="F1823" s="1">
        <v>0</v>
      </c>
      <c r="G1823" s="1">
        <v>0</v>
      </c>
      <c r="H1823" s="1">
        <v>0</v>
      </c>
      <c r="I1823" s="1">
        <v>0</v>
      </c>
    </row>
    <row r="1824" spans="1:9" ht="23.25">
      <c r="A1824" s="4" t="s">
        <v>9</v>
      </c>
      <c r="B1824" s="4"/>
      <c r="C1824" s="4" t="s">
        <v>36</v>
      </c>
      <c r="D1824" s="4"/>
      <c r="E1824" s="1">
        <v>0</v>
      </c>
      <c r="F1824" s="1">
        <v>0</v>
      </c>
      <c r="G1824" s="1">
        <v>0</v>
      </c>
      <c r="H1824" s="1">
        <v>0</v>
      </c>
      <c r="I1824" s="1">
        <v>0</v>
      </c>
    </row>
    <row r="1825" spans="1:9" ht="23.25">
      <c r="A1825" s="4" t="s">
        <v>10</v>
      </c>
      <c r="B1825" s="4"/>
      <c r="C1825" s="4" t="s">
        <v>36</v>
      </c>
      <c r="D1825" s="4"/>
      <c r="E1825" s="1">
        <v>0</v>
      </c>
      <c r="F1825" s="1">
        <v>0</v>
      </c>
      <c r="G1825" s="1">
        <v>0</v>
      </c>
      <c r="H1825" s="1">
        <v>0</v>
      </c>
      <c r="I1825" s="1">
        <v>0</v>
      </c>
    </row>
    <row r="1826" spans="1:9" ht="23.25">
      <c r="A1826" s="4" t="s">
        <v>11</v>
      </c>
      <c r="B1826" s="4"/>
      <c r="C1826" s="4" t="s">
        <v>36</v>
      </c>
      <c r="D1826" s="4"/>
      <c r="E1826" s="1">
        <v>0</v>
      </c>
      <c r="F1826" s="1">
        <v>0</v>
      </c>
      <c r="G1826" s="1">
        <v>0</v>
      </c>
      <c r="H1826" s="1">
        <v>0</v>
      </c>
      <c r="I1826" s="1">
        <v>0</v>
      </c>
    </row>
    <row r="1827" spans="1:9" ht="23.25">
      <c r="A1827" s="4" t="s">
        <v>12</v>
      </c>
      <c r="B1827" s="4"/>
      <c r="C1827" s="4" t="s">
        <v>36</v>
      </c>
      <c r="D1827" s="4"/>
      <c r="E1827" s="1">
        <v>1435019</v>
      </c>
      <c r="F1827" s="1">
        <v>69852</v>
      </c>
      <c r="G1827" s="1">
        <v>110171</v>
      </c>
      <c r="H1827" s="1">
        <v>11781</v>
      </c>
      <c r="I1827" s="1">
        <v>0</v>
      </c>
    </row>
    <row r="1828" spans="1:9" ht="23.25">
      <c r="A1828" s="4" t="s">
        <v>13</v>
      </c>
      <c r="B1828" s="4"/>
      <c r="C1828" s="4" t="s">
        <v>36</v>
      </c>
      <c r="D1828" s="4"/>
      <c r="E1828" s="1">
        <v>0</v>
      </c>
      <c r="F1828" s="1">
        <v>0</v>
      </c>
      <c r="G1828" s="1">
        <v>0</v>
      </c>
      <c r="H1828" s="1">
        <v>0</v>
      </c>
      <c r="I1828" s="1">
        <v>0</v>
      </c>
    </row>
    <row r="1829" spans="1:9" ht="23.25">
      <c r="A1829" s="4" t="s">
        <v>14</v>
      </c>
      <c r="B1829" s="4"/>
      <c r="C1829" s="4" t="s">
        <v>36</v>
      </c>
      <c r="D1829" s="4"/>
      <c r="E1829" s="1">
        <v>96766</v>
      </c>
      <c r="F1829" s="1">
        <v>5612</v>
      </c>
      <c r="G1829" s="1">
        <v>0</v>
      </c>
      <c r="H1829" s="1">
        <v>668</v>
      </c>
      <c r="I1829" s="1">
        <v>0</v>
      </c>
    </row>
    <row r="1830" spans="1:9" ht="23.25">
      <c r="A1830" s="4" t="s">
        <v>15</v>
      </c>
      <c r="B1830" s="4"/>
      <c r="C1830" s="4" t="s">
        <v>36</v>
      </c>
      <c r="D1830" s="4"/>
      <c r="E1830" s="1">
        <v>8090848</v>
      </c>
      <c r="F1830" s="1">
        <v>406237</v>
      </c>
      <c r="G1830" s="1">
        <v>225068</v>
      </c>
      <c r="H1830" s="1">
        <v>126309</v>
      </c>
      <c r="I1830" s="1">
        <v>2552477</v>
      </c>
    </row>
    <row r="1831" spans="1:9" ht="23.25">
      <c r="A1831" s="4" t="s">
        <v>16</v>
      </c>
      <c r="B1831" s="4"/>
      <c r="C1831" s="4" t="s">
        <v>36</v>
      </c>
      <c r="D1831" s="4"/>
      <c r="E1831" s="1">
        <v>829987</v>
      </c>
      <c r="F1831" s="1">
        <v>25654</v>
      </c>
      <c r="G1831" s="1">
        <v>0</v>
      </c>
      <c r="H1831" s="1">
        <v>691</v>
      </c>
      <c r="I1831" s="1">
        <v>128488</v>
      </c>
    </row>
    <row r="1832" spans="1:9" ht="23.25">
      <c r="A1832" s="4" t="s">
        <v>17</v>
      </c>
      <c r="B1832" s="4"/>
      <c r="C1832" s="4" t="s">
        <v>36</v>
      </c>
      <c r="D1832" s="4"/>
      <c r="E1832" s="1">
        <v>1275852</v>
      </c>
      <c r="F1832" s="1">
        <v>24526</v>
      </c>
      <c r="G1832" s="1">
        <v>54765</v>
      </c>
      <c r="H1832" s="1">
        <v>23405</v>
      </c>
      <c r="I1832" s="1">
        <v>790665</v>
      </c>
    </row>
    <row r="1833" spans="1:9" ht="23.25">
      <c r="A1833" s="4" t="s">
        <v>18</v>
      </c>
      <c r="B1833" s="4"/>
      <c r="C1833" s="4" t="s">
        <v>36</v>
      </c>
      <c r="D1833" s="4"/>
      <c r="E1833" s="1">
        <v>4175208</v>
      </c>
      <c r="F1833" s="1">
        <v>185448</v>
      </c>
      <c r="G1833" s="1">
        <v>28737</v>
      </c>
      <c r="H1833" s="1">
        <v>64208</v>
      </c>
      <c r="I1833" s="1">
        <v>16054</v>
      </c>
    </row>
    <row r="1834" spans="1:9" ht="23.25">
      <c r="A1834" s="4" t="s">
        <v>19</v>
      </c>
      <c r="B1834" s="4"/>
      <c r="C1834" s="4" t="s">
        <v>36</v>
      </c>
      <c r="D1834" s="4"/>
      <c r="E1834" s="1">
        <v>7013921</v>
      </c>
      <c r="F1834" s="1">
        <v>0</v>
      </c>
      <c r="G1834" s="1">
        <v>0</v>
      </c>
      <c r="H1834" s="1">
        <v>0</v>
      </c>
      <c r="I1834" s="1">
        <v>5851099</v>
      </c>
    </row>
    <row r="1835" spans="1:9" ht="23.25">
      <c r="A1835" s="4" t="s">
        <v>20</v>
      </c>
      <c r="B1835" s="4"/>
      <c r="C1835" s="4" t="s">
        <v>36</v>
      </c>
      <c r="D1835" s="4"/>
      <c r="E1835" s="1">
        <v>26393</v>
      </c>
      <c r="F1835" s="1">
        <v>2201</v>
      </c>
      <c r="G1835" s="1">
        <v>0</v>
      </c>
      <c r="H1835" s="1">
        <v>628</v>
      </c>
      <c r="I1835" s="1">
        <v>0</v>
      </c>
    </row>
    <row r="1836" spans="1:9" ht="23.25">
      <c r="A1836" s="4" t="s">
        <v>21</v>
      </c>
      <c r="B1836" s="4"/>
      <c r="C1836" s="4" t="s">
        <v>36</v>
      </c>
      <c r="D1836" s="4"/>
      <c r="E1836" s="1">
        <v>1837541</v>
      </c>
      <c r="F1836" s="1">
        <v>102821</v>
      </c>
      <c r="G1836" s="1">
        <v>3651</v>
      </c>
      <c r="H1836" s="1">
        <v>127060</v>
      </c>
      <c r="I1836" s="1">
        <v>328341</v>
      </c>
    </row>
    <row r="1837" spans="1:9" ht="23.25">
      <c r="A1837" s="4" t="s">
        <v>22</v>
      </c>
      <c r="B1837" s="4"/>
      <c r="C1837" s="4" t="s">
        <v>36</v>
      </c>
      <c r="D1837" s="4"/>
      <c r="E1837" s="1">
        <v>13924</v>
      </c>
      <c r="F1837" s="1">
        <v>219</v>
      </c>
      <c r="G1837" s="1">
        <v>354</v>
      </c>
      <c r="H1837" s="1">
        <v>41</v>
      </c>
      <c r="I1837" s="1">
        <v>0</v>
      </c>
    </row>
    <row r="1838" spans="1:9" ht="23.25">
      <c r="A1838" s="4" t="s">
        <v>23</v>
      </c>
      <c r="B1838" s="4"/>
      <c r="C1838" s="4" t="s">
        <v>36</v>
      </c>
      <c r="D1838" s="4"/>
      <c r="E1838" s="1">
        <v>13448358</v>
      </c>
      <c r="F1838" s="1">
        <v>626875</v>
      </c>
      <c r="G1838" s="1">
        <v>458473</v>
      </c>
      <c r="H1838" s="1">
        <v>136426</v>
      </c>
      <c r="I1838" s="1">
        <v>6773110</v>
      </c>
    </row>
    <row r="1839" spans="1:9" ht="23.25">
      <c r="A1839" s="4" t="s">
        <v>24</v>
      </c>
      <c r="B1839" s="4"/>
      <c r="C1839" s="4" t="s">
        <v>36</v>
      </c>
      <c r="D1839" s="4"/>
      <c r="E1839" s="1">
        <v>2942943</v>
      </c>
      <c r="F1839" s="1">
        <v>78278</v>
      </c>
      <c r="G1839" s="1">
        <v>139558</v>
      </c>
      <c r="H1839" s="1">
        <v>25776</v>
      </c>
      <c r="I1839" s="1">
        <v>614472</v>
      </c>
    </row>
    <row r="1840" spans="1:9" ht="23.25">
      <c r="A1840" s="4" t="s">
        <v>25</v>
      </c>
      <c r="B1840" s="4"/>
      <c r="C1840" s="4" t="s">
        <v>36</v>
      </c>
      <c r="D1840" s="4"/>
      <c r="E1840" s="1">
        <v>1569571</v>
      </c>
      <c r="F1840" s="1">
        <v>39969</v>
      </c>
      <c r="G1840" s="1">
        <v>70110</v>
      </c>
      <c r="H1840" s="1">
        <v>20301</v>
      </c>
      <c r="I1840" s="1">
        <v>0</v>
      </c>
    </row>
    <row r="1841" spans="1:9" ht="23.25">
      <c r="A1841" s="4" t="s">
        <v>26</v>
      </c>
      <c r="B1841" s="4"/>
      <c r="C1841" s="4" t="s">
        <v>36</v>
      </c>
      <c r="D1841" s="4"/>
      <c r="E1841" s="1">
        <v>4348524</v>
      </c>
      <c r="F1841" s="1">
        <v>673891</v>
      </c>
      <c r="G1841" s="1">
        <v>188390</v>
      </c>
      <c r="H1841" s="1">
        <v>64520</v>
      </c>
      <c r="I1841" s="1">
        <v>2387747</v>
      </c>
    </row>
    <row r="1842" spans="1:9" ht="23.25">
      <c r="A1842" s="4" t="s">
        <v>27</v>
      </c>
      <c r="B1842" s="4"/>
      <c r="C1842" s="4" t="s">
        <v>36</v>
      </c>
      <c r="D1842" s="4"/>
      <c r="E1842" s="1">
        <v>0</v>
      </c>
      <c r="F1842" s="1">
        <v>0</v>
      </c>
      <c r="G1842" s="1">
        <v>0</v>
      </c>
      <c r="H1842" s="1">
        <v>0</v>
      </c>
      <c r="I1842" s="1">
        <v>0</v>
      </c>
    </row>
    <row r="1843" spans="1:9" ht="23.25">
      <c r="A1843" s="4" t="s">
        <v>28</v>
      </c>
      <c r="B1843" s="4"/>
      <c r="C1843" s="4" t="s">
        <v>36</v>
      </c>
      <c r="D1843" s="4"/>
      <c r="E1843" s="1">
        <v>73969</v>
      </c>
      <c r="F1843" s="1">
        <v>4085</v>
      </c>
      <c r="G1843" s="1">
        <v>5133</v>
      </c>
      <c r="H1843" s="1">
        <v>803</v>
      </c>
      <c r="I1843" s="1">
        <v>0</v>
      </c>
    </row>
    <row r="1844" spans="1:9" ht="23.25">
      <c r="A1844" s="4" t="s">
        <v>29</v>
      </c>
      <c r="B1844" s="4"/>
      <c r="C1844" s="4" t="s">
        <v>36</v>
      </c>
      <c r="D1844" s="4"/>
      <c r="E1844" s="1">
        <v>0</v>
      </c>
      <c r="F1844" s="1">
        <v>0</v>
      </c>
      <c r="G1844" s="1">
        <v>0</v>
      </c>
      <c r="H1844" s="1">
        <v>0</v>
      </c>
      <c r="I1844" s="1">
        <v>0</v>
      </c>
    </row>
    <row r="1845" spans="1:9" ht="23.25">
      <c r="A1845" s="4" t="s">
        <v>30</v>
      </c>
      <c r="B1845" s="4"/>
      <c r="C1845" s="4" t="s">
        <v>36</v>
      </c>
      <c r="D1845" s="4"/>
      <c r="E1845" s="1">
        <v>306008</v>
      </c>
      <c r="F1845" s="1">
        <v>581</v>
      </c>
      <c r="G1845" s="1">
        <v>1449</v>
      </c>
      <c r="H1845" s="1">
        <v>3431</v>
      </c>
      <c r="I1845" s="1">
        <v>0</v>
      </c>
    </row>
    <row r="1846" spans="1:9" ht="23.25">
      <c r="A1846" s="4" t="s">
        <v>31</v>
      </c>
      <c r="B1846" s="4"/>
      <c r="C1846" s="4" t="s">
        <v>36</v>
      </c>
      <c r="D1846" s="4"/>
      <c r="E1846" s="1">
        <v>379301</v>
      </c>
      <c r="F1846" s="1">
        <v>22846</v>
      </c>
      <c r="G1846" s="1">
        <v>41809</v>
      </c>
      <c r="H1846" s="1">
        <v>2402</v>
      </c>
      <c r="I1846" s="1">
        <v>72565</v>
      </c>
    </row>
    <row r="1847" spans="1:9" ht="23.25">
      <c r="A1847" s="4" t="s">
        <v>32</v>
      </c>
      <c r="B1847" s="4"/>
      <c r="C1847" s="4" t="s">
        <v>36</v>
      </c>
      <c r="D1847" s="4"/>
      <c r="E1847" s="1">
        <v>5693653</v>
      </c>
      <c r="F1847" s="1">
        <v>525708</v>
      </c>
      <c r="G1847" s="1">
        <v>475977</v>
      </c>
      <c r="H1847" s="1">
        <v>84619</v>
      </c>
      <c r="I1847" s="1">
        <v>0</v>
      </c>
    </row>
    <row r="1848" spans="1:9" ht="23.25">
      <c r="A1848" s="4" t="s">
        <v>33</v>
      </c>
      <c r="B1848" s="4"/>
      <c r="C1848" s="4" t="s">
        <v>36</v>
      </c>
      <c r="D1848" s="4"/>
      <c r="E1848" s="1">
        <v>53263</v>
      </c>
      <c r="F1848" s="1">
        <v>3147</v>
      </c>
      <c r="G1848" s="1">
        <v>6482</v>
      </c>
      <c r="H1848" s="1">
        <v>522</v>
      </c>
      <c r="I1848" s="1">
        <v>0</v>
      </c>
    </row>
    <row r="1849" spans="1:9" ht="23.25">
      <c r="A1849" s="4" t="s">
        <v>34</v>
      </c>
      <c r="B1849" s="4"/>
      <c r="C1849" s="4" t="s">
        <v>36</v>
      </c>
      <c r="D1849" s="4"/>
      <c r="E1849" s="1">
        <v>110084945</v>
      </c>
      <c r="F1849" s="1">
        <v>7865966</v>
      </c>
      <c r="G1849" s="1">
        <v>3972711</v>
      </c>
      <c r="H1849" s="1">
        <v>2043133</v>
      </c>
      <c r="I1849" s="1">
        <v>77623005</v>
      </c>
    </row>
    <row r="1850" spans="1:9" ht="23.25">
      <c r="A1850" s="4" t="s">
        <v>35</v>
      </c>
      <c r="B1850" s="4"/>
      <c r="C1850" s="4" t="s">
        <v>36</v>
      </c>
      <c r="D1850" s="4"/>
      <c r="E1850" s="1">
        <v>0</v>
      </c>
      <c r="F1850" s="1">
        <v>0</v>
      </c>
      <c r="G1850" s="1">
        <v>0</v>
      </c>
      <c r="H1850" s="1">
        <v>0</v>
      </c>
      <c r="I1850" s="1">
        <v>0</v>
      </c>
    </row>
    <row r="1851" spans="1:9" ht="23.25">
      <c r="A1851" s="4" t="s">
        <v>36</v>
      </c>
      <c r="B1851" s="4"/>
      <c r="C1851" s="4" t="s">
        <v>36</v>
      </c>
      <c r="D1851" s="4"/>
      <c r="E1851" s="1">
        <v>77367380</v>
      </c>
      <c r="F1851" s="1">
        <v>6939107</v>
      </c>
      <c r="G1851" s="1">
        <v>9173342</v>
      </c>
      <c r="H1851" s="1">
        <v>751745</v>
      </c>
      <c r="I1851" s="1">
        <v>30425616</v>
      </c>
    </row>
    <row r="1852" spans="1:9" ht="23.25">
      <c r="A1852" s="4" t="s">
        <v>37</v>
      </c>
      <c r="B1852" s="4"/>
      <c r="C1852" s="4" t="s">
        <v>36</v>
      </c>
      <c r="D1852" s="4"/>
      <c r="E1852" s="1">
        <v>5361296</v>
      </c>
      <c r="F1852" s="1">
        <v>192318</v>
      </c>
      <c r="G1852" s="1">
        <v>245914</v>
      </c>
      <c r="H1852" s="1">
        <v>44469</v>
      </c>
      <c r="I1852" s="1">
        <v>1209417</v>
      </c>
    </row>
    <row r="1853" spans="1:9" ht="23.25">
      <c r="A1853" s="4" t="s">
        <v>38</v>
      </c>
      <c r="B1853" s="4"/>
      <c r="C1853" s="4" t="s">
        <v>36</v>
      </c>
      <c r="D1853" s="4"/>
      <c r="E1853" s="1">
        <v>79815</v>
      </c>
      <c r="F1853" s="1">
        <v>7840</v>
      </c>
      <c r="G1853" s="1">
        <v>14908</v>
      </c>
      <c r="H1853" s="1">
        <v>2138</v>
      </c>
      <c r="I1853" s="1">
        <v>0</v>
      </c>
    </row>
    <row r="1854" spans="1:9" ht="23.25">
      <c r="A1854" s="4" t="s">
        <v>39</v>
      </c>
      <c r="B1854" s="4"/>
      <c r="C1854" s="4" t="s">
        <v>36</v>
      </c>
      <c r="D1854" s="4"/>
      <c r="E1854" s="1">
        <v>17898907</v>
      </c>
      <c r="F1854" s="1">
        <v>611933</v>
      </c>
      <c r="G1854" s="1">
        <v>702308</v>
      </c>
      <c r="H1854" s="1">
        <v>138008</v>
      </c>
      <c r="I1854" s="1">
        <v>8568004</v>
      </c>
    </row>
    <row r="1855" spans="1:9" ht="23.25">
      <c r="A1855" s="4" t="s">
        <v>40</v>
      </c>
      <c r="B1855" s="4"/>
      <c r="C1855" s="4" t="s">
        <v>36</v>
      </c>
      <c r="D1855" s="4"/>
      <c r="E1855" s="1">
        <v>0</v>
      </c>
      <c r="F1855" s="1">
        <v>0</v>
      </c>
      <c r="G1855" s="1">
        <v>0</v>
      </c>
      <c r="H1855" s="1">
        <v>0</v>
      </c>
      <c r="I1855" s="1">
        <v>0</v>
      </c>
    </row>
    <row r="1856" spans="1:9" ht="23.25">
      <c r="A1856" s="4" t="s">
        <v>41</v>
      </c>
      <c r="B1856" s="4"/>
      <c r="C1856" s="4" t="s">
        <v>36</v>
      </c>
      <c r="D1856" s="4"/>
      <c r="E1856" s="1">
        <v>5123916</v>
      </c>
      <c r="F1856" s="1">
        <v>370351</v>
      </c>
      <c r="G1856" s="1">
        <v>326442</v>
      </c>
      <c r="H1856" s="1">
        <v>63061</v>
      </c>
      <c r="I1856" s="1">
        <v>2011382</v>
      </c>
    </row>
    <row r="1857" spans="1:9" ht="23.25">
      <c r="A1857" s="4" t="s">
        <v>42</v>
      </c>
      <c r="B1857" s="4"/>
      <c r="C1857" s="4" t="s">
        <v>36</v>
      </c>
      <c r="D1857" s="4"/>
      <c r="E1857" s="1">
        <v>6522</v>
      </c>
      <c r="F1857" s="1">
        <v>285</v>
      </c>
      <c r="G1857" s="1">
        <v>290</v>
      </c>
      <c r="H1857" s="1">
        <v>71</v>
      </c>
      <c r="I1857" s="1">
        <v>1662</v>
      </c>
    </row>
    <row r="1858" spans="1:9" ht="23.25">
      <c r="A1858" s="4" t="s">
        <v>43</v>
      </c>
      <c r="B1858" s="4"/>
      <c r="C1858" s="4" t="s">
        <v>36</v>
      </c>
      <c r="D1858" s="4"/>
      <c r="E1858" s="1">
        <v>36266</v>
      </c>
      <c r="F1858" s="1">
        <v>1738</v>
      </c>
      <c r="G1858" s="1">
        <v>815</v>
      </c>
      <c r="H1858" s="1">
        <v>57</v>
      </c>
      <c r="I1858" s="1">
        <v>6881</v>
      </c>
    </row>
    <row r="1859" spans="1:9" ht="23.25">
      <c r="A1859" s="4" t="s">
        <v>44</v>
      </c>
      <c r="B1859" s="4"/>
      <c r="C1859" s="4" t="s">
        <v>36</v>
      </c>
      <c r="D1859" s="4"/>
      <c r="E1859" s="1">
        <v>3800239</v>
      </c>
      <c r="F1859" s="1">
        <v>42503</v>
      </c>
      <c r="G1859" s="1">
        <v>81366</v>
      </c>
      <c r="H1859" s="1">
        <v>7440</v>
      </c>
      <c r="I1859" s="1">
        <v>3094259</v>
      </c>
    </row>
    <row r="1860" spans="1:9" ht="23.25">
      <c r="A1860" s="4" t="s">
        <v>45</v>
      </c>
      <c r="B1860" s="4"/>
      <c r="C1860" s="4" t="s">
        <v>36</v>
      </c>
      <c r="D1860" s="4"/>
      <c r="E1860" s="1">
        <v>2213570</v>
      </c>
      <c r="F1860" s="1">
        <v>137917</v>
      </c>
      <c r="G1860" s="1">
        <v>0</v>
      </c>
      <c r="H1860" s="1">
        <v>25650</v>
      </c>
      <c r="I1860" s="1">
        <v>679855</v>
      </c>
    </row>
    <row r="1861" spans="1:9" ht="23.25">
      <c r="A1861" s="4" t="s">
        <v>46</v>
      </c>
      <c r="B1861" s="4"/>
      <c r="C1861" s="4" t="s">
        <v>36</v>
      </c>
      <c r="D1861" s="4"/>
      <c r="E1861" s="1">
        <v>281256</v>
      </c>
      <c r="F1861" s="1">
        <v>14372</v>
      </c>
      <c r="G1861" s="1">
        <v>3615</v>
      </c>
      <c r="H1861" s="1">
        <v>2532</v>
      </c>
      <c r="I1861" s="1">
        <v>0</v>
      </c>
    </row>
    <row r="1862" spans="1:9" ht="23.25">
      <c r="A1862" s="4" t="s">
        <v>47</v>
      </c>
      <c r="B1862" s="4"/>
      <c r="C1862" s="4" t="s">
        <v>36</v>
      </c>
      <c r="D1862" s="4"/>
      <c r="E1862" s="1">
        <v>666398</v>
      </c>
      <c r="F1862" s="1">
        <v>0</v>
      </c>
      <c r="G1862" s="1">
        <v>0</v>
      </c>
      <c r="H1862" s="1">
        <v>0</v>
      </c>
      <c r="I1862" s="1">
        <v>0</v>
      </c>
    </row>
    <row r="1863" spans="1:9" ht="23.25">
      <c r="A1863" s="4" t="s">
        <v>48</v>
      </c>
      <c r="B1863" s="4"/>
      <c r="C1863" s="4" t="s">
        <v>36</v>
      </c>
      <c r="D1863" s="4"/>
      <c r="E1863" s="1">
        <v>0</v>
      </c>
      <c r="F1863" s="1">
        <v>0</v>
      </c>
      <c r="G1863" s="1">
        <v>0</v>
      </c>
      <c r="H1863" s="1">
        <v>0</v>
      </c>
      <c r="I1863" s="1">
        <v>0</v>
      </c>
    </row>
    <row r="1864" spans="1:9" ht="23.25">
      <c r="A1864" s="4" t="s">
        <v>49</v>
      </c>
      <c r="B1864" s="4"/>
      <c r="C1864" s="4" t="s">
        <v>36</v>
      </c>
      <c r="D1864" s="4"/>
      <c r="E1864" s="1">
        <v>0</v>
      </c>
      <c r="F1864" s="1">
        <v>0</v>
      </c>
      <c r="G1864" s="1">
        <v>0</v>
      </c>
      <c r="H1864" s="1">
        <v>0</v>
      </c>
      <c r="I1864" s="1">
        <v>0</v>
      </c>
    </row>
    <row r="1865" spans="1:9" ht="23.25">
      <c r="A1865" s="4" t="s">
        <v>50</v>
      </c>
      <c r="B1865" s="4"/>
      <c r="C1865" s="4" t="s">
        <v>36</v>
      </c>
      <c r="D1865" s="4"/>
      <c r="E1865" s="1">
        <v>384046</v>
      </c>
      <c r="F1865" s="1">
        <v>36862</v>
      </c>
      <c r="G1865" s="1">
        <v>50210</v>
      </c>
      <c r="H1865" s="1">
        <v>3237</v>
      </c>
      <c r="I1865" s="1">
        <v>76</v>
      </c>
    </row>
    <row r="1866" spans="1:9" ht="23.25">
      <c r="A1866" s="4" t="s">
        <v>51</v>
      </c>
      <c r="B1866" s="4"/>
      <c r="C1866" s="4" t="s">
        <v>36</v>
      </c>
      <c r="D1866" s="4"/>
      <c r="E1866" s="1">
        <v>945936</v>
      </c>
      <c r="F1866" s="1">
        <v>67736</v>
      </c>
      <c r="G1866" s="1">
        <v>67092</v>
      </c>
      <c r="H1866" s="1">
        <v>7761</v>
      </c>
      <c r="I1866" s="1">
        <v>146005</v>
      </c>
    </row>
    <row r="1867" spans="1:9" ht="23.25">
      <c r="A1867" s="4" t="s">
        <v>52</v>
      </c>
      <c r="B1867" s="4"/>
      <c r="C1867" s="4" t="s">
        <v>36</v>
      </c>
      <c r="D1867" s="4"/>
      <c r="E1867" s="1">
        <v>10377361</v>
      </c>
      <c r="F1867" s="1">
        <v>20266</v>
      </c>
      <c r="G1867" s="1">
        <v>30665</v>
      </c>
      <c r="H1867" s="1">
        <v>4308</v>
      </c>
      <c r="I1867" s="1">
        <v>0</v>
      </c>
    </row>
    <row r="1868" spans="1:9" ht="23.25">
      <c r="A1868" s="4" t="s">
        <v>53</v>
      </c>
      <c r="B1868" s="4"/>
      <c r="C1868" s="4" t="s">
        <v>36</v>
      </c>
      <c r="D1868" s="4"/>
      <c r="E1868" s="1">
        <v>247997</v>
      </c>
      <c r="F1868" s="1">
        <v>0</v>
      </c>
      <c r="G1868" s="1">
        <v>0</v>
      </c>
      <c r="H1868" s="1">
        <v>0</v>
      </c>
      <c r="I1868" s="1">
        <v>0</v>
      </c>
    </row>
    <row r="1869" spans="1:9" ht="23.25">
      <c r="A1869" s="4" t="s">
        <v>54</v>
      </c>
      <c r="B1869" s="4"/>
      <c r="C1869" s="4" t="s">
        <v>36</v>
      </c>
      <c r="D1869" s="4"/>
      <c r="E1869" s="1">
        <v>378171</v>
      </c>
      <c r="F1869" s="1">
        <v>0</v>
      </c>
      <c r="G1869" s="1">
        <v>0</v>
      </c>
      <c r="H1869" s="1">
        <v>0</v>
      </c>
      <c r="I1869" s="1">
        <v>0</v>
      </c>
    </row>
    <row r="1870" spans="1:9" ht="23.25">
      <c r="A1870" s="4" t="s">
        <v>55</v>
      </c>
      <c r="B1870" s="4"/>
      <c r="C1870" s="4" t="s">
        <v>36</v>
      </c>
      <c r="D1870" s="4"/>
      <c r="E1870" s="1">
        <v>0</v>
      </c>
      <c r="F1870" s="1">
        <v>0</v>
      </c>
      <c r="G1870" s="1">
        <v>0</v>
      </c>
      <c r="H1870" s="1">
        <v>0</v>
      </c>
      <c r="I1870" s="1">
        <v>0</v>
      </c>
    </row>
    <row r="1871" spans="1:9" ht="23.25">
      <c r="A1871" s="4" t="s">
        <v>56</v>
      </c>
      <c r="B1871" s="4"/>
      <c r="C1871" s="4" t="s">
        <v>36</v>
      </c>
      <c r="D1871" s="4"/>
      <c r="E1871" s="1">
        <v>0</v>
      </c>
      <c r="F1871" s="1">
        <v>-19107144</v>
      </c>
      <c r="G1871" s="1">
        <v>-16479805</v>
      </c>
      <c r="H1871" s="1">
        <v>0</v>
      </c>
      <c r="I1871" s="1">
        <v>0</v>
      </c>
    </row>
    <row r="1872" spans="1:9" ht="23.25">
      <c r="A1872" s="4" t="s">
        <v>57</v>
      </c>
      <c r="B1872" s="4"/>
      <c r="C1872" s="4" t="s">
        <v>36</v>
      </c>
      <c r="D1872" s="4"/>
      <c r="E1872" s="1">
        <v>421317</v>
      </c>
      <c r="F1872" s="1">
        <v>0</v>
      </c>
      <c r="G1872" s="1">
        <v>0</v>
      </c>
      <c r="H1872" s="1">
        <v>0</v>
      </c>
      <c r="I1872" s="1">
        <v>0</v>
      </c>
    </row>
    <row r="1873" spans="1:9" ht="23.25">
      <c r="A1873" s="4" t="s">
        <v>58</v>
      </c>
      <c r="B1873" s="4"/>
      <c r="C1873" s="4" t="s">
        <v>36</v>
      </c>
      <c r="D1873" s="4"/>
      <c r="E1873" s="1">
        <v>2050405</v>
      </c>
      <c r="F1873" s="1">
        <v>0</v>
      </c>
      <c r="G1873" s="1">
        <v>0</v>
      </c>
      <c r="H1873" s="1">
        <v>-3787201</v>
      </c>
      <c r="I1873" s="1">
        <v>0</v>
      </c>
    </row>
    <row r="1874" spans="1:9" ht="23.25">
      <c r="A1874" s="4" t="s">
        <v>59</v>
      </c>
      <c r="B1874" s="4"/>
      <c r="C1874" s="4" t="s">
        <v>36</v>
      </c>
      <c r="D1874" s="4"/>
      <c r="E1874" s="1">
        <v>415311</v>
      </c>
      <c r="F1874" s="1">
        <v>0</v>
      </c>
      <c r="G1874" s="1">
        <v>0</v>
      </c>
      <c r="H1874" s="1">
        <v>0</v>
      </c>
      <c r="I1874" s="1">
        <v>0</v>
      </c>
    </row>
    <row r="1875" spans="1:9" ht="23.25">
      <c r="A1875" s="4" t="s">
        <v>60</v>
      </c>
      <c r="B1875" s="4"/>
      <c r="C1875" s="4" t="s">
        <v>36</v>
      </c>
      <c r="D1875" s="4"/>
      <c r="E1875" s="1">
        <v>6249012</v>
      </c>
      <c r="F1875" s="1">
        <v>0</v>
      </c>
      <c r="G1875" s="1">
        <v>0</v>
      </c>
      <c r="H1875" s="1">
        <v>0</v>
      </c>
      <c r="I1875" s="1">
        <v>0</v>
      </c>
    </row>
    <row r="1876" spans="1:9" ht="23.25">
      <c r="A1876" s="4" t="s">
        <v>61</v>
      </c>
      <c r="B1876" s="4"/>
      <c r="C1876" s="4" t="s">
        <v>36</v>
      </c>
      <c r="D1876" s="4"/>
      <c r="E1876" s="1">
        <v>557323</v>
      </c>
      <c r="F1876" s="1">
        <v>0</v>
      </c>
      <c r="G1876" s="1">
        <v>0</v>
      </c>
      <c r="H1876" s="1">
        <v>0</v>
      </c>
      <c r="I1876" s="1">
        <v>0</v>
      </c>
    </row>
    <row r="1877" spans="1:9" ht="23.25">
      <c r="A1877" s="4" t="s">
        <v>62</v>
      </c>
      <c r="B1877" s="4"/>
      <c r="C1877" s="4" t="s">
        <v>36</v>
      </c>
      <c r="D1877" s="4"/>
      <c r="E1877" s="1">
        <v>14675340</v>
      </c>
      <c r="F1877" s="1">
        <v>0</v>
      </c>
      <c r="G1877" s="1">
        <v>0</v>
      </c>
      <c r="H1877" s="1">
        <v>0</v>
      </c>
      <c r="I1877" s="1">
        <v>0</v>
      </c>
    </row>
    <row r="1878" spans="1:9" ht="23.25">
      <c r="A1878" s="4" t="s">
        <v>63</v>
      </c>
      <c r="B1878" s="4"/>
      <c r="C1878" s="4" t="s">
        <v>36</v>
      </c>
      <c r="D1878" s="4"/>
      <c r="E1878" s="1">
        <v>1827969</v>
      </c>
      <c r="F1878" s="1">
        <v>0</v>
      </c>
      <c r="G1878" s="1">
        <v>0</v>
      </c>
      <c r="H1878" s="1">
        <v>0</v>
      </c>
      <c r="I1878" s="1">
        <v>0</v>
      </c>
    </row>
    <row r="1879" spans="1:9" ht="23.25">
      <c r="A1879" s="4" t="s">
        <v>64</v>
      </c>
      <c r="B1879" s="4"/>
      <c r="C1879" s="4" t="s">
        <v>36</v>
      </c>
      <c r="D1879" s="4"/>
      <c r="E1879" s="1">
        <v>1552984</v>
      </c>
      <c r="F1879" s="1">
        <v>0</v>
      </c>
      <c r="G1879" s="1">
        <v>0</v>
      </c>
      <c r="H1879" s="1">
        <v>0</v>
      </c>
      <c r="I1879" s="1">
        <v>0</v>
      </c>
    </row>
    <row r="1880" spans="1:9" ht="23.25">
      <c r="A1880" s="4" t="s">
        <v>65</v>
      </c>
      <c r="B1880" s="4"/>
      <c r="C1880" s="4" t="s">
        <v>36</v>
      </c>
      <c r="D1880" s="4"/>
      <c r="E1880" s="1">
        <v>1501765</v>
      </c>
      <c r="F1880" s="1">
        <v>0</v>
      </c>
      <c r="G1880" s="1">
        <v>0</v>
      </c>
      <c r="H1880" s="1">
        <v>0</v>
      </c>
      <c r="I1880" s="1">
        <v>157803</v>
      </c>
    </row>
    <row r="1881" spans="1:9" ht="23.25">
      <c r="A1881" s="4" t="s">
        <v>66</v>
      </c>
      <c r="B1881" s="4"/>
      <c r="C1881" s="4" t="s">
        <v>36</v>
      </c>
      <c r="D1881" s="4"/>
      <c r="E1881" s="1">
        <v>318116496</v>
      </c>
      <c r="F1881" s="1">
        <v>0</v>
      </c>
      <c r="G1881" s="1">
        <v>0</v>
      </c>
      <c r="H1881" s="1">
        <v>0</v>
      </c>
      <c r="I1881" s="1">
        <v>143438983</v>
      </c>
    </row>
    <row r="1882" spans="1:9" ht="23.25">
      <c r="A1882" s="4" t="s">
        <v>67</v>
      </c>
      <c r="B1882" s="4"/>
      <c r="C1882" s="4" t="s">
        <v>36</v>
      </c>
      <c r="D1882" s="4"/>
      <c r="E1882" s="1">
        <v>46699106</v>
      </c>
      <c r="F1882" s="1">
        <v>0</v>
      </c>
      <c r="G1882" s="1">
        <v>0</v>
      </c>
      <c r="H1882" s="1">
        <v>0</v>
      </c>
      <c r="I1882" s="1">
        <v>0</v>
      </c>
    </row>
    <row r="1883" spans="1:9" ht="23.25">
      <c r="A1883" s="4" t="s">
        <v>68</v>
      </c>
      <c r="B1883" s="4"/>
      <c r="C1883" s="4" t="s">
        <v>36</v>
      </c>
      <c r="D1883" s="4"/>
      <c r="E1883" s="1">
        <v>66058854</v>
      </c>
      <c r="F1883" s="1">
        <v>0</v>
      </c>
      <c r="G1883" s="1">
        <v>0</v>
      </c>
      <c r="H1883" s="1">
        <v>0</v>
      </c>
      <c r="I1883" s="1">
        <v>0</v>
      </c>
    </row>
    <row r="1884" spans="1:9" ht="23.25">
      <c r="A1884" s="4" t="s">
        <v>69</v>
      </c>
      <c r="B1884" s="4"/>
      <c r="C1884" s="4" t="s">
        <v>36</v>
      </c>
      <c r="D1884" s="4"/>
      <c r="E1884" s="1">
        <v>28547955</v>
      </c>
      <c r="F1884" s="1">
        <v>0</v>
      </c>
      <c r="G1884" s="1">
        <v>0</v>
      </c>
      <c r="H1884" s="1">
        <v>0</v>
      </c>
      <c r="I1884" s="1">
        <v>0</v>
      </c>
    </row>
    <row r="1885" spans="1:9" ht="23.25">
      <c r="A1885" s="4" t="s">
        <v>70</v>
      </c>
      <c r="B1885" s="4"/>
      <c r="C1885" s="4" t="s">
        <v>36</v>
      </c>
      <c r="D1885" s="4"/>
      <c r="E1885" s="1">
        <v>13334411</v>
      </c>
      <c r="F1885" s="1">
        <v>0</v>
      </c>
      <c r="G1885" s="1">
        <v>0</v>
      </c>
      <c r="H1885" s="1">
        <v>0</v>
      </c>
      <c r="I1885" s="1">
        <v>0</v>
      </c>
    </row>
    <row r="1886" spans="1:9" ht="23.25">
      <c r="A1886" s="4" t="s">
        <v>71</v>
      </c>
      <c r="B1886" s="4"/>
      <c r="C1886" s="4" t="s">
        <v>36</v>
      </c>
      <c r="D1886" s="4"/>
      <c r="E1886" s="1">
        <v>154640326</v>
      </c>
      <c r="F1886" s="1">
        <v>0</v>
      </c>
      <c r="G1886" s="1">
        <v>0</v>
      </c>
      <c r="H1886" s="1">
        <v>0</v>
      </c>
      <c r="I1886" s="1">
        <v>0</v>
      </c>
    </row>
    <row r="1887" spans="1:9" ht="23.25">
      <c r="A1887" s="4" t="s">
        <v>72</v>
      </c>
      <c r="B1887" s="4"/>
      <c r="C1887" s="4" t="s">
        <v>36</v>
      </c>
      <c r="D1887" s="4"/>
      <c r="E1887" s="1">
        <v>472756822</v>
      </c>
      <c r="F1887" s="1">
        <v>0</v>
      </c>
      <c r="G1887" s="1">
        <v>0</v>
      </c>
      <c r="H1887" s="1">
        <v>0</v>
      </c>
      <c r="I1887" s="1">
        <v>0</v>
      </c>
    </row>
    <row r="1888" spans="1:9" ht="23.25">
      <c r="A1888" s="4" t="s">
        <v>8</v>
      </c>
      <c r="B1888" s="4"/>
      <c r="C1888" s="4" t="s">
        <v>37</v>
      </c>
      <c r="D1888" s="4"/>
      <c r="E1888" s="1">
        <v>0</v>
      </c>
      <c r="F1888" s="1">
        <v>0</v>
      </c>
      <c r="G1888" s="1">
        <v>0</v>
      </c>
      <c r="H1888" s="1">
        <v>0</v>
      </c>
      <c r="I1888" s="1">
        <v>0</v>
      </c>
    </row>
    <row r="1889" spans="1:9" ht="23.25">
      <c r="A1889" s="4" t="s">
        <v>9</v>
      </c>
      <c r="B1889" s="4"/>
      <c r="C1889" s="4" t="s">
        <v>37</v>
      </c>
      <c r="D1889" s="4"/>
      <c r="E1889" s="1">
        <v>0</v>
      </c>
      <c r="F1889" s="1">
        <v>0</v>
      </c>
      <c r="G1889" s="1">
        <v>0</v>
      </c>
      <c r="H1889" s="1">
        <v>0</v>
      </c>
      <c r="I1889" s="1">
        <v>0</v>
      </c>
    </row>
    <row r="1890" spans="1:9" ht="23.25">
      <c r="A1890" s="4" t="s">
        <v>10</v>
      </c>
      <c r="B1890" s="4"/>
      <c r="C1890" s="4" t="s">
        <v>37</v>
      </c>
      <c r="D1890" s="4"/>
      <c r="E1890" s="1">
        <v>0</v>
      </c>
      <c r="F1890" s="1">
        <v>0</v>
      </c>
      <c r="G1890" s="1">
        <v>0</v>
      </c>
      <c r="H1890" s="1">
        <v>0</v>
      </c>
      <c r="I1890" s="1">
        <v>0</v>
      </c>
    </row>
    <row r="1891" spans="1:9" ht="23.25">
      <c r="A1891" s="4" t="s">
        <v>11</v>
      </c>
      <c r="B1891" s="4"/>
      <c r="C1891" s="4" t="s">
        <v>37</v>
      </c>
      <c r="D1891" s="4"/>
      <c r="E1891" s="1">
        <v>0</v>
      </c>
      <c r="F1891" s="1">
        <v>0</v>
      </c>
      <c r="G1891" s="1">
        <v>0</v>
      </c>
      <c r="H1891" s="1">
        <v>0</v>
      </c>
      <c r="I1891" s="1">
        <v>0</v>
      </c>
    </row>
    <row r="1892" spans="1:9" ht="23.25">
      <c r="A1892" s="4" t="s">
        <v>12</v>
      </c>
      <c r="B1892" s="4"/>
      <c r="C1892" s="4" t="s">
        <v>37</v>
      </c>
      <c r="D1892" s="4"/>
      <c r="E1892" s="1">
        <v>0</v>
      </c>
      <c r="F1892" s="1">
        <v>0</v>
      </c>
      <c r="G1892" s="1">
        <v>0</v>
      </c>
      <c r="H1892" s="1">
        <v>0</v>
      </c>
      <c r="I1892" s="1">
        <v>0</v>
      </c>
    </row>
    <row r="1893" spans="1:9" ht="23.25">
      <c r="A1893" s="4" t="s">
        <v>13</v>
      </c>
      <c r="B1893" s="4"/>
      <c r="C1893" s="4" t="s">
        <v>37</v>
      </c>
      <c r="D1893" s="4"/>
      <c r="E1893" s="1">
        <v>0</v>
      </c>
      <c r="F1893" s="1">
        <v>0</v>
      </c>
      <c r="G1893" s="1">
        <v>0</v>
      </c>
      <c r="H1893" s="1">
        <v>0</v>
      </c>
      <c r="I1893" s="1">
        <v>0</v>
      </c>
    </row>
    <row r="1894" spans="1:9" ht="23.25">
      <c r="A1894" s="4" t="s">
        <v>14</v>
      </c>
      <c r="B1894" s="4"/>
      <c r="C1894" s="4" t="s">
        <v>37</v>
      </c>
      <c r="D1894" s="4"/>
      <c r="E1894" s="1">
        <v>0</v>
      </c>
      <c r="F1894" s="1">
        <v>0</v>
      </c>
      <c r="G1894" s="1">
        <v>0</v>
      </c>
      <c r="H1894" s="1">
        <v>0</v>
      </c>
      <c r="I1894" s="1">
        <v>0</v>
      </c>
    </row>
    <row r="1895" spans="1:9" ht="23.25">
      <c r="A1895" s="4" t="s">
        <v>15</v>
      </c>
      <c r="B1895" s="4"/>
      <c r="C1895" s="4" t="s">
        <v>37</v>
      </c>
      <c r="D1895" s="4"/>
      <c r="E1895" s="1">
        <v>0</v>
      </c>
      <c r="F1895" s="1">
        <v>0</v>
      </c>
      <c r="G1895" s="1">
        <v>0</v>
      </c>
      <c r="H1895" s="1">
        <v>0</v>
      </c>
      <c r="I1895" s="1">
        <v>0</v>
      </c>
    </row>
    <row r="1896" spans="1:9" ht="23.25">
      <c r="A1896" s="4" t="s">
        <v>16</v>
      </c>
      <c r="B1896" s="4"/>
      <c r="C1896" s="4" t="s">
        <v>37</v>
      </c>
      <c r="D1896" s="4"/>
      <c r="E1896" s="1">
        <v>0</v>
      </c>
      <c r="F1896" s="1">
        <v>0</v>
      </c>
      <c r="G1896" s="1">
        <v>0</v>
      </c>
      <c r="H1896" s="1">
        <v>0</v>
      </c>
      <c r="I1896" s="1">
        <v>0</v>
      </c>
    </row>
    <row r="1897" spans="1:9" ht="23.25">
      <c r="A1897" s="4" t="s">
        <v>17</v>
      </c>
      <c r="B1897" s="4"/>
      <c r="C1897" s="4" t="s">
        <v>37</v>
      </c>
      <c r="D1897" s="4"/>
      <c r="E1897" s="1">
        <v>0</v>
      </c>
      <c r="F1897" s="1">
        <v>0</v>
      </c>
      <c r="G1897" s="1">
        <v>0</v>
      </c>
      <c r="H1897" s="1">
        <v>0</v>
      </c>
      <c r="I1897" s="1">
        <v>0</v>
      </c>
    </row>
    <row r="1898" spans="1:9" ht="23.25">
      <c r="A1898" s="4" t="s">
        <v>18</v>
      </c>
      <c r="B1898" s="4"/>
      <c r="C1898" s="4" t="s">
        <v>37</v>
      </c>
      <c r="D1898" s="4"/>
      <c r="E1898" s="1">
        <v>0</v>
      </c>
      <c r="F1898" s="1">
        <v>0</v>
      </c>
      <c r="G1898" s="1">
        <v>0</v>
      </c>
      <c r="H1898" s="1">
        <v>0</v>
      </c>
      <c r="I1898" s="1">
        <v>0</v>
      </c>
    </row>
    <row r="1899" spans="1:9" ht="23.25">
      <c r="A1899" s="4" t="s">
        <v>19</v>
      </c>
      <c r="B1899" s="4"/>
      <c r="C1899" s="4" t="s">
        <v>37</v>
      </c>
      <c r="D1899" s="4"/>
      <c r="E1899" s="1">
        <v>807407767</v>
      </c>
      <c r="F1899" s="1">
        <v>0</v>
      </c>
      <c r="G1899" s="1">
        <v>0</v>
      </c>
      <c r="H1899" s="1">
        <v>0</v>
      </c>
      <c r="I1899" s="1">
        <v>659390028</v>
      </c>
    </row>
    <row r="1900" spans="1:9" ht="23.25">
      <c r="A1900" s="4" t="s">
        <v>20</v>
      </c>
      <c r="B1900" s="4"/>
      <c r="C1900" s="4" t="s">
        <v>37</v>
      </c>
      <c r="D1900" s="4"/>
      <c r="E1900" s="1">
        <v>0</v>
      </c>
      <c r="F1900" s="1">
        <v>0</v>
      </c>
      <c r="G1900" s="1">
        <v>0</v>
      </c>
      <c r="H1900" s="1">
        <v>0</v>
      </c>
      <c r="I1900" s="1">
        <v>0</v>
      </c>
    </row>
    <row r="1901" spans="1:9" ht="23.25">
      <c r="A1901" s="4" t="s">
        <v>21</v>
      </c>
      <c r="B1901" s="4"/>
      <c r="C1901" s="4" t="s">
        <v>37</v>
      </c>
      <c r="D1901" s="4"/>
      <c r="E1901" s="1">
        <v>0</v>
      </c>
      <c r="F1901" s="1">
        <v>0</v>
      </c>
      <c r="G1901" s="1">
        <v>0</v>
      </c>
      <c r="H1901" s="1">
        <v>0</v>
      </c>
      <c r="I1901" s="1">
        <v>0</v>
      </c>
    </row>
    <row r="1902" spans="1:9" ht="23.25">
      <c r="A1902" s="4" t="s">
        <v>22</v>
      </c>
      <c r="B1902" s="4"/>
      <c r="C1902" s="4" t="s">
        <v>37</v>
      </c>
      <c r="D1902" s="4"/>
      <c r="E1902" s="1">
        <v>0</v>
      </c>
      <c r="F1902" s="1">
        <v>0</v>
      </c>
      <c r="G1902" s="1">
        <v>0</v>
      </c>
      <c r="H1902" s="1">
        <v>0</v>
      </c>
      <c r="I1902" s="1">
        <v>0</v>
      </c>
    </row>
    <row r="1903" spans="1:9" ht="23.25">
      <c r="A1903" s="4" t="s">
        <v>23</v>
      </c>
      <c r="B1903" s="4"/>
      <c r="C1903" s="4" t="s">
        <v>37</v>
      </c>
      <c r="D1903" s="4"/>
      <c r="E1903" s="1">
        <v>92011</v>
      </c>
      <c r="F1903" s="1">
        <v>4902</v>
      </c>
      <c r="G1903" s="1">
        <v>6069</v>
      </c>
      <c r="H1903" s="1">
        <v>0</v>
      </c>
      <c r="I1903" s="1">
        <v>0</v>
      </c>
    </row>
    <row r="1904" spans="1:9" ht="23.25">
      <c r="A1904" s="4" t="s">
        <v>24</v>
      </c>
      <c r="B1904" s="4"/>
      <c r="C1904" s="4" t="s">
        <v>37</v>
      </c>
      <c r="D1904" s="4"/>
      <c r="E1904" s="1">
        <v>0</v>
      </c>
      <c r="F1904" s="1">
        <v>0</v>
      </c>
      <c r="G1904" s="1">
        <v>0</v>
      </c>
      <c r="H1904" s="1">
        <v>0</v>
      </c>
      <c r="I1904" s="1">
        <v>0</v>
      </c>
    </row>
    <row r="1905" spans="1:9" ht="23.25">
      <c r="A1905" s="4" t="s">
        <v>25</v>
      </c>
      <c r="B1905" s="4"/>
      <c r="C1905" s="4" t="s">
        <v>37</v>
      </c>
      <c r="D1905" s="4"/>
      <c r="E1905" s="1">
        <v>0</v>
      </c>
      <c r="F1905" s="1">
        <v>0</v>
      </c>
      <c r="G1905" s="1">
        <v>0</v>
      </c>
      <c r="H1905" s="1">
        <v>0</v>
      </c>
      <c r="I1905" s="1">
        <v>0</v>
      </c>
    </row>
    <row r="1906" spans="1:9" ht="23.25">
      <c r="A1906" s="4" t="s">
        <v>26</v>
      </c>
      <c r="B1906" s="4"/>
      <c r="C1906" s="4" t="s">
        <v>37</v>
      </c>
      <c r="D1906" s="4"/>
      <c r="E1906" s="1">
        <v>0</v>
      </c>
      <c r="F1906" s="1">
        <v>0</v>
      </c>
      <c r="G1906" s="1">
        <v>0</v>
      </c>
      <c r="H1906" s="1">
        <v>0</v>
      </c>
      <c r="I1906" s="1">
        <v>0</v>
      </c>
    </row>
    <row r="1907" spans="1:9" ht="23.25">
      <c r="A1907" s="4" t="s">
        <v>27</v>
      </c>
      <c r="B1907" s="4"/>
      <c r="C1907" s="4" t="s">
        <v>37</v>
      </c>
      <c r="D1907" s="4"/>
      <c r="E1907" s="1">
        <v>0</v>
      </c>
      <c r="F1907" s="1">
        <v>0</v>
      </c>
      <c r="G1907" s="1">
        <v>0</v>
      </c>
      <c r="H1907" s="1">
        <v>0</v>
      </c>
      <c r="I1907" s="1">
        <v>0</v>
      </c>
    </row>
    <row r="1908" spans="1:9" ht="23.25">
      <c r="A1908" s="4" t="s">
        <v>28</v>
      </c>
      <c r="B1908" s="4"/>
      <c r="C1908" s="4" t="s">
        <v>37</v>
      </c>
      <c r="D1908" s="4"/>
      <c r="E1908" s="1">
        <v>0</v>
      </c>
      <c r="F1908" s="1">
        <v>0</v>
      </c>
      <c r="G1908" s="1">
        <v>0</v>
      </c>
      <c r="H1908" s="1">
        <v>0</v>
      </c>
      <c r="I1908" s="1">
        <v>0</v>
      </c>
    </row>
    <row r="1909" spans="1:9" ht="23.25">
      <c r="A1909" s="4" t="s">
        <v>29</v>
      </c>
      <c r="B1909" s="4"/>
      <c r="C1909" s="4" t="s">
        <v>37</v>
      </c>
      <c r="D1909" s="4"/>
      <c r="E1909" s="1">
        <v>0</v>
      </c>
      <c r="F1909" s="1">
        <v>0</v>
      </c>
      <c r="G1909" s="1">
        <v>0</v>
      </c>
      <c r="H1909" s="1">
        <v>0</v>
      </c>
      <c r="I1909" s="1">
        <v>0</v>
      </c>
    </row>
    <row r="1910" spans="1:9" ht="23.25">
      <c r="A1910" s="4" t="s">
        <v>30</v>
      </c>
      <c r="B1910" s="4"/>
      <c r="C1910" s="4" t="s">
        <v>37</v>
      </c>
      <c r="D1910" s="4"/>
      <c r="E1910" s="1">
        <v>0</v>
      </c>
      <c r="F1910" s="1">
        <v>0</v>
      </c>
      <c r="G1910" s="1">
        <v>0</v>
      </c>
      <c r="H1910" s="1">
        <v>0</v>
      </c>
      <c r="I1910" s="1">
        <v>0</v>
      </c>
    </row>
    <row r="1911" spans="1:9" ht="23.25">
      <c r="A1911" s="4" t="s">
        <v>31</v>
      </c>
      <c r="B1911" s="4"/>
      <c r="C1911" s="4" t="s">
        <v>37</v>
      </c>
      <c r="D1911" s="4"/>
      <c r="E1911" s="1">
        <v>0</v>
      </c>
      <c r="F1911" s="1">
        <v>0</v>
      </c>
      <c r="G1911" s="1">
        <v>0</v>
      </c>
      <c r="H1911" s="1">
        <v>0</v>
      </c>
      <c r="I1911" s="1">
        <v>0</v>
      </c>
    </row>
    <row r="1912" spans="1:9" ht="23.25">
      <c r="A1912" s="4" t="s">
        <v>32</v>
      </c>
      <c r="B1912" s="4"/>
      <c r="C1912" s="4" t="s">
        <v>37</v>
      </c>
      <c r="D1912" s="4"/>
      <c r="E1912" s="1">
        <v>304931</v>
      </c>
      <c r="F1912" s="1">
        <v>9126</v>
      </c>
      <c r="G1912" s="1">
        <v>7911</v>
      </c>
      <c r="H1912" s="1">
        <v>2653</v>
      </c>
      <c r="I1912" s="1">
        <v>0</v>
      </c>
    </row>
    <row r="1913" spans="1:9" ht="23.25">
      <c r="A1913" s="4" t="s">
        <v>33</v>
      </c>
      <c r="B1913" s="4"/>
      <c r="C1913" s="4" t="s">
        <v>37</v>
      </c>
      <c r="D1913" s="4"/>
      <c r="E1913" s="1">
        <v>0</v>
      </c>
      <c r="F1913" s="1">
        <v>0</v>
      </c>
      <c r="G1913" s="1">
        <v>0</v>
      </c>
      <c r="H1913" s="1">
        <v>0</v>
      </c>
      <c r="I1913" s="1">
        <v>0</v>
      </c>
    </row>
    <row r="1914" spans="1:9" ht="23.25">
      <c r="A1914" s="4" t="s">
        <v>34</v>
      </c>
      <c r="B1914" s="4"/>
      <c r="C1914" s="4" t="s">
        <v>37</v>
      </c>
      <c r="D1914" s="4"/>
      <c r="E1914" s="1">
        <v>39605154</v>
      </c>
      <c r="F1914" s="1">
        <v>2736514</v>
      </c>
      <c r="G1914" s="1">
        <v>1272293</v>
      </c>
      <c r="H1914" s="1">
        <v>764784</v>
      </c>
      <c r="I1914" s="1">
        <v>29491277</v>
      </c>
    </row>
    <row r="1915" spans="1:9" ht="23.25">
      <c r="A1915" s="4" t="s">
        <v>35</v>
      </c>
      <c r="B1915" s="4"/>
      <c r="C1915" s="4" t="s">
        <v>37</v>
      </c>
      <c r="D1915" s="4"/>
      <c r="E1915" s="1">
        <v>0</v>
      </c>
      <c r="F1915" s="1">
        <v>0</v>
      </c>
      <c r="G1915" s="1">
        <v>0</v>
      </c>
      <c r="H1915" s="1">
        <v>0</v>
      </c>
      <c r="I1915" s="1">
        <v>0</v>
      </c>
    </row>
    <row r="1916" spans="1:9" ht="23.25">
      <c r="A1916" s="4" t="s">
        <v>36</v>
      </c>
      <c r="B1916" s="4"/>
      <c r="C1916" s="4" t="s">
        <v>37</v>
      </c>
      <c r="D1916" s="4"/>
      <c r="E1916" s="1">
        <v>1549564</v>
      </c>
      <c r="F1916" s="1">
        <v>251229</v>
      </c>
      <c r="G1916" s="1">
        <v>228802</v>
      </c>
      <c r="H1916" s="1">
        <v>20191</v>
      </c>
      <c r="I1916" s="1">
        <v>552506</v>
      </c>
    </row>
    <row r="1917" spans="1:9" ht="23.25">
      <c r="A1917" s="4" t="s">
        <v>37</v>
      </c>
      <c r="B1917" s="4"/>
      <c r="C1917" s="4" t="s">
        <v>37</v>
      </c>
      <c r="D1917" s="4"/>
      <c r="E1917" s="1">
        <v>35305854</v>
      </c>
      <c r="F1917" s="1">
        <v>2628060</v>
      </c>
      <c r="G1917" s="1">
        <v>2175409</v>
      </c>
      <c r="H1917" s="1">
        <v>282056</v>
      </c>
      <c r="I1917" s="1">
        <v>17444217</v>
      </c>
    </row>
    <row r="1918" spans="1:9" ht="23.25">
      <c r="A1918" s="4" t="s">
        <v>38</v>
      </c>
      <c r="B1918" s="4"/>
      <c r="C1918" s="4" t="s">
        <v>37</v>
      </c>
      <c r="D1918" s="4"/>
      <c r="E1918" s="1">
        <v>203047</v>
      </c>
      <c r="F1918" s="1">
        <v>27973</v>
      </c>
      <c r="G1918" s="1">
        <v>28111</v>
      </c>
      <c r="H1918" s="1">
        <v>6750</v>
      </c>
      <c r="I1918" s="1">
        <v>0</v>
      </c>
    </row>
    <row r="1919" spans="1:9" ht="23.25">
      <c r="A1919" s="4" t="s">
        <v>39</v>
      </c>
      <c r="B1919" s="4"/>
      <c r="C1919" s="4" t="s">
        <v>37</v>
      </c>
      <c r="D1919" s="4"/>
      <c r="E1919" s="1">
        <v>904767</v>
      </c>
      <c r="F1919" s="1">
        <v>10184</v>
      </c>
      <c r="G1919" s="1">
        <v>12127</v>
      </c>
      <c r="H1919" s="1">
        <v>5367</v>
      </c>
      <c r="I1919" s="1">
        <v>362933</v>
      </c>
    </row>
    <row r="1920" spans="1:9" ht="23.25">
      <c r="A1920" s="4" t="s">
        <v>40</v>
      </c>
      <c r="B1920" s="4"/>
      <c r="C1920" s="4" t="s">
        <v>37</v>
      </c>
      <c r="D1920" s="4"/>
      <c r="E1920" s="1">
        <v>0</v>
      </c>
      <c r="F1920" s="1">
        <v>0</v>
      </c>
      <c r="G1920" s="1">
        <v>0</v>
      </c>
      <c r="H1920" s="1">
        <v>0</v>
      </c>
      <c r="I1920" s="1">
        <v>0</v>
      </c>
    </row>
    <row r="1921" spans="1:9" ht="23.25">
      <c r="A1921" s="4" t="s">
        <v>41</v>
      </c>
      <c r="B1921" s="4"/>
      <c r="C1921" s="4" t="s">
        <v>37</v>
      </c>
      <c r="D1921" s="4"/>
      <c r="E1921" s="1">
        <v>0</v>
      </c>
      <c r="F1921" s="1">
        <v>0</v>
      </c>
      <c r="G1921" s="1">
        <v>0</v>
      </c>
      <c r="H1921" s="1">
        <v>0</v>
      </c>
      <c r="I1921" s="1">
        <v>0</v>
      </c>
    </row>
    <row r="1922" spans="1:9" ht="23.25">
      <c r="A1922" s="4" t="s">
        <v>42</v>
      </c>
      <c r="B1922" s="4"/>
      <c r="C1922" s="4" t="s">
        <v>37</v>
      </c>
      <c r="D1922" s="4"/>
      <c r="E1922" s="1">
        <v>0</v>
      </c>
      <c r="F1922" s="1">
        <v>0</v>
      </c>
      <c r="G1922" s="1">
        <v>0</v>
      </c>
      <c r="H1922" s="1">
        <v>0</v>
      </c>
      <c r="I1922" s="1">
        <v>0</v>
      </c>
    </row>
    <row r="1923" spans="1:9" ht="23.25">
      <c r="A1923" s="4" t="s">
        <v>43</v>
      </c>
      <c r="B1923" s="4"/>
      <c r="C1923" s="4" t="s">
        <v>37</v>
      </c>
      <c r="D1923" s="4"/>
      <c r="E1923" s="1">
        <v>0</v>
      </c>
      <c r="F1923" s="1">
        <v>0</v>
      </c>
      <c r="G1923" s="1">
        <v>0</v>
      </c>
      <c r="H1923" s="1">
        <v>0</v>
      </c>
      <c r="I1923" s="1">
        <v>0</v>
      </c>
    </row>
    <row r="1924" spans="1:9" ht="23.25">
      <c r="A1924" s="4" t="s">
        <v>44</v>
      </c>
      <c r="B1924" s="4"/>
      <c r="C1924" s="4" t="s">
        <v>37</v>
      </c>
      <c r="D1924" s="4"/>
      <c r="E1924" s="1">
        <v>124139</v>
      </c>
      <c r="F1924" s="1">
        <v>3092</v>
      </c>
      <c r="G1924" s="1">
        <v>5084</v>
      </c>
      <c r="H1924" s="1">
        <v>312</v>
      </c>
      <c r="I1924" s="1">
        <v>100886</v>
      </c>
    </row>
    <row r="1925" spans="1:9" ht="23.25">
      <c r="A1925" s="4" t="s">
        <v>45</v>
      </c>
      <c r="B1925" s="4"/>
      <c r="C1925" s="4" t="s">
        <v>37</v>
      </c>
      <c r="D1925" s="4"/>
      <c r="E1925" s="1">
        <v>3237869</v>
      </c>
      <c r="F1925" s="1">
        <v>263511</v>
      </c>
      <c r="G1925" s="1">
        <v>0</v>
      </c>
      <c r="H1925" s="1">
        <v>39219</v>
      </c>
      <c r="I1925" s="1">
        <v>1061264</v>
      </c>
    </row>
    <row r="1926" spans="1:9" ht="23.25">
      <c r="A1926" s="4" t="s">
        <v>46</v>
      </c>
      <c r="B1926" s="4"/>
      <c r="C1926" s="4" t="s">
        <v>37</v>
      </c>
      <c r="D1926" s="4"/>
      <c r="E1926" s="1">
        <v>39296</v>
      </c>
      <c r="F1926" s="1">
        <v>1469</v>
      </c>
      <c r="G1926" s="1">
        <v>569</v>
      </c>
      <c r="H1926" s="1">
        <v>371</v>
      </c>
      <c r="I1926" s="1">
        <v>0</v>
      </c>
    </row>
    <row r="1927" spans="1:9" ht="23.25">
      <c r="A1927" s="4" t="s">
        <v>47</v>
      </c>
      <c r="B1927" s="4"/>
      <c r="C1927" s="4" t="s">
        <v>37</v>
      </c>
      <c r="D1927" s="4"/>
      <c r="E1927" s="1">
        <v>567093</v>
      </c>
      <c r="F1927" s="1">
        <v>0</v>
      </c>
      <c r="G1927" s="1">
        <v>0</v>
      </c>
      <c r="H1927" s="1">
        <v>0</v>
      </c>
      <c r="I1927" s="1">
        <v>0</v>
      </c>
    </row>
    <row r="1928" spans="1:9" ht="23.25">
      <c r="A1928" s="4" t="s">
        <v>48</v>
      </c>
      <c r="B1928" s="4"/>
      <c r="C1928" s="4" t="s">
        <v>37</v>
      </c>
      <c r="D1928" s="4"/>
      <c r="E1928" s="1">
        <v>0</v>
      </c>
      <c r="F1928" s="1">
        <v>0</v>
      </c>
      <c r="G1928" s="1">
        <v>0</v>
      </c>
      <c r="H1928" s="1">
        <v>0</v>
      </c>
      <c r="I1928" s="1">
        <v>0</v>
      </c>
    </row>
    <row r="1929" spans="1:9" ht="23.25">
      <c r="A1929" s="4" t="s">
        <v>49</v>
      </c>
      <c r="B1929" s="4"/>
      <c r="C1929" s="4" t="s">
        <v>37</v>
      </c>
      <c r="D1929" s="4"/>
      <c r="E1929" s="1">
        <v>0</v>
      </c>
      <c r="F1929" s="1">
        <v>0</v>
      </c>
      <c r="G1929" s="1">
        <v>0</v>
      </c>
      <c r="H1929" s="1">
        <v>0</v>
      </c>
      <c r="I1929" s="1">
        <v>0</v>
      </c>
    </row>
    <row r="1930" spans="1:9" ht="23.25">
      <c r="A1930" s="4" t="s">
        <v>50</v>
      </c>
      <c r="B1930" s="4"/>
      <c r="C1930" s="4" t="s">
        <v>37</v>
      </c>
      <c r="D1930" s="4"/>
      <c r="E1930" s="1">
        <v>0</v>
      </c>
      <c r="F1930" s="1">
        <v>0</v>
      </c>
      <c r="G1930" s="1">
        <v>0</v>
      </c>
      <c r="H1930" s="1">
        <v>0</v>
      </c>
      <c r="I1930" s="1">
        <v>0</v>
      </c>
    </row>
    <row r="1931" spans="1:9" ht="23.25">
      <c r="A1931" s="4" t="s">
        <v>51</v>
      </c>
      <c r="B1931" s="4"/>
      <c r="C1931" s="4" t="s">
        <v>37</v>
      </c>
      <c r="D1931" s="4"/>
      <c r="E1931" s="1">
        <v>78343</v>
      </c>
      <c r="F1931" s="1">
        <v>4909</v>
      </c>
      <c r="G1931" s="1">
        <v>4129</v>
      </c>
      <c r="H1931" s="1">
        <v>701</v>
      </c>
      <c r="I1931" s="1">
        <v>0</v>
      </c>
    </row>
    <row r="1932" spans="1:9" ht="23.25">
      <c r="A1932" s="4" t="s">
        <v>52</v>
      </c>
      <c r="B1932" s="4"/>
      <c r="C1932" s="4" t="s">
        <v>37</v>
      </c>
      <c r="D1932" s="4"/>
      <c r="E1932" s="1">
        <v>26505494</v>
      </c>
      <c r="F1932" s="1">
        <v>209481</v>
      </c>
      <c r="G1932" s="1">
        <v>389226</v>
      </c>
      <c r="H1932" s="1">
        <v>44402</v>
      </c>
      <c r="I1932" s="1">
        <v>0</v>
      </c>
    </row>
    <row r="1933" spans="1:9" ht="23.25">
      <c r="A1933" s="4" t="s">
        <v>53</v>
      </c>
      <c r="B1933" s="4"/>
      <c r="C1933" s="4" t="s">
        <v>37</v>
      </c>
      <c r="D1933" s="4"/>
      <c r="E1933" s="1">
        <v>86675</v>
      </c>
      <c r="F1933" s="1">
        <v>0</v>
      </c>
      <c r="G1933" s="1">
        <v>0</v>
      </c>
      <c r="H1933" s="1">
        <v>0</v>
      </c>
      <c r="I1933" s="1">
        <v>0</v>
      </c>
    </row>
    <row r="1934" spans="1:9" ht="23.25">
      <c r="A1934" s="4" t="s">
        <v>54</v>
      </c>
      <c r="B1934" s="4"/>
      <c r="C1934" s="4" t="s">
        <v>37</v>
      </c>
      <c r="D1934" s="4"/>
      <c r="E1934" s="1">
        <v>113748</v>
      </c>
      <c r="F1934" s="1">
        <v>0</v>
      </c>
      <c r="G1934" s="1">
        <v>0</v>
      </c>
      <c r="H1934" s="1">
        <v>0</v>
      </c>
      <c r="I1934" s="1">
        <v>0</v>
      </c>
    </row>
    <row r="1935" spans="1:9" ht="23.25">
      <c r="A1935" s="4" t="s">
        <v>55</v>
      </c>
      <c r="B1935" s="4"/>
      <c r="C1935" s="4" t="s">
        <v>37</v>
      </c>
      <c r="D1935" s="4"/>
      <c r="E1935" s="1">
        <v>0</v>
      </c>
      <c r="F1935" s="1">
        <v>0</v>
      </c>
      <c r="G1935" s="1">
        <v>0</v>
      </c>
      <c r="H1935" s="1">
        <v>0</v>
      </c>
      <c r="I1935" s="1">
        <v>0</v>
      </c>
    </row>
    <row r="1936" spans="1:9" ht="23.25">
      <c r="A1936" s="4" t="s">
        <v>56</v>
      </c>
      <c r="B1936" s="4"/>
      <c r="C1936" s="4" t="s">
        <v>37</v>
      </c>
      <c r="D1936" s="4"/>
      <c r="E1936" s="1">
        <v>0</v>
      </c>
      <c r="F1936" s="1">
        <v>-6150450</v>
      </c>
      <c r="G1936" s="1">
        <v>-4129730</v>
      </c>
      <c r="H1936" s="1">
        <v>0</v>
      </c>
      <c r="I1936" s="1">
        <v>0</v>
      </c>
    </row>
    <row r="1937" spans="1:9" ht="23.25">
      <c r="A1937" s="4" t="s">
        <v>57</v>
      </c>
      <c r="B1937" s="4"/>
      <c r="C1937" s="4" t="s">
        <v>37</v>
      </c>
      <c r="D1937" s="4"/>
      <c r="E1937" s="1">
        <v>449161</v>
      </c>
      <c r="F1937" s="1">
        <v>0</v>
      </c>
      <c r="G1937" s="1">
        <v>0</v>
      </c>
      <c r="H1937" s="1">
        <v>0</v>
      </c>
      <c r="I1937" s="1">
        <v>0</v>
      </c>
    </row>
    <row r="1938" spans="1:9" ht="23.25">
      <c r="A1938" s="4" t="s">
        <v>58</v>
      </c>
      <c r="B1938" s="4"/>
      <c r="C1938" s="4" t="s">
        <v>37</v>
      </c>
      <c r="D1938" s="4"/>
      <c r="E1938" s="1">
        <v>1021435</v>
      </c>
      <c r="F1938" s="1">
        <v>0</v>
      </c>
      <c r="G1938" s="1">
        <v>0</v>
      </c>
      <c r="H1938" s="1">
        <v>-1166806</v>
      </c>
      <c r="I1938" s="1">
        <v>0</v>
      </c>
    </row>
    <row r="1939" spans="1:9" ht="23.25">
      <c r="A1939" s="4" t="s">
        <v>59</v>
      </c>
      <c r="B1939" s="4"/>
      <c r="C1939" s="4" t="s">
        <v>37</v>
      </c>
      <c r="D1939" s="4"/>
      <c r="E1939" s="1">
        <v>344341</v>
      </c>
      <c r="F1939" s="1">
        <v>0</v>
      </c>
      <c r="G1939" s="1">
        <v>0</v>
      </c>
      <c r="H1939" s="1">
        <v>0</v>
      </c>
      <c r="I1939" s="1">
        <v>0</v>
      </c>
    </row>
    <row r="1940" spans="1:9" ht="23.25">
      <c r="A1940" s="4" t="s">
        <v>60</v>
      </c>
      <c r="B1940" s="4"/>
      <c r="C1940" s="4" t="s">
        <v>37</v>
      </c>
      <c r="D1940" s="4"/>
      <c r="E1940" s="1">
        <v>18269912</v>
      </c>
      <c r="F1940" s="1">
        <v>0</v>
      </c>
      <c r="G1940" s="1">
        <v>0</v>
      </c>
      <c r="H1940" s="1">
        <v>0</v>
      </c>
      <c r="I1940" s="1">
        <v>0</v>
      </c>
    </row>
    <row r="1941" spans="1:9" ht="23.25">
      <c r="A1941" s="4" t="s">
        <v>61</v>
      </c>
      <c r="B1941" s="4"/>
      <c r="C1941" s="4" t="s">
        <v>37</v>
      </c>
      <c r="D1941" s="4"/>
      <c r="E1941" s="1">
        <v>1519707</v>
      </c>
      <c r="F1941" s="1">
        <v>0</v>
      </c>
      <c r="G1941" s="1">
        <v>0</v>
      </c>
      <c r="H1941" s="1">
        <v>0</v>
      </c>
      <c r="I1941" s="1">
        <v>0</v>
      </c>
    </row>
    <row r="1942" spans="1:9" ht="23.25">
      <c r="A1942" s="4" t="s">
        <v>62</v>
      </c>
      <c r="B1942" s="4"/>
      <c r="C1942" s="4" t="s">
        <v>37</v>
      </c>
      <c r="D1942" s="4"/>
      <c r="E1942" s="1">
        <v>16416748</v>
      </c>
      <c r="F1942" s="1">
        <v>0</v>
      </c>
      <c r="G1942" s="1">
        <v>0</v>
      </c>
      <c r="H1942" s="1">
        <v>0</v>
      </c>
      <c r="I1942" s="1">
        <v>0</v>
      </c>
    </row>
    <row r="1943" spans="1:9" ht="23.25">
      <c r="A1943" s="4" t="s">
        <v>63</v>
      </c>
      <c r="B1943" s="4"/>
      <c r="C1943" s="4" t="s">
        <v>37</v>
      </c>
      <c r="D1943" s="4"/>
      <c r="E1943" s="1">
        <v>224813</v>
      </c>
      <c r="F1943" s="1">
        <v>0</v>
      </c>
      <c r="G1943" s="1">
        <v>0</v>
      </c>
      <c r="H1943" s="1">
        <v>0</v>
      </c>
      <c r="I1943" s="1">
        <v>0</v>
      </c>
    </row>
    <row r="1944" spans="1:9" ht="23.25">
      <c r="A1944" s="4" t="s">
        <v>64</v>
      </c>
      <c r="B1944" s="4"/>
      <c r="C1944" s="4" t="s">
        <v>37</v>
      </c>
      <c r="D1944" s="4"/>
      <c r="E1944" s="1">
        <v>125244</v>
      </c>
      <c r="F1944" s="1">
        <v>0</v>
      </c>
      <c r="G1944" s="1">
        <v>0</v>
      </c>
      <c r="H1944" s="1">
        <v>0</v>
      </c>
      <c r="I1944" s="1">
        <v>0</v>
      </c>
    </row>
    <row r="1945" spans="1:9" ht="23.25">
      <c r="A1945" s="4" t="s">
        <v>65</v>
      </c>
      <c r="B1945" s="4"/>
      <c r="C1945" s="4" t="s">
        <v>37</v>
      </c>
      <c r="D1945" s="4"/>
      <c r="E1945" s="1">
        <v>9642608</v>
      </c>
      <c r="F1945" s="1">
        <v>0</v>
      </c>
      <c r="G1945" s="1">
        <v>0</v>
      </c>
      <c r="H1945" s="1">
        <v>0</v>
      </c>
      <c r="I1945" s="1">
        <v>859025</v>
      </c>
    </row>
    <row r="1946" spans="1:9" ht="23.25">
      <c r="A1946" s="4" t="s">
        <v>66</v>
      </c>
      <c r="B1946" s="4"/>
      <c r="C1946" s="4" t="s">
        <v>37</v>
      </c>
      <c r="D1946" s="4"/>
      <c r="E1946" s="1">
        <v>964139721</v>
      </c>
      <c r="F1946" s="1">
        <v>0</v>
      </c>
      <c r="G1946" s="1">
        <v>0</v>
      </c>
      <c r="H1946" s="1">
        <v>0</v>
      </c>
      <c r="I1946" s="1">
        <v>709262136</v>
      </c>
    </row>
    <row r="1947" spans="1:9" ht="23.25">
      <c r="A1947" s="4" t="s">
        <v>67</v>
      </c>
      <c r="B1947" s="4"/>
      <c r="C1947" s="4" t="s">
        <v>37</v>
      </c>
      <c r="D1947" s="4"/>
      <c r="E1947" s="1">
        <v>19313941</v>
      </c>
      <c r="F1947" s="1">
        <v>0</v>
      </c>
      <c r="G1947" s="1">
        <v>0</v>
      </c>
      <c r="H1947" s="1">
        <v>0</v>
      </c>
      <c r="I1947" s="1">
        <v>0</v>
      </c>
    </row>
    <row r="1948" spans="1:9" ht="23.25">
      <c r="A1948" s="4" t="s">
        <v>68</v>
      </c>
      <c r="B1948" s="4"/>
      <c r="C1948" s="4" t="s">
        <v>37</v>
      </c>
      <c r="D1948" s="4"/>
      <c r="E1948" s="1">
        <v>17259410</v>
      </c>
      <c r="F1948" s="1">
        <v>0</v>
      </c>
      <c r="G1948" s="1">
        <v>0</v>
      </c>
      <c r="H1948" s="1">
        <v>0</v>
      </c>
      <c r="I1948" s="1">
        <v>0</v>
      </c>
    </row>
    <row r="1949" spans="1:9" ht="23.25">
      <c r="A1949" s="4" t="s">
        <v>69</v>
      </c>
      <c r="B1949" s="4"/>
      <c r="C1949" s="4" t="s">
        <v>37</v>
      </c>
      <c r="D1949" s="4"/>
      <c r="E1949" s="1">
        <v>57550155</v>
      </c>
      <c r="F1949" s="1">
        <v>0</v>
      </c>
      <c r="G1949" s="1">
        <v>0</v>
      </c>
      <c r="H1949" s="1">
        <v>0</v>
      </c>
      <c r="I1949" s="1">
        <v>0</v>
      </c>
    </row>
    <row r="1950" spans="1:9" ht="23.25">
      <c r="A1950" s="4" t="s">
        <v>70</v>
      </c>
      <c r="B1950" s="4"/>
      <c r="C1950" s="4" t="s">
        <v>37</v>
      </c>
      <c r="D1950" s="4"/>
      <c r="E1950" s="1">
        <v>204210841</v>
      </c>
      <c r="F1950" s="1">
        <v>0</v>
      </c>
      <c r="G1950" s="1">
        <v>0</v>
      </c>
      <c r="H1950" s="1">
        <v>0</v>
      </c>
      <c r="I1950" s="1">
        <v>0</v>
      </c>
    </row>
    <row r="1951" spans="1:9" ht="23.25">
      <c r="A1951" s="4" t="s">
        <v>71</v>
      </c>
      <c r="B1951" s="4"/>
      <c r="C1951" s="4" t="s">
        <v>37</v>
      </c>
      <c r="D1951" s="4"/>
      <c r="E1951" s="1">
        <v>298334347</v>
      </c>
      <c r="F1951" s="1">
        <v>0</v>
      </c>
      <c r="G1951" s="1">
        <v>0</v>
      </c>
      <c r="H1951" s="1">
        <v>0</v>
      </c>
      <c r="I1951" s="1">
        <v>0</v>
      </c>
    </row>
    <row r="1952" spans="1:9" ht="23.25">
      <c r="A1952" s="4" t="s">
        <v>72</v>
      </c>
      <c r="B1952" s="4"/>
      <c r="C1952" s="4" t="s">
        <v>37</v>
      </c>
      <c r="D1952" s="4"/>
      <c r="E1952" s="1">
        <v>1262474068</v>
      </c>
      <c r="F1952" s="1">
        <v>0</v>
      </c>
      <c r="G1952" s="1">
        <v>0</v>
      </c>
      <c r="H1952" s="1">
        <v>0</v>
      </c>
      <c r="I1952" s="1">
        <v>0</v>
      </c>
    </row>
    <row r="1953" spans="1:9" ht="23.25">
      <c r="A1953" s="4" t="s">
        <v>8</v>
      </c>
      <c r="B1953" s="4"/>
      <c r="C1953" s="4" t="s">
        <v>38</v>
      </c>
      <c r="D1953" s="4"/>
      <c r="E1953" s="1">
        <v>0</v>
      </c>
      <c r="F1953" s="1">
        <v>0</v>
      </c>
      <c r="G1953" s="1">
        <v>0</v>
      </c>
      <c r="H1953" s="1">
        <v>0</v>
      </c>
      <c r="I1953" s="1">
        <v>0</v>
      </c>
    </row>
    <row r="1954" spans="1:9" ht="23.25">
      <c r="A1954" s="4" t="s">
        <v>9</v>
      </c>
      <c r="B1954" s="4"/>
      <c r="C1954" s="4" t="s">
        <v>38</v>
      </c>
      <c r="D1954" s="4"/>
      <c r="E1954" s="1">
        <v>0</v>
      </c>
      <c r="F1954" s="1">
        <v>0</v>
      </c>
      <c r="G1954" s="1">
        <v>0</v>
      </c>
      <c r="H1954" s="1">
        <v>0</v>
      </c>
      <c r="I1954" s="1">
        <v>0</v>
      </c>
    </row>
    <row r="1955" spans="1:9" ht="23.25">
      <c r="A1955" s="4" t="s">
        <v>10</v>
      </c>
      <c r="B1955" s="4"/>
      <c r="C1955" s="4" t="s">
        <v>38</v>
      </c>
      <c r="D1955" s="4"/>
      <c r="E1955" s="1">
        <v>0</v>
      </c>
      <c r="F1955" s="1">
        <v>0</v>
      </c>
      <c r="G1955" s="1">
        <v>0</v>
      </c>
      <c r="H1955" s="1">
        <v>0</v>
      </c>
      <c r="I1955" s="1">
        <v>0</v>
      </c>
    </row>
    <row r="1956" spans="1:9" ht="23.25">
      <c r="A1956" s="4" t="s">
        <v>11</v>
      </c>
      <c r="B1956" s="4"/>
      <c r="C1956" s="4" t="s">
        <v>38</v>
      </c>
      <c r="D1956" s="4"/>
      <c r="E1956" s="1">
        <v>0</v>
      </c>
      <c r="F1956" s="1">
        <v>0</v>
      </c>
      <c r="G1956" s="1">
        <v>0</v>
      </c>
      <c r="H1956" s="1">
        <v>0</v>
      </c>
      <c r="I1956" s="1">
        <v>0</v>
      </c>
    </row>
    <row r="1957" spans="1:9" ht="23.25">
      <c r="A1957" s="4" t="s">
        <v>12</v>
      </c>
      <c r="B1957" s="4"/>
      <c r="C1957" s="4" t="s">
        <v>38</v>
      </c>
      <c r="D1957" s="4"/>
      <c r="E1957" s="1">
        <v>0</v>
      </c>
      <c r="F1957" s="1">
        <v>0</v>
      </c>
      <c r="G1957" s="1">
        <v>0</v>
      </c>
      <c r="H1957" s="1">
        <v>0</v>
      </c>
      <c r="I1957" s="1">
        <v>0</v>
      </c>
    </row>
    <row r="1958" spans="1:9" ht="23.25">
      <c r="A1958" s="4" t="s">
        <v>13</v>
      </c>
      <c r="B1958" s="4"/>
      <c r="C1958" s="4" t="s">
        <v>38</v>
      </c>
      <c r="D1958" s="4"/>
      <c r="E1958" s="1">
        <v>0</v>
      </c>
      <c r="F1958" s="1">
        <v>0</v>
      </c>
      <c r="G1958" s="1">
        <v>0</v>
      </c>
      <c r="H1958" s="1">
        <v>0</v>
      </c>
      <c r="I1958" s="1">
        <v>0</v>
      </c>
    </row>
    <row r="1959" spans="1:9" ht="23.25">
      <c r="A1959" s="4" t="s">
        <v>14</v>
      </c>
      <c r="B1959" s="4"/>
      <c r="C1959" s="4" t="s">
        <v>38</v>
      </c>
      <c r="D1959" s="4"/>
      <c r="E1959" s="1">
        <v>105841640</v>
      </c>
      <c r="F1959" s="1">
        <v>6645748</v>
      </c>
      <c r="G1959" s="1">
        <v>0</v>
      </c>
      <c r="H1959" s="1">
        <v>739717</v>
      </c>
      <c r="I1959" s="1">
        <v>114326</v>
      </c>
    </row>
    <row r="1960" spans="1:9" ht="23.25">
      <c r="A1960" s="4" t="s">
        <v>15</v>
      </c>
      <c r="B1960" s="4"/>
      <c r="C1960" s="4" t="s">
        <v>38</v>
      </c>
      <c r="D1960" s="4"/>
      <c r="E1960" s="1">
        <v>0</v>
      </c>
      <c r="F1960" s="1">
        <v>0</v>
      </c>
      <c r="G1960" s="1">
        <v>0</v>
      </c>
      <c r="H1960" s="1">
        <v>0</v>
      </c>
      <c r="I1960" s="1">
        <v>0</v>
      </c>
    </row>
    <row r="1961" spans="1:9" ht="23.25">
      <c r="A1961" s="4" t="s">
        <v>16</v>
      </c>
      <c r="B1961" s="4"/>
      <c r="C1961" s="4" t="s">
        <v>38</v>
      </c>
      <c r="D1961" s="4"/>
      <c r="E1961" s="1">
        <v>0</v>
      </c>
      <c r="F1961" s="1">
        <v>0</v>
      </c>
      <c r="G1961" s="1">
        <v>0</v>
      </c>
      <c r="H1961" s="1">
        <v>0</v>
      </c>
      <c r="I1961" s="1">
        <v>0</v>
      </c>
    </row>
    <row r="1962" spans="1:9" ht="23.25">
      <c r="A1962" s="4" t="s">
        <v>17</v>
      </c>
      <c r="B1962" s="4"/>
      <c r="C1962" s="4" t="s">
        <v>38</v>
      </c>
      <c r="D1962" s="4"/>
      <c r="E1962" s="1">
        <v>110393</v>
      </c>
      <c r="F1962" s="1">
        <v>7581</v>
      </c>
      <c r="G1962" s="1">
        <v>10848</v>
      </c>
      <c r="H1962" s="1">
        <v>630</v>
      </c>
      <c r="I1962" s="1">
        <v>0</v>
      </c>
    </row>
    <row r="1963" spans="1:9" ht="23.25">
      <c r="A1963" s="4" t="s">
        <v>18</v>
      </c>
      <c r="B1963" s="4"/>
      <c r="C1963" s="4" t="s">
        <v>38</v>
      </c>
      <c r="D1963" s="4"/>
      <c r="E1963" s="1">
        <v>0</v>
      </c>
      <c r="F1963" s="1">
        <v>0</v>
      </c>
      <c r="G1963" s="1">
        <v>0</v>
      </c>
      <c r="H1963" s="1">
        <v>0</v>
      </c>
      <c r="I1963" s="1">
        <v>0</v>
      </c>
    </row>
    <row r="1964" spans="1:9" ht="23.25">
      <c r="A1964" s="4" t="s">
        <v>19</v>
      </c>
      <c r="B1964" s="4"/>
      <c r="C1964" s="4" t="s">
        <v>38</v>
      </c>
      <c r="D1964" s="4"/>
      <c r="E1964" s="1">
        <v>0</v>
      </c>
      <c r="F1964" s="1">
        <v>0</v>
      </c>
      <c r="G1964" s="1">
        <v>0</v>
      </c>
      <c r="H1964" s="1">
        <v>0</v>
      </c>
      <c r="I1964" s="1">
        <v>0</v>
      </c>
    </row>
    <row r="1965" spans="1:9" ht="23.25">
      <c r="A1965" s="4" t="s">
        <v>20</v>
      </c>
      <c r="B1965" s="4"/>
      <c r="C1965" s="4" t="s">
        <v>38</v>
      </c>
      <c r="D1965" s="4"/>
      <c r="E1965" s="1">
        <v>0</v>
      </c>
      <c r="F1965" s="1">
        <v>0</v>
      </c>
      <c r="G1965" s="1">
        <v>0</v>
      </c>
      <c r="H1965" s="1">
        <v>0</v>
      </c>
      <c r="I1965" s="1">
        <v>0</v>
      </c>
    </row>
    <row r="1966" spans="1:9" ht="23.25">
      <c r="A1966" s="4" t="s">
        <v>21</v>
      </c>
      <c r="B1966" s="4"/>
      <c r="C1966" s="4" t="s">
        <v>38</v>
      </c>
      <c r="D1966" s="4"/>
      <c r="E1966" s="1">
        <v>143094</v>
      </c>
      <c r="F1966" s="1">
        <v>11885</v>
      </c>
      <c r="G1966" s="1">
        <v>0</v>
      </c>
      <c r="H1966" s="1">
        <v>11450</v>
      </c>
      <c r="I1966" s="1">
        <v>0</v>
      </c>
    </row>
    <row r="1967" spans="1:9" ht="23.25">
      <c r="A1967" s="4" t="s">
        <v>22</v>
      </c>
      <c r="B1967" s="4"/>
      <c r="C1967" s="4" t="s">
        <v>38</v>
      </c>
      <c r="D1967" s="4"/>
      <c r="E1967" s="1">
        <v>0</v>
      </c>
      <c r="F1967" s="1">
        <v>0</v>
      </c>
      <c r="G1967" s="1">
        <v>0</v>
      </c>
      <c r="H1967" s="1">
        <v>0</v>
      </c>
      <c r="I1967" s="1">
        <v>0</v>
      </c>
    </row>
    <row r="1968" spans="1:9" ht="23.25">
      <c r="A1968" s="4" t="s">
        <v>23</v>
      </c>
      <c r="B1968" s="4"/>
      <c r="C1968" s="4" t="s">
        <v>38</v>
      </c>
      <c r="D1968" s="4"/>
      <c r="E1968" s="1">
        <v>0</v>
      </c>
      <c r="F1968" s="1">
        <v>0</v>
      </c>
      <c r="G1968" s="1">
        <v>0</v>
      </c>
      <c r="H1968" s="1">
        <v>0</v>
      </c>
      <c r="I1968" s="1">
        <v>0</v>
      </c>
    </row>
    <row r="1969" spans="1:9" ht="23.25">
      <c r="A1969" s="4" t="s">
        <v>24</v>
      </c>
      <c r="B1969" s="4"/>
      <c r="C1969" s="4" t="s">
        <v>38</v>
      </c>
      <c r="D1969" s="4"/>
      <c r="E1969" s="1">
        <v>509172</v>
      </c>
      <c r="F1969" s="1">
        <v>22760</v>
      </c>
      <c r="G1969" s="1">
        <v>23212</v>
      </c>
      <c r="H1969" s="1">
        <v>7679</v>
      </c>
      <c r="I1969" s="1">
        <v>0</v>
      </c>
    </row>
    <row r="1970" spans="1:9" ht="23.25">
      <c r="A1970" s="4" t="s">
        <v>25</v>
      </c>
      <c r="B1970" s="4"/>
      <c r="C1970" s="4" t="s">
        <v>38</v>
      </c>
      <c r="D1970" s="4"/>
      <c r="E1970" s="1">
        <v>69370</v>
      </c>
      <c r="F1970" s="1">
        <v>1465</v>
      </c>
      <c r="G1970" s="1">
        <v>0</v>
      </c>
      <c r="H1970" s="1">
        <v>900</v>
      </c>
      <c r="I1970" s="1">
        <v>0</v>
      </c>
    </row>
    <row r="1971" spans="1:9" ht="23.25">
      <c r="A1971" s="4" t="s">
        <v>26</v>
      </c>
      <c r="B1971" s="4"/>
      <c r="C1971" s="4" t="s">
        <v>38</v>
      </c>
      <c r="D1971" s="4"/>
      <c r="E1971" s="1">
        <v>0</v>
      </c>
      <c r="F1971" s="1">
        <v>0</v>
      </c>
      <c r="G1971" s="1">
        <v>0</v>
      </c>
      <c r="H1971" s="1">
        <v>0</v>
      </c>
      <c r="I1971" s="1">
        <v>0</v>
      </c>
    </row>
    <row r="1972" spans="1:9" ht="23.25">
      <c r="A1972" s="4" t="s">
        <v>27</v>
      </c>
      <c r="B1972" s="4"/>
      <c r="C1972" s="4" t="s">
        <v>38</v>
      </c>
      <c r="D1972" s="4"/>
      <c r="E1972" s="1">
        <v>0</v>
      </c>
      <c r="F1972" s="1">
        <v>0</v>
      </c>
      <c r="G1972" s="1">
        <v>0</v>
      </c>
      <c r="H1972" s="1">
        <v>0</v>
      </c>
      <c r="I1972" s="1">
        <v>0</v>
      </c>
    </row>
    <row r="1973" spans="1:9" ht="23.25">
      <c r="A1973" s="4" t="s">
        <v>28</v>
      </c>
      <c r="B1973" s="4"/>
      <c r="C1973" s="4" t="s">
        <v>38</v>
      </c>
      <c r="D1973" s="4"/>
      <c r="E1973" s="1">
        <v>0</v>
      </c>
      <c r="F1973" s="1">
        <v>0</v>
      </c>
      <c r="G1973" s="1">
        <v>0</v>
      </c>
      <c r="H1973" s="1">
        <v>0</v>
      </c>
      <c r="I1973" s="1">
        <v>0</v>
      </c>
    </row>
    <row r="1974" spans="1:9" ht="23.25">
      <c r="A1974" s="4" t="s">
        <v>29</v>
      </c>
      <c r="B1974" s="4"/>
      <c r="C1974" s="4" t="s">
        <v>38</v>
      </c>
      <c r="D1974" s="4"/>
      <c r="E1974" s="1">
        <v>0</v>
      </c>
      <c r="F1974" s="1">
        <v>0</v>
      </c>
      <c r="G1974" s="1">
        <v>0</v>
      </c>
      <c r="H1974" s="1">
        <v>0</v>
      </c>
      <c r="I1974" s="1">
        <v>0</v>
      </c>
    </row>
    <row r="1975" spans="1:9" ht="23.25">
      <c r="A1975" s="4" t="s">
        <v>30</v>
      </c>
      <c r="B1975" s="4"/>
      <c r="C1975" s="4" t="s">
        <v>38</v>
      </c>
      <c r="D1975" s="4"/>
      <c r="E1975" s="1">
        <v>12935418</v>
      </c>
      <c r="F1975" s="1">
        <v>2573877</v>
      </c>
      <c r="G1975" s="1">
        <v>1095524</v>
      </c>
      <c r="H1975" s="1">
        <v>203887</v>
      </c>
      <c r="I1975" s="1">
        <v>8733097</v>
      </c>
    </row>
    <row r="1976" spans="1:9" ht="23.25">
      <c r="A1976" s="4" t="s">
        <v>31</v>
      </c>
      <c r="B1976" s="4"/>
      <c r="C1976" s="4" t="s">
        <v>38</v>
      </c>
      <c r="D1976" s="4"/>
      <c r="E1976" s="1">
        <v>1475822</v>
      </c>
      <c r="F1976" s="1">
        <v>37260</v>
      </c>
      <c r="G1976" s="1">
        <v>79425</v>
      </c>
      <c r="H1976" s="1">
        <v>9492</v>
      </c>
      <c r="I1976" s="1">
        <v>1222032</v>
      </c>
    </row>
    <row r="1977" spans="1:9" ht="23.25">
      <c r="A1977" s="4" t="s">
        <v>32</v>
      </c>
      <c r="B1977" s="4"/>
      <c r="C1977" s="4" t="s">
        <v>38</v>
      </c>
      <c r="D1977" s="4"/>
      <c r="E1977" s="1">
        <v>354079</v>
      </c>
      <c r="F1977" s="1">
        <v>6946</v>
      </c>
      <c r="G1977" s="1">
        <v>17591</v>
      </c>
      <c r="H1977" s="1">
        <v>3728</v>
      </c>
      <c r="I1977" s="1">
        <v>0</v>
      </c>
    </row>
    <row r="1978" spans="1:9" ht="23.25">
      <c r="A1978" s="4" t="s">
        <v>33</v>
      </c>
      <c r="B1978" s="4"/>
      <c r="C1978" s="4" t="s">
        <v>38</v>
      </c>
      <c r="D1978" s="4"/>
      <c r="E1978" s="1">
        <v>4532</v>
      </c>
      <c r="F1978" s="1">
        <v>491</v>
      </c>
      <c r="G1978" s="1">
        <v>465</v>
      </c>
      <c r="H1978" s="1">
        <v>46</v>
      </c>
      <c r="I1978" s="1">
        <v>0</v>
      </c>
    </row>
    <row r="1979" spans="1:9" ht="23.25">
      <c r="A1979" s="4" t="s">
        <v>34</v>
      </c>
      <c r="B1979" s="4"/>
      <c r="C1979" s="4" t="s">
        <v>38</v>
      </c>
      <c r="D1979" s="4"/>
      <c r="E1979" s="1">
        <v>51884519</v>
      </c>
      <c r="F1979" s="1">
        <v>2903294</v>
      </c>
      <c r="G1979" s="1">
        <v>2065102</v>
      </c>
      <c r="H1979" s="1">
        <v>687142</v>
      </c>
      <c r="I1979" s="1">
        <v>34538598</v>
      </c>
    </row>
    <row r="1980" spans="1:9" ht="23.25">
      <c r="A1980" s="4" t="s">
        <v>35</v>
      </c>
      <c r="B1980" s="4"/>
      <c r="C1980" s="4" t="s">
        <v>38</v>
      </c>
      <c r="D1980" s="4"/>
      <c r="E1980" s="1">
        <v>0</v>
      </c>
      <c r="F1980" s="1">
        <v>0</v>
      </c>
      <c r="G1980" s="1">
        <v>0</v>
      </c>
      <c r="H1980" s="1">
        <v>0</v>
      </c>
      <c r="I1980" s="1">
        <v>0</v>
      </c>
    </row>
    <row r="1981" spans="1:9" ht="23.25">
      <c r="A1981" s="4" t="s">
        <v>36</v>
      </c>
      <c r="B1981" s="4"/>
      <c r="C1981" s="4" t="s">
        <v>38</v>
      </c>
      <c r="D1981" s="4"/>
      <c r="E1981" s="1">
        <v>3300001</v>
      </c>
      <c r="F1981" s="1">
        <v>178745</v>
      </c>
      <c r="G1981" s="1">
        <v>203927</v>
      </c>
      <c r="H1981" s="1">
        <v>44724</v>
      </c>
      <c r="I1981" s="1">
        <v>2524890</v>
      </c>
    </row>
    <row r="1982" spans="1:9" ht="23.25">
      <c r="A1982" s="4" t="s">
        <v>37</v>
      </c>
      <c r="B1982" s="4"/>
      <c r="C1982" s="4" t="s">
        <v>38</v>
      </c>
      <c r="D1982" s="4"/>
      <c r="E1982" s="1">
        <v>7351233</v>
      </c>
      <c r="F1982" s="1">
        <v>308992</v>
      </c>
      <c r="G1982" s="1">
        <v>294059</v>
      </c>
      <c r="H1982" s="1">
        <v>67592</v>
      </c>
      <c r="I1982" s="1">
        <v>1335319</v>
      </c>
    </row>
    <row r="1983" spans="1:9" ht="23.25">
      <c r="A1983" s="4" t="s">
        <v>38</v>
      </c>
      <c r="B1983" s="4"/>
      <c r="C1983" s="4" t="s">
        <v>38</v>
      </c>
      <c r="D1983" s="4"/>
      <c r="E1983" s="1">
        <v>57247160</v>
      </c>
      <c r="F1983" s="1">
        <v>6243825</v>
      </c>
      <c r="G1983" s="1">
        <v>7037091</v>
      </c>
      <c r="H1983" s="1">
        <v>1863039</v>
      </c>
      <c r="I1983" s="1">
        <v>3935041</v>
      </c>
    </row>
    <row r="1984" spans="1:9" ht="23.25">
      <c r="A1984" s="4" t="s">
        <v>39</v>
      </c>
      <c r="B1984" s="4"/>
      <c r="C1984" s="4" t="s">
        <v>38</v>
      </c>
      <c r="D1984" s="4"/>
      <c r="E1984" s="1">
        <v>4567844</v>
      </c>
      <c r="F1984" s="1">
        <v>93449</v>
      </c>
      <c r="G1984" s="1">
        <v>107801</v>
      </c>
      <c r="H1984" s="1">
        <v>32852</v>
      </c>
      <c r="I1984" s="1">
        <v>1682314</v>
      </c>
    </row>
    <row r="1985" spans="1:9" ht="23.25">
      <c r="A1985" s="4" t="s">
        <v>40</v>
      </c>
      <c r="B1985" s="4"/>
      <c r="C1985" s="4" t="s">
        <v>38</v>
      </c>
      <c r="D1985" s="4"/>
      <c r="E1985" s="1">
        <v>0</v>
      </c>
      <c r="F1985" s="1">
        <v>0</v>
      </c>
      <c r="G1985" s="1">
        <v>0</v>
      </c>
      <c r="H1985" s="1">
        <v>0</v>
      </c>
      <c r="I1985" s="1">
        <v>0</v>
      </c>
    </row>
    <row r="1986" spans="1:9" ht="23.25">
      <c r="A1986" s="4" t="s">
        <v>41</v>
      </c>
      <c r="B1986" s="4"/>
      <c r="C1986" s="4" t="s">
        <v>38</v>
      </c>
      <c r="D1986" s="4"/>
      <c r="E1986" s="1">
        <v>0</v>
      </c>
      <c r="F1986" s="1">
        <v>0</v>
      </c>
      <c r="G1986" s="1">
        <v>0</v>
      </c>
      <c r="H1986" s="1">
        <v>0</v>
      </c>
      <c r="I1986" s="1">
        <v>0</v>
      </c>
    </row>
    <row r="1987" spans="1:9" ht="23.25">
      <c r="A1987" s="4" t="s">
        <v>42</v>
      </c>
      <c r="B1987" s="4"/>
      <c r="C1987" s="4" t="s">
        <v>38</v>
      </c>
      <c r="D1987" s="4"/>
      <c r="E1987" s="1">
        <v>2153330</v>
      </c>
      <c r="F1987" s="1">
        <v>92084</v>
      </c>
      <c r="G1987" s="1">
        <v>100882</v>
      </c>
      <c r="H1987" s="1">
        <v>23097</v>
      </c>
      <c r="I1987" s="1">
        <v>547581</v>
      </c>
    </row>
    <row r="1988" spans="1:9" ht="23.25">
      <c r="A1988" s="4" t="s">
        <v>43</v>
      </c>
      <c r="B1988" s="4"/>
      <c r="C1988" s="4" t="s">
        <v>38</v>
      </c>
      <c r="D1988" s="4"/>
      <c r="E1988" s="1">
        <v>0</v>
      </c>
      <c r="F1988" s="1">
        <v>0</v>
      </c>
      <c r="G1988" s="1">
        <v>0</v>
      </c>
      <c r="H1988" s="1">
        <v>0</v>
      </c>
      <c r="I1988" s="1">
        <v>0</v>
      </c>
    </row>
    <row r="1989" spans="1:9" ht="23.25">
      <c r="A1989" s="4" t="s">
        <v>44</v>
      </c>
      <c r="B1989" s="4"/>
      <c r="C1989" s="4" t="s">
        <v>38</v>
      </c>
      <c r="D1989" s="4"/>
      <c r="E1989" s="1">
        <v>2257160</v>
      </c>
      <c r="F1989" s="1">
        <v>26574</v>
      </c>
      <c r="G1989" s="1">
        <v>43244</v>
      </c>
      <c r="H1989" s="1">
        <v>4472</v>
      </c>
      <c r="I1989" s="1">
        <v>1775074</v>
      </c>
    </row>
    <row r="1990" spans="1:9" ht="23.25">
      <c r="A1990" s="4" t="s">
        <v>45</v>
      </c>
      <c r="B1990" s="4"/>
      <c r="C1990" s="4" t="s">
        <v>38</v>
      </c>
      <c r="D1990" s="4"/>
      <c r="E1990" s="1">
        <v>1877097</v>
      </c>
      <c r="F1990" s="1">
        <v>99874</v>
      </c>
      <c r="G1990" s="1">
        <v>0</v>
      </c>
      <c r="H1990" s="1">
        <v>20901</v>
      </c>
      <c r="I1990" s="1">
        <v>505482</v>
      </c>
    </row>
    <row r="1991" spans="1:9" ht="23.25">
      <c r="A1991" s="4" t="s">
        <v>46</v>
      </c>
      <c r="B1991" s="4"/>
      <c r="C1991" s="4" t="s">
        <v>38</v>
      </c>
      <c r="D1991" s="4"/>
      <c r="E1991" s="1">
        <v>93000</v>
      </c>
      <c r="F1991" s="1">
        <v>4938</v>
      </c>
      <c r="G1991" s="1">
        <v>2471</v>
      </c>
      <c r="H1991" s="1">
        <v>925</v>
      </c>
      <c r="I1991" s="1">
        <v>0</v>
      </c>
    </row>
    <row r="1992" spans="1:9" ht="23.25">
      <c r="A1992" s="4" t="s">
        <v>47</v>
      </c>
      <c r="B1992" s="4"/>
      <c r="C1992" s="4" t="s">
        <v>38</v>
      </c>
      <c r="D1992" s="4"/>
      <c r="E1992" s="1">
        <v>883377</v>
      </c>
      <c r="F1992" s="1">
        <v>0</v>
      </c>
      <c r="G1992" s="1">
        <v>0</v>
      </c>
      <c r="H1992" s="1">
        <v>0</v>
      </c>
      <c r="I1992" s="1">
        <v>0</v>
      </c>
    </row>
    <row r="1993" spans="1:9" ht="23.25">
      <c r="A1993" s="4" t="s">
        <v>48</v>
      </c>
      <c r="B1993" s="4"/>
      <c r="C1993" s="4" t="s">
        <v>38</v>
      </c>
      <c r="D1993" s="4"/>
      <c r="E1993" s="1">
        <v>0</v>
      </c>
      <c r="F1993" s="1">
        <v>0</v>
      </c>
      <c r="G1993" s="1">
        <v>0</v>
      </c>
      <c r="H1993" s="1">
        <v>0</v>
      </c>
      <c r="I1993" s="1">
        <v>0</v>
      </c>
    </row>
    <row r="1994" spans="1:9" ht="23.25">
      <c r="A1994" s="4" t="s">
        <v>49</v>
      </c>
      <c r="B1994" s="4"/>
      <c r="C1994" s="4" t="s">
        <v>38</v>
      </c>
      <c r="D1994" s="4"/>
      <c r="E1994" s="1">
        <v>0</v>
      </c>
      <c r="F1994" s="1">
        <v>0</v>
      </c>
      <c r="G1994" s="1">
        <v>0</v>
      </c>
      <c r="H1994" s="1">
        <v>0</v>
      </c>
      <c r="I1994" s="1">
        <v>0</v>
      </c>
    </row>
    <row r="1995" spans="1:9" ht="23.25">
      <c r="A1995" s="4" t="s">
        <v>50</v>
      </c>
      <c r="B1995" s="4"/>
      <c r="C1995" s="4" t="s">
        <v>38</v>
      </c>
      <c r="D1995" s="4"/>
      <c r="E1995" s="1">
        <v>88958</v>
      </c>
      <c r="F1995" s="1">
        <v>7357</v>
      </c>
      <c r="G1995" s="1">
        <v>7789</v>
      </c>
      <c r="H1995" s="1">
        <v>706</v>
      </c>
      <c r="I1995" s="1">
        <v>0</v>
      </c>
    </row>
    <row r="1996" spans="1:9" ht="23.25">
      <c r="A1996" s="4" t="s">
        <v>51</v>
      </c>
      <c r="B1996" s="4"/>
      <c r="C1996" s="4" t="s">
        <v>38</v>
      </c>
      <c r="D1996" s="4"/>
      <c r="E1996" s="1">
        <v>648199</v>
      </c>
      <c r="F1996" s="1">
        <v>42847</v>
      </c>
      <c r="G1996" s="1">
        <v>40059</v>
      </c>
      <c r="H1996" s="1">
        <v>7406</v>
      </c>
      <c r="I1996" s="1">
        <v>0</v>
      </c>
    </row>
    <row r="1997" spans="1:9" ht="23.25">
      <c r="A1997" s="4" t="s">
        <v>52</v>
      </c>
      <c r="B1997" s="4"/>
      <c r="C1997" s="4" t="s">
        <v>38</v>
      </c>
      <c r="D1997" s="4"/>
      <c r="E1997" s="1">
        <v>7336351</v>
      </c>
      <c r="F1997" s="1">
        <v>2739</v>
      </c>
      <c r="G1997" s="1">
        <v>5852</v>
      </c>
      <c r="H1997" s="1">
        <v>624</v>
      </c>
      <c r="I1997" s="1">
        <v>0</v>
      </c>
    </row>
    <row r="1998" spans="1:9" ht="23.25">
      <c r="A1998" s="4" t="s">
        <v>53</v>
      </c>
      <c r="B1998" s="4"/>
      <c r="C1998" s="4" t="s">
        <v>38</v>
      </c>
      <c r="D1998" s="4"/>
      <c r="E1998" s="1">
        <v>115600</v>
      </c>
      <c r="F1998" s="1">
        <v>0</v>
      </c>
      <c r="G1998" s="1">
        <v>0</v>
      </c>
      <c r="H1998" s="1">
        <v>0</v>
      </c>
      <c r="I1998" s="1">
        <v>0</v>
      </c>
    </row>
    <row r="1999" spans="1:9" ht="23.25">
      <c r="A1999" s="4" t="s">
        <v>54</v>
      </c>
      <c r="B1999" s="4"/>
      <c r="C1999" s="4" t="s">
        <v>38</v>
      </c>
      <c r="D1999" s="4"/>
      <c r="E1999" s="1">
        <v>194454</v>
      </c>
      <c r="F1999" s="1">
        <v>0</v>
      </c>
      <c r="G1999" s="1">
        <v>0</v>
      </c>
      <c r="H1999" s="1">
        <v>0</v>
      </c>
      <c r="I1999" s="1">
        <v>0</v>
      </c>
    </row>
    <row r="2000" spans="1:9" ht="23.25">
      <c r="A2000" s="4" t="s">
        <v>55</v>
      </c>
      <c r="B2000" s="4"/>
      <c r="C2000" s="4" t="s">
        <v>38</v>
      </c>
      <c r="D2000" s="4"/>
      <c r="E2000" s="1">
        <v>0</v>
      </c>
      <c r="F2000" s="1">
        <v>0</v>
      </c>
      <c r="G2000" s="1">
        <v>0</v>
      </c>
      <c r="H2000" s="1">
        <v>0</v>
      </c>
      <c r="I2000" s="1">
        <v>0</v>
      </c>
    </row>
    <row r="2001" spans="1:9" ht="23.25">
      <c r="A2001" s="4" t="s">
        <v>56</v>
      </c>
      <c r="B2001" s="4"/>
      <c r="C2001" s="4" t="s">
        <v>38</v>
      </c>
      <c r="D2001" s="4"/>
      <c r="E2001" s="1">
        <v>0</v>
      </c>
      <c r="F2001" s="1">
        <v>-19312731</v>
      </c>
      <c r="G2001" s="1">
        <v>-11135342</v>
      </c>
      <c r="H2001" s="1">
        <v>0</v>
      </c>
      <c r="I2001" s="1">
        <v>0</v>
      </c>
    </row>
    <row r="2002" spans="1:9" ht="23.25">
      <c r="A2002" s="4" t="s">
        <v>57</v>
      </c>
      <c r="B2002" s="4"/>
      <c r="C2002" s="4" t="s">
        <v>38</v>
      </c>
      <c r="D2002" s="4"/>
      <c r="E2002" s="1">
        <v>638527</v>
      </c>
      <c r="F2002" s="1">
        <v>0</v>
      </c>
      <c r="G2002" s="1">
        <v>0</v>
      </c>
      <c r="H2002" s="1">
        <v>0</v>
      </c>
      <c r="I2002" s="1">
        <v>0</v>
      </c>
    </row>
    <row r="2003" spans="1:9" ht="23.25">
      <c r="A2003" s="4" t="s">
        <v>58</v>
      </c>
      <c r="B2003" s="4"/>
      <c r="C2003" s="4" t="s">
        <v>38</v>
      </c>
      <c r="D2003" s="4"/>
      <c r="E2003" s="1">
        <v>1476399</v>
      </c>
      <c r="F2003" s="1">
        <v>0</v>
      </c>
      <c r="G2003" s="1">
        <v>0</v>
      </c>
      <c r="H2003" s="1">
        <v>-3731009</v>
      </c>
      <c r="I2003" s="1">
        <v>0</v>
      </c>
    </row>
    <row r="2004" spans="1:9" ht="23.25">
      <c r="A2004" s="4" t="s">
        <v>59</v>
      </c>
      <c r="B2004" s="4"/>
      <c r="C2004" s="4" t="s">
        <v>38</v>
      </c>
      <c r="D2004" s="4"/>
      <c r="E2004" s="1">
        <v>155081</v>
      </c>
      <c r="F2004" s="1">
        <v>0</v>
      </c>
      <c r="G2004" s="1">
        <v>0</v>
      </c>
      <c r="H2004" s="1">
        <v>0</v>
      </c>
      <c r="I2004" s="1">
        <v>0</v>
      </c>
    </row>
    <row r="2005" spans="1:9" ht="23.25">
      <c r="A2005" s="4" t="s">
        <v>60</v>
      </c>
      <c r="B2005" s="4"/>
      <c r="C2005" s="4" t="s">
        <v>38</v>
      </c>
      <c r="D2005" s="4"/>
      <c r="E2005" s="1">
        <v>3681415</v>
      </c>
      <c r="F2005" s="1">
        <v>0</v>
      </c>
      <c r="G2005" s="1">
        <v>0</v>
      </c>
      <c r="H2005" s="1">
        <v>0</v>
      </c>
      <c r="I2005" s="1">
        <v>0</v>
      </c>
    </row>
    <row r="2006" spans="1:9" ht="23.25">
      <c r="A2006" s="4" t="s">
        <v>61</v>
      </c>
      <c r="B2006" s="4"/>
      <c r="C2006" s="4" t="s">
        <v>38</v>
      </c>
      <c r="D2006" s="4"/>
      <c r="E2006" s="1">
        <v>311791</v>
      </c>
      <c r="F2006" s="1">
        <v>0</v>
      </c>
      <c r="G2006" s="1">
        <v>0</v>
      </c>
      <c r="H2006" s="1">
        <v>0</v>
      </c>
      <c r="I2006" s="1">
        <v>0</v>
      </c>
    </row>
    <row r="2007" spans="1:9" ht="23.25">
      <c r="A2007" s="4" t="s">
        <v>62</v>
      </c>
      <c r="B2007" s="4"/>
      <c r="C2007" s="4" t="s">
        <v>38</v>
      </c>
      <c r="D2007" s="4"/>
      <c r="E2007" s="1">
        <v>4652796</v>
      </c>
      <c r="F2007" s="1">
        <v>0</v>
      </c>
      <c r="G2007" s="1">
        <v>0</v>
      </c>
      <c r="H2007" s="1">
        <v>0</v>
      </c>
      <c r="I2007" s="1">
        <v>0</v>
      </c>
    </row>
    <row r="2008" spans="1:9" ht="23.25">
      <c r="A2008" s="4" t="s">
        <v>63</v>
      </c>
      <c r="B2008" s="4"/>
      <c r="C2008" s="4" t="s">
        <v>38</v>
      </c>
      <c r="D2008" s="4"/>
      <c r="E2008" s="1">
        <v>115795</v>
      </c>
      <c r="F2008" s="1">
        <v>0</v>
      </c>
      <c r="G2008" s="1">
        <v>0</v>
      </c>
      <c r="H2008" s="1">
        <v>0</v>
      </c>
      <c r="I2008" s="1">
        <v>0</v>
      </c>
    </row>
    <row r="2009" spans="1:9" ht="23.25">
      <c r="A2009" s="4" t="s">
        <v>64</v>
      </c>
      <c r="B2009" s="4"/>
      <c r="C2009" s="4" t="s">
        <v>38</v>
      </c>
      <c r="D2009" s="4"/>
      <c r="E2009" s="1">
        <v>365501</v>
      </c>
      <c r="F2009" s="1">
        <v>0</v>
      </c>
      <c r="G2009" s="1">
        <v>0</v>
      </c>
      <c r="H2009" s="1">
        <v>0</v>
      </c>
      <c r="I2009" s="1">
        <v>0</v>
      </c>
    </row>
    <row r="2010" spans="1:9" ht="23.25">
      <c r="A2010" s="4" t="s">
        <v>65</v>
      </c>
      <c r="B2010" s="4"/>
      <c r="C2010" s="4" t="s">
        <v>38</v>
      </c>
      <c r="D2010" s="4"/>
      <c r="E2010" s="1">
        <v>717350</v>
      </c>
      <c r="F2010" s="1">
        <v>0</v>
      </c>
      <c r="G2010" s="1">
        <v>0</v>
      </c>
      <c r="H2010" s="1">
        <v>0</v>
      </c>
      <c r="I2010" s="1">
        <v>75054</v>
      </c>
    </row>
    <row r="2011" spans="1:9" ht="23.25">
      <c r="A2011" s="4" t="s">
        <v>66</v>
      </c>
      <c r="B2011" s="4"/>
      <c r="C2011" s="4" t="s">
        <v>38</v>
      </c>
      <c r="D2011" s="4"/>
      <c r="E2011" s="1">
        <v>273556458</v>
      </c>
      <c r="F2011" s="1">
        <v>0</v>
      </c>
      <c r="G2011" s="1">
        <v>0</v>
      </c>
      <c r="H2011" s="1">
        <v>0</v>
      </c>
      <c r="I2011" s="1">
        <v>56988808</v>
      </c>
    </row>
    <row r="2012" spans="1:9" ht="23.25">
      <c r="A2012" s="4" t="s">
        <v>67</v>
      </c>
      <c r="B2012" s="4"/>
      <c r="C2012" s="4" t="s">
        <v>38</v>
      </c>
      <c r="D2012" s="4"/>
      <c r="E2012" s="1">
        <v>23030390</v>
      </c>
      <c r="F2012" s="1">
        <v>0</v>
      </c>
      <c r="G2012" s="1">
        <v>0</v>
      </c>
      <c r="H2012" s="1">
        <v>0</v>
      </c>
      <c r="I2012" s="1">
        <v>0</v>
      </c>
    </row>
    <row r="2013" spans="1:9" ht="23.25">
      <c r="A2013" s="4" t="s">
        <v>68</v>
      </c>
      <c r="B2013" s="4"/>
      <c r="C2013" s="4" t="s">
        <v>38</v>
      </c>
      <c r="D2013" s="4"/>
      <c r="E2013" s="1">
        <v>37332756</v>
      </c>
      <c r="F2013" s="1">
        <v>0</v>
      </c>
      <c r="G2013" s="1">
        <v>0</v>
      </c>
      <c r="H2013" s="1">
        <v>0</v>
      </c>
      <c r="I2013" s="1">
        <v>0</v>
      </c>
    </row>
    <row r="2014" spans="1:9" ht="23.25">
      <c r="A2014" s="4" t="s">
        <v>69</v>
      </c>
      <c r="B2014" s="4"/>
      <c r="C2014" s="4" t="s">
        <v>38</v>
      </c>
      <c r="D2014" s="4"/>
      <c r="E2014" s="1">
        <v>23223244</v>
      </c>
      <c r="F2014" s="1">
        <v>0</v>
      </c>
      <c r="G2014" s="1">
        <v>0</v>
      </c>
      <c r="H2014" s="1">
        <v>0</v>
      </c>
      <c r="I2014" s="1">
        <v>0</v>
      </c>
    </row>
    <row r="2015" spans="1:9" ht="23.25">
      <c r="A2015" s="4" t="s">
        <v>70</v>
      </c>
      <c r="B2015" s="4"/>
      <c r="C2015" s="4" t="s">
        <v>38</v>
      </c>
      <c r="D2015" s="4"/>
      <c r="E2015" s="1">
        <v>8217988</v>
      </c>
      <c r="F2015" s="1">
        <v>0</v>
      </c>
      <c r="G2015" s="1">
        <v>0</v>
      </c>
      <c r="H2015" s="1">
        <v>0</v>
      </c>
      <c r="I2015" s="1">
        <v>0</v>
      </c>
    </row>
    <row r="2016" spans="1:9" ht="23.25">
      <c r="A2016" s="4" t="s">
        <v>71</v>
      </c>
      <c r="B2016" s="4"/>
      <c r="C2016" s="4" t="s">
        <v>38</v>
      </c>
      <c r="D2016" s="4"/>
      <c r="E2016" s="1">
        <v>91804378</v>
      </c>
      <c r="F2016" s="1">
        <v>0</v>
      </c>
      <c r="G2016" s="1">
        <v>0</v>
      </c>
      <c r="H2016" s="1">
        <v>0</v>
      </c>
      <c r="I2016" s="1">
        <v>0</v>
      </c>
    </row>
    <row r="2017" spans="1:9" ht="23.25">
      <c r="A2017" s="4" t="s">
        <v>72</v>
      </c>
      <c r="B2017" s="4"/>
      <c r="C2017" s="4" t="s">
        <v>38</v>
      </c>
      <c r="D2017" s="4"/>
      <c r="E2017" s="1">
        <v>365360836</v>
      </c>
      <c r="F2017" s="1">
        <v>0</v>
      </c>
      <c r="G2017" s="1">
        <v>0</v>
      </c>
      <c r="H2017" s="1">
        <v>0</v>
      </c>
      <c r="I2017" s="1">
        <v>0</v>
      </c>
    </row>
    <row r="2018" spans="1:9" ht="23.25">
      <c r="A2018" s="4" t="s">
        <v>8</v>
      </c>
      <c r="B2018" s="4"/>
      <c r="C2018" s="4" t="s">
        <v>39</v>
      </c>
      <c r="D2018" s="4"/>
      <c r="E2018" s="1">
        <v>0</v>
      </c>
      <c r="F2018" s="1">
        <v>0</v>
      </c>
      <c r="G2018" s="1">
        <v>0</v>
      </c>
      <c r="H2018" s="1">
        <v>0</v>
      </c>
      <c r="I2018" s="1">
        <v>0</v>
      </c>
    </row>
    <row r="2019" spans="1:9" ht="23.25">
      <c r="A2019" s="4" t="s">
        <v>9</v>
      </c>
      <c r="B2019" s="4"/>
      <c r="C2019" s="4" t="s">
        <v>39</v>
      </c>
      <c r="D2019" s="4"/>
      <c r="E2019" s="1">
        <v>0</v>
      </c>
      <c r="F2019" s="1">
        <v>0</v>
      </c>
      <c r="G2019" s="1">
        <v>0</v>
      </c>
      <c r="H2019" s="1">
        <v>0</v>
      </c>
      <c r="I2019" s="1">
        <v>0</v>
      </c>
    </row>
    <row r="2020" spans="1:9" ht="23.25">
      <c r="A2020" s="4" t="s">
        <v>10</v>
      </c>
      <c r="B2020" s="4"/>
      <c r="C2020" s="4" t="s">
        <v>39</v>
      </c>
      <c r="D2020" s="4"/>
      <c r="E2020" s="1">
        <v>0</v>
      </c>
      <c r="F2020" s="1">
        <v>0</v>
      </c>
      <c r="G2020" s="1">
        <v>0</v>
      </c>
      <c r="H2020" s="1">
        <v>0</v>
      </c>
      <c r="I2020" s="1">
        <v>0</v>
      </c>
    </row>
    <row r="2021" spans="1:9" ht="23.25">
      <c r="A2021" s="4" t="s">
        <v>11</v>
      </c>
      <c r="B2021" s="4"/>
      <c r="C2021" s="4" t="s">
        <v>39</v>
      </c>
      <c r="D2021" s="4"/>
      <c r="E2021" s="1">
        <v>0</v>
      </c>
      <c r="F2021" s="1">
        <v>0</v>
      </c>
      <c r="G2021" s="1">
        <v>0</v>
      </c>
      <c r="H2021" s="1">
        <v>0</v>
      </c>
      <c r="I2021" s="1">
        <v>0</v>
      </c>
    </row>
    <row r="2022" spans="1:9" ht="23.25">
      <c r="A2022" s="4" t="s">
        <v>12</v>
      </c>
      <c r="B2022" s="4"/>
      <c r="C2022" s="4" t="s">
        <v>39</v>
      </c>
      <c r="D2022" s="4"/>
      <c r="E2022" s="1">
        <v>0</v>
      </c>
      <c r="F2022" s="1">
        <v>0</v>
      </c>
      <c r="G2022" s="1">
        <v>0</v>
      </c>
      <c r="H2022" s="1">
        <v>0</v>
      </c>
      <c r="I2022" s="1">
        <v>0</v>
      </c>
    </row>
    <row r="2023" spans="1:9" ht="23.25">
      <c r="A2023" s="4" t="s">
        <v>13</v>
      </c>
      <c r="B2023" s="4"/>
      <c r="C2023" s="4" t="s">
        <v>39</v>
      </c>
      <c r="D2023" s="4"/>
      <c r="E2023" s="1">
        <v>0</v>
      </c>
      <c r="F2023" s="1">
        <v>0</v>
      </c>
      <c r="G2023" s="1">
        <v>0</v>
      </c>
      <c r="H2023" s="1">
        <v>0</v>
      </c>
      <c r="I2023" s="1">
        <v>0</v>
      </c>
    </row>
    <row r="2024" spans="1:9" ht="23.25">
      <c r="A2024" s="4" t="s">
        <v>14</v>
      </c>
      <c r="B2024" s="4"/>
      <c r="C2024" s="4" t="s">
        <v>39</v>
      </c>
      <c r="D2024" s="4"/>
      <c r="E2024" s="1">
        <v>0</v>
      </c>
      <c r="F2024" s="1">
        <v>0</v>
      </c>
      <c r="G2024" s="1">
        <v>0</v>
      </c>
      <c r="H2024" s="1">
        <v>0</v>
      </c>
      <c r="I2024" s="1">
        <v>0</v>
      </c>
    </row>
    <row r="2025" spans="1:9" ht="23.25">
      <c r="A2025" s="4" t="s">
        <v>15</v>
      </c>
      <c r="B2025" s="4"/>
      <c r="C2025" s="4" t="s">
        <v>39</v>
      </c>
      <c r="D2025" s="4"/>
      <c r="E2025" s="1">
        <v>0</v>
      </c>
      <c r="F2025" s="1">
        <v>0</v>
      </c>
      <c r="G2025" s="1">
        <v>0</v>
      </c>
      <c r="H2025" s="1">
        <v>0</v>
      </c>
      <c r="I2025" s="1">
        <v>0</v>
      </c>
    </row>
    <row r="2026" spans="1:9" ht="23.25">
      <c r="A2026" s="4" t="s">
        <v>16</v>
      </c>
      <c r="B2026" s="4"/>
      <c r="C2026" s="4" t="s">
        <v>39</v>
      </c>
      <c r="D2026" s="4"/>
      <c r="E2026" s="1">
        <v>0</v>
      </c>
      <c r="F2026" s="1">
        <v>0</v>
      </c>
      <c r="G2026" s="1">
        <v>0</v>
      </c>
      <c r="H2026" s="1">
        <v>0</v>
      </c>
      <c r="I2026" s="1">
        <v>0</v>
      </c>
    </row>
    <row r="2027" spans="1:9" ht="23.25">
      <c r="A2027" s="4" t="s">
        <v>17</v>
      </c>
      <c r="B2027" s="4"/>
      <c r="C2027" s="4" t="s">
        <v>39</v>
      </c>
      <c r="D2027" s="4"/>
      <c r="E2027" s="1">
        <v>0</v>
      </c>
      <c r="F2027" s="1">
        <v>0</v>
      </c>
      <c r="G2027" s="1">
        <v>0</v>
      </c>
      <c r="H2027" s="1">
        <v>0</v>
      </c>
      <c r="I2027" s="1">
        <v>0</v>
      </c>
    </row>
    <row r="2028" spans="1:9" ht="23.25">
      <c r="A2028" s="4" t="s">
        <v>18</v>
      </c>
      <c r="B2028" s="4"/>
      <c r="C2028" s="4" t="s">
        <v>39</v>
      </c>
      <c r="D2028" s="4"/>
      <c r="E2028" s="1">
        <v>0</v>
      </c>
      <c r="F2028" s="1">
        <v>0</v>
      </c>
      <c r="G2028" s="1">
        <v>0</v>
      </c>
      <c r="H2028" s="1">
        <v>0</v>
      </c>
      <c r="I2028" s="1">
        <v>0</v>
      </c>
    </row>
    <row r="2029" spans="1:9" ht="23.25">
      <c r="A2029" s="4" t="s">
        <v>19</v>
      </c>
      <c r="B2029" s="4"/>
      <c r="C2029" s="4" t="s">
        <v>39</v>
      </c>
      <c r="D2029" s="4"/>
      <c r="E2029" s="1">
        <v>0</v>
      </c>
      <c r="F2029" s="1">
        <v>0</v>
      </c>
      <c r="G2029" s="1">
        <v>0</v>
      </c>
      <c r="H2029" s="1">
        <v>0</v>
      </c>
      <c r="I2029" s="1">
        <v>0</v>
      </c>
    </row>
    <row r="2030" spans="1:9" ht="23.25">
      <c r="A2030" s="4" t="s">
        <v>20</v>
      </c>
      <c r="B2030" s="4"/>
      <c r="C2030" s="4" t="s">
        <v>39</v>
      </c>
      <c r="D2030" s="4"/>
      <c r="E2030" s="1">
        <v>0</v>
      </c>
      <c r="F2030" s="1">
        <v>0</v>
      </c>
      <c r="G2030" s="1">
        <v>0</v>
      </c>
      <c r="H2030" s="1">
        <v>0</v>
      </c>
      <c r="I2030" s="1">
        <v>0</v>
      </c>
    </row>
    <row r="2031" spans="1:9" ht="23.25">
      <c r="A2031" s="4" t="s">
        <v>21</v>
      </c>
      <c r="B2031" s="4"/>
      <c r="C2031" s="4" t="s">
        <v>39</v>
      </c>
      <c r="D2031" s="4"/>
      <c r="E2031" s="1">
        <v>28739</v>
      </c>
      <c r="F2031" s="1">
        <v>2032</v>
      </c>
      <c r="G2031" s="1">
        <v>1871</v>
      </c>
      <c r="H2031" s="1">
        <v>606</v>
      </c>
      <c r="I2031" s="1">
        <v>0</v>
      </c>
    </row>
    <row r="2032" spans="1:9" ht="23.25">
      <c r="A2032" s="4" t="s">
        <v>22</v>
      </c>
      <c r="B2032" s="4"/>
      <c r="C2032" s="4" t="s">
        <v>39</v>
      </c>
      <c r="D2032" s="4"/>
      <c r="E2032" s="1">
        <v>0</v>
      </c>
      <c r="F2032" s="1">
        <v>0</v>
      </c>
      <c r="G2032" s="1">
        <v>0</v>
      </c>
      <c r="H2032" s="1">
        <v>0</v>
      </c>
      <c r="I2032" s="1">
        <v>0</v>
      </c>
    </row>
    <row r="2033" spans="1:9" ht="23.25">
      <c r="A2033" s="4" t="s">
        <v>23</v>
      </c>
      <c r="B2033" s="4"/>
      <c r="C2033" s="4" t="s">
        <v>39</v>
      </c>
      <c r="D2033" s="4"/>
      <c r="E2033" s="1">
        <v>179048</v>
      </c>
      <c r="F2033" s="1">
        <v>7868</v>
      </c>
      <c r="G2033" s="1">
        <v>10650</v>
      </c>
      <c r="H2033" s="1">
        <v>1359</v>
      </c>
      <c r="I2033" s="1">
        <v>112706</v>
      </c>
    </row>
    <row r="2034" spans="1:9" ht="23.25">
      <c r="A2034" s="4" t="s">
        <v>24</v>
      </c>
      <c r="B2034" s="4"/>
      <c r="C2034" s="4" t="s">
        <v>39</v>
      </c>
      <c r="D2034" s="4"/>
      <c r="E2034" s="1">
        <v>12382</v>
      </c>
      <c r="F2034" s="1">
        <v>609</v>
      </c>
      <c r="G2034" s="1">
        <v>392</v>
      </c>
      <c r="H2034" s="1">
        <v>93</v>
      </c>
      <c r="I2034" s="1">
        <v>0</v>
      </c>
    </row>
    <row r="2035" spans="1:9" ht="23.25">
      <c r="A2035" s="4" t="s">
        <v>25</v>
      </c>
      <c r="B2035" s="4"/>
      <c r="C2035" s="4" t="s">
        <v>39</v>
      </c>
      <c r="D2035" s="4"/>
      <c r="E2035" s="1">
        <v>0</v>
      </c>
      <c r="F2035" s="1">
        <v>0</v>
      </c>
      <c r="G2035" s="1">
        <v>0</v>
      </c>
      <c r="H2035" s="1">
        <v>0</v>
      </c>
      <c r="I2035" s="1">
        <v>0</v>
      </c>
    </row>
    <row r="2036" spans="1:9" ht="23.25">
      <c r="A2036" s="4" t="s">
        <v>26</v>
      </c>
      <c r="B2036" s="4"/>
      <c r="C2036" s="4" t="s">
        <v>39</v>
      </c>
      <c r="D2036" s="4"/>
      <c r="E2036" s="1">
        <v>0</v>
      </c>
      <c r="F2036" s="1">
        <v>0</v>
      </c>
      <c r="G2036" s="1">
        <v>0</v>
      </c>
      <c r="H2036" s="1">
        <v>0</v>
      </c>
      <c r="I2036" s="1">
        <v>0</v>
      </c>
    </row>
    <row r="2037" spans="1:9" ht="23.25">
      <c r="A2037" s="4" t="s">
        <v>27</v>
      </c>
      <c r="B2037" s="4"/>
      <c r="C2037" s="4" t="s">
        <v>39</v>
      </c>
      <c r="D2037" s="4"/>
      <c r="E2037" s="1">
        <v>0</v>
      </c>
      <c r="F2037" s="1">
        <v>0</v>
      </c>
      <c r="G2037" s="1">
        <v>0</v>
      </c>
      <c r="H2037" s="1">
        <v>0</v>
      </c>
      <c r="I2037" s="1">
        <v>0</v>
      </c>
    </row>
    <row r="2038" spans="1:9" ht="23.25">
      <c r="A2038" s="4" t="s">
        <v>28</v>
      </c>
      <c r="B2038" s="4"/>
      <c r="C2038" s="4" t="s">
        <v>39</v>
      </c>
      <c r="D2038" s="4"/>
      <c r="E2038" s="1">
        <v>0</v>
      </c>
      <c r="F2038" s="1">
        <v>0</v>
      </c>
      <c r="G2038" s="1">
        <v>0</v>
      </c>
      <c r="H2038" s="1">
        <v>0</v>
      </c>
      <c r="I2038" s="1">
        <v>0</v>
      </c>
    </row>
    <row r="2039" spans="1:9" ht="23.25">
      <c r="A2039" s="4" t="s">
        <v>29</v>
      </c>
      <c r="B2039" s="4"/>
      <c r="C2039" s="4" t="s">
        <v>39</v>
      </c>
      <c r="D2039" s="4"/>
      <c r="E2039" s="1">
        <v>0</v>
      </c>
      <c r="F2039" s="1">
        <v>0</v>
      </c>
      <c r="G2039" s="1">
        <v>0</v>
      </c>
      <c r="H2039" s="1">
        <v>0</v>
      </c>
      <c r="I2039" s="1">
        <v>0</v>
      </c>
    </row>
    <row r="2040" spans="1:9" ht="23.25">
      <c r="A2040" s="4" t="s">
        <v>30</v>
      </c>
      <c r="B2040" s="4"/>
      <c r="C2040" s="4" t="s">
        <v>39</v>
      </c>
      <c r="D2040" s="4"/>
      <c r="E2040" s="1">
        <v>557860</v>
      </c>
      <c r="F2040" s="1">
        <v>33612</v>
      </c>
      <c r="G2040" s="1">
        <v>14386</v>
      </c>
      <c r="H2040" s="1">
        <v>3261</v>
      </c>
      <c r="I2040" s="1">
        <v>0</v>
      </c>
    </row>
    <row r="2041" spans="1:9" ht="23.25">
      <c r="A2041" s="4" t="s">
        <v>31</v>
      </c>
      <c r="B2041" s="4"/>
      <c r="C2041" s="4" t="s">
        <v>39</v>
      </c>
      <c r="D2041" s="4"/>
      <c r="E2041" s="1">
        <v>9884</v>
      </c>
      <c r="F2041" s="1">
        <v>243</v>
      </c>
      <c r="G2041" s="1">
        <v>1059</v>
      </c>
      <c r="H2041" s="1">
        <v>94</v>
      </c>
      <c r="I2041" s="1">
        <v>0</v>
      </c>
    </row>
    <row r="2042" spans="1:9" ht="23.25">
      <c r="A2042" s="4" t="s">
        <v>32</v>
      </c>
      <c r="B2042" s="4"/>
      <c r="C2042" s="4" t="s">
        <v>39</v>
      </c>
      <c r="D2042" s="4"/>
      <c r="E2042" s="1">
        <v>1501122</v>
      </c>
      <c r="F2042" s="1">
        <v>61908</v>
      </c>
      <c r="G2042" s="1">
        <v>51783</v>
      </c>
      <c r="H2042" s="1">
        <v>14576</v>
      </c>
      <c r="I2042" s="1">
        <v>0</v>
      </c>
    </row>
    <row r="2043" spans="1:9" ht="23.25">
      <c r="A2043" s="4" t="s">
        <v>33</v>
      </c>
      <c r="B2043" s="4"/>
      <c r="C2043" s="4" t="s">
        <v>39</v>
      </c>
      <c r="D2043" s="4"/>
      <c r="E2043" s="1">
        <v>164866</v>
      </c>
      <c r="F2043" s="1">
        <v>13446</v>
      </c>
      <c r="G2043" s="1">
        <v>30090</v>
      </c>
      <c r="H2043" s="1">
        <v>1667</v>
      </c>
      <c r="I2043" s="1">
        <v>0</v>
      </c>
    </row>
    <row r="2044" spans="1:9" ht="23.25">
      <c r="A2044" s="4" t="s">
        <v>34</v>
      </c>
      <c r="B2044" s="4"/>
      <c r="C2044" s="4" t="s">
        <v>39</v>
      </c>
      <c r="D2044" s="4"/>
      <c r="E2044" s="1">
        <v>241793781</v>
      </c>
      <c r="F2044" s="1">
        <v>20996976</v>
      </c>
      <c r="G2044" s="1">
        <v>5102129</v>
      </c>
      <c r="H2044" s="1">
        <v>1710608</v>
      </c>
      <c r="I2044" s="1">
        <v>137760129</v>
      </c>
    </row>
    <row r="2045" spans="1:9" ht="23.25">
      <c r="A2045" s="4" t="s">
        <v>35</v>
      </c>
      <c r="B2045" s="4"/>
      <c r="C2045" s="4" t="s">
        <v>39</v>
      </c>
      <c r="D2045" s="4"/>
      <c r="E2045" s="1">
        <v>0</v>
      </c>
      <c r="F2045" s="1">
        <v>0</v>
      </c>
      <c r="G2045" s="1">
        <v>0</v>
      </c>
      <c r="H2045" s="1">
        <v>0</v>
      </c>
      <c r="I2045" s="1">
        <v>0</v>
      </c>
    </row>
    <row r="2046" spans="1:9" ht="23.25">
      <c r="A2046" s="4" t="s">
        <v>36</v>
      </c>
      <c r="B2046" s="4"/>
      <c r="C2046" s="4" t="s">
        <v>39</v>
      </c>
      <c r="D2046" s="4"/>
      <c r="E2046" s="1">
        <v>13844351</v>
      </c>
      <c r="F2046" s="1">
        <v>1325424</v>
      </c>
      <c r="G2046" s="1">
        <v>615722</v>
      </c>
      <c r="H2046" s="1">
        <v>170202</v>
      </c>
      <c r="I2046" s="1">
        <v>6474939</v>
      </c>
    </row>
    <row r="2047" spans="1:9" ht="23.25">
      <c r="A2047" s="4" t="s">
        <v>37</v>
      </c>
      <c r="B2047" s="4"/>
      <c r="C2047" s="4" t="s">
        <v>39</v>
      </c>
      <c r="D2047" s="4"/>
      <c r="E2047" s="1">
        <v>7391843</v>
      </c>
      <c r="F2047" s="1">
        <v>325032</v>
      </c>
      <c r="G2047" s="1">
        <v>281532</v>
      </c>
      <c r="H2047" s="1">
        <v>63526</v>
      </c>
      <c r="I2047" s="1">
        <v>1371046</v>
      </c>
    </row>
    <row r="2048" spans="1:9" ht="23.25">
      <c r="A2048" s="4" t="s">
        <v>38</v>
      </c>
      <c r="B2048" s="4"/>
      <c r="C2048" s="4" t="s">
        <v>39</v>
      </c>
      <c r="D2048" s="4"/>
      <c r="E2048" s="1">
        <v>4433390</v>
      </c>
      <c r="F2048" s="1">
        <v>773412</v>
      </c>
      <c r="G2048" s="1">
        <v>747273</v>
      </c>
      <c r="H2048" s="1">
        <v>151804</v>
      </c>
      <c r="I2048" s="1">
        <v>0</v>
      </c>
    </row>
    <row r="2049" spans="1:9" ht="23.25">
      <c r="A2049" s="4" t="s">
        <v>39</v>
      </c>
      <c r="B2049" s="4"/>
      <c r="C2049" s="4" t="s">
        <v>39</v>
      </c>
      <c r="D2049" s="4"/>
      <c r="E2049" s="1">
        <v>21343232</v>
      </c>
      <c r="F2049" s="1">
        <v>1462590</v>
      </c>
      <c r="G2049" s="1">
        <v>1396012</v>
      </c>
      <c r="H2049" s="1">
        <v>143207</v>
      </c>
      <c r="I2049" s="1">
        <v>9275142</v>
      </c>
    </row>
    <row r="2050" spans="1:9" ht="23.25">
      <c r="A2050" s="4" t="s">
        <v>40</v>
      </c>
      <c r="B2050" s="4"/>
      <c r="C2050" s="4" t="s">
        <v>39</v>
      </c>
      <c r="D2050" s="4"/>
      <c r="E2050" s="1">
        <v>0</v>
      </c>
      <c r="F2050" s="1">
        <v>0</v>
      </c>
      <c r="G2050" s="1">
        <v>0</v>
      </c>
      <c r="H2050" s="1">
        <v>0</v>
      </c>
      <c r="I2050" s="1">
        <v>0</v>
      </c>
    </row>
    <row r="2051" spans="1:9" ht="23.25">
      <c r="A2051" s="4" t="s">
        <v>41</v>
      </c>
      <c r="B2051" s="4"/>
      <c r="C2051" s="4" t="s">
        <v>39</v>
      </c>
      <c r="D2051" s="4"/>
      <c r="E2051" s="1">
        <v>0</v>
      </c>
      <c r="F2051" s="1">
        <v>0</v>
      </c>
      <c r="G2051" s="1">
        <v>0</v>
      </c>
      <c r="H2051" s="1">
        <v>0</v>
      </c>
      <c r="I2051" s="1">
        <v>0</v>
      </c>
    </row>
    <row r="2052" spans="1:9" ht="23.25">
      <c r="A2052" s="4" t="s">
        <v>42</v>
      </c>
      <c r="B2052" s="4"/>
      <c r="C2052" s="4" t="s">
        <v>39</v>
      </c>
      <c r="D2052" s="4"/>
      <c r="E2052" s="1">
        <v>541545</v>
      </c>
      <c r="F2052" s="1">
        <v>23638</v>
      </c>
      <c r="G2052" s="1">
        <v>24061</v>
      </c>
      <c r="H2052" s="1">
        <v>6537</v>
      </c>
      <c r="I2052" s="1">
        <v>140303</v>
      </c>
    </row>
    <row r="2053" spans="1:9" ht="23.25">
      <c r="A2053" s="4" t="s">
        <v>43</v>
      </c>
      <c r="B2053" s="4"/>
      <c r="C2053" s="4" t="s">
        <v>39</v>
      </c>
      <c r="D2053" s="4"/>
      <c r="E2053" s="1">
        <v>144402</v>
      </c>
      <c r="F2053" s="1">
        <v>7705</v>
      </c>
      <c r="G2053" s="1">
        <v>2729</v>
      </c>
      <c r="H2053" s="1">
        <v>201</v>
      </c>
      <c r="I2053" s="1">
        <v>86115</v>
      </c>
    </row>
    <row r="2054" spans="1:9" ht="23.25">
      <c r="A2054" s="4" t="s">
        <v>44</v>
      </c>
      <c r="B2054" s="4"/>
      <c r="C2054" s="4" t="s">
        <v>39</v>
      </c>
      <c r="D2054" s="4"/>
      <c r="E2054" s="1">
        <v>839349</v>
      </c>
      <c r="F2054" s="1">
        <v>7254</v>
      </c>
      <c r="G2054" s="1">
        <v>23262</v>
      </c>
      <c r="H2054" s="1">
        <v>1725</v>
      </c>
      <c r="I2054" s="1">
        <v>650524</v>
      </c>
    </row>
    <row r="2055" spans="1:9" ht="23.25">
      <c r="A2055" s="4" t="s">
        <v>45</v>
      </c>
      <c r="B2055" s="4"/>
      <c r="C2055" s="4" t="s">
        <v>39</v>
      </c>
      <c r="D2055" s="4"/>
      <c r="E2055" s="1">
        <v>4581002</v>
      </c>
      <c r="F2055" s="1">
        <v>188053</v>
      </c>
      <c r="G2055" s="1">
        <v>0</v>
      </c>
      <c r="H2055" s="1">
        <v>49122</v>
      </c>
      <c r="I2055" s="1">
        <v>1446636</v>
      </c>
    </row>
    <row r="2056" spans="1:9" ht="23.25">
      <c r="A2056" s="4" t="s">
        <v>46</v>
      </c>
      <c r="B2056" s="4"/>
      <c r="C2056" s="4" t="s">
        <v>39</v>
      </c>
      <c r="D2056" s="4"/>
      <c r="E2056" s="1">
        <v>450949</v>
      </c>
      <c r="F2056" s="1">
        <v>21649</v>
      </c>
      <c r="G2056" s="1">
        <v>0</v>
      </c>
      <c r="H2056" s="1">
        <v>4629</v>
      </c>
      <c r="I2056" s="1">
        <v>0</v>
      </c>
    </row>
    <row r="2057" spans="1:9" ht="23.25">
      <c r="A2057" s="4" t="s">
        <v>47</v>
      </c>
      <c r="B2057" s="4"/>
      <c r="C2057" s="4" t="s">
        <v>39</v>
      </c>
      <c r="D2057" s="4"/>
      <c r="E2057" s="1">
        <v>1798958</v>
      </c>
      <c r="F2057" s="1">
        <v>0</v>
      </c>
      <c r="G2057" s="1">
        <v>0</v>
      </c>
      <c r="H2057" s="1">
        <v>0</v>
      </c>
      <c r="I2057" s="1">
        <v>0</v>
      </c>
    </row>
    <row r="2058" spans="1:9" ht="23.25">
      <c r="A2058" s="4" t="s">
        <v>48</v>
      </c>
      <c r="B2058" s="4"/>
      <c r="C2058" s="4" t="s">
        <v>39</v>
      </c>
      <c r="D2058" s="4"/>
      <c r="E2058" s="1">
        <v>0</v>
      </c>
      <c r="F2058" s="1">
        <v>0</v>
      </c>
      <c r="G2058" s="1">
        <v>0</v>
      </c>
      <c r="H2058" s="1">
        <v>0</v>
      </c>
      <c r="I2058" s="1">
        <v>0</v>
      </c>
    </row>
    <row r="2059" spans="1:9" ht="23.25">
      <c r="A2059" s="4" t="s">
        <v>49</v>
      </c>
      <c r="B2059" s="4"/>
      <c r="C2059" s="4" t="s">
        <v>39</v>
      </c>
      <c r="D2059" s="4"/>
      <c r="E2059" s="1">
        <v>0</v>
      </c>
      <c r="F2059" s="1">
        <v>0</v>
      </c>
      <c r="G2059" s="1">
        <v>0</v>
      </c>
      <c r="H2059" s="1">
        <v>0</v>
      </c>
      <c r="I2059" s="1">
        <v>0</v>
      </c>
    </row>
    <row r="2060" spans="1:9" ht="23.25">
      <c r="A2060" s="4" t="s">
        <v>50</v>
      </c>
      <c r="B2060" s="4"/>
      <c r="C2060" s="4" t="s">
        <v>39</v>
      </c>
      <c r="D2060" s="4"/>
      <c r="E2060" s="1">
        <v>0</v>
      </c>
      <c r="F2060" s="1">
        <v>0</v>
      </c>
      <c r="G2060" s="1">
        <v>0</v>
      </c>
      <c r="H2060" s="1">
        <v>0</v>
      </c>
      <c r="I2060" s="1">
        <v>0</v>
      </c>
    </row>
    <row r="2061" spans="1:9" ht="23.25">
      <c r="A2061" s="4" t="s">
        <v>51</v>
      </c>
      <c r="B2061" s="4"/>
      <c r="C2061" s="4" t="s">
        <v>39</v>
      </c>
      <c r="D2061" s="4"/>
      <c r="E2061" s="1">
        <v>949629</v>
      </c>
      <c r="F2061" s="1">
        <v>98285</v>
      </c>
      <c r="G2061" s="1">
        <v>34215</v>
      </c>
      <c r="H2061" s="1">
        <v>9484</v>
      </c>
      <c r="I2061" s="1">
        <v>0</v>
      </c>
    </row>
    <row r="2062" spans="1:9" ht="23.25">
      <c r="A2062" s="4" t="s">
        <v>52</v>
      </c>
      <c r="B2062" s="4"/>
      <c r="C2062" s="4" t="s">
        <v>39</v>
      </c>
      <c r="D2062" s="4"/>
      <c r="E2062" s="1">
        <v>31708797</v>
      </c>
      <c r="F2062" s="1">
        <v>28659</v>
      </c>
      <c r="G2062" s="1">
        <v>53190</v>
      </c>
      <c r="H2062" s="1">
        <v>5291</v>
      </c>
      <c r="I2062" s="1">
        <v>0</v>
      </c>
    </row>
    <row r="2063" spans="1:9" ht="23.25">
      <c r="A2063" s="4" t="s">
        <v>53</v>
      </c>
      <c r="B2063" s="4"/>
      <c r="C2063" s="4" t="s">
        <v>39</v>
      </c>
      <c r="D2063" s="4"/>
      <c r="E2063" s="1">
        <v>263757</v>
      </c>
      <c r="F2063" s="1">
        <v>0</v>
      </c>
      <c r="G2063" s="1">
        <v>0</v>
      </c>
      <c r="H2063" s="1">
        <v>0</v>
      </c>
      <c r="I2063" s="1">
        <v>0</v>
      </c>
    </row>
    <row r="2064" spans="1:9" ht="23.25">
      <c r="A2064" s="4" t="s">
        <v>54</v>
      </c>
      <c r="B2064" s="4"/>
      <c r="C2064" s="4" t="s">
        <v>39</v>
      </c>
      <c r="D2064" s="4"/>
      <c r="E2064" s="1">
        <v>216878</v>
      </c>
      <c r="F2064" s="1">
        <v>0</v>
      </c>
      <c r="G2064" s="1">
        <v>0</v>
      </c>
      <c r="H2064" s="1">
        <v>0</v>
      </c>
      <c r="I2064" s="1">
        <v>0</v>
      </c>
    </row>
    <row r="2065" spans="1:9" ht="23.25">
      <c r="A2065" s="4" t="s">
        <v>55</v>
      </c>
      <c r="B2065" s="4"/>
      <c r="C2065" s="4" t="s">
        <v>39</v>
      </c>
      <c r="D2065" s="4"/>
      <c r="E2065" s="1">
        <v>0</v>
      </c>
      <c r="F2065" s="1">
        <v>0</v>
      </c>
      <c r="G2065" s="1">
        <v>0</v>
      </c>
      <c r="H2065" s="1">
        <v>0</v>
      </c>
      <c r="I2065" s="1">
        <v>0</v>
      </c>
    </row>
    <row r="2066" spans="1:9" ht="23.25">
      <c r="A2066" s="4" t="s">
        <v>56</v>
      </c>
      <c r="B2066" s="4"/>
      <c r="C2066" s="4" t="s">
        <v>39</v>
      </c>
      <c r="D2066" s="4"/>
      <c r="E2066" s="1">
        <v>0</v>
      </c>
      <c r="F2066" s="1">
        <v>-25378395</v>
      </c>
      <c r="G2066" s="1">
        <v>-8390356</v>
      </c>
      <c r="H2066" s="1">
        <v>0</v>
      </c>
      <c r="I2066" s="1">
        <v>0</v>
      </c>
    </row>
    <row r="2067" spans="1:9" ht="23.25">
      <c r="A2067" s="4" t="s">
        <v>57</v>
      </c>
      <c r="B2067" s="4"/>
      <c r="C2067" s="4" t="s">
        <v>39</v>
      </c>
      <c r="D2067" s="4"/>
      <c r="E2067" s="1">
        <v>469863</v>
      </c>
      <c r="F2067" s="1">
        <v>0</v>
      </c>
      <c r="G2067" s="1">
        <v>0</v>
      </c>
      <c r="H2067" s="1">
        <v>0</v>
      </c>
      <c r="I2067" s="1">
        <v>0</v>
      </c>
    </row>
    <row r="2068" spans="1:9" ht="23.25">
      <c r="A2068" s="4" t="s">
        <v>58</v>
      </c>
      <c r="B2068" s="4"/>
      <c r="C2068" s="4" t="s">
        <v>39</v>
      </c>
      <c r="D2068" s="4"/>
      <c r="E2068" s="1">
        <v>1862346</v>
      </c>
      <c r="F2068" s="1">
        <v>0</v>
      </c>
      <c r="G2068" s="1">
        <v>0</v>
      </c>
      <c r="H2068" s="1">
        <v>-2337992</v>
      </c>
      <c r="I2068" s="1">
        <v>0</v>
      </c>
    </row>
    <row r="2069" spans="1:9" ht="23.25">
      <c r="A2069" s="4" t="s">
        <v>59</v>
      </c>
      <c r="B2069" s="4"/>
      <c r="C2069" s="4" t="s">
        <v>39</v>
      </c>
      <c r="D2069" s="4"/>
      <c r="E2069" s="1">
        <v>1134585</v>
      </c>
      <c r="F2069" s="1">
        <v>0</v>
      </c>
      <c r="G2069" s="1">
        <v>0</v>
      </c>
      <c r="H2069" s="1">
        <v>0</v>
      </c>
      <c r="I2069" s="1">
        <v>0</v>
      </c>
    </row>
    <row r="2070" spans="1:9" ht="23.25">
      <c r="A2070" s="4" t="s">
        <v>60</v>
      </c>
      <c r="B2070" s="4"/>
      <c r="C2070" s="4" t="s">
        <v>39</v>
      </c>
      <c r="D2070" s="4"/>
      <c r="E2070" s="1">
        <v>10490821</v>
      </c>
      <c r="F2070" s="1">
        <v>0</v>
      </c>
      <c r="G2070" s="1">
        <v>0</v>
      </c>
      <c r="H2070" s="1">
        <v>0</v>
      </c>
      <c r="I2070" s="1">
        <v>0</v>
      </c>
    </row>
    <row r="2071" spans="1:9" ht="23.25">
      <c r="A2071" s="4" t="s">
        <v>61</v>
      </c>
      <c r="B2071" s="4"/>
      <c r="C2071" s="4" t="s">
        <v>39</v>
      </c>
      <c r="D2071" s="4"/>
      <c r="E2071" s="1">
        <v>42496</v>
      </c>
      <c r="F2071" s="1">
        <v>0</v>
      </c>
      <c r="G2071" s="1">
        <v>0</v>
      </c>
      <c r="H2071" s="1">
        <v>0</v>
      </c>
      <c r="I2071" s="1">
        <v>0</v>
      </c>
    </row>
    <row r="2072" spans="1:9" ht="23.25">
      <c r="A2072" s="4" t="s">
        <v>62</v>
      </c>
      <c r="B2072" s="4"/>
      <c r="C2072" s="4" t="s">
        <v>39</v>
      </c>
      <c r="D2072" s="4"/>
      <c r="E2072" s="1">
        <v>8972951</v>
      </c>
      <c r="F2072" s="1">
        <v>0</v>
      </c>
      <c r="G2072" s="1">
        <v>0</v>
      </c>
      <c r="H2072" s="1">
        <v>0</v>
      </c>
      <c r="I2072" s="1">
        <v>0</v>
      </c>
    </row>
    <row r="2073" spans="1:9" ht="23.25">
      <c r="A2073" s="4" t="s">
        <v>63</v>
      </c>
      <c r="B2073" s="4"/>
      <c r="C2073" s="4" t="s">
        <v>39</v>
      </c>
      <c r="D2073" s="4"/>
      <c r="E2073" s="1">
        <v>462624</v>
      </c>
      <c r="F2073" s="1">
        <v>0</v>
      </c>
      <c r="G2073" s="1">
        <v>0</v>
      </c>
      <c r="H2073" s="1">
        <v>0</v>
      </c>
      <c r="I2073" s="1">
        <v>0</v>
      </c>
    </row>
    <row r="2074" spans="1:9" ht="23.25">
      <c r="A2074" s="4" t="s">
        <v>64</v>
      </c>
      <c r="B2074" s="4"/>
      <c r="C2074" s="4" t="s">
        <v>39</v>
      </c>
      <c r="D2074" s="4"/>
      <c r="E2074" s="1">
        <v>267995</v>
      </c>
      <c r="F2074" s="1">
        <v>0</v>
      </c>
      <c r="G2074" s="1">
        <v>0</v>
      </c>
      <c r="H2074" s="1">
        <v>0</v>
      </c>
      <c r="I2074" s="1">
        <v>0</v>
      </c>
    </row>
    <row r="2075" spans="1:9" ht="23.25">
      <c r="A2075" s="4" t="s">
        <v>65</v>
      </c>
      <c r="B2075" s="4"/>
      <c r="C2075" s="4" t="s">
        <v>39</v>
      </c>
      <c r="D2075" s="4"/>
      <c r="E2075" s="1">
        <v>971326</v>
      </c>
      <c r="F2075" s="1">
        <v>0</v>
      </c>
      <c r="G2075" s="1">
        <v>0</v>
      </c>
      <c r="H2075" s="1">
        <v>0</v>
      </c>
      <c r="I2075" s="1">
        <v>102069</v>
      </c>
    </row>
    <row r="2076" spans="1:9" ht="23.25">
      <c r="A2076" s="4" t="s">
        <v>66</v>
      </c>
      <c r="B2076" s="4"/>
      <c r="C2076" s="4" t="s">
        <v>39</v>
      </c>
      <c r="D2076" s="4"/>
      <c r="E2076" s="1">
        <v>357430771</v>
      </c>
      <c r="F2076" s="1">
        <v>0</v>
      </c>
      <c r="G2076" s="1">
        <v>0</v>
      </c>
      <c r="H2076" s="1">
        <v>0</v>
      </c>
      <c r="I2076" s="1">
        <v>157419609</v>
      </c>
    </row>
    <row r="2077" spans="1:9" ht="23.25">
      <c r="A2077" s="4" t="s">
        <v>67</v>
      </c>
      <c r="B2077" s="4"/>
      <c r="C2077" s="4" t="s">
        <v>39</v>
      </c>
      <c r="D2077" s="4"/>
      <c r="E2077" s="1">
        <v>47442202</v>
      </c>
      <c r="F2077" s="1">
        <v>0</v>
      </c>
      <c r="G2077" s="1">
        <v>0</v>
      </c>
      <c r="H2077" s="1">
        <v>0</v>
      </c>
      <c r="I2077" s="1">
        <v>0</v>
      </c>
    </row>
    <row r="2078" spans="1:9" ht="23.25">
      <c r="A2078" s="4" t="s">
        <v>68</v>
      </c>
      <c r="B2078" s="4"/>
      <c r="C2078" s="4" t="s">
        <v>39</v>
      </c>
      <c r="D2078" s="4"/>
      <c r="E2078" s="1">
        <v>54828558</v>
      </c>
      <c r="F2078" s="1">
        <v>0</v>
      </c>
      <c r="G2078" s="1">
        <v>0</v>
      </c>
      <c r="H2078" s="1">
        <v>0</v>
      </c>
      <c r="I2078" s="1">
        <v>0</v>
      </c>
    </row>
    <row r="2079" spans="1:9" ht="23.25">
      <c r="A2079" s="4" t="s">
        <v>69</v>
      </c>
      <c r="B2079" s="4"/>
      <c r="C2079" s="4" t="s">
        <v>39</v>
      </c>
      <c r="D2079" s="4"/>
      <c r="E2079" s="1">
        <v>30645892</v>
      </c>
      <c r="F2079" s="1">
        <v>0</v>
      </c>
      <c r="G2079" s="1">
        <v>0</v>
      </c>
      <c r="H2079" s="1">
        <v>0</v>
      </c>
      <c r="I2079" s="1">
        <v>0</v>
      </c>
    </row>
    <row r="2080" spans="1:9" ht="23.25">
      <c r="A2080" s="4" t="s">
        <v>70</v>
      </c>
      <c r="B2080" s="4"/>
      <c r="C2080" s="4" t="s">
        <v>39</v>
      </c>
      <c r="D2080" s="4"/>
      <c r="E2080" s="1">
        <v>10581774</v>
      </c>
      <c r="F2080" s="1">
        <v>0</v>
      </c>
      <c r="G2080" s="1">
        <v>0</v>
      </c>
      <c r="H2080" s="1">
        <v>0</v>
      </c>
      <c r="I2080" s="1">
        <v>0</v>
      </c>
    </row>
    <row r="2081" spans="1:9" ht="23.25">
      <c r="A2081" s="4" t="s">
        <v>71</v>
      </c>
      <c r="B2081" s="4"/>
      <c r="C2081" s="4" t="s">
        <v>39</v>
      </c>
      <c r="D2081" s="4"/>
      <c r="E2081" s="1">
        <v>143498426</v>
      </c>
      <c r="F2081" s="1">
        <v>0</v>
      </c>
      <c r="G2081" s="1">
        <v>0</v>
      </c>
      <c r="H2081" s="1">
        <v>0</v>
      </c>
      <c r="I2081" s="1">
        <v>0</v>
      </c>
    </row>
    <row r="2082" spans="1:9" ht="23.25">
      <c r="A2082" s="4" t="s">
        <v>72</v>
      </c>
      <c r="B2082" s="4"/>
      <c r="C2082" s="4" t="s">
        <v>39</v>
      </c>
      <c r="D2082" s="4"/>
      <c r="E2082" s="1">
        <v>500929197</v>
      </c>
      <c r="F2082" s="1">
        <v>0</v>
      </c>
      <c r="G2082" s="1">
        <v>0</v>
      </c>
      <c r="H2082" s="1">
        <v>0</v>
      </c>
      <c r="I2082" s="1">
        <v>0</v>
      </c>
    </row>
    <row r="2083" spans="1:9" ht="23.25">
      <c r="A2083" s="4" t="s">
        <v>8</v>
      </c>
      <c r="B2083" s="4"/>
      <c r="C2083" s="4" t="s">
        <v>40</v>
      </c>
      <c r="D2083" s="4"/>
      <c r="E2083" s="1">
        <v>0</v>
      </c>
      <c r="F2083" s="1">
        <v>0</v>
      </c>
      <c r="G2083" s="1">
        <v>0</v>
      </c>
      <c r="H2083" s="1">
        <v>0</v>
      </c>
      <c r="I2083" s="1">
        <v>0</v>
      </c>
    </row>
    <row r="2084" spans="1:9" ht="23.25">
      <c r="A2084" s="4" t="s">
        <v>9</v>
      </c>
      <c r="B2084" s="4"/>
      <c r="C2084" s="4" t="s">
        <v>40</v>
      </c>
      <c r="D2084" s="4"/>
      <c r="E2084" s="1">
        <v>0</v>
      </c>
      <c r="F2084" s="1">
        <v>0</v>
      </c>
      <c r="G2084" s="1">
        <v>0</v>
      </c>
      <c r="H2084" s="1">
        <v>0</v>
      </c>
      <c r="I2084" s="1">
        <v>0</v>
      </c>
    </row>
    <row r="2085" spans="1:9" ht="23.25">
      <c r="A2085" s="4" t="s">
        <v>10</v>
      </c>
      <c r="B2085" s="4"/>
      <c r="C2085" s="4" t="s">
        <v>40</v>
      </c>
      <c r="D2085" s="4"/>
      <c r="E2085" s="1">
        <v>0</v>
      </c>
      <c r="F2085" s="1">
        <v>0</v>
      </c>
      <c r="G2085" s="1">
        <v>0</v>
      </c>
      <c r="H2085" s="1">
        <v>0</v>
      </c>
      <c r="I2085" s="1">
        <v>0</v>
      </c>
    </row>
    <row r="2086" spans="1:9" ht="23.25">
      <c r="A2086" s="4" t="s">
        <v>11</v>
      </c>
      <c r="B2086" s="4"/>
      <c r="C2086" s="4" t="s">
        <v>40</v>
      </c>
      <c r="D2086" s="4"/>
      <c r="E2086" s="1">
        <v>0</v>
      </c>
      <c r="F2086" s="1">
        <v>0</v>
      </c>
      <c r="G2086" s="1">
        <v>0</v>
      </c>
      <c r="H2086" s="1">
        <v>0</v>
      </c>
      <c r="I2086" s="1">
        <v>0</v>
      </c>
    </row>
    <row r="2087" spans="1:9" ht="23.25">
      <c r="A2087" s="4" t="s">
        <v>12</v>
      </c>
      <c r="B2087" s="4"/>
      <c r="C2087" s="4" t="s">
        <v>40</v>
      </c>
      <c r="D2087" s="4"/>
      <c r="E2087" s="1">
        <v>0</v>
      </c>
      <c r="F2087" s="1">
        <v>0</v>
      </c>
      <c r="G2087" s="1">
        <v>0</v>
      </c>
      <c r="H2087" s="1">
        <v>0</v>
      </c>
      <c r="I2087" s="1">
        <v>0</v>
      </c>
    </row>
    <row r="2088" spans="1:9" ht="23.25">
      <c r="A2088" s="4" t="s">
        <v>13</v>
      </c>
      <c r="B2088" s="4"/>
      <c r="C2088" s="4" t="s">
        <v>40</v>
      </c>
      <c r="D2088" s="4"/>
      <c r="E2088" s="1">
        <v>0</v>
      </c>
      <c r="F2088" s="1">
        <v>0</v>
      </c>
      <c r="G2088" s="1">
        <v>0</v>
      </c>
      <c r="H2088" s="1">
        <v>0</v>
      </c>
      <c r="I2088" s="1">
        <v>0</v>
      </c>
    </row>
    <row r="2089" spans="1:9" ht="23.25">
      <c r="A2089" s="4" t="s">
        <v>14</v>
      </c>
      <c r="B2089" s="4"/>
      <c r="C2089" s="4" t="s">
        <v>40</v>
      </c>
      <c r="D2089" s="4"/>
      <c r="E2089" s="1">
        <v>0</v>
      </c>
      <c r="F2089" s="1">
        <v>0</v>
      </c>
      <c r="G2089" s="1">
        <v>0</v>
      </c>
      <c r="H2089" s="1">
        <v>0</v>
      </c>
      <c r="I2089" s="1">
        <v>0</v>
      </c>
    </row>
    <row r="2090" spans="1:9" ht="23.25">
      <c r="A2090" s="4" t="s">
        <v>15</v>
      </c>
      <c r="B2090" s="4"/>
      <c r="C2090" s="4" t="s">
        <v>40</v>
      </c>
      <c r="D2090" s="4"/>
      <c r="E2090" s="1">
        <v>0</v>
      </c>
      <c r="F2090" s="1">
        <v>0</v>
      </c>
      <c r="G2090" s="1">
        <v>0</v>
      </c>
      <c r="H2090" s="1">
        <v>0</v>
      </c>
      <c r="I2090" s="1">
        <v>0</v>
      </c>
    </row>
    <row r="2091" spans="1:9" ht="23.25">
      <c r="A2091" s="4" t="s">
        <v>16</v>
      </c>
      <c r="B2091" s="4"/>
      <c r="C2091" s="4" t="s">
        <v>40</v>
      </c>
      <c r="D2091" s="4"/>
      <c r="E2091" s="1">
        <v>0</v>
      </c>
      <c r="F2091" s="1">
        <v>0</v>
      </c>
      <c r="G2091" s="1">
        <v>0</v>
      </c>
      <c r="H2091" s="1">
        <v>0</v>
      </c>
      <c r="I2091" s="1">
        <v>0</v>
      </c>
    </row>
    <row r="2092" spans="1:9" ht="23.25">
      <c r="A2092" s="4" t="s">
        <v>17</v>
      </c>
      <c r="B2092" s="4"/>
      <c r="C2092" s="4" t="s">
        <v>40</v>
      </c>
      <c r="D2092" s="4"/>
      <c r="E2092" s="1">
        <v>0</v>
      </c>
      <c r="F2092" s="1">
        <v>0</v>
      </c>
      <c r="G2092" s="1">
        <v>0</v>
      </c>
      <c r="H2092" s="1">
        <v>0</v>
      </c>
      <c r="I2092" s="1">
        <v>0</v>
      </c>
    </row>
    <row r="2093" spans="1:9" ht="23.25">
      <c r="A2093" s="4" t="s">
        <v>18</v>
      </c>
      <c r="B2093" s="4"/>
      <c r="C2093" s="4" t="s">
        <v>40</v>
      </c>
      <c r="D2093" s="4"/>
      <c r="E2093" s="1">
        <v>0</v>
      </c>
      <c r="F2093" s="1">
        <v>0</v>
      </c>
      <c r="G2093" s="1">
        <v>0</v>
      </c>
      <c r="H2093" s="1">
        <v>0</v>
      </c>
      <c r="I2093" s="1">
        <v>0</v>
      </c>
    </row>
    <row r="2094" spans="1:9" ht="23.25">
      <c r="A2094" s="4" t="s">
        <v>19</v>
      </c>
      <c r="B2094" s="4"/>
      <c r="C2094" s="4" t="s">
        <v>40</v>
      </c>
      <c r="D2094" s="4"/>
      <c r="E2094" s="1">
        <v>7448520</v>
      </c>
      <c r="F2094" s="1">
        <v>48512</v>
      </c>
      <c r="G2094" s="1">
        <v>0</v>
      </c>
      <c r="H2094" s="1">
        <v>40830</v>
      </c>
      <c r="I2094" s="1">
        <v>6576188</v>
      </c>
    </row>
    <row r="2095" spans="1:9" ht="23.25">
      <c r="A2095" s="4" t="s">
        <v>20</v>
      </c>
      <c r="B2095" s="4"/>
      <c r="C2095" s="4" t="s">
        <v>40</v>
      </c>
      <c r="D2095" s="4"/>
      <c r="E2095" s="1">
        <v>564118</v>
      </c>
      <c r="F2095" s="1">
        <v>26651</v>
      </c>
      <c r="G2095" s="1">
        <v>0</v>
      </c>
      <c r="H2095" s="1">
        <v>12763</v>
      </c>
      <c r="I2095" s="1">
        <v>0</v>
      </c>
    </row>
    <row r="2096" spans="1:9" ht="23.25">
      <c r="A2096" s="4" t="s">
        <v>21</v>
      </c>
      <c r="B2096" s="4"/>
      <c r="C2096" s="4" t="s">
        <v>40</v>
      </c>
      <c r="D2096" s="4"/>
      <c r="E2096" s="1">
        <v>44615880</v>
      </c>
      <c r="F2096" s="1">
        <v>1084630</v>
      </c>
      <c r="G2096" s="1">
        <v>0</v>
      </c>
      <c r="H2096" s="1">
        <v>3443540</v>
      </c>
      <c r="I2096" s="1">
        <v>109169</v>
      </c>
    </row>
    <row r="2097" spans="1:9" ht="23.25">
      <c r="A2097" s="4" t="s">
        <v>22</v>
      </c>
      <c r="B2097" s="4"/>
      <c r="C2097" s="4" t="s">
        <v>40</v>
      </c>
      <c r="D2097" s="4"/>
      <c r="E2097" s="1">
        <v>0</v>
      </c>
      <c r="F2097" s="1">
        <v>0</v>
      </c>
      <c r="G2097" s="1">
        <v>0</v>
      </c>
      <c r="H2097" s="1">
        <v>0</v>
      </c>
      <c r="I2097" s="1">
        <v>0</v>
      </c>
    </row>
    <row r="2098" spans="1:9" ht="23.25">
      <c r="A2098" s="4" t="s">
        <v>23</v>
      </c>
      <c r="B2098" s="4"/>
      <c r="C2098" s="4" t="s">
        <v>40</v>
      </c>
      <c r="D2098" s="4"/>
      <c r="E2098" s="1">
        <v>0</v>
      </c>
      <c r="F2098" s="1">
        <v>0</v>
      </c>
      <c r="G2098" s="1">
        <v>0</v>
      </c>
      <c r="H2098" s="1">
        <v>0</v>
      </c>
      <c r="I2098" s="1">
        <v>0</v>
      </c>
    </row>
    <row r="2099" spans="1:9" ht="23.25">
      <c r="A2099" s="4" t="s">
        <v>24</v>
      </c>
      <c r="B2099" s="4"/>
      <c r="C2099" s="4" t="s">
        <v>40</v>
      </c>
      <c r="D2099" s="4"/>
      <c r="E2099" s="1">
        <v>0</v>
      </c>
      <c r="F2099" s="1">
        <v>0</v>
      </c>
      <c r="G2099" s="1">
        <v>0</v>
      </c>
      <c r="H2099" s="1">
        <v>0</v>
      </c>
      <c r="I2099" s="1">
        <v>0</v>
      </c>
    </row>
    <row r="2100" spans="1:9" ht="23.25">
      <c r="A2100" s="4" t="s">
        <v>25</v>
      </c>
      <c r="B2100" s="4"/>
      <c r="C2100" s="4" t="s">
        <v>40</v>
      </c>
      <c r="D2100" s="4"/>
      <c r="E2100" s="1">
        <v>0</v>
      </c>
      <c r="F2100" s="1">
        <v>0</v>
      </c>
      <c r="G2100" s="1">
        <v>0</v>
      </c>
      <c r="H2100" s="1">
        <v>0</v>
      </c>
      <c r="I2100" s="1">
        <v>0</v>
      </c>
    </row>
    <row r="2101" spans="1:9" ht="23.25">
      <c r="A2101" s="4" t="s">
        <v>26</v>
      </c>
      <c r="B2101" s="4"/>
      <c r="C2101" s="4" t="s">
        <v>40</v>
      </c>
      <c r="D2101" s="4"/>
      <c r="E2101" s="1">
        <v>0</v>
      </c>
      <c r="F2101" s="1">
        <v>0</v>
      </c>
      <c r="G2101" s="1">
        <v>0</v>
      </c>
      <c r="H2101" s="1">
        <v>0</v>
      </c>
      <c r="I2101" s="1">
        <v>0</v>
      </c>
    </row>
    <row r="2102" spans="1:9" ht="23.25">
      <c r="A2102" s="4" t="s">
        <v>27</v>
      </c>
      <c r="B2102" s="4"/>
      <c r="C2102" s="4" t="s">
        <v>40</v>
      </c>
      <c r="D2102" s="4"/>
      <c r="E2102" s="1">
        <v>0</v>
      </c>
      <c r="F2102" s="1">
        <v>0</v>
      </c>
      <c r="G2102" s="1">
        <v>0</v>
      </c>
      <c r="H2102" s="1">
        <v>0</v>
      </c>
      <c r="I2102" s="1">
        <v>0</v>
      </c>
    </row>
    <row r="2103" spans="1:9" ht="23.25">
      <c r="A2103" s="4" t="s">
        <v>28</v>
      </c>
      <c r="B2103" s="4"/>
      <c r="C2103" s="4" t="s">
        <v>40</v>
      </c>
      <c r="D2103" s="4"/>
      <c r="E2103" s="1">
        <v>0</v>
      </c>
      <c r="F2103" s="1">
        <v>0</v>
      </c>
      <c r="G2103" s="1">
        <v>0</v>
      </c>
      <c r="H2103" s="1">
        <v>0</v>
      </c>
      <c r="I2103" s="1">
        <v>0</v>
      </c>
    </row>
    <row r="2104" spans="1:9" ht="23.25">
      <c r="A2104" s="4" t="s">
        <v>29</v>
      </c>
      <c r="B2104" s="4"/>
      <c r="C2104" s="4" t="s">
        <v>40</v>
      </c>
      <c r="D2104" s="4"/>
      <c r="E2104" s="1">
        <v>0</v>
      </c>
      <c r="F2104" s="1">
        <v>0</v>
      </c>
      <c r="G2104" s="1">
        <v>0</v>
      </c>
      <c r="H2104" s="1">
        <v>0</v>
      </c>
      <c r="I2104" s="1">
        <v>0</v>
      </c>
    </row>
    <row r="2105" spans="1:9" ht="23.25">
      <c r="A2105" s="4" t="s">
        <v>30</v>
      </c>
      <c r="B2105" s="4"/>
      <c r="C2105" s="4" t="s">
        <v>40</v>
      </c>
      <c r="D2105" s="4"/>
      <c r="E2105" s="1">
        <v>0</v>
      </c>
      <c r="F2105" s="1">
        <v>0</v>
      </c>
      <c r="G2105" s="1">
        <v>0</v>
      </c>
      <c r="H2105" s="1">
        <v>0</v>
      </c>
      <c r="I2105" s="1">
        <v>0</v>
      </c>
    </row>
    <row r="2106" spans="1:9" ht="23.25">
      <c r="A2106" s="4" t="s">
        <v>31</v>
      </c>
      <c r="B2106" s="4"/>
      <c r="C2106" s="4" t="s">
        <v>40</v>
      </c>
      <c r="D2106" s="4"/>
      <c r="E2106" s="1">
        <v>5020</v>
      </c>
      <c r="F2106" s="1">
        <v>619</v>
      </c>
      <c r="G2106" s="1">
        <v>738</v>
      </c>
      <c r="H2106" s="1">
        <v>21</v>
      </c>
      <c r="I2106" s="1">
        <v>0</v>
      </c>
    </row>
    <row r="2107" spans="1:9" ht="23.25">
      <c r="A2107" s="4" t="s">
        <v>32</v>
      </c>
      <c r="B2107" s="4"/>
      <c r="C2107" s="4" t="s">
        <v>40</v>
      </c>
      <c r="D2107" s="4"/>
      <c r="E2107" s="1">
        <v>1717460</v>
      </c>
      <c r="F2107" s="1">
        <v>149297</v>
      </c>
      <c r="G2107" s="1">
        <v>71717</v>
      </c>
      <c r="H2107" s="1">
        <v>19691</v>
      </c>
      <c r="I2107" s="1">
        <v>669653</v>
      </c>
    </row>
    <row r="2108" spans="1:9" ht="23.25">
      <c r="A2108" s="4" t="s">
        <v>33</v>
      </c>
      <c r="B2108" s="4"/>
      <c r="C2108" s="4" t="s">
        <v>40</v>
      </c>
      <c r="D2108" s="4"/>
      <c r="E2108" s="1">
        <v>3618</v>
      </c>
      <c r="F2108" s="1">
        <v>166</v>
      </c>
      <c r="G2108" s="1">
        <v>391</v>
      </c>
      <c r="H2108" s="1">
        <v>34</v>
      </c>
      <c r="I2108" s="1">
        <v>0</v>
      </c>
    </row>
    <row r="2109" spans="1:9" ht="23.25">
      <c r="A2109" s="4" t="s">
        <v>34</v>
      </c>
      <c r="B2109" s="4"/>
      <c r="C2109" s="4" t="s">
        <v>40</v>
      </c>
      <c r="D2109" s="4"/>
      <c r="E2109" s="1">
        <v>2275383</v>
      </c>
      <c r="F2109" s="1">
        <v>181620</v>
      </c>
      <c r="G2109" s="1">
        <v>75743</v>
      </c>
      <c r="H2109" s="1">
        <v>45828</v>
      </c>
      <c r="I2109" s="1">
        <v>1260511</v>
      </c>
    </row>
    <row r="2110" spans="1:9" ht="23.25">
      <c r="A2110" s="4" t="s">
        <v>35</v>
      </c>
      <c r="B2110" s="4"/>
      <c r="C2110" s="4" t="s">
        <v>40</v>
      </c>
      <c r="D2110" s="4"/>
      <c r="E2110" s="1">
        <v>0</v>
      </c>
      <c r="F2110" s="1">
        <v>0</v>
      </c>
      <c r="G2110" s="1">
        <v>0</v>
      </c>
      <c r="H2110" s="1">
        <v>0</v>
      </c>
      <c r="I2110" s="1">
        <v>0</v>
      </c>
    </row>
    <row r="2111" spans="1:9" ht="23.25">
      <c r="A2111" s="4" t="s">
        <v>36</v>
      </c>
      <c r="B2111" s="4"/>
      <c r="C2111" s="4" t="s">
        <v>40</v>
      </c>
      <c r="D2111" s="4"/>
      <c r="E2111" s="1">
        <v>2621699</v>
      </c>
      <c r="F2111" s="1">
        <v>80842</v>
      </c>
      <c r="G2111" s="1">
        <v>133165</v>
      </c>
      <c r="H2111" s="1">
        <v>28878</v>
      </c>
      <c r="I2111" s="1">
        <v>2312935</v>
      </c>
    </row>
    <row r="2112" spans="1:9" ht="23.25">
      <c r="A2112" s="4" t="s">
        <v>37</v>
      </c>
      <c r="B2112" s="4"/>
      <c r="C2112" s="4" t="s">
        <v>40</v>
      </c>
      <c r="D2112" s="4"/>
      <c r="E2112" s="1">
        <v>7771452</v>
      </c>
      <c r="F2112" s="1">
        <v>236523</v>
      </c>
      <c r="G2112" s="1">
        <v>211865</v>
      </c>
      <c r="H2112" s="1">
        <v>64765</v>
      </c>
      <c r="I2112" s="1">
        <v>1312907</v>
      </c>
    </row>
    <row r="2113" spans="1:9" ht="23.25">
      <c r="A2113" s="4" t="s">
        <v>38</v>
      </c>
      <c r="B2113" s="4"/>
      <c r="C2113" s="4" t="s">
        <v>40</v>
      </c>
      <c r="D2113" s="4"/>
      <c r="E2113" s="1">
        <v>0</v>
      </c>
      <c r="F2113" s="1">
        <v>0</v>
      </c>
      <c r="G2113" s="1">
        <v>0</v>
      </c>
      <c r="H2113" s="1">
        <v>0</v>
      </c>
      <c r="I2113" s="1">
        <v>0</v>
      </c>
    </row>
    <row r="2114" spans="1:9" ht="23.25">
      <c r="A2114" s="4" t="s">
        <v>39</v>
      </c>
      <c r="B2114" s="4"/>
      <c r="C2114" s="4" t="s">
        <v>40</v>
      </c>
      <c r="D2114" s="4"/>
      <c r="E2114" s="1">
        <v>178290</v>
      </c>
      <c r="F2114" s="1">
        <v>8222</v>
      </c>
      <c r="G2114" s="1">
        <v>12750</v>
      </c>
      <c r="H2114" s="1">
        <v>1391</v>
      </c>
      <c r="I2114" s="1">
        <v>54601</v>
      </c>
    </row>
    <row r="2115" spans="1:9" ht="23.25">
      <c r="A2115" s="4" t="s">
        <v>40</v>
      </c>
      <c r="B2115" s="4"/>
      <c r="C2115" s="4" t="s">
        <v>40</v>
      </c>
      <c r="D2115" s="4"/>
      <c r="E2115" s="1">
        <v>25377238</v>
      </c>
      <c r="F2115" s="1">
        <v>998946</v>
      </c>
      <c r="G2115" s="1">
        <v>841661</v>
      </c>
      <c r="H2115" s="1">
        <v>342252</v>
      </c>
      <c r="I2115" s="1">
        <v>228630</v>
      </c>
    </row>
    <row r="2116" spans="1:9" ht="23.25">
      <c r="A2116" s="4" t="s">
        <v>41</v>
      </c>
      <c r="B2116" s="4"/>
      <c r="C2116" s="4" t="s">
        <v>40</v>
      </c>
      <c r="D2116" s="4"/>
      <c r="E2116" s="1">
        <v>41096</v>
      </c>
      <c r="F2116" s="1">
        <v>2314</v>
      </c>
      <c r="G2116" s="1">
        <v>2636</v>
      </c>
      <c r="H2116" s="1">
        <v>255</v>
      </c>
      <c r="I2116" s="1">
        <v>0</v>
      </c>
    </row>
    <row r="2117" spans="1:9" ht="23.25">
      <c r="A2117" s="4" t="s">
        <v>42</v>
      </c>
      <c r="B2117" s="4"/>
      <c r="C2117" s="4" t="s">
        <v>40</v>
      </c>
      <c r="D2117" s="4"/>
      <c r="E2117" s="1">
        <v>14285865</v>
      </c>
      <c r="F2117" s="1">
        <v>1528436</v>
      </c>
      <c r="G2117" s="1">
        <v>1122330</v>
      </c>
      <c r="H2117" s="1">
        <v>163809</v>
      </c>
      <c r="I2117" s="1">
        <v>8450269</v>
      </c>
    </row>
    <row r="2118" spans="1:9" ht="23.25">
      <c r="A2118" s="4" t="s">
        <v>43</v>
      </c>
      <c r="B2118" s="4"/>
      <c r="C2118" s="4" t="s">
        <v>40</v>
      </c>
      <c r="D2118" s="4"/>
      <c r="E2118" s="1">
        <v>0</v>
      </c>
      <c r="F2118" s="1">
        <v>0</v>
      </c>
      <c r="G2118" s="1">
        <v>0</v>
      </c>
      <c r="H2118" s="1">
        <v>0</v>
      </c>
      <c r="I2118" s="1">
        <v>0</v>
      </c>
    </row>
    <row r="2119" spans="1:9" ht="23.25">
      <c r="A2119" s="4" t="s">
        <v>44</v>
      </c>
      <c r="B2119" s="4"/>
      <c r="C2119" s="4" t="s">
        <v>40</v>
      </c>
      <c r="D2119" s="4"/>
      <c r="E2119" s="1">
        <v>176778</v>
      </c>
      <c r="F2119" s="1">
        <v>3105</v>
      </c>
      <c r="G2119" s="1">
        <v>15047</v>
      </c>
      <c r="H2119" s="1">
        <v>468</v>
      </c>
      <c r="I2119" s="1">
        <v>78108</v>
      </c>
    </row>
    <row r="2120" spans="1:9" ht="23.25">
      <c r="A2120" s="4" t="s">
        <v>45</v>
      </c>
      <c r="B2120" s="4"/>
      <c r="C2120" s="4" t="s">
        <v>40</v>
      </c>
      <c r="D2120" s="4"/>
      <c r="E2120" s="1">
        <v>1894148</v>
      </c>
      <c r="F2120" s="1">
        <v>132654</v>
      </c>
      <c r="G2120" s="1">
        <v>0</v>
      </c>
      <c r="H2120" s="1">
        <v>20975</v>
      </c>
      <c r="I2120" s="1">
        <v>0</v>
      </c>
    </row>
    <row r="2121" spans="1:9" ht="23.25">
      <c r="A2121" s="4" t="s">
        <v>46</v>
      </c>
      <c r="B2121" s="4"/>
      <c r="C2121" s="4" t="s">
        <v>40</v>
      </c>
      <c r="D2121" s="4"/>
      <c r="E2121" s="1">
        <v>120983</v>
      </c>
      <c r="F2121" s="1">
        <v>6055</v>
      </c>
      <c r="G2121" s="1">
        <v>1318</v>
      </c>
      <c r="H2121" s="1">
        <v>1194</v>
      </c>
      <c r="I2121" s="1">
        <v>0</v>
      </c>
    </row>
    <row r="2122" spans="1:9" ht="23.25">
      <c r="A2122" s="4" t="s">
        <v>47</v>
      </c>
      <c r="B2122" s="4"/>
      <c r="C2122" s="4" t="s">
        <v>40</v>
      </c>
      <c r="D2122" s="4"/>
      <c r="E2122" s="1">
        <v>588376</v>
      </c>
      <c r="F2122" s="1">
        <v>0</v>
      </c>
      <c r="G2122" s="1">
        <v>0</v>
      </c>
      <c r="H2122" s="1">
        <v>0</v>
      </c>
      <c r="I2122" s="1">
        <v>0</v>
      </c>
    </row>
    <row r="2123" spans="1:9" ht="23.25">
      <c r="A2123" s="4" t="s">
        <v>48</v>
      </c>
      <c r="B2123" s="4"/>
      <c r="C2123" s="4" t="s">
        <v>40</v>
      </c>
      <c r="D2123" s="4"/>
      <c r="E2123" s="1">
        <v>0</v>
      </c>
      <c r="F2123" s="1">
        <v>0</v>
      </c>
      <c r="G2123" s="1">
        <v>0</v>
      </c>
      <c r="H2123" s="1">
        <v>0</v>
      </c>
      <c r="I2123" s="1">
        <v>0</v>
      </c>
    </row>
    <row r="2124" spans="1:9" ht="23.25">
      <c r="A2124" s="4" t="s">
        <v>49</v>
      </c>
      <c r="B2124" s="4"/>
      <c r="C2124" s="4" t="s">
        <v>40</v>
      </c>
      <c r="D2124" s="4"/>
      <c r="E2124" s="1">
        <v>0</v>
      </c>
      <c r="F2124" s="1">
        <v>0</v>
      </c>
      <c r="G2124" s="1">
        <v>0</v>
      </c>
      <c r="H2124" s="1">
        <v>0</v>
      </c>
      <c r="I2124" s="1">
        <v>0</v>
      </c>
    </row>
    <row r="2125" spans="1:9" ht="23.25">
      <c r="A2125" s="4" t="s">
        <v>50</v>
      </c>
      <c r="B2125" s="4"/>
      <c r="C2125" s="4" t="s">
        <v>40</v>
      </c>
      <c r="D2125" s="4"/>
      <c r="E2125" s="1">
        <v>20581</v>
      </c>
      <c r="F2125" s="1">
        <v>1668</v>
      </c>
      <c r="G2125" s="1">
        <v>2702</v>
      </c>
      <c r="H2125" s="1">
        <v>302</v>
      </c>
      <c r="I2125" s="1">
        <v>0</v>
      </c>
    </row>
    <row r="2126" spans="1:9" ht="23.25">
      <c r="A2126" s="4" t="s">
        <v>51</v>
      </c>
      <c r="B2126" s="4"/>
      <c r="C2126" s="4" t="s">
        <v>40</v>
      </c>
      <c r="D2126" s="4"/>
      <c r="E2126" s="1">
        <v>343648</v>
      </c>
      <c r="F2126" s="1">
        <v>32545</v>
      </c>
      <c r="G2126" s="1">
        <v>27614</v>
      </c>
      <c r="H2126" s="1">
        <v>3977</v>
      </c>
      <c r="I2126" s="1">
        <v>0</v>
      </c>
    </row>
    <row r="2127" spans="1:9" ht="23.25">
      <c r="A2127" s="4" t="s">
        <v>52</v>
      </c>
      <c r="B2127" s="4"/>
      <c r="C2127" s="4" t="s">
        <v>40</v>
      </c>
      <c r="D2127" s="4"/>
      <c r="E2127" s="1">
        <v>10938238</v>
      </c>
      <c r="F2127" s="1">
        <v>397</v>
      </c>
      <c r="G2127" s="1">
        <v>693</v>
      </c>
      <c r="H2127" s="1">
        <v>85</v>
      </c>
      <c r="I2127" s="1">
        <v>0</v>
      </c>
    </row>
    <row r="2128" spans="1:9" ht="23.25">
      <c r="A2128" s="4" t="s">
        <v>53</v>
      </c>
      <c r="B2128" s="4"/>
      <c r="C2128" s="4" t="s">
        <v>40</v>
      </c>
      <c r="D2128" s="4"/>
      <c r="E2128" s="1">
        <v>261608</v>
      </c>
      <c r="F2128" s="1">
        <v>0</v>
      </c>
      <c r="G2128" s="1">
        <v>0</v>
      </c>
      <c r="H2128" s="1">
        <v>0</v>
      </c>
      <c r="I2128" s="1">
        <v>0</v>
      </c>
    </row>
    <row r="2129" spans="1:9" ht="23.25">
      <c r="A2129" s="4" t="s">
        <v>54</v>
      </c>
      <c r="B2129" s="4"/>
      <c r="C2129" s="4" t="s">
        <v>40</v>
      </c>
      <c r="D2129" s="4"/>
      <c r="E2129" s="1">
        <v>181692</v>
      </c>
      <c r="F2129" s="1">
        <v>0</v>
      </c>
      <c r="G2129" s="1">
        <v>0</v>
      </c>
      <c r="H2129" s="1">
        <v>0</v>
      </c>
      <c r="I2129" s="1">
        <v>0</v>
      </c>
    </row>
    <row r="2130" spans="1:9" ht="23.25">
      <c r="A2130" s="4" t="s">
        <v>55</v>
      </c>
      <c r="B2130" s="4"/>
      <c r="C2130" s="4" t="s">
        <v>40</v>
      </c>
      <c r="D2130" s="4"/>
      <c r="E2130" s="1">
        <v>0</v>
      </c>
      <c r="F2130" s="1">
        <v>0</v>
      </c>
      <c r="G2130" s="1">
        <v>0</v>
      </c>
      <c r="H2130" s="1">
        <v>0</v>
      </c>
      <c r="I2130" s="1">
        <v>0</v>
      </c>
    </row>
    <row r="2131" spans="1:9" ht="23.25">
      <c r="A2131" s="4" t="s">
        <v>56</v>
      </c>
      <c r="B2131" s="4"/>
      <c r="C2131" s="4" t="s">
        <v>40</v>
      </c>
      <c r="D2131" s="4"/>
      <c r="E2131" s="1">
        <v>0</v>
      </c>
      <c r="F2131" s="1">
        <v>-4523202</v>
      </c>
      <c r="G2131" s="1">
        <v>-2520370</v>
      </c>
      <c r="H2131" s="1">
        <v>0</v>
      </c>
      <c r="I2131" s="1">
        <v>0</v>
      </c>
    </row>
    <row r="2132" spans="1:9" ht="23.25">
      <c r="A2132" s="4" t="s">
        <v>57</v>
      </c>
      <c r="B2132" s="4"/>
      <c r="C2132" s="4" t="s">
        <v>40</v>
      </c>
      <c r="D2132" s="4"/>
      <c r="E2132" s="1">
        <v>265683</v>
      </c>
      <c r="F2132" s="1">
        <v>0</v>
      </c>
      <c r="G2132" s="1">
        <v>0</v>
      </c>
      <c r="H2132" s="1">
        <v>0</v>
      </c>
      <c r="I2132" s="1">
        <v>0</v>
      </c>
    </row>
    <row r="2133" spans="1:9" ht="23.25">
      <c r="A2133" s="4" t="s">
        <v>58</v>
      </c>
      <c r="B2133" s="4"/>
      <c r="C2133" s="4" t="s">
        <v>40</v>
      </c>
      <c r="D2133" s="4"/>
      <c r="E2133" s="1">
        <v>588377</v>
      </c>
      <c r="F2133" s="1">
        <v>0</v>
      </c>
      <c r="G2133" s="1">
        <v>0</v>
      </c>
      <c r="H2133" s="1">
        <v>-4191058</v>
      </c>
      <c r="I2133" s="1">
        <v>0</v>
      </c>
    </row>
    <row r="2134" spans="1:9" ht="23.25">
      <c r="A2134" s="4" t="s">
        <v>59</v>
      </c>
      <c r="B2134" s="4"/>
      <c r="C2134" s="4" t="s">
        <v>40</v>
      </c>
      <c r="D2134" s="4"/>
      <c r="E2134" s="1">
        <v>92870</v>
      </c>
      <c r="F2134" s="1">
        <v>0</v>
      </c>
      <c r="G2134" s="1">
        <v>0</v>
      </c>
      <c r="H2134" s="1">
        <v>0</v>
      </c>
      <c r="I2134" s="1">
        <v>0</v>
      </c>
    </row>
    <row r="2135" spans="1:9" ht="23.25">
      <c r="A2135" s="4" t="s">
        <v>60</v>
      </c>
      <c r="B2135" s="4"/>
      <c r="C2135" s="4" t="s">
        <v>40</v>
      </c>
      <c r="D2135" s="4"/>
      <c r="E2135" s="1">
        <v>5443802</v>
      </c>
      <c r="F2135" s="1">
        <v>0</v>
      </c>
      <c r="G2135" s="1">
        <v>0</v>
      </c>
      <c r="H2135" s="1">
        <v>0</v>
      </c>
      <c r="I2135" s="1">
        <v>0</v>
      </c>
    </row>
    <row r="2136" spans="1:9" ht="23.25">
      <c r="A2136" s="4" t="s">
        <v>61</v>
      </c>
      <c r="B2136" s="4"/>
      <c r="C2136" s="4" t="s">
        <v>40</v>
      </c>
      <c r="D2136" s="4"/>
      <c r="E2136" s="1">
        <v>92023</v>
      </c>
      <c r="F2136" s="1">
        <v>0</v>
      </c>
      <c r="G2136" s="1">
        <v>0</v>
      </c>
      <c r="H2136" s="1">
        <v>0</v>
      </c>
      <c r="I2136" s="1">
        <v>0</v>
      </c>
    </row>
    <row r="2137" spans="1:9" ht="23.25">
      <c r="A2137" s="4" t="s">
        <v>62</v>
      </c>
      <c r="B2137" s="4"/>
      <c r="C2137" s="4" t="s">
        <v>40</v>
      </c>
      <c r="D2137" s="4"/>
      <c r="E2137" s="1">
        <v>2323811</v>
      </c>
      <c r="F2137" s="1">
        <v>0</v>
      </c>
      <c r="G2137" s="1">
        <v>0</v>
      </c>
      <c r="H2137" s="1">
        <v>0</v>
      </c>
      <c r="I2137" s="1">
        <v>0</v>
      </c>
    </row>
    <row r="2138" spans="1:9" ht="23.25">
      <c r="A2138" s="4" t="s">
        <v>63</v>
      </c>
      <c r="B2138" s="4"/>
      <c r="C2138" s="4" t="s">
        <v>40</v>
      </c>
      <c r="D2138" s="4"/>
      <c r="E2138" s="1">
        <v>232938</v>
      </c>
      <c r="F2138" s="1">
        <v>0</v>
      </c>
      <c r="G2138" s="1">
        <v>0</v>
      </c>
      <c r="H2138" s="1">
        <v>0</v>
      </c>
      <c r="I2138" s="1">
        <v>0</v>
      </c>
    </row>
    <row r="2139" spans="1:9" ht="23.25">
      <c r="A2139" s="4" t="s">
        <v>64</v>
      </c>
      <c r="B2139" s="4"/>
      <c r="C2139" s="4" t="s">
        <v>40</v>
      </c>
      <c r="D2139" s="4"/>
      <c r="E2139" s="1">
        <v>60121</v>
      </c>
      <c r="F2139" s="1">
        <v>0</v>
      </c>
      <c r="G2139" s="1">
        <v>0</v>
      </c>
      <c r="H2139" s="1">
        <v>0</v>
      </c>
      <c r="I2139" s="1">
        <v>0</v>
      </c>
    </row>
    <row r="2140" spans="1:9" ht="23.25">
      <c r="A2140" s="4" t="s">
        <v>65</v>
      </c>
      <c r="B2140" s="4"/>
      <c r="C2140" s="4" t="s">
        <v>40</v>
      </c>
      <c r="D2140" s="4"/>
      <c r="E2140" s="1">
        <v>731092</v>
      </c>
      <c r="F2140" s="1">
        <v>0</v>
      </c>
      <c r="G2140" s="1">
        <v>0</v>
      </c>
      <c r="H2140" s="1">
        <v>0</v>
      </c>
      <c r="I2140" s="1">
        <v>77005</v>
      </c>
    </row>
    <row r="2141" spans="1:9" ht="23.25">
      <c r="A2141" s="4" t="s">
        <v>66</v>
      </c>
      <c r="B2141" s="4"/>
      <c r="C2141" s="4" t="s">
        <v>40</v>
      </c>
      <c r="D2141" s="4"/>
      <c r="E2141" s="1">
        <v>131262408</v>
      </c>
      <c r="F2141" s="1">
        <v>0</v>
      </c>
      <c r="G2141" s="1">
        <v>0</v>
      </c>
      <c r="H2141" s="1">
        <v>0</v>
      </c>
      <c r="I2141" s="1">
        <v>21129976</v>
      </c>
    </row>
    <row r="2142" spans="1:9" ht="23.25">
      <c r="A2142" s="4" t="s">
        <v>67</v>
      </c>
      <c r="B2142" s="4"/>
      <c r="C2142" s="4" t="s">
        <v>40</v>
      </c>
      <c r="D2142" s="4"/>
      <c r="E2142" s="1">
        <v>21976498</v>
      </c>
      <c r="F2142" s="1">
        <v>0</v>
      </c>
      <c r="G2142" s="1">
        <v>0</v>
      </c>
      <c r="H2142" s="1">
        <v>0</v>
      </c>
      <c r="I2142" s="1">
        <v>0</v>
      </c>
    </row>
    <row r="2143" spans="1:9" ht="23.25">
      <c r="A2143" s="4" t="s">
        <v>68</v>
      </c>
      <c r="B2143" s="4"/>
      <c r="C2143" s="4" t="s">
        <v>40</v>
      </c>
      <c r="D2143" s="4"/>
      <c r="E2143" s="1">
        <v>34399811</v>
      </c>
      <c r="F2143" s="1">
        <v>0</v>
      </c>
      <c r="G2143" s="1">
        <v>0</v>
      </c>
      <c r="H2143" s="1">
        <v>0</v>
      </c>
      <c r="I2143" s="1">
        <v>0</v>
      </c>
    </row>
    <row r="2144" spans="1:9" ht="23.25">
      <c r="A2144" s="4" t="s">
        <v>69</v>
      </c>
      <c r="B2144" s="4"/>
      <c r="C2144" s="4" t="s">
        <v>40</v>
      </c>
      <c r="D2144" s="4"/>
      <c r="E2144" s="1">
        <v>14237400</v>
      </c>
      <c r="F2144" s="1">
        <v>0</v>
      </c>
      <c r="G2144" s="1">
        <v>0</v>
      </c>
      <c r="H2144" s="1">
        <v>0</v>
      </c>
      <c r="I2144" s="1">
        <v>0</v>
      </c>
    </row>
    <row r="2145" spans="1:9" ht="23.25">
      <c r="A2145" s="4" t="s">
        <v>70</v>
      </c>
      <c r="B2145" s="4"/>
      <c r="C2145" s="4" t="s">
        <v>40</v>
      </c>
      <c r="D2145" s="4"/>
      <c r="E2145" s="1">
        <v>4356519</v>
      </c>
      <c r="F2145" s="1">
        <v>0</v>
      </c>
      <c r="G2145" s="1">
        <v>0</v>
      </c>
      <c r="H2145" s="1">
        <v>0</v>
      </c>
      <c r="I2145" s="1">
        <v>0</v>
      </c>
    </row>
    <row r="2146" spans="1:9" ht="23.25">
      <c r="A2146" s="4" t="s">
        <v>71</v>
      </c>
      <c r="B2146" s="4"/>
      <c r="C2146" s="4" t="s">
        <v>40</v>
      </c>
      <c r="D2146" s="4"/>
      <c r="E2146" s="1">
        <v>74970228</v>
      </c>
      <c r="F2146" s="1">
        <v>0</v>
      </c>
      <c r="G2146" s="1">
        <v>0</v>
      </c>
      <c r="H2146" s="1">
        <v>0</v>
      </c>
      <c r="I2146" s="1">
        <v>0</v>
      </c>
    </row>
    <row r="2147" spans="1:9" ht="23.25">
      <c r="A2147" s="4" t="s">
        <v>72</v>
      </c>
      <c r="B2147" s="4"/>
      <c r="C2147" s="4" t="s">
        <v>40</v>
      </c>
      <c r="D2147" s="4"/>
      <c r="E2147" s="1">
        <v>206232636</v>
      </c>
      <c r="F2147" s="1">
        <v>0</v>
      </c>
      <c r="G2147" s="1">
        <v>0</v>
      </c>
      <c r="H2147" s="1">
        <v>0</v>
      </c>
      <c r="I2147" s="1">
        <v>0</v>
      </c>
    </row>
    <row r="2148" spans="1:9" ht="23.25">
      <c r="A2148" s="4" t="s">
        <v>8</v>
      </c>
      <c r="B2148" s="4"/>
      <c r="C2148" s="4" t="s">
        <v>41</v>
      </c>
      <c r="D2148" s="4"/>
      <c r="E2148" s="1">
        <v>0</v>
      </c>
      <c r="F2148" s="1">
        <v>0</v>
      </c>
      <c r="G2148" s="1">
        <v>0</v>
      </c>
      <c r="H2148" s="1">
        <v>0</v>
      </c>
      <c r="I2148" s="1">
        <v>0</v>
      </c>
    </row>
    <row r="2149" spans="1:9" ht="23.25">
      <c r="A2149" s="4" t="s">
        <v>9</v>
      </c>
      <c r="B2149" s="4"/>
      <c r="C2149" s="4" t="s">
        <v>41</v>
      </c>
      <c r="D2149" s="4"/>
      <c r="E2149" s="1">
        <v>0</v>
      </c>
      <c r="F2149" s="1">
        <v>0</v>
      </c>
      <c r="G2149" s="1">
        <v>0</v>
      </c>
      <c r="H2149" s="1">
        <v>0</v>
      </c>
      <c r="I2149" s="1">
        <v>0</v>
      </c>
    </row>
    <row r="2150" spans="1:9" ht="23.25">
      <c r="A2150" s="4" t="s">
        <v>10</v>
      </c>
      <c r="B2150" s="4"/>
      <c r="C2150" s="4" t="s">
        <v>41</v>
      </c>
      <c r="D2150" s="4"/>
      <c r="E2150" s="1">
        <v>0</v>
      </c>
      <c r="F2150" s="1">
        <v>0</v>
      </c>
      <c r="G2150" s="1">
        <v>0</v>
      </c>
      <c r="H2150" s="1">
        <v>0</v>
      </c>
      <c r="I2150" s="1">
        <v>0</v>
      </c>
    </row>
    <row r="2151" spans="1:9" ht="23.25">
      <c r="A2151" s="4" t="s">
        <v>11</v>
      </c>
      <c r="B2151" s="4"/>
      <c r="C2151" s="4" t="s">
        <v>41</v>
      </c>
      <c r="D2151" s="4"/>
      <c r="E2151" s="1">
        <v>0</v>
      </c>
      <c r="F2151" s="1">
        <v>0</v>
      </c>
      <c r="G2151" s="1">
        <v>0</v>
      </c>
      <c r="H2151" s="1">
        <v>0</v>
      </c>
      <c r="I2151" s="1">
        <v>0</v>
      </c>
    </row>
    <row r="2152" spans="1:9" ht="23.25">
      <c r="A2152" s="4" t="s">
        <v>12</v>
      </c>
      <c r="B2152" s="4"/>
      <c r="C2152" s="4" t="s">
        <v>41</v>
      </c>
      <c r="D2152" s="4"/>
      <c r="E2152" s="1">
        <v>0</v>
      </c>
      <c r="F2152" s="1">
        <v>0</v>
      </c>
      <c r="G2152" s="1">
        <v>0</v>
      </c>
      <c r="H2152" s="1">
        <v>0</v>
      </c>
      <c r="I2152" s="1">
        <v>0</v>
      </c>
    </row>
    <row r="2153" spans="1:9" ht="23.25">
      <c r="A2153" s="4" t="s">
        <v>13</v>
      </c>
      <c r="B2153" s="4"/>
      <c r="C2153" s="4" t="s">
        <v>41</v>
      </c>
      <c r="D2153" s="4"/>
      <c r="E2153" s="1">
        <v>0</v>
      </c>
      <c r="F2153" s="1">
        <v>0</v>
      </c>
      <c r="G2153" s="1">
        <v>0</v>
      </c>
      <c r="H2153" s="1">
        <v>0</v>
      </c>
      <c r="I2153" s="1">
        <v>0</v>
      </c>
    </row>
    <row r="2154" spans="1:9" ht="23.25">
      <c r="A2154" s="4" t="s">
        <v>14</v>
      </c>
      <c r="B2154" s="4"/>
      <c r="C2154" s="4" t="s">
        <v>41</v>
      </c>
      <c r="D2154" s="4"/>
      <c r="E2154" s="1">
        <v>0</v>
      </c>
      <c r="F2154" s="1">
        <v>0</v>
      </c>
      <c r="G2154" s="1">
        <v>0</v>
      </c>
      <c r="H2154" s="1">
        <v>0</v>
      </c>
      <c r="I2154" s="1">
        <v>0</v>
      </c>
    </row>
    <row r="2155" spans="1:9" ht="23.25">
      <c r="A2155" s="4" t="s">
        <v>15</v>
      </c>
      <c r="B2155" s="4"/>
      <c r="C2155" s="4" t="s">
        <v>41</v>
      </c>
      <c r="D2155" s="4"/>
      <c r="E2155" s="1">
        <v>0</v>
      </c>
      <c r="F2155" s="1">
        <v>0</v>
      </c>
      <c r="G2155" s="1">
        <v>0</v>
      </c>
      <c r="H2155" s="1">
        <v>0</v>
      </c>
      <c r="I2155" s="1">
        <v>0</v>
      </c>
    </row>
    <row r="2156" spans="1:9" ht="23.25">
      <c r="A2156" s="4" t="s">
        <v>16</v>
      </c>
      <c r="B2156" s="4"/>
      <c r="C2156" s="4" t="s">
        <v>41</v>
      </c>
      <c r="D2156" s="4"/>
      <c r="E2156" s="1">
        <v>0</v>
      </c>
      <c r="F2156" s="1">
        <v>0</v>
      </c>
      <c r="G2156" s="1">
        <v>0</v>
      </c>
      <c r="H2156" s="1">
        <v>0</v>
      </c>
      <c r="I2156" s="1">
        <v>0</v>
      </c>
    </row>
    <row r="2157" spans="1:9" ht="23.25">
      <c r="A2157" s="4" t="s">
        <v>17</v>
      </c>
      <c r="B2157" s="4"/>
      <c r="C2157" s="4" t="s">
        <v>41</v>
      </c>
      <c r="D2157" s="4"/>
      <c r="E2157" s="1">
        <v>127132</v>
      </c>
      <c r="F2157" s="1">
        <v>5269</v>
      </c>
      <c r="G2157" s="1">
        <v>3493</v>
      </c>
      <c r="H2157" s="1">
        <v>614</v>
      </c>
      <c r="I2157" s="1">
        <v>0</v>
      </c>
    </row>
    <row r="2158" spans="1:9" ht="23.25">
      <c r="A2158" s="4" t="s">
        <v>18</v>
      </c>
      <c r="B2158" s="4"/>
      <c r="C2158" s="4" t="s">
        <v>41</v>
      </c>
      <c r="D2158" s="4"/>
      <c r="E2158" s="1">
        <v>0</v>
      </c>
      <c r="F2158" s="1">
        <v>0</v>
      </c>
      <c r="G2158" s="1">
        <v>0</v>
      </c>
      <c r="H2158" s="1">
        <v>0</v>
      </c>
      <c r="I2158" s="1">
        <v>0</v>
      </c>
    </row>
    <row r="2159" spans="1:9" ht="23.25">
      <c r="A2159" s="4" t="s">
        <v>19</v>
      </c>
      <c r="B2159" s="4"/>
      <c r="C2159" s="4" t="s">
        <v>41</v>
      </c>
      <c r="D2159" s="4"/>
      <c r="E2159" s="1">
        <v>0</v>
      </c>
      <c r="F2159" s="1">
        <v>0</v>
      </c>
      <c r="G2159" s="1">
        <v>0</v>
      </c>
      <c r="H2159" s="1">
        <v>0</v>
      </c>
      <c r="I2159" s="1">
        <v>0</v>
      </c>
    </row>
    <row r="2160" spans="1:9" ht="23.25">
      <c r="A2160" s="4" t="s">
        <v>20</v>
      </c>
      <c r="B2160" s="4"/>
      <c r="C2160" s="4" t="s">
        <v>41</v>
      </c>
      <c r="D2160" s="4"/>
      <c r="E2160" s="1">
        <v>915536</v>
      </c>
      <c r="F2160" s="1">
        <v>15028</v>
      </c>
      <c r="G2160" s="1">
        <v>0</v>
      </c>
      <c r="H2160" s="1">
        <v>14324</v>
      </c>
      <c r="I2160" s="1">
        <v>341703</v>
      </c>
    </row>
    <row r="2161" spans="1:9" ht="23.25">
      <c r="A2161" s="4" t="s">
        <v>21</v>
      </c>
      <c r="B2161" s="4"/>
      <c r="C2161" s="4" t="s">
        <v>41</v>
      </c>
      <c r="D2161" s="4"/>
      <c r="E2161" s="1">
        <v>40748264</v>
      </c>
      <c r="F2161" s="1">
        <v>3591474</v>
      </c>
      <c r="G2161" s="1">
        <v>0</v>
      </c>
      <c r="H2161" s="1">
        <v>4529427</v>
      </c>
      <c r="I2161" s="1">
        <v>5161360</v>
      </c>
    </row>
    <row r="2162" spans="1:9" ht="23.25">
      <c r="A2162" s="4" t="s">
        <v>22</v>
      </c>
      <c r="B2162" s="4"/>
      <c r="C2162" s="4" t="s">
        <v>41</v>
      </c>
      <c r="D2162" s="4"/>
      <c r="E2162" s="1">
        <v>0</v>
      </c>
      <c r="F2162" s="1">
        <v>0</v>
      </c>
      <c r="G2162" s="1">
        <v>0</v>
      </c>
      <c r="H2162" s="1">
        <v>0</v>
      </c>
      <c r="I2162" s="1">
        <v>0</v>
      </c>
    </row>
    <row r="2163" spans="1:9" ht="23.25">
      <c r="A2163" s="4" t="s">
        <v>23</v>
      </c>
      <c r="B2163" s="4"/>
      <c r="C2163" s="4" t="s">
        <v>41</v>
      </c>
      <c r="D2163" s="4"/>
      <c r="E2163" s="1">
        <v>0</v>
      </c>
      <c r="F2163" s="1">
        <v>0</v>
      </c>
      <c r="G2163" s="1">
        <v>0</v>
      </c>
      <c r="H2163" s="1">
        <v>0</v>
      </c>
      <c r="I2163" s="1">
        <v>0</v>
      </c>
    </row>
    <row r="2164" spans="1:9" ht="23.25">
      <c r="A2164" s="4" t="s">
        <v>24</v>
      </c>
      <c r="B2164" s="4"/>
      <c r="C2164" s="4" t="s">
        <v>41</v>
      </c>
      <c r="D2164" s="4"/>
      <c r="E2164" s="1">
        <v>771384</v>
      </c>
      <c r="F2164" s="1">
        <v>42893</v>
      </c>
      <c r="G2164" s="1">
        <v>41155</v>
      </c>
      <c r="H2164" s="1">
        <v>12123</v>
      </c>
      <c r="I2164" s="1">
        <v>0</v>
      </c>
    </row>
    <row r="2165" spans="1:9" ht="23.25">
      <c r="A2165" s="4" t="s">
        <v>25</v>
      </c>
      <c r="B2165" s="4"/>
      <c r="C2165" s="4" t="s">
        <v>41</v>
      </c>
      <c r="D2165" s="4"/>
      <c r="E2165" s="1">
        <v>0</v>
      </c>
      <c r="F2165" s="1">
        <v>0</v>
      </c>
      <c r="G2165" s="1">
        <v>0</v>
      </c>
      <c r="H2165" s="1">
        <v>0</v>
      </c>
      <c r="I2165" s="1">
        <v>0</v>
      </c>
    </row>
    <row r="2166" spans="1:9" ht="23.25">
      <c r="A2166" s="4" t="s">
        <v>26</v>
      </c>
      <c r="B2166" s="4"/>
      <c r="C2166" s="4" t="s">
        <v>41</v>
      </c>
      <c r="D2166" s="4"/>
      <c r="E2166" s="1">
        <v>0</v>
      </c>
      <c r="F2166" s="1">
        <v>0</v>
      </c>
      <c r="G2166" s="1">
        <v>0</v>
      </c>
      <c r="H2166" s="1">
        <v>0</v>
      </c>
      <c r="I2166" s="1">
        <v>0</v>
      </c>
    </row>
    <row r="2167" spans="1:9" ht="23.25">
      <c r="A2167" s="4" t="s">
        <v>27</v>
      </c>
      <c r="B2167" s="4"/>
      <c r="C2167" s="4" t="s">
        <v>41</v>
      </c>
      <c r="D2167" s="4"/>
      <c r="E2167" s="1">
        <v>0</v>
      </c>
      <c r="F2167" s="1">
        <v>0</v>
      </c>
      <c r="G2167" s="1">
        <v>0</v>
      </c>
      <c r="H2167" s="1">
        <v>0</v>
      </c>
      <c r="I2167" s="1">
        <v>0</v>
      </c>
    </row>
    <row r="2168" spans="1:9" ht="23.25">
      <c r="A2168" s="4" t="s">
        <v>28</v>
      </c>
      <c r="B2168" s="4"/>
      <c r="C2168" s="4" t="s">
        <v>41</v>
      </c>
      <c r="D2168" s="4"/>
      <c r="E2168" s="1">
        <v>0</v>
      </c>
      <c r="F2168" s="1">
        <v>0</v>
      </c>
      <c r="G2168" s="1">
        <v>0</v>
      </c>
      <c r="H2168" s="1">
        <v>0</v>
      </c>
      <c r="I2168" s="1">
        <v>0</v>
      </c>
    </row>
    <row r="2169" spans="1:9" ht="23.25">
      <c r="A2169" s="4" t="s">
        <v>29</v>
      </c>
      <c r="B2169" s="4"/>
      <c r="C2169" s="4" t="s">
        <v>41</v>
      </c>
      <c r="D2169" s="4"/>
      <c r="E2169" s="1">
        <v>0</v>
      </c>
      <c r="F2169" s="1">
        <v>0</v>
      </c>
      <c r="G2169" s="1">
        <v>0</v>
      </c>
      <c r="H2169" s="1">
        <v>0</v>
      </c>
      <c r="I2169" s="1">
        <v>0</v>
      </c>
    </row>
    <row r="2170" spans="1:9" ht="23.25">
      <c r="A2170" s="4" t="s">
        <v>30</v>
      </c>
      <c r="B2170" s="4"/>
      <c r="C2170" s="4" t="s">
        <v>41</v>
      </c>
      <c r="D2170" s="4"/>
      <c r="E2170" s="1">
        <v>259612</v>
      </c>
      <c r="F2170" s="1">
        <v>1454</v>
      </c>
      <c r="G2170" s="1">
        <v>1586</v>
      </c>
      <c r="H2170" s="1">
        <v>2904</v>
      </c>
      <c r="I2170" s="1">
        <v>0</v>
      </c>
    </row>
    <row r="2171" spans="1:9" ht="23.25">
      <c r="A2171" s="4" t="s">
        <v>31</v>
      </c>
      <c r="B2171" s="4"/>
      <c r="C2171" s="4" t="s">
        <v>41</v>
      </c>
      <c r="D2171" s="4"/>
      <c r="E2171" s="1">
        <v>28328</v>
      </c>
      <c r="F2171" s="1">
        <v>4983</v>
      </c>
      <c r="G2171" s="1">
        <v>6465</v>
      </c>
      <c r="H2171" s="1">
        <v>142</v>
      </c>
      <c r="I2171" s="1">
        <v>0</v>
      </c>
    </row>
    <row r="2172" spans="1:9" ht="23.25">
      <c r="A2172" s="4" t="s">
        <v>32</v>
      </c>
      <c r="B2172" s="4"/>
      <c r="C2172" s="4" t="s">
        <v>41</v>
      </c>
      <c r="D2172" s="4"/>
      <c r="E2172" s="1">
        <v>982323</v>
      </c>
      <c r="F2172" s="1">
        <v>28104</v>
      </c>
      <c r="G2172" s="1">
        <v>26978</v>
      </c>
      <c r="H2172" s="1">
        <v>10632</v>
      </c>
      <c r="I2172" s="1">
        <v>0</v>
      </c>
    </row>
    <row r="2173" spans="1:9" ht="23.25">
      <c r="A2173" s="4" t="s">
        <v>33</v>
      </c>
      <c r="B2173" s="4"/>
      <c r="C2173" s="4" t="s">
        <v>41</v>
      </c>
      <c r="D2173" s="4"/>
      <c r="E2173" s="1">
        <v>8982</v>
      </c>
      <c r="F2173" s="1">
        <v>495</v>
      </c>
      <c r="G2173" s="1">
        <v>796</v>
      </c>
      <c r="H2173" s="1">
        <v>80</v>
      </c>
      <c r="I2173" s="1">
        <v>0</v>
      </c>
    </row>
    <row r="2174" spans="1:9" ht="23.25">
      <c r="A2174" s="4" t="s">
        <v>34</v>
      </c>
      <c r="B2174" s="4"/>
      <c r="C2174" s="4" t="s">
        <v>41</v>
      </c>
      <c r="D2174" s="4"/>
      <c r="E2174" s="1">
        <v>21561735</v>
      </c>
      <c r="F2174" s="1">
        <v>1834503</v>
      </c>
      <c r="G2174" s="1">
        <v>887901</v>
      </c>
      <c r="H2174" s="1">
        <v>352006</v>
      </c>
      <c r="I2174" s="1">
        <v>9731365</v>
      </c>
    </row>
    <row r="2175" spans="1:9" ht="23.25">
      <c r="A2175" s="4" t="s">
        <v>35</v>
      </c>
      <c r="B2175" s="4"/>
      <c r="C2175" s="4" t="s">
        <v>41</v>
      </c>
      <c r="D2175" s="4"/>
      <c r="E2175" s="1">
        <v>0</v>
      </c>
      <c r="F2175" s="1">
        <v>0</v>
      </c>
      <c r="G2175" s="1">
        <v>0</v>
      </c>
      <c r="H2175" s="1">
        <v>0</v>
      </c>
      <c r="I2175" s="1">
        <v>0</v>
      </c>
    </row>
    <row r="2176" spans="1:9" ht="23.25">
      <c r="A2176" s="4" t="s">
        <v>36</v>
      </c>
      <c r="B2176" s="4"/>
      <c r="C2176" s="4" t="s">
        <v>41</v>
      </c>
      <c r="D2176" s="4"/>
      <c r="E2176" s="1">
        <v>22205032</v>
      </c>
      <c r="F2176" s="1">
        <v>667244</v>
      </c>
      <c r="G2176" s="1">
        <v>659013</v>
      </c>
      <c r="H2176" s="1">
        <v>258893</v>
      </c>
      <c r="I2176" s="1">
        <v>16441619</v>
      </c>
    </row>
    <row r="2177" spans="1:9" ht="23.25">
      <c r="A2177" s="4" t="s">
        <v>37</v>
      </c>
      <c r="B2177" s="4"/>
      <c r="C2177" s="4" t="s">
        <v>41</v>
      </c>
      <c r="D2177" s="4"/>
      <c r="E2177" s="1">
        <v>10449671</v>
      </c>
      <c r="F2177" s="1">
        <v>540440</v>
      </c>
      <c r="G2177" s="1">
        <v>603563</v>
      </c>
      <c r="H2177" s="1">
        <v>93822</v>
      </c>
      <c r="I2177" s="1">
        <v>1922046</v>
      </c>
    </row>
    <row r="2178" spans="1:9" ht="23.25">
      <c r="A2178" s="4" t="s">
        <v>38</v>
      </c>
      <c r="B2178" s="4"/>
      <c r="C2178" s="4" t="s">
        <v>41</v>
      </c>
      <c r="D2178" s="4"/>
      <c r="E2178" s="1">
        <v>0</v>
      </c>
      <c r="F2178" s="1">
        <v>0</v>
      </c>
      <c r="G2178" s="1">
        <v>0</v>
      </c>
      <c r="H2178" s="1">
        <v>0</v>
      </c>
      <c r="I2178" s="1">
        <v>0</v>
      </c>
    </row>
    <row r="2179" spans="1:9" ht="23.25">
      <c r="A2179" s="4" t="s">
        <v>39</v>
      </c>
      <c r="B2179" s="4"/>
      <c r="C2179" s="4" t="s">
        <v>41</v>
      </c>
      <c r="D2179" s="4"/>
      <c r="E2179" s="1">
        <v>2201263</v>
      </c>
      <c r="F2179" s="1">
        <v>113403</v>
      </c>
      <c r="G2179" s="1">
        <v>179927</v>
      </c>
      <c r="H2179" s="1">
        <v>18486</v>
      </c>
      <c r="I2179" s="1">
        <v>752252</v>
      </c>
    </row>
    <row r="2180" spans="1:9" ht="23.25">
      <c r="A2180" s="4" t="s">
        <v>40</v>
      </c>
      <c r="B2180" s="4"/>
      <c r="C2180" s="4" t="s">
        <v>41</v>
      </c>
      <c r="D2180" s="4"/>
      <c r="E2180" s="1">
        <v>16467981</v>
      </c>
      <c r="F2180" s="1">
        <v>1249163</v>
      </c>
      <c r="G2180" s="1">
        <v>723666</v>
      </c>
      <c r="H2180" s="1">
        <v>232022</v>
      </c>
      <c r="I2180" s="1">
        <v>0</v>
      </c>
    </row>
    <row r="2181" spans="1:9" ht="23.25">
      <c r="A2181" s="4" t="s">
        <v>41</v>
      </c>
      <c r="B2181" s="4"/>
      <c r="C2181" s="4" t="s">
        <v>41</v>
      </c>
      <c r="D2181" s="4"/>
      <c r="E2181" s="1">
        <v>35605844</v>
      </c>
      <c r="F2181" s="1">
        <v>1764194</v>
      </c>
      <c r="G2181" s="1">
        <v>2460281</v>
      </c>
      <c r="H2181" s="1">
        <v>380848</v>
      </c>
      <c r="I2181" s="1">
        <v>8593484</v>
      </c>
    </row>
    <row r="2182" spans="1:9" ht="23.25">
      <c r="A2182" s="4" t="s">
        <v>42</v>
      </c>
      <c r="B2182" s="4"/>
      <c r="C2182" s="4" t="s">
        <v>41</v>
      </c>
      <c r="D2182" s="4"/>
      <c r="E2182" s="1">
        <v>703209</v>
      </c>
      <c r="F2182" s="1">
        <v>28243</v>
      </c>
      <c r="G2182" s="1">
        <v>69436</v>
      </c>
      <c r="H2182" s="1">
        <v>8555</v>
      </c>
      <c r="I2182" s="1">
        <v>373822</v>
      </c>
    </row>
    <row r="2183" spans="1:9" ht="23.25">
      <c r="A2183" s="4" t="s">
        <v>43</v>
      </c>
      <c r="B2183" s="4"/>
      <c r="C2183" s="4" t="s">
        <v>41</v>
      </c>
      <c r="D2183" s="4"/>
      <c r="E2183" s="1">
        <v>326727</v>
      </c>
      <c r="F2183" s="1">
        <v>12265</v>
      </c>
      <c r="G2183" s="1">
        <v>4612</v>
      </c>
      <c r="H2183" s="1">
        <v>465</v>
      </c>
      <c r="I2183" s="1">
        <v>196523</v>
      </c>
    </row>
    <row r="2184" spans="1:9" ht="23.25">
      <c r="A2184" s="4" t="s">
        <v>44</v>
      </c>
      <c r="B2184" s="4"/>
      <c r="C2184" s="4" t="s">
        <v>41</v>
      </c>
      <c r="D2184" s="4"/>
      <c r="E2184" s="1">
        <v>1088555</v>
      </c>
      <c r="F2184" s="1">
        <v>15183</v>
      </c>
      <c r="G2184" s="1">
        <v>32012</v>
      </c>
      <c r="H2184" s="1">
        <v>2705</v>
      </c>
      <c r="I2184" s="1">
        <v>709625</v>
      </c>
    </row>
    <row r="2185" spans="1:9" ht="23.25">
      <c r="A2185" s="4" t="s">
        <v>45</v>
      </c>
      <c r="B2185" s="4"/>
      <c r="C2185" s="4" t="s">
        <v>41</v>
      </c>
      <c r="D2185" s="4"/>
      <c r="E2185" s="1">
        <v>1644929</v>
      </c>
      <c r="F2185" s="1">
        <v>83776</v>
      </c>
      <c r="G2185" s="1">
        <v>0</v>
      </c>
      <c r="H2185" s="1">
        <v>15246</v>
      </c>
      <c r="I2185" s="1">
        <v>0</v>
      </c>
    </row>
    <row r="2186" spans="1:9" ht="23.25">
      <c r="A2186" s="4" t="s">
        <v>46</v>
      </c>
      <c r="B2186" s="4"/>
      <c r="C2186" s="4" t="s">
        <v>41</v>
      </c>
      <c r="D2186" s="4"/>
      <c r="E2186" s="1">
        <v>237389</v>
      </c>
      <c r="F2186" s="1">
        <v>13311</v>
      </c>
      <c r="G2186" s="1">
        <v>8955</v>
      </c>
      <c r="H2186" s="1">
        <v>2017</v>
      </c>
      <c r="I2186" s="1">
        <v>0</v>
      </c>
    </row>
    <row r="2187" spans="1:9" ht="23.25">
      <c r="A2187" s="4" t="s">
        <v>47</v>
      </c>
      <c r="B2187" s="4"/>
      <c r="C2187" s="4" t="s">
        <v>41</v>
      </c>
      <c r="D2187" s="4"/>
      <c r="E2187" s="1">
        <v>275692</v>
      </c>
      <c r="F2187" s="1">
        <v>0</v>
      </c>
      <c r="G2187" s="1">
        <v>0</v>
      </c>
      <c r="H2187" s="1">
        <v>0</v>
      </c>
      <c r="I2187" s="1">
        <v>0</v>
      </c>
    </row>
    <row r="2188" spans="1:9" ht="23.25">
      <c r="A2188" s="4" t="s">
        <v>48</v>
      </c>
      <c r="B2188" s="4"/>
      <c r="C2188" s="4" t="s">
        <v>41</v>
      </c>
      <c r="D2188" s="4"/>
      <c r="E2188" s="1">
        <v>0</v>
      </c>
      <c r="F2188" s="1">
        <v>0</v>
      </c>
      <c r="G2188" s="1">
        <v>0</v>
      </c>
      <c r="H2188" s="1">
        <v>0</v>
      </c>
      <c r="I2188" s="1">
        <v>0</v>
      </c>
    </row>
    <row r="2189" spans="1:9" ht="23.25">
      <c r="A2189" s="4" t="s">
        <v>49</v>
      </c>
      <c r="B2189" s="4"/>
      <c r="C2189" s="4" t="s">
        <v>41</v>
      </c>
      <c r="D2189" s="4"/>
      <c r="E2189" s="1">
        <v>0</v>
      </c>
      <c r="F2189" s="1">
        <v>0</v>
      </c>
      <c r="G2189" s="1">
        <v>0</v>
      </c>
      <c r="H2189" s="1">
        <v>0</v>
      </c>
      <c r="I2189" s="1">
        <v>0</v>
      </c>
    </row>
    <row r="2190" spans="1:9" ht="23.25">
      <c r="A2190" s="4" t="s">
        <v>50</v>
      </c>
      <c r="B2190" s="4"/>
      <c r="C2190" s="4" t="s">
        <v>41</v>
      </c>
      <c r="D2190" s="4"/>
      <c r="E2190" s="1">
        <v>495943</v>
      </c>
      <c r="F2190" s="1">
        <v>28186</v>
      </c>
      <c r="G2190" s="1">
        <v>44951</v>
      </c>
      <c r="H2190" s="1">
        <v>3852</v>
      </c>
      <c r="I2190" s="1">
        <v>11300</v>
      </c>
    </row>
    <row r="2191" spans="1:9" ht="23.25">
      <c r="A2191" s="4" t="s">
        <v>51</v>
      </c>
      <c r="B2191" s="4"/>
      <c r="C2191" s="4" t="s">
        <v>41</v>
      </c>
      <c r="D2191" s="4"/>
      <c r="E2191" s="1">
        <v>193661</v>
      </c>
      <c r="F2191" s="1">
        <v>11530</v>
      </c>
      <c r="G2191" s="1">
        <v>14801</v>
      </c>
      <c r="H2191" s="1">
        <v>1930</v>
      </c>
      <c r="I2191" s="1">
        <v>8736</v>
      </c>
    </row>
    <row r="2192" spans="1:9" ht="23.25">
      <c r="A2192" s="4" t="s">
        <v>52</v>
      </c>
      <c r="B2192" s="4"/>
      <c r="C2192" s="4" t="s">
        <v>41</v>
      </c>
      <c r="D2192" s="4"/>
      <c r="E2192" s="1">
        <v>11481055</v>
      </c>
      <c r="F2192" s="1">
        <v>42772</v>
      </c>
      <c r="G2192" s="1">
        <v>47866</v>
      </c>
      <c r="H2192" s="1">
        <v>8926</v>
      </c>
      <c r="I2192" s="1">
        <v>0</v>
      </c>
    </row>
    <row r="2193" spans="1:9" ht="23.25">
      <c r="A2193" s="4" t="s">
        <v>53</v>
      </c>
      <c r="B2193" s="4"/>
      <c r="C2193" s="4" t="s">
        <v>41</v>
      </c>
      <c r="D2193" s="4"/>
      <c r="E2193" s="1">
        <v>110675</v>
      </c>
      <c r="F2193" s="1">
        <v>0</v>
      </c>
      <c r="G2193" s="1">
        <v>0</v>
      </c>
      <c r="H2193" s="1">
        <v>0</v>
      </c>
      <c r="I2193" s="1">
        <v>0</v>
      </c>
    </row>
    <row r="2194" spans="1:9" ht="23.25">
      <c r="A2194" s="4" t="s">
        <v>54</v>
      </c>
      <c r="B2194" s="4"/>
      <c r="C2194" s="4" t="s">
        <v>41</v>
      </c>
      <c r="D2194" s="4"/>
      <c r="E2194" s="1">
        <v>246210</v>
      </c>
      <c r="F2194" s="1">
        <v>0</v>
      </c>
      <c r="G2194" s="1">
        <v>0</v>
      </c>
      <c r="H2194" s="1">
        <v>0</v>
      </c>
      <c r="I2194" s="1">
        <v>0</v>
      </c>
    </row>
    <row r="2195" spans="1:9" ht="23.25">
      <c r="A2195" s="4" t="s">
        <v>55</v>
      </c>
      <c r="B2195" s="4"/>
      <c r="C2195" s="4" t="s">
        <v>41</v>
      </c>
      <c r="D2195" s="4"/>
      <c r="E2195" s="1">
        <v>0</v>
      </c>
      <c r="F2195" s="1">
        <v>0</v>
      </c>
      <c r="G2195" s="1">
        <v>0</v>
      </c>
      <c r="H2195" s="1">
        <v>0</v>
      </c>
      <c r="I2195" s="1">
        <v>0</v>
      </c>
    </row>
    <row r="2196" spans="1:9" ht="23.25">
      <c r="A2196" s="4" t="s">
        <v>56</v>
      </c>
      <c r="B2196" s="4"/>
      <c r="C2196" s="4" t="s">
        <v>41</v>
      </c>
      <c r="D2196" s="4"/>
      <c r="E2196" s="1">
        <v>0</v>
      </c>
      <c r="F2196" s="1">
        <v>-10093913</v>
      </c>
      <c r="G2196" s="1">
        <v>-5817457</v>
      </c>
      <c r="H2196" s="1">
        <v>0</v>
      </c>
      <c r="I2196" s="1">
        <v>0</v>
      </c>
    </row>
    <row r="2197" spans="1:9" ht="23.25">
      <c r="A2197" s="4" t="s">
        <v>57</v>
      </c>
      <c r="B2197" s="4"/>
      <c r="C2197" s="4" t="s">
        <v>41</v>
      </c>
      <c r="D2197" s="4"/>
      <c r="E2197" s="1">
        <v>327475</v>
      </c>
      <c r="F2197" s="1">
        <v>0</v>
      </c>
      <c r="G2197" s="1">
        <v>0</v>
      </c>
      <c r="H2197" s="1">
        <v>0</v>
      </c>
      <c r="I2197" s="1">
        <v>0</v>
      </c>
    </row>
    <row r="2198" spans="1:9" ht="23.25">
      <c r="A2198" s="4" t="s">
        <v>58</v>
      </c>
      <c r="B2198" s="4"/>
      <c r="C2198" s="4" t="s">
        <v>41</v>
      </c>
      <c r="D2198" s="4"/>
      <c r="E2198" s="1">
        <v>832192</v>
      </c>
      <c r="F2198" s="1">
        <v>0</v>
      </c>
      <c r="G2198" s="1">
        <v>0</v>
      </c>
      <c r="H2198" s="1">
        <v>-5950019</v>
      </c>
      <c r="I2198" s="1">
        <v>0</v>
      </c>
    </row>
    <row r="2199" spans="1:9" ht="23.25">
      <c r="A2199" s="4" t="s">
        <v>59</v>
      </c>
      <c r="B2199" s="4"/>
      <c r="C2199" s="4" t="s">
        <v>41</v>
      </c>
      <c r="D2199" s="4"/>
      <c r="E2199" s="1">
        <v>754092</v>
      </c>
      <c r="F2199" s="1">
        <v>0</v>
      </c>
      <c r="G2199" s="1">
        <v>0</v>
      </c>
      <c r="H2199" s="1">
        <v>0</v>
      </c>
      <c r="I2199" s="1">
        <v>0</v>
      </c>
    </row>
    <row r="2200" spans="1:9" ht="23.25">
      <c r="A2200" s="4" t="s">
        <v>60</v>
      </c>
      <c r="B2200" s="4"/>
      <c r="C2200" s="4" t="s">
        <v>41</v>
      </c>
      <c r="D2200" s="4"/>
      <c r="E2200" s="1">
        <v>7927810</v>
      </c>
      <c r="F2200" s="1">
        <v>0</v>
      </c>
      <c r="G2200" s="1">
        <v>0</v>
      </c>
      <c r="H2200" s="1">
        <v>0</v>
      </c>
      <c r="I2200" s="1">
        <v>0</v>
      </c>
    </row>
    <row r="2201" spans="1:9" ht="23.25">
      <c r="A2201" s="4" t="s">
        <v>61</v>
      </c>
      <c r="B2201" s="4"/>
      <c r="C2201" s="4" t="s">
        <v>41</v>
      </c>
      <c r="D2201" s="4"/>
      <c r="E2201" s="1">
        <v>104828</v>
      </c>
      <c r="F2201" s="1">
        <v>0</v>
      </c>
      <c r="G2201" s="1">
        <v>0</v>
      </c>
      <c r="H2201" s="1">
        <v>0</v>
      </c>
      <c r="I2201" s="1">
        <v>0</v>
      </c>
    </row>
    <row r="2202" spans="1:9" ht="23.25">
      <c r="A2202" s="4" t="s">
        <v>62</v>
      </c>
      <c r="B2202" s="4"/>
      <c r="C2202" s="4" t="s">
        <v>41</v>
      </c>
      <c r="D2202" s="4"/>
      <c r="E2202" s="1">
        <v>8935184</v>
      </c>
      <c r="F2202" s="1">
        <v>0</v>
      </c>
      <c r="G2202" s="1">
        <v>0</v>
      </c>
      <c r="H2202" s="1">
        <v>0</v>
      </c>
      <c r="I2202" s="1">
        <v>0</v>
      </c>
    </row>
    <row r="2203" spans="1:9" ht="23.25">
      <c r="A2203" s="4" t="s">
        <v>63</v>
      </c>
      <c r="B2203" s="4"/>
      <c r="C2203" s="4" t="s">
        <v>41</v>
      </c>
      <c r="D2203" s="4"/>
      <c r="E2203" s="1">
        <v>456505</v>
      </c>
      <c r="F2203" s="1">
        <v>0</v>
      </c>
      <c r="G2203" s="1">
        <v>0</v>
      </c>
      <c r="H2203" s="1">
        <v>0</v>
      </c>
      <c r="I2203" s="1">
        <v>0</v>
      </c>
    </row>
    <row r="2204" spans="1:9" ht="23.25">
      <c r="A2204" s="4" t="s">
        <v>64</v>
      </c>
      <c r="B2204" s="4"/>
      <c r="C2204" s="4" t="s">
        <v>41</v>
      </c>
      <c r="D2204" s="4"/>
      <c r="E2204" s="1">
        <v>210844</v>
      </c>
      <c r="F2204" s="1">
        <v>0</v>
      </c>
      <c r="G2204" s="1">
        <v>0</v>
      </c>
      <c r="H2204" s="1">
        <v>0</v>
      </c>
      <c r="I2204" s="1">
        <v>0</v>
      </c>
    </row>
    <row r="2205" spans="1:9" ht="23.25">
      <c r="A2205" s="4" t="s">
        <v>65</v>
      </c>
      <c r="B2205" s="4"/>
      <c r="C2205" s="4" t="s">
        <v>41</v>
      </c>
      <c r="D2205" s="4"/>
      <c r="E2205" s="1">
        <v>1915720</v>
      </c>
      <c r="F2205" s="1">
        <v>0</v>
      </c>
      <c r="G2205" s="1">
        <v>0</v>
      </c>
      <c r="H2205" s="1">
        <v>0</v>
      </c>
      <c r="I2205" s="1">
        <v>169684</v>
      </c>
    </row>
    <row r="2206" spans="1:9" ht="23.25">
      <c r="A2206" s="4" t="s">
        <v>66</v>
      </c>
      <c r="B2206" s="4"/>
      <c r="C2206" s="4" t="s">
        <v>41</v>
      </c>
      <c r="D2206" s="4"/>
      <c r="E2206" s="1">
        <v>190601782</v>
      </c>
      <c r="F2206" s="1">
        <v>0</v>
      </c>
      <c r="G2206" s="1">
        <v>0</v>
      </c>
      <c r="H2206" s="1">
        <v>0</v>
      </c>
      <c r="I2206" s="1">
        <v>44413519</v>
      </c>
    </row>
    <row r="2207" spans="1:9" ht="23.25">
      <c r="A2207" s="4" t="s">
        <v>67</v>
      </c>
      <c r="B2207" s="4"/>
      <c r="C2207" s="4" t="s">
        <v>41</v>
      </c>
      <c r="D2207" s="4"/>
      <c r="E2207" s="1">
        <v>29329386</v>
      </c>
      <c r="F2207" s="1">
        <v>0</v>
      </c>
      <c r="G2207" s="1">
        <v>0</v>
      </c>
      <c r="H2207" s="1">
        <v>0</v>
      </c>
      <c r="I2207" s="1">
        <v>0</v>
      </c>
    </row>
    <row r="2208" spans="1:9" ht="23.25">
      <c r="A2208" s="4" t="s">
        <v>68</v>
      </c>
      <c r="B2208" s="4"/>
      <c r="C2208" s="4" t="s">
        <v>41</v>
      </c>
      <c r="D2208" s="4"/>
      <c r="E2208" s="1">
        <v>34035645</v>
      </c>
      <c r="F2208" s="1">
        <v>0</v>
      </c>
      <c r="G2208" s="1">
        <v>0</v>
      </c>
      <c r="H2208" s="1">
        <v>0</v>
      </c>
      <c r="I2208" s="1">
        <v>0</v>
      </c>
    </row>
    <row r="2209" spans="1:9" ht="23.25">
      <c r="A2209" s="4" t="s">
        <v>69</v>
      </c>
      <c r="B2209" s="4"/>
      <c r="C2209" s="4" t="s">
        <v>41</v>
      </c>
      <c r="D2209" s="4"/>
      <c r="E2209" s="1">
        <v>21217832</v>
      </c>
      <c r="F2209" s="1">
        <v>0</v>
      </c>
      <c r="G2209" s="1">
        <v>0</v>
      </c>
      <c r="H2209" s="1">
        <v>0</v>
      </c>
      <c r="I2209" s="1">
        <v>0</v>
      </c>
    </row>
    <row r="2210" spans="1:9" ht="23.25">
      <c r="A2210" s="4" t="s">
        <v>70</v>
      </c>
      <c r="B2210" s="4"/>
      <c r="C2210" s="4" t="s">
        <v>41</v>
      </c>
      <c r="D2210" s="4"/>
      <c r="E2210" s="1">
        <v>6449318</v>
      </c>
      <c r="F2210" s="1">
        <v>0</v>
      </c>
      <c r="G2210" s="1">
        <v>0</v>
      </c>
      <c r="H2210" s="1">
        <v>0</v>
      </c>
      <c r="I2210" s="1">
        <v>0</v>
      </c>
    </row>
    <row r="2211" spans="1:9" ht="23.25">
      <c r="A2211" s="4" t="s">
        <v>71</v>
      </c>
      <c r="B2211" s="4"/>
      <c r="C2211" s="4" t="s">
        <v>41</v>
      </c>
      <c r="D2211" s="4"/>
      <c r="E2211" s="1">
        <v>91032181</v>
      </c>
      <c r="F2211" s="1">
        <v>0</v>
      </c>
      <c r="G2211" s="1">
        <v>0</v>
      </c>
      <c r="H2211" s="1">
        <v>0</v>
      </c>
      <c r="I2211" s="1">
        <v>0</v>
      </c>
    </row>
    <row r="2212" spans="1:9" ht="23.25">
      <c r="A2212" s="4" t="s">
        <v>72</v>
      </c>
      <c r="B2212" s="4"/>
      <c r="C2212" s="4" t="s">
        <v>41</v>
      </c>
      <c r="D2212" s="4"/>
      <c r="E2212" s="1">
        <v>281633963</v>
      </c>
      <c r="F2212" s="1">
        <v>0</v>
      </c>
      <c r="G2212" s="1">
        <v>0</v>
      </c>
      <c r="H2212" s="1">
        <v>0</v>
      </c>
      <c r="I2212" s="1">
        <v>0</v>
      </c>
    </row>
    <row r="2213" spans="1:9" ht="23.25">
      <c r="A2213" s="4" t="s">
        <v>8</v>
      </c>
      <c r="B2213" s="4"/>
      <c r="C2213" s="4" t="s">
        <v>42</v>
      </c>
      <c r="D2213" s="4"/>
      <c r="E2213" s="1">
        <v>0</v>
      </c>
      <c r="F2213" s="1">
        <v>0</v>
      </c>
      <c r="G2213" s="1">
        <v>0</v>
      </c>
      <c r="H2213" s="1">
        <v>0</v>
      </c>
      <c r="I2213" s="1">
        <v>0</v>
      </c>
    </row>
    <row r="2214" spans="1:9" ht="23.25">
      <c r="A2214" s="4" t="s">
        <v>9</v>
      </c>
      <c r="B2214" s="4"/>
      <c r="C2214" s="4" t="s">
        <v>42</v>
      </c>
      <c r="D2214" s="4"/>
      <c r="E2214" s="1">
        <v>0</v>
      </c>
      <c r="F2214" s="1">
        <v>0</v>
      </c>
      <c r="G2214" s="1">
        <v>0</v>
      </c>
      <c r="H2214" s="1">
        <v>0</v>
      </c>
      <c r="I2214" s="1">
        <v>0</v>
      </c>
    </row>
    <row r="2215" spans="1:9" ht="23.25">
      <c r="A2215" s="4" t="s">
        <v>10</v>
      </c>
      <c r="B2215" s="4"/>
      <c r="C2215" s="4" t="s">
        <v>42</v>
      </c>
      <c r="D2215" s="4"/>
      <c r="E2215" s="1">
        <v>0</v>
      </c>
      <c r="F2215" s="1">
        <v>0</v>
      </c>
      <c r="G2215" s="1">
        <v>0</v>
      </c>
      <c r="H2215" s="1">
        <v>0</v>
      </c>
      <c r="I2215" s="1">
        <v>0</v>
      </c>
    </row>
    <row r="2216" spans="1:9" ht="23.25">
      <c r="A2216" s="4" t="s">
        <v>11</v>
      </c>
      <c r="B2216" s="4"/>
      <c r="C2216" s="4" t="s">
        <v>42</v>
      </c>
      <c r="D2216" s="4"/>
      <c r="E2216" s="1">
        <v>0</v>
      </c>
      <c r="F2216" s="1">
        <v>0</v>
      </c>
      <c r="G2216" s="1">
        <v>0</v>
      </c>
      <c r="H2216" s="1">
        <v>0</v>
      </c>
      <c r="I2216" s="1">
        <v>0</v>
      </c>
    </row>
    <row r="2217" spans="1:9" ht="23.25">
      <c r="A2217" s="4" t="s">
        <v>12</v>
      </c>
      <c r="B2217" s="4"/>
      <c r="C2217" s="4" t="s">
        <v>42</v>
      </c>
      <c r="D2217" s="4"/>
      <c r="E2217" s="1">
        <v>0</v>
      </c>
      <c r="F2217" s="1">
        <v>0</v>
      </c>
      <c r="G2217" s="1">
        <v>0</v>
      </c>
      <c r="H2217" s="1">
        <v>0</v>
      </c>
      <c r="I2217" s="1">
        <v>0</v>
      </c>
    </row>
    <row r="2218" spans="1:9" ht="23.25">
      <c r="A2218" s="4" t="s">
        <v>13</v>
      </c>
      <c r="B2218" s="4"/>
      <c r="C2218" s="4" t="s">
        <v>42</v>
      </c>
      <c r="D2218" s="4"/>
      <c r="E2218" s="1">
        <v>0</v>
      </c>
      <c r="F2218" s="1">
        <v>0</v>
      </c>
      <c r="G2218" s="1">
        <v>0</v>
      </c>
      <c r="H2218" s="1">
        <v>0</v>
      </c>
      <c r="I2218" s="1">
        <v>0</v>
      </c>
    </row>
    <row r="2219" spans="1:9" ht="23.25">
      <c r="A2219" s="4" t="s">
        <v>14</v>
      </c>
      <c r="B2219" s="4"/>
      <c r="C2219" s="4" t="s">
        <v>42</v>
      </c>
      <c r="D2219" s="4"/>
      <c r="E2219" s="1">
        <v>0</v>
      </c>
      <c r="F2219" s="1">
        <v>0</v>
      </c>
      <c r="G2219" s="1">
        <v>0</v>
      </c>
      <c r="H2219" s="1">
        <v>0</v>
      </c>
      <c r="I2219" s="1">
        <v>0</v>
      </c>
    </row>
    <row r="2220" spans="1:9" ht="23.25">
      <c r="A2220" s="4" t="s">
        <v>15</v>
      </c>
      <c r="B2220" s="4"/>
      <c r="C2220" s="4" t="s">
        <v>42</v>
      </c>
      <c r="D2220" s="4"/>
      <c r="E2220" s="1">
        <v>0</v>
      </c>
      <c r="F2220" s="1">
        <v>0</v>
      </c>
      <c r="G2220" s="1">
        <v>0</v>
      </c>
      <c r="H2220" s="1">
        <v>0</v>
      </c>
      <c r="I2220" s="1">
        <v>0</v>
      </c>
    </row>
    <row r="2221" spans="1:9" ht="23.25">
      <c r="A2221" s="4" t="s">
        <v>16</v>
      </c>
      <c r="B2221" s="4"/>
      <c r="C2221" s="4" t="s">
        <v>42</v>
      </c>
      <c r="D2221" s="4"/>
      <c r="E2221" s="1">
        <v>0</v>
      </c>
      <c r="F2221" s="1">
        <v>0</v>
      </c>
      <c r="G2221" s="1">
        <v>0</v>
      </c>
      <c r="H2221" s="1">
        <v>0</v>
      </c>
      <c r="I2221" s="1">
        <v>0</v>
      </c>
    </row>
    <row r="2222" spans="1:9" ht="23.25">
      <c r="A2222" s="4" t="s">
        <v>17</v>
      </c>
      <c r="B2222" s="4"/>
      <c r="C2222" s="4" t="s">
        <v>42</v>
      </c>
      <c r="D2222" s="4"/>
      <c r="E2222" s="1">
        <v>0</v>
      </c>
      <c r="F2222" s="1">
        <v>0</v>
      </c>
      <c r="G2222" s="1">
        <v>0</v>
      </c>
      <c r="H2222" s="1">
        <v>0</v>
      </c>
      <c r="I2222" s="1">
        <v>0</v>
      </c>
    </row>
    <row r="2223" spans="1:9" ht="23.25">
      <c r="A2223" s="4" t="s">
        <v>18</v>
      </c>
      <c r="B2223" s="4"/>
      <c r="C2223" s="4" t="s">
        <v>42</v>
      </c>
      <c r="D2223" s="4"/>
      <c r="E2223" s="1">
        <v>0</v>
      </c>
      <c r="F2223" s="1">
        <v>0</v>
      </c>
      <c r="G2223" s="1">
        <v>0</v>
      </c>
      <c r="H2223" s="1">
        <v>0</v>
      </c>
      <c r="I2223" s="1">
        <v>0</v>
      </c>
    </row>
    <row r="2224" spans="1:9" ht="23.25">
      <c r="A2224" s="4" t="s">
        <v>19</v>
      </c>
      <c r="B2224" s="4"/>
      <c r="C2224" s="4" t="s">
        <v>42</v>
      </c>
      <c r="D2224" s="4"/>
      <c r="E2224" s="1">
        <v>0</v>
      </c>
      <c r="F2224" s="1">
        <v>0</v>
      </c>
      <c r="G2224" s="1">
        <v>0</v>
      </c>
      <c r="H2224" s="1">
        <v>0</v>
      </c>
      <c r="I2224" s="1">
        <v>0</v>
      </c>
    </row>
    <row r="2225" spans="1:9" ht="23.25">
      <c r="A2225" s="4" t="s">
        <v>20</v>
      </c>
      <c r="B2225" s="4"/>
      <c r="C2225" s="4" t="s">
        <v>42</v>
      </c>
      <c r="D2225" s="4"/>
      <c r="E2225" s="1">
        <v>1804607</v>
      </c>
      <c r="F2225" s="1">
        <v>691</v>
      </c>
      <c r="G2225" s="1">
        <v>0</v>
      </c>
      <c r="H2225" s="1">
        <v>13637</v>
      </c>
      <c r="I2225" s="1">
        <v>78379</v>
      </c>
    </row>
    <row r="2226" spans="1:9" ht="23.25">
      <c r="A2226" s="4" t="s">
        <v>21</v>
      </c>
      <c r="B2226" s="4"/>
      <c r="C2226" s="4" t="s">
        <v>42</v>
      </c>
      <c r="D2226" s="4"/>
      <c r="E2226" s="1">
        <v>2115112</v>
      </c>
      <c r="F2226" s="1">
        <v>173048</v>
      </c>
      <c r="G2226" s="1">
        <v>0</v>
      </c>
      <c r="H2226" s="1">
        <v>163817</v>
      </c>
      <c r="I2226" s="1">
        <v>21469</v>
      </c>
    </row>
    <row r="2227" spans="1:9" ht="23.25">
      <c r="A2227" s="4" t="s">
        <v>22</v>
      </c>
      <c r="B2227" s="4"/>
      <c r="C2227" s="4" t="s">
        <v>42</v>
      </c>
      <c r="D2227" s="4"/>
      <c r="E2227" s="1">
        <v>0</v>
      </c>
      <c r="F2227" s="1">
        <v>0</v>
      </c>
      <c r="G2227" s="1">
        <v>0</v>
      </c>
      <c r="H2227" s="1">
        <v>0</v>
      </c>
      <c r="I2227" s="1">
        <v>0</v>
      </c>
    </row>
    <row r="2228" spans="1:9" ht="23.25">
      <c r="A2228" s="4" t="s">
        <v>23</v>
      </c>
      <c r="B2228" s="4"/>
      <c r="C2228" s="4" t="s">
        <v>42</v>
      </c>
      <c r="D2228" s="4"/>
      <c r="E2228" s="1">
        <v>0</v>
      </c>
      <c r="F2228" s="1">
        <v>0</v>
      </c>
      <c r="G2228" s="1">
        <v>0</v>
      </c>
      <c r="H2228" s="1">
        <v>0</v>
      </c>
      <c r="I2228" s="1">
        <v>0</v>
      </c>
    </row>
    <row r="2229" spans="1:9" ht="23.25">
      <c r="A2229" s="4" t="s">
        <v>24</v>
      </c>
      <c r="B2229" s="4"/>
      <c r="C2229" s="4" t="s">
        <v>42</v>
      </c>
      <c r="D2229" s="4"/>
      <c r="E2229" s="1">
        <v>0</v>
      </c>
      <c r="F2229" s="1">
        <v>0</v>
      </c>
      <c r="G2229" s="1">
        <v>0</v>
      </c>
      <c r="H2229" s="1">
        <v>0</v>
      </c>
      <c r="I2229" s="1">
        <v>0</v>
      </c>
    </row>
    <row r="2230" spans="1:9" ht="23.25">
      <c r="A2230" s="4" t="s">
        <v>25</v>
      </c>
      <c r="B2230" s="4"/>
      <c r="C2230" s="4" t="s">
        <v>42</v>
      </c>
      <c r="D2230" s="4"/>
      <c r="E2230" s="1">
        <v>0</v>
      </c>
      <c r="F2230" s="1">
        <v>0</v>
      </c>
      <c r="G2230" s="1">
        <v>0</v>
      </c>
      <c r="H2230" s="1">
        <v>0</v>
      </c>
      <c r="I2230" s="1">
        <v>0</v>
      </c>
    </row>
    <row r="2231" spans="1:9" ht="23.25">
      <c r="A2231" s="4" t="s">
        <v>26</v>
      </c>
      <c r="B2231" s="4"/>
      <c r="C2231" s="4" t="s">
        <v>42</v>
      </c>
      <c r="D2231" s="4"/>
      <c r="E2231" s="1">
        <v>0</v>
      </c>
      <c r="F2231" s="1">
        <v>0</v>
      </c>
      <c r="G2231" s="1">
        <v>0</v>
      </c>
      <c r="H2231" s="1">
        <v>0</v>
      </c>
      <c r="I2231" s="1">
        <v>0</v>
      </c>
    </row>
    <row r="2232" spans="1:9" ht="23.25">
      <c r="A2232" s="4" t="s">
        <v>27</v>
      </c>
      <c r="B2232" s="4"/>
      <c r="C2232" s="4" t="s">
        <v>42</v>
      </c>
      <c r="D2232" s="4"/>
      <c r="E2232" s="1">
        <v>0</v>
      </c>
      <c r="F2232" s="1">
        <v>0</v>
      </c>
      <c r="G2232" s="1">
        <v>0</v>
      </c>
      <c r="H2232" s="1">
        <v>0</v>
      </c>
      <c r="I2232" s="1">
        <v>0</v>
      </c>
    </row>
    <row r="2233" spans="1:9" ht="23.25">
      <c r="A2233" s="4" t="s">
        <v>28</v>
      </c>
      <c r="B2233" s="4"/>
      <c r="C2233" s="4" t="s">
        <v>42</v>
      </c>
      <c r="D2233" s="4"/>
      <c r="E2233" s="1">
        <v>0</v>
      </c>
      <c r="F2233" s="1">
        <v>0</v>
      </c>
      <c r="G2233" s="1">
        <v>0</v>
      </c>
      <c r="H2233" s="1">
        <v>0</v>
      </c>
      <c r="I2233" s="1">
        <v>0</v>
      </c>
    </row>
    <row r="2234" spans="1:9" ht="23.25">
      <c r="A2234" s="4" t="s">
        <v>29</v>
      </c>
      <c r="B2234" s="4"/>
      <c r="C2234" s="4" t="s">
        <v>42</v>
      </c>
      <c r="D2234" s="4"/>
      <c r="E2234" s="1">
        <v>0</v>
      </c>
      <c r="F2234" s="1">
        <v>0</v>
      </c>
      <c r="G2234" s="1">
        <v>0</v>
      </c>
      <c r="H2234" s="1">
        <v>0</v>
      </c>
      <c r="I2234" s="1">
        <v>0</v>
      </c>
    </row>
    <row r="2235" spans="1:9" ht="23.25">
      <c r="A2235" s="4" t="s">
        <v>30</v>
      </c>
      <c r="B2235" s="4"/>
      <c r="C2235" s="4" t="s">
        <v>42</v>
      </c>
      <c r="D2235" s="4"/>
      <c r="E2235" s="1">
        <v>0</v>
      </c>
      <c r="F2235" s="1">
        <v>0</v>
      </c>
      <c r="G2235" s="1">
        <v>0</v>
      </c>
      <c r="H2235" s="1">
        <v>0</v>
      </c>
      <c r="I2235" s="1">
        <v>0</v>
      </c>
    </row>
    <row r="2236" spans="1:9" ht="23.25">
      <c r="A2236" s="4" t="s">
        <v>31</v>
      </c>
      <c r="B2236" s="4"/>
      <c r="C2236" s="4" t="s">
        <v>42</v>
      </c>
      <c r="D2236" s="4"/>
      <c r="E2236" s="1">
        <v>59060</v>
      </c>
      <c r="F2236" s="1">
        <v>778</v>
      </c>
      <c r="G2236" s="1">
        <v>936</v>
      </c>
      <c r="H2236" s="1">
        <v>188</v>
      </c>
      <c r="I2236" s="1">
        <v>0</v>
      </c>
    </row>
    <row r="2237" spans="1:9" ht="23.25">
      <c r="A2237" s="4" t="s">
        <v>32</v>
      </c>
      <c r="B2237" s="4"/>
      <c r="C2237" s="4" t="s">
        <v>42</v>
      </c>
      <c r="D2237" s="4"/>
      <c r="E2237" s="1">
        <v>110694</v>
      </c>
      <c r="F2237" s="1">
        <v>15972</v>
      </c>
      <c r="G2237" s="1">
        <v>14459</v>
      </c>
      <c r="H2237" s="1">
        <v>1959</v>
      </c>
      <c r="I2237" s="1">
        <v>0</v>
      </c>
    </row>
    <row r="2238" spans="1:9" ht="23.25">
      <c r="A2238" s="4" t="s">
        <v>33</v>
      </c>
      <c r="B2238" s="4"/>
      <c r="C2238" s="4" t="s">
        <v>42</v>
      </c>
      <c r="D2238" s="4"/>
      <c r="E2238" s="1">
        <v>69371</v>
      </c>
      <c r="F2238" s="1">
        <v>2550</v>
      </c>
      <c r="G2238" s="1">
        <v>6359</v>
      </c>
      <c r="H2238" s="1">
        <v>613</v>
      </c>
      <c r="I2238" s="1">
        <v>0</v>
      </c>
    </row>
    <row r="2239" spans="1:9" ht="23.25">
      <c r="A2239" s="4" t="s">
        <v>34</v>
      </c>
      <c r="B2239" s="4"/>
      <c r="C2239" s="4" t="s">
        <v>42</v>
      </c>
      <c r="D2239" s="4"/>
      <c r="E2239" s="1">
        <v>5399137</v>
      </c>
      <c r="F2239" s="1">
        <v>301434</v>
      </c>
      <c r="G2239" s="1">
        <v>122464</v>
      </c>
      <c r="H2239" s="1">
        <v>99805</v>
      </c>
      <c r="I2239" s="1">
        <v>3683672</v>
      </c>
    </row>
    <row r="2240" spans="1:9" ht="23.25">
      <c r="A2240" s="4" t="s">
        <v>35</v>
      </c>
      <c r="B2240" s="4"/>
      <c r="C2240" s="4" t="s">
        <v>42</v>
      </c>
      <c r="D2240" s="4"/>
      <c r="E2240" s="1">
        <v>0</v>
      </c>
      <c r="F2240" s="1">
        <v>0</v>
      </c>
      <c r="G2240" s="1">
        <v>0</v>
      </c>
      <c r="H2240" s="1">
        <v>0</v>
      </c>
      <c r="I2240" s="1">
        <v>0</v>
      </c>
    </row>
    <row r="2241" spans="1:9" ht="23.25">
      <c r="A2241" s="4" t="s">
        <v>36</v>
      </c>
      <c r="B2241" s="4"/>
      <c r="C2241" s="4" t="s">
        <v>42</v>
      </c>
      <c r="D2241" s="4"/>
      <c r="E2241" s="1">
        <v>1089250</v>
      </c>
      <c r="F2241" s="1">
        <v>15761</v>
      </c>
      <c r="G2241" s="1">
        <v>82404</v>
      </c>
      <c r="H2241" s="1">
        <v>8405</v>
      </c>
      <c r="I2241" s="1">
        <v>39972</v>
      </c>
    </row>
    <row r="2242" spans="1:9" ht="23.25">
      <c r="A2242" s="4" t="s">
        <v>37</v>
      </c>
      <c r="B2242" s="4"/>
      <c r="C2242" s="4" t="s">
        <v>42</v>
      </c>
      <c r="D2242" s="4"/>
      <c r="E2242" s="1">
        <v>10988471</v>
      </c>
      <c r="F2242" s="1">
        <v>216926</v>
      </c>
      <c r="G2242" s="1">
        <v>212937</v>
      </c>
      <c r="H2242" s="1">
        <v>84443</v>
      </c>
      <c r="I2242" s="1">
        <v>1761805</v>
      </c>
    </row>
    <row r="2243" spans="1:9" ht="23.25">
      <c r="A2243" s="4" t="s">
        <v>38</v>
      </c>
      <c r="B2243" s="4"/>
      <c r="C2243" s="4" t="s">
        <v>42</v>
      </c>
      <c r="D2243" s="4"/>
      <c r="E2243" s="1">
        <v>0</v>
      </c>
      <c r="F2243" s="1">
        <v>0</v>
      </c>
      <c r="G2243" s="1">
        <v>0</v>
      </c>
      <c r="H2243" s="1">
        <v>0</v>
      </c>
      <c r="I2243" s="1">
        <v>0</v>
      </c>
    </row>
    <row r="2244" spans="1:9" ht="23.25">
      <c r="A2244" s="4" t="s">
        <v>39</v>
      </c>
      <c r="B2244" s="4"/>
      <c r="C2244" s="4" t="s">
        <v>42</v>
      </c>
      <c r="D2244" s="4"/>
      <c r="E2244" s="1">
        <v>285211</v>
      </c>
      <c r="F2244" s="1">
        <v>12711</v>
      </c>
      <c r="G2244" s="1">
        <v>16806</v>
      </c>
      <c r="H2244" s="1">
        <v>2666</v>
      </c>
      <c r="I2244" s="1">
        <v>91771</v>
      </c>
    </row>
    <row r="2245" spans="1:9" ht="23.25">
      <c r="A2245" s="4" t="s">
        <v>40</v>
      </c>
      <c r="B2245" s="4"/>
      <c r="C2245" s="4" t="s">
        <v>42</v>
      </c>
      <c r="D2245" s="4"/>
      <c r="E2245" s="1">
        <v>0</v>
      </c>
      <c r="F2245" s="1">
        <v>0</v>
      </c>
      <c r="G2245" s="1">
        <v>0</v>
      </c>
      <c r="H2245" s="1">
        <v>0</v>
      </c>
      <c r="I2245" s="1">
        <v>0</v>
      </c>
    </row>
    <row r="2246" spans="1:9" ht="23.25">
      <c r="A2246" s="4" t="s">
        <v>41</v>
      </c>
      <c r="B2246" s="4"/>
      <c r="C2246" s="4" t="s">
        <v>42</v>
      </c>
      <c r="D2246" s="4"/>
      <c r="E2246" s="1">
        <v>65443</v>
      </c>
      <c r="F2246" s="1">
        <v>2833</v>
      </c>
      <c r="G2246" s="1">
        <v>3745</v>
      </c>
      <c r="H2246" s="1">
        <v>488</v>
      </c>
      <c r="I2246" s="1">
        <v>0</v>
      </c>
    </row>
    <row r="2247" spans="1:9" ht="23.25">
      <c r="A2247" s="4" t="s">
        <v>42</v>
      </c>
      <c r="B2247" s="4"/>
      <c r="C2247" s="4" t="s">
        <v>42</v>
      </c>
      <c r="D2247" s="4"/>
      <c r="E2247" s="1">
        <v>151566472</v>
      </c>
      <c r="F2247" s="1">
        <v>3574576</v>
      </c>
      <c r="G2247" s="1">
        <v>351462</v>
      </c>
      <c r="H2247" s="1">
        <v>749715</v>
      </c>
      <c r="I2247" s="1">
        <v>56911386</v>
      </c>
    </row>
    <row r="2248" spans="1:9" ht="23.25">
      <c r="A2248" s="4" t="s">
        <v>43</v>
      </c>
      <c r="B2248" s="4"/>
      <c r="C2248" s="4" t="s">
        <v>42</v>
      </c>
      <c r="D2248" s="4"/>
      <c r="E2248" s="1">
        <v>1271911</v>
      </c>
      <c r="F2248" s="1">
        <v>73152</v>
      </c>
      <c r="G2248" s="1">
        <v>34342</v>
      </c>
      <c r="H2248" s="1">
        <v>1906</v>
      </c>
      <c r="I2248" s="1">
        <v>957757</v>
      </c>
    </row>
    <row r="2249" spans="1:9" ht="23.25">
      <c r="A2249" s="4" t="s">
        <v>44</v>
      </c>
      <c r="B2249" s="4"/>
      <c r="C2249" s="4" t="s">
        <v>42</v>
      </c>
      <c r="D2249" s="4"/>
      <c r="E2249" s="1">
        <v>1128523</v>
      </c>
      <c r="F2249" s="1">
        <v>12465</v>
      </c>
      <c r="G2249" s="1">
        <v>20129</v>
      </c>
      <c r="H2249" s="1">
        <v>2053</v>
      </c>
      <c r="I2249" s="1">
        <v>932841</v>
      </c>
    </row>
    <row r="2250" spans="1:9" ht="23.25">
      <c r="A2250" s="4" t="s">
        <v>45</v>
      </c>
      <c r="B2250" s="4"/>
      <c r="C2250" s="4" t="s">
        <v>42</v>
      </c>
      <c r="D2250" s="4"/>
      <c r="E2250" s="1">
        <v>1999018</v>
      </c>
      <c r="F2250" s="1">
        <v>113885</v>
      </c>
      <c r="G2250" s="1">
        <v>0</v>
      </c>
      <c r="H2250" s="1">
        <v>24463</v>
      </c>
      <c r="I2250" s="1">
        <v>0</v>
      </c>
    </row>
    <row r="2251" spans="1:9" ht="23.25">
      <c r="A2251" s="4" t="s">
        <v>46</v>
      </c>
      <c r="B2251" s="4"/>
      <c r="C2251" s="4" t="s">
        <v>42</v>
      </c>
      <c r="D2251" s="4"/>
      <c r="E2251" s="1">
        <v>178572</v>
      </c>
      <c r="F2251" s="1">
        <v>10225</v>
      </c>
      <c r="G2251" s="1">
        <v>7278</v>
      </c>
      <c r="H2251" s="1">
        <v>1152</v>
      </c>
      <c r="I2251" s="1">
        <v>0</v>
      </c>
    </row>
    <row r="2252" spans="1:9" ht="23.25">
      <c r="A2252" s="4" t="s">
        <v>47</v>
      </c>
      <c r="B2252" s="4"/>
      <c r="C2252" s="4" t="s">
        <v>42</v>
      </c>
      <c r="D2252" s="4"/>
      <c r="E2252" s="1">
        <v>165480</v>
      </c>
      <c r="F2252" s="1">
        <v>0</v>
      </c>
      <c r="G2252" s="1">
        <v>0</v>
      </c>
      <c r="H2252" s="1">
        <v>0</v>
      </c>
      <c r="I2252" s="1">
        <v>0</v>
      </c>
    </row>
    <row r="2253" spans="1:9" ht="23.25">
      <c r="A2253" s="4" t="s">
        <v>48</v>
      </c>
      <c r="B2253" s="4"/>
      <c r="C2253" s="4" t="s">
        <v>42</v>
      </c>
      <c r="D2253" s="4"/>
      <c r="E2253" s="1">
        <v>0</v>
      </c>
      <c r="F2253" s="1">
        <v>0</v>
      </c>
      <c r="G2253" s="1">
        <v>0</v>
      </c>
      <c r="H2253" s="1">
        <v>0</v>
      </c>
      <c r="I2253" s="1">
        <v>0</v>
      </c>
    </row>
    <row r="2254" spans="1:9" ht="23.25">
      <c r="A2254" s="4" t="s">
        <v>49</v>
      </c>
      <c r="B2254" s="4"/>
      <c r="C2254" s="4" t="s">
        <v>42</v>
      </c>
      <c r="D2254" s="4"/>
      <c r="E2254" s="1">
        <v>0</v>
      </c>
      <c r="F2254" s="1">
        <v>0</v>
      </c>
      <c r="G2254" s="1">
        <v>0</v>
      </c>
      <c r="H2254" s="1">
        <v>0</v>
      </c>
      <c r="I2254" s="1">
        <v>0</v>
      </c>
    </row>
    <row r="2255" spans="1:9" ht="23.25">
      <c r="A2255" s="4" t="s">
        <v>50</v>
      </c>
      <c r="B2255" s="4"/>
      <c r="C2255" s="4" t="s">
        <v>42</v>
      </c>
      <c r="D2255" s="4"/>
      <c r="E2255" s="1">
        <v>0</v>
      </c>
      <c r="F2255" s="1">
        <v>0</v>
      </c>
      <c r="G2255" s="1">
        <v>0</v>
      </c>
      <c r="H2255" s="1">
        <v>0</v>
      </c>
      <c r="I2255" s="1">
        <v>0</v>
      </c>
    </row>
    <row r="2256" spans="1:9" ht="23.25">
      <c r="A2256" s="4" t="s">
        <v>51</v>
      </c>
      <c r="B2256" s="4"/>
      <c r="C2256" s="4" t="s">
        <v>42</v>
      </c>
      <c r="D2256" s="4"/>
      <c r="E2256" s="1">
        <v>252999</v>
      </c>
      <c r="F2256" s="1">
        <v>13589</v>
      </c>
      <c r="G2256" s="1">
        <v>11153</v>
      </c>
      <c r="H2256" s="1">
        <v>2468</v>
      </c>
      <c r="I2256" s="1">
        <v>0</v>
      </c>
    </row>
    <row r="2257" spans="1:9" ht="23.25">
      <c r="A2257" s="4" t="s">
        <v>52</v>
      </c>
      <c r="B2257" s="4"/>
      <c r="C2257" s="4" t="s">
        <v>42</v>
      </c>
      <c r="D2257" s="4"/>
      <c r="E2257" s="1">
        <v>12138123</v>
      </c>
      <c r="F2257" s="1">
        <v>4992</v>
      </c>
      <c r="G2257" s="1">
        <v>9352</v>
      </c>
      <c r="H2257" s="1">
        <v>1016</v>
      </c>
      <c r="I2257" s="1">
        <v>0</v>
      </c>
    </row>
    <row r="2258" spans="1:9" ht="23.25">
      <c r="A2258" s="4" t="s">
        <v>53</v>
      </c>
      <c r="B2258" s="4"/>
      <c r="C2258" s="4" t="s">
        <v>42</v>
      </c>
      <c r="D2258" s="4"/>
      <c r="E2258" s="1">
        <v>21244</v>
      </c>
      <c r="F2258" s="1">
        <v>0</v>
      </c>
      <c r="G2258" s="1">
        <v>0</v>
      </c>
      <c r="H2258" s="1">
        <v>0</v>
      </c>
      <c r="I2258" s="1">
        <v>0</v>
      </c>
    </row>
    <row r="2259" spans="1:9" ht="23.25">
      <c r="A2259" s="4" t="s">
        <v>54</v>
      </c>
      <c r="B2259" s="4"/>
      <c r="C2259" s="4" t="s">
        <v>42</v>
      </c>
      <c r="D2259" s="4"/>
      <c r="E2259" s="1">
        <v>112238</v>
      </c>
      <c r="F2259" s="1">
        <v>0</v>
      </c>
      <c r="G2259" s="1">
        <v>0</v>
      </c>
      <c r="H2259" s="1">
        <v>0</v>
      </c>
      <c r="I2259" s="1">
        <v>0</v>
      </c>
    </row>
    <row r="2260" spans="1:9" ht="23.25">
      <c r="A2260" s="4" t="s">
        <v>55</v>
      </c>
      <c r="B2260" s="4"/>
      <c r="C2260" s="4" t="s">
        <v>42</v>
      </c>
      <c r="D2260" s="4"/>
      <c r="E2260" s="1">
        <v>0</v>
      </c>
      <c r="F2260" s="1">
        <v>0</v>
      </c>
      <c r="G2260" s="1">
        <v>0</v>
      </c>
      <c r="H2260" s="1">
        <v>0</v>
      </c>
      <c r="I2260" s="1">
        <v>0</v>
      </c>
    </row>
    <row r="2261" spans="1:9" ht="23.25">
      <c r="A2261" s="4" t="s">
        <v>56</v>
      </c>
      <c r="B2261" s="4"/>
      <c r="C2261" s="4" t="s">
        <v>42</v>
      </c>
      <c r="D2261" s="4"/>
      <c r="E2261" s="1">
        <v>0</v>
      </c>
      <c r="F2261" s="1">
        <v>-4545588</v>
      </c>
      <c r="G2261" s="1">
        <v>-893826</v>
      </c>
      <c r="H2261" s="1">
        <v>0</v>
      </c>
      <c r="I2261" s="1">
        <v>0</v>
      </c>
    </row>
    <row r="2262" spans="1:9" ht="23.25">
      <c r="A2262" s="4" t="s">
        <v>57</v>
      </c>
      <c r="B2262" s="4"/>
      <c r="C2262" s="4" t="s">
        <v>42</v>
      </c>
      <c r="D2262" s="4"/>
      <c r="E2262" s="1">
        <v>304685</v>
      </c>
      <c r="F2262" s="1">
        <v>0</v>
      </c>
      <c r="G2262" s="1">
        <v>0</v>
      </c>
      <c r="H2262" s="1">
        <v>0</v>
      </c>
      <c r="I2262" s="1">
        <v>0</v>
      </c>
    </row>
    <row r="2263" spans="1:9" ht="23.25">
      <c r="A2263" s="4" t="s">
        <v>58</v>
      </c>
      <c r="B2263" s="4"/>
      <c r="C2263" s="4" t="s">
        <v>42</v>
      </c>
      <c r="D2263" s="4"/>
      <c r="E2263" s="1">
        <v>870707</v>
      </c>
      <c r="F2263" s="1">
        <v>0</v>
      </c>
      <c r="G2263" s="1">
        <v>0</v>
      </c>
      <c r="H2263" s="1">
        <v>-1158794</v>
      </c>
      <c r="I2263" s="1">
        <v>0</v>
      </c>
    </row>
    <row r="2264" spans="1:9" ht="23.25">
      <c r="A2264" s="4" t="s">
        <v>59</v>
      </c>
      <c r="B2264" s="4"/>
      <c r="C2264" s="4" t="s">
        <v>42</v>
      </c>
      <c r="D2264" s="4"/>
      <c r="E2264" s="1">
        <v>267885</v>
      </c>
      <c r="F2264" s="1">
        <v>0</v>
      </c>
      <c r="G2264" s="1">
        <v>0</v>
      </c>
      <c r="H2264" s="1">
        <v>0</v>
      </c>
      <c r="I2264" s="1">
        <v>0</v>
      </c>
    </row>
    <row r="2265" spans="1:9" ht="23.25">
      <c r="A2265" s="4" t="s">
        <v>60</v>
      </c>
      <c r="B2265" s="4"/>
      <c r="C2265" s="4" t="s">
        <v>42</v>
      </c>
      <c r="D2265" s="4"/>
      <c r="E2265" s="1">
        <v>4318564</v>
      </c>
      <c r="F2265" s="1">
        <v>0</v>
      </c>
      <c r="G2265" s="1">
        <v>0</v>
      </c>
      <c r="H2265" s="1">
        <v>0</v>
      </c>
      <c r="I2265" s="1">
        <v>0</v>
      </c>
    </row>
    <row r="2266" spans="1:9" ht="23.25">
      <c r="A2266" s="4" t="s">
        <v>61</v>
      </c>
      <c r="B2266" s="4"/>
      <c r="C2266" s="4" t="s">
        <v>42</v>
      </c>
      <c r="D2266" s="4"/>
      <c r="E2266" s="1">
        <v>98125</v>
      </c>
      <c r="F2266" s="1">
        <v>0</v>
      </c>
      <c r="G2266" s="1">
        <v>0</v>
      </c>
      <c r="H2266" s="1">
        <v>0</v>
      </c>
      <c r="I2266" s="1">
        <v>0</v>
      </c>
    </row>
    <row r="2267" spans="1:9" ht="23.25">
      <c r="A2267" s="4" t="s">
        <v>62</v>
      </c>
      <c r="B2267" s="4"/>
      <c r="C2267" s="4" t="s">
        <v>42</v>
      </c>
      <c r="D2267" s="4"/>
      <c r="E2267" s="1">
        <v>1954168</v>
      </c>
      <c r="F2267" s="1">
        <v>0</v>
      </c>
      <c r="G2267" s="1">
        <v>0</v>
      </c>
      <c r="H2267" s="1">
        <v>0</v>
      </c>
      <c r="I2267" s="1">
        <v>0</v>
      </c>
    </row>
    <row r="2268" spans="1:9" ht="23.25">
      <c r="A2268" s="4" t="s">
        <v>63</v>
      </c>
      <c r="B2268" s="4"/>
      <c r="C2268" s="4" t="s">
        <v>42</v>
      </c>
      <c r="D2268" s="4"/>
      <c r="E2268" s="1">
        <v>93217</v>
      </c>
      <c r="F2268" s="1">
        <v>0</v>
      </c>
      <c r="G2268" s="1">
        <v>0</v>
      </c>
      <c r="H2268" s="1">
        <v>0</v>
      </c>
      <c r="I2268" s="1">
        <v>0</v>
      </c>
    </row>
    <row r="2269" spans="1:9" ht="23.25">
      <c r="A2269" s="4" t="s">
        <v>64</v>
      </c>
      <c r="B2269" s="4"/>
      <c r="C2269" s="4" t="s">
        <v>42</v>
      </c>
      <c r="D2269" s="4"/>
      <c r="E2269" s="1">
        <v>79165</v>
      </c>
      <c r="F2269" s="1">
        <v>0</v>
      </c>
      <c r="G2269" s="1">
        <v>0</v>
      </c>
      <c r="H2269" s="1">
        <v>0</v>
      </c>
      <c r="I2269" s="1">
        <v>0</v>
      </c>
    </row>
    <row r="2270" spans="1:9" ht="23.25">
      <c r="A2270" s="4" t="s">
        <v>65</v>
      </c>
      <c r="B2270" s="4"/>
      <c r="C2270" s="4" t="s">
        <v>42</v>
      </c>
      <c r="D2270" s="4"/>
      <c r="E2270" s="1">
        <v>991417</v>
      </c>
      <c r="F2270" s="1">
        <v>0</v>
      </c>
      <c r="G2270" s="1">
        <v>0</v>
      </c>
      <c r="H2270" s="1">
        <v>0</v>
      </c>
      <c r="I2270" s="1">
        <v>103161</v>
      </c>
    </row>
    <row r="2271" spans="1:9" ht="23.25">
      <c r="A2271" s="4" t="s">
        <v>66</v>
      </c>
      <c r="B2271" s="4"/>
      <c r="C2271" s="4" t="s">
        <v>42</v>
      </c>
      <c r="D2271" s="4"/>
      <c r="E2271" s="1">
        <v>199798869</v>
      </c>
      <c r="F2271" s="1">
        <v>0</v>
      </c>
      <c r="G2271" s="1">
        <v>0</v>
      </c>
      <c r="H2271" s="1">
        <v>0</v>
      </c>
      <c r="I2271" s="1">
        <v>64582213</v>
      </c>
    </row>
    <row r="2272" spans="1:9" ht="23.25">
      <c r="A2272" s="4" t="s">
        <v>67</v>
      </c>
      <c r="B2272" s="4"/>
      <c r="C2272" s="4" t="s">
        <v>42</v>
      </c>
      <c r="D2272" s="4"/>
      <c r="E2272" s="1">
        <v>18482114</v>
      </c>
      <c r="F2272" s="1">
        <v>0</v>
      </c>
      <c r="G2272" s="1">
        <v>0</v>
      </c>
      <c r="H2272" s="1">
        <v>0</v>
      </c>
      <c r="I2272" s="1">
        <v>0</v>
      </c>
    </row>
    <row r="2273" spans="1:9" ht="23.25">
      <c r="A2273" s="4" t="s">
        <v>68</v>
      </c>
      <c r="B2273" s="4"/>
      <c r="C2273" s="4" t="s">
        <v>42</v>
      </c>
      <c r="D2273" s="4"/>
      <c r="E2273" s="1">
        <v>26131144</v>
      </c>
      <c r="F2273" s="1">
        <v>0</v>
      </c>
      <c r="G2273" s="1">
        <v>0</v>
      </c>
      <c r="H2273" s="1">
        <v>0</v>
      </c>
      <c r="I2273" s="1">
        <v>0</v>
      </c>
    </row>
    <row r="2274" spans="1:9" ht="23.25">
      <c r="A2274" s="4" t="s">
        <v>69</v>
      </c>
      <c r="B2274" s="4"/>
      <c r="C2274" s="4" t="s">
        <v>42</v>
      </c>
      <c r="D2274" s="4"/>
      <c r="E2274" s="1">
        <v>9025763</v>
      </c>
      <c r="F2274" s="1">
        <v>0</v>
      </c>
      <c r="G2274" s="1">
        <v>0</v>
      </c>
      <c r="H2274" s="1">
        <v>0</v>
      </c>
      <c r="I2274" s="1">
        <v>0</v>
      </c>
    </row>
    <row r="2275" spans="1:9" ht="23.25">
      <c r="A2275" s="4" t="s">
        <v>70</v>
      </c>
      <c r="B2275" s="4"/>
      <c r="C2275" s="4" t="s">
        <v>42</v>
      </c>
      <c r="D2275" s="4"/>
      <c r="E2275" s="1">
        <v>8315757</v>
      </c>
      <c r="F2275" s="1">
        <v>0</v>
      </c>
      <c r="G2275" s="1">
        <v>0</v>
      </c>
      <c r="H2275" s="1">
        <v>0</v>
      </c>
      <c r="I2275" s="1">
        <v>0</v>
      </c>
    </row>
    <row r="2276" spans="1:9" ht="23.25">
      <c r="A2276" s="4" t="s">
        <v>71</v>
      </c>
      <c r="B2276" s="4"/>
      <c r="C2276" s="4" t="s">
        <v>42</v>
      </c>
      <c r="D2276" s="4"/>
      <c r="E2276" s="1">
        <v>61954778</v>
      </c>
      <c r="F2276" s="1">
        <v>0</v>
      </c>
      <c r="G2276" s="1">
        <v>0</v>
      </c>
      <c r="H2276" s="1">
        <v>0</v>
      </c>
      <c r="I2276" s="1">
        <v>0</v>
      </c>
    </row>
    <row r="2277" spans="1:9" ht="23.25">
      <c r="A2277" s="4" t="s">
        <v>72</v>
      </c>
      <c r="B2277" s="4"/>
      <c r="C2277" s="4" t="s">
        <v>42</v>
      </c>
      <c r="D2277" s="4"/>
      <c r="E2277" s="1">
        <v>261753647</v>
      </c>
      <c r="F2277" s="1">
        <v>0</v>
      </c>
      <c r="G2277" s="1">
        <v>0</v>
      </c>
      <c r="H2277" s="1">
        <v>0</v>
      </c>
      <c r="I2277" s="1">
        <v>0</v>
      </c>
    </row>
    <row r="2278" spans="1:9" ht="23.25">
      <c r="A2278" s="4" t="s">
        <v>8</v>
      </c>
      <c r="B2278" s="4"/>
      <c r="C2278" s="4" t="s">
        <v>43</v>
      </c>
      <c r="D2278" s="4"/>
      <c r="E2278" s="1">
        <v>0</v>
      </c>
      <c r="F2278" s="1">
        <v>0</v>
      </c>
      <c r="G2278" s="1">
        <v>0</v>
      </c>
      <c r="H2278" s="1">
        <v>0</v>
      </c>
      <c r="I2278" s="1">
        <v>0</v>
      </c>
    </row>
    <row r="2279" spans="1:9" ht="23.25">
      <c r="A2279" s="4" t="s">
        <v>9</v>
      </c>
      <c r="B2279" s="4"/>
      <c r="C2279" s="4" t="s">
        <v>43</v>
      </c>
      <c r="D2279" s="4"/>
      <c r="E2279" s="1">
        <v>0</v>
      </c>
      <c r="F2279" s="1">
        <v>0</v>
      </c>
      <c r="G2279" s="1">
        <v>0</v>
      </c>
      <c r="H2279" s="1">
        <v>0</v>
      </c>
      <c r="I2279" s="1">
        <v>0</v>
      </c>
    </row>
    <row r="2280" spans="1:9" ht="23.25">
      <c r="A2280" s="4" t="s">
        <v>10</v>
      </c>
      <c r="B2280" s="4"/>
      <c r="C2280" s="4" t="s">
        <v>43</v>
      </c>
      <c r="D2280" s="4"/>
      <c r="E2280" s="1">
        <v>0</v>
      </c>
      <c r="F2280" s="1">
        <v>0</v>
      </c>
      <c r="G2280" s="1">
        <v>0</v>
      </c>
      <c r="H2280" s="1">
        <v>0</v>
      </c>
      <c r="I2280" s="1">
        <v>0</v>
      </c>
    </row>
    <row r="2281" spans="1:9" ht="23.25">
      <c r="A2281" s="4" t="s">
        <v>11</v>
      </c>
      <c r="B2281" s="4"/>
      <c r="C2281" s="4" t="s">
        <v>43</v>
      </c>
      <c r="D2281" s="4"/>
      <c r="E2281" s="1">
        <v>0</v>
      </c>
      <c r="F2281" s="1">
        <v>0</v>
      </c>
      <c r="G2281" s="1">
        <v>0</v>
      </c>
      <c r="H2281" s="1">
        <v>0</v>
      </c>
      <c r="I2281" s="1">
        <v>0</v>
      </c>
    </row>
    <row r="2282" spans="1:9" ht="23.25">
      <c r="A2282" s="4" t="s">
        <v>12</v>
      </c>
      <c r="B2282" s="4"/>
      <c r="C2282" s="4" t="s">
        <v>43</v>
      </c>
      <c r="D2282" s="4"/>
      <c r="E2282" s="1">
        <v>0</v>
      </c>
      <c r="F2282" s="1">
        <v>0</v>
      </c>
      <c r="G2282" s="1">
        <v>0</v>
      </c>
      <c r="H2282" s="1">
        <v>0</v>
      </c>
      <c r="I2282" s="1">
        <v>0</v>
      </c>
    </row>
    <row r="2283" spans="1:9" ht="23.25">
      <c r="A2283" s="4" t="s">
        <v>13</v>
      </c>
      <c r="B2283" s="4"/>
      <c r="C2283" s="4" t="s">
        <v>43</v>
      </c>
      <c r="D2283" s="4"/>
      <c r="E2283" s="1">
        <v>0</v>
      </c>
      <c r="F2283" s="1">
        <v>0</v>
      </c>
      <c r="G2283" s="1">
        <v>0</v>
      </c>
      <c r="H2283" s="1">
        <v>0</v>
      </c>
      <c r="I2283" s="1">
        <v>0</v>
      </c>
    </row>
    <row r="2284" spans="1:9" ht="23.25">
      <c r="A2284" s="4" t="s">
        <v>14</v>
      </c>
      <c r="B2284" s="4"/>
      <c r="C2284" s="4" t="s">
        <v>43</v>
      </c>
      <c r="D2284" s="4"/>
      <c r="E2284" s="1">
        <v>0</v>
      </c>
      <c r="F2284" s="1">
        <v>0</v>
      </c>
      <c r="G2284" s="1">
        <v>0</v>
      </c>
      <c r="H2284" s="1">
        <v>0</v>
      </c>
      <c r="I2284" s="1">
        <v>0</v>
      </c>
    </row>
    <row r="2285" spans="1:9" ht="23.25">
      <c r="A2285" s="4" t="s">
        <v>15</v>
      </c>
      <c r="B2285" s="4"/>
      <c r="C2285" s="4" t="s">
        <v>43</v>
      </c>
      <c r="D2285" s="4"/>
      <c r="E2285" s="1">
        <v>0</v>
      </c>
      <c r="F2285" s="1">
        <v>0</v>
      </c>
      <c r="G2285" s="1">
        <v>0</v>
      </c>
      <c r="H2285" s="1">
        <v>0</v>
      </c>
      <c r="I2285" s="1">
        <v>0</v>
      </c>
    </row>
    <row r="2286" spans="1:9" ht="23.25">
      <c r="A2286" s="4" t="s">
        <v>16</v>
      </c>
      <c r="B2286" s="4"/>
      <c r="C2286" s="4" t="s">
        <v>43</v>
      </c>
      <c r="D2286" s="4"/>
      <c r="E2286" s="1">
        <v>0</v>
      </c>
      <c r="F2286" s="1">
        <v>0</v>
      </c>
      <c r="G2286" s="1">
        <v>0</v>
      </c>
      <c r="H2286" s="1">
        <v>0</v>
      </c>
      <c r="I2286" s="1">
        <v>0</v>
      </c>
    </row>
    <row r="2287" spans="1:9" ht="23.25">
      <c r="A2287" s="4" t="s">
        <v>17</v>
      </c>
      <c r="B2287" s="4"/>
      <c r="C2287" s="4" t="s">
        <v>43</v>
      </c>
      <c r="D2287" s="4"/>
      <c r="E2287" s="1">
        <v>0</v>
      </c>
      <c r="F2287" s="1">
        <v>0</v>
      </c>
      <c r="G2287" s="1">
        <v>0</v>
      </c>
      <c r="H2287" s="1">
        <v>0</v>
      </c>
      <c r="I2287" s="1">
        <v>0</v>
      </c>
    </row>
    <row r="2288" spans="1:9" ht="23.25">
      <c r="A2288" s="4" t="s">
        <v>18</v>
      </c>
      <c r="B2288" s="4"/>
      <c r="C2288" s="4" t="s">
        <v>43</v>
      </c>
      <c r="D2288" s="4"/>
      <c r="E2288" s="1">
        <v>0</v>
      </c>
      <c r="F2288" s="1">
        <v>0</v>
      </c>
      <c r="G2288" s="1">
        <v>0</v>
      </c>
      <c r="H2288" s="1">
        <v>0</v>
      </c>
      <c r="I2288" s="1">
        <v>0</v>
      </c>
    </row>
    <row r="2289" spans="1:9" ht="23.25">
      <c r="A2289" s="4" t="s">
        <v>19</v>
      </c>
      <c r="B2289" s="4"/>
      <c r="C2289" s="4" t="s">
        <v>43</v>
      </c>
      <c r="D2289" s="4"/>
      <c r="E2289" s="1">
        <v>5289759</v>
      </c>
      <c r="F2289" s="1">
        <v>15463</v>
      </c>
      <c r="G2289" s="1">
        <v>0</v>
      </c>
      <c r="H2289" s="1">
        <v>28192</v>
      </c>
      <c r="I2289" s="1">
        <v>3885514</v>
      </c>
    </row>
    <row r="2290" spans="1:9" ht="23.25">
      <c r="A2290" s="4" t="s">
        <v>20</v>
      </c>
      <c r="B2290" s="4"/>
      <c r="C2290" s="4" t="s">
        <v>43</v>
      </c>
      <c r="D2290" s="4"/>
      <c r="E2290" s="1">
        <v>22835657</v>
      </c>
      <c r="F2290" s="1">
        <v>1035280</v>
      </c>
      <c r="G2290" s="1">
        <v>0</v>
      </c>
      <c r="H2290" s="1">
        <v>568192</v>
      </c>
      <c r="I2290" s="1">
        <v>18602631</v>
      </c>
    </row>
    <row r="2291" spans="1:9" ht="23.25">
      <c r="A2291" s="4" t="s">
        <v>21</v>
      </c>
      <c r="B2291" s="4"/>
      <c r="C2291" s="4" t="s">
        <v>43</v>
      </c>
      <c r="D2291" s="4"/>
      <c r="E2291" s="1">
        <v>725897</v>
      </c>
      <c r="F2291" s="1">
        <v>60451</v>
      </c>
      <c r="G2291" s="1">
        <v>0</v>
      </c>
      <c r="H2291" s="1">
        <v>46888</v>
      </c>
      <c r="I2291" s="1">
        <v>8945</v>
      </c>
    </row>
    <row r="2292" spans="1:9" ht="23.25">
      <c r="A2292" s="4" t="s">
        <v>22</v>
      </c>
      <c r="B2292" s="4"/>
      <c r="C2292" s="4" t="s">
        <v>43</v>
      </c>
      <c r="D2292" s="4"/>
      <c r="E2292" s="1">
        <v>0</v>
      </c>
      <c r="F2292" s="1">
        <v>0</v>
      </c>
      <c r="G2292" s="1">
        <v>0</v>
      </c>
      <c r="H2292" s="1">
        <v>0</v>
      </c>
      <c r="I2292" s="1">
        <v>0</v>
      </c>
    </row>
    <row r="2293" spans="1:9" ht="23.25">
      <c r="A2293" s="4" t="s">
        <v>23</v>
      </c>
      <c r="B2293" s="4"/>
      <c r="C2293" s="4" t="s">
        <v>43</v>
      </c>
      <c r="D2293" s="4"/>
      <c r="E2293" s="1">
        <v>38</v>
      </c>
      <c r="F2293" s="1">
        <v>2</v>
      </c>
      <c r="G2293" s="1">
        <v>1</v>
      </c>
      <c r="H2293" s="1">
        <v>0</v>
      </c>
      <c r="I2293" s="1">
        <v>0</v>
      </c>
    </row>
    <row r="2294" spans="1:9" ht="23.25">
      <c r="A2294" s="4" t="s">
        <v>24</v>
      </c>
      <c r="B2294" s="4"/>
      <c r="C2294" s="4" t="s">
        <v>43</v>
      </c>
      <c r="D2294" s="4"/>
      <c r="E2294" s="1">
        <v>0</v>
      </c>
      <c r="F2294" s="1">
        <v>0</v>
      </c>
      <c r="G2294" s="1">
        <v>0</v>
      </c>
      <c r="H2294" s="1">
        <v>0</v>
      </c>
      <c r="I2294" s="1">
        <v>0</v>
      </c>
    </row>
    <row r="2295" spans="1:9" ht="23.25">
      <c r="A2295" s="4" t="s">
        <v>25</v>
      </c>
      <c r="B2295" s="4"/>
      <c r="C2295" s="4" t="s">
        <v>43</v>
      </c>
      <c r="D2295" s="4"/>
      <c r="E2295" s="1">
        <v>0</v>
      </c>
      <c r="F2295" s="1">
        <v>0</v>
      </c>
      <c r="G2295" s="1">
        <v>0</v>
      </c>
      <c r="H2295" s="1">
        <v>0</v>
      </c>
      <c r="I2295" s="1">
        <v>0</v>
      </c>
    </row>
    <row r="2296" spans="1:9" ht="23.25">
      <c r="A2296" s="4" t="s">
        <v>26</v>
      </c>
      <c r="B2296" s="4"/>
      <c r="C2296" s="4" t="s">
        <v>43</v>
      </c>
      <c r="D2296" s="4"/>
      <c r="E2296" s="1">
        <v>0</v>
      </c>
      <c r="F2296" s="1">
        <v>0</v>
      </c>
      <c r="G2296" s="1">
        <v>0</v>
      </c>
      <c r="H2296" s="1">
        <v>0</v>
      </c>
      <c r="I2296" s="1">
        <v>0</v>
      </c>
    </row>
    <row r="2297" spans="1:9" ht="23.25">
      <c r="A2297" s="4" t="s">
        <v>27</v>
      </c>
      <c r="B2297" s="4"/>
      <c r="C2297" s="4" t="s">
        <v>43</v>
      </c>
      <c r="D2297" s="4"/>
      <c r="E2297" s="1">
        <v>0</v>
      </c>
      <c r="F2297" s="1">
        <v>0</v>
      </c>
      <c r="G2297" s="1">
        <v>0</v>
      </c>
      <c r="H2297" s="1">
        <v>0</v>
      </c>
      <c r="I2297" s="1">
        <v>0</v>
      </c>
    </row>
    <row r="2298" spans="1:9" ht="23.25">
      <c r="A2298" s="4" t="s">
        <v>28</v>
      </c>
      <c r="B2298" s="4"/>
      <c r="C2298" s="4" t="s">
        <v>43</v>
      </c>
      <c r="D2298" s="4"/>
      <c r="E2298" s="1">
        <v>0</v>
      </c>
      <c r="F2298" s="1">
        <v>0</v>
      </c>
      <c r="G2298" s="1">
        <v>0</v>
      </c>
      <c r="H2298" s="1">
        <v>0</v>
      </c>
      <c r="I2298" s="1">
        <v>0</v>
      </c>
    </row>
    <row r="2299" spans="1:9" ht="23.25">
      <c r="A2299" s="4" t="s">
        <v>29</v>
      </c>
      <c r="B2299" s="4"/>
      <c r="C2299" s="4" t="s">
        <v>43</v>
      </c>
      <c r="D2299" s="4"/>
      <c r="E2299" s="1">
        <v>0</v>
      </c>
      <c r="F2299" s="1">
        <v>0</v>
      </c>
      <c r="G2299" s="1">
        <v>0</v>
      </c>
      <c r="H2299" s="1">
        <v>0</v>
      </c>
      <c r="I2299" s="1">
        <v>0</v>
      </c>
    </row>
    <row r="2300" spans="1:9" ht="23.25">
      <c r="A2300" s="4" t="s">
        <v>30</v>
      </c>
      <c r="B2300" s="4"/>
      <c r="C2300" s="4" t="s">
        <v>43</v>
      </c>
      <c r="D2300" s="4"/>
      <c r="E2300" s="1">
        <v>0</v>
      </c>
      <c r="F2300" s="1">
        <v>0</v>
      </c>
      <c r="G2300" s="1">
        <v>0</v>
      </c>
      <c r="H2300" s="1">
        <v>0</v>
      </c>
      <c r="I2300" s="1">
        <v>0</v>
      </c>
    </row>
    <row r="2301" spans="1:9" ht="23.25">
      <c r="A2301" s="4" t="s">
        <v>31</v>
      </c>
      <c r="B2301" s="4"/>
      <c r="C2301" s="4" t="s">
        <v>43</v>
      </c>
      <c r="D2301" s="4"/>
      <c r="E2301" s="1">
        <v>0</v>
      </c>
      <c r="F2301" s="1">
        <v>0</v>
      </c>
      <c r="G2301" s="1">
        <v>0</v>
      </c>
      <c r="H2301" s="1">
        <v>0</v>
      </c>
      <c r="I2301" s="1">
        <v>0</v>
      </c>
    </row>
    <row r="2302" spans="1:9" ht="23.25">
      <c r="A2302" s="4" t="s">
        <v>32</v>
      </c>
      <c r="B2302" s="4"/>
      <c r="C2302" s="4" t="s">
        <v>43</v>
      </c>
      <c r="D2302" s="4"/>
      <c r="E2302" s="1">
        <v>139712</v>
      </c>
      <c r="F2302" s="1">
        <v>4589</v>
      </c>
      <c r="G2302" s="1">
        <v>3843</v>
      </c>
      <c r="H2302" s="1">
        <v>1214</v>
      </c>
      <c r="I2302" s="1">
        <v>0</v>
      </c>
    </row>
    <row r="2303" spans="1:9" ht="23.25">
      <c r="A2303" s="4" t="s">
        <v>33</v>
      </c>
      <c r="B2303" s="4"/>
      <c r="C2303" s="4" t="s">
        <v>43</v>
      </c>
      <c r="D2303" s="4"/>
      <c r="E2303" s="1">
        <v>0</v>
      </c>
      <c r="F2303" s="1">
        <v>0</v>
      </c>
      <c r="G2303" s="1">
        <v>0</v>
      </c>
      <c r="H2303" s="1">
        <v>0</v>
      </c>
      <c r="I2303" s="1">
        <v>0</v>
      </c>
    </row>
    <row r="2304" spans="1:9" ht="23.25">
      <c r="A2304" s="4" t="s">
        <v>34</v>
      </c>
      <c r="B2304" s="4"/>
      <c r="C2304" s="4" t="s">
        <v>43</v>
      </c>
      <c r="D2304" s="4"/>
      <c r="E2304" s="1">
        <v>1799513</v>
      </c>
      <c r="F2304" s="1">
        <v>124798</v>
      </c>
      <c r="G2304" s="1">
        <v>60074</v>
      </c>
      <c r="H2304" s="1">
        <v>33744</v>
      </c>
      <c r="I2304" s="1">
        <v>945401</v>
      </c>
    </row>
    <row r="2305" spans="1:9" ht="23.25">
      <c r="A2305" s="4" t="s">
        <v>35</v>
      </c>
      <c r="B2305" s="4"/>
      <c r="C2305" s="4" t="s">
        <v>43</v>
      </c>
      <c r="D2305" s="4"/>
      <c r="E2305" s="1">
        <v>0</v>
      </c>
      <c r="F2305" s="1">
        <v>0</v>
      </c>
      <c r="G2305" s="1">
        <v>0</v>
      </c>
      <c r="H2305" s="1">
        <v>0</v>
      </c>
      <c r="I2305" s="1">
        <v>0</v>
      </c>
    </row>
    <row r="2306" spans="1:9" ht="23.25">
      <c r="A2306" s="4" t="s">
        <v>36</v>
      </c>
      <c r="B2306" s="4"/>
      <c r="C2306" s="4" t="s">
        <v>43</v>
      </c>
      <c r="D2306" s="4"/>
      <c r="E2306" s="1">
        <v>348622</v>
      </c>
      <c r="F2306" s="1">
        <v>51760</v>
      </c>
      <c r="G2306" s="1">
        <v>61914</v>
      </c>
      <c r="H2306" s="1">
        <v>3262</v>
      </c>
      <c r="I2306" s="1">
        <v>4801</v>
      </c>
    </row>
    <row r="2307" spans="1:9" ht="23.25">
      <c r="A2307" s="4" t="s">
        <v>37</v>
      </c>
      <c r="B2307" s="4"/>
      <c r="C2307" s="4" t="s">
        <v>43</v>
      </c>
      <c r="D2307" s="4"/>
      <c r="E2307" s="1">
        <v>7112122</v>
      </c>
      <c r="F2307" s="1">
        <v>209054</v>
      </c>
      <c r="G2307" s="1">
        <v>268563</v>
      </c>
      <c r="H2307" s="1">
        <v>56992</v>
      </c>
      <c r="I2307" s="1">
        <v>1270423</v>
      </c>
    </row>
    <row r="2308" spans="1:9" ht="23.25">
      <c r="A2308" s="4" t="s">
        <v>38</v>
      </c>
      <c r="B2308" s="4"/>
      <c r="C2308" s="4" t="s">
        <v>43</v>
      </c>
      <c r="D2308" s="4"/>
      <c r="E2308" s="1">
        <v>25626</v>
      </c>
      <c r="F2308" s="1">
        <v>1420</v>
      </c>
      <c r="G2308" s="1">
        <v>2519</v>
      </c>
      <c r="H2308" s="1">
        <v>599</v>
      </c>
      <c r="I2308" s="1">
        <v>0</v>
      </c>
    </row>
    <row r="2309" spans="1:9" ht="23.25">
      <c r="A2309" s="4" t="s">
        <v>39</v>
      </c>
      <c r="B2309" s="4"/>
      <c r="C2309" s="4" t="s">
        <v>43</v>
      </c>
      <c r="D2309" s="4"/>
      <c r="E2309" s="1">
        <v>321899</v>
      </c>
      <c r="F2309" s="1">
        <v>13388</v>
      </c>
      <c r="G2309" s="1">
        <v>16624</v>
      </c>
      <c r="H2309" s="1">
        <v>2721</v>
      </c>
      <c r="I2309" s="1">
        <v>104693</v>
      </c>
    </row>
    <row r="2310" spans="1:9" ht="23.25">
      <c r="A2310" s="4" t="s">
        <v>40</v>
      </c>
      <c r="B2310" s="4"/>
      <c r="C2310" s="4" t="s">
        <v>43</v>
      </c>
      <c r="D2310" s="4"/>
      <c r="E2310" s="1">
        <v>175971</v>
      </c>
      <c r="F2310" s="1">
        <v>13095</v>
      </c>
      <c r="G2310" s="1">
        <v>5360</v>
      </c>
      <c r="H2310" s="1">
        <v>2849</v>
      </c>
      <c r="I2310" s="1">
        <v>0</v>
      </c>
    </row>
    <row r="2311" spans="1:9" ht="23.25">
      <c r="A2311" s="4" t="s">
        <v>41</v>
      </c>
      <c r="B2311" s="4"/>
      <c r="C2311" s="4" t="s">
        <v>43</v>
      </c>
      <c r="D2311" s="4"/>
      <c r="E2311" s="1">
        <v>11548</v>
      </c>
      <c r="F2311" s="1">
        <v>653</v>
      </c>
      <c r="G2311" s="1">
        <v>764</v>
      </c>
      <c r="H2311" s="1">
        <v>76</v>
      </c>
      <c r="I2311" s="1">
        <v>0</v>
      </c>
    </row>
    <row r="2312" spans="1:9" ht="23.25">
      <c r="A2312" s="4" t="s">
        <v>42</v>
      </c>
      <c r="B2312" s="4"/>
      <c r="C2312" s="4" t="s">
        <v>43</v>
      </c>
      <c r="D2312" s="4"/>
      <c r="E2312" s="1">
        <v>595543</v>
      </c>
      <c r="F2312" s="1">
        <v>26001</v>
      </c>
      <c r="G2312" s="1">
        <v>26201</v>
      </c>
      <c r="H2312" s="1">
        <v>6355</v>
      </c>
      <c r="I2312" s="1">
        <v>312316</v>
      </c>
    </row>
    <row r="2313" spans="1:9" ht="23.25">
      <c r="A2313" s="4" t="s">
        <v>43</v>
      </c>
      <c r="B2313" s="4"/>
      <c r="C2313" s="4" t="s">
        <v>43</v>
      </c>
      <c r="D2313" s="4"/>
      <c r="E2313" s="1">
        <v>35325502</v>
      </c>
      <c r="F2313" s="1">
        <v>1547904</v>
      </c>
      <c r="G2313" s="1">
        <v>1023087</v>
      </c>
      <c r="H2313" s="1">
        <v>72931</v>
      </c>
      <c r="I2313" s="1">
        <v>27694796</v>
      </c>
    </row>
    <row r="2314" spans="1:9" ht="23.25">
      <c r="A2314" s="4" t="s">
        <v>44</v>
      </c>
      <c r="B2314" s="4"/>
      <c r="C2314" s="4" t="s">
        <v>43</v>
      </c>
      <c r="D2314" s="4"/>
      <c r="E2314" s="1">
        <v>27617</v>
      </c>
      <c r="F2314" s="1">
        <v>344</v>
      </c>
      <c r="G2314" s="1">
        <v>1049</v>
      </c>
      <c r="H2314" s="1">
        <v>81</v>
      </c>
      <c r="I2314" s="1">
        <v>16832</v>
      </c>
    </row>
    <row r="2315" spans="1:9" ht="23.25">
      <c r="A2315" s="4" t="s">
        <v>45</v>
      </c>
      <c r="B2315" s="4"/>
      <c r="C2315" s="4" t="s">
        <v>43</v>
      </c>
      <c r="D2315" s="4"/>
      <c r="E2315" s="1">
        <v>778360</v>
      </c>
      <c r="F2315" s="1">
        <v>62605</v>
      </c>
      <c r="G2315" s="1">
        <v>0</v>
      </c>
      <c r="H2315" s="1">
        <v>9224</v>
      </c>
      <c r="I2315" s="1">
        <v>0</v>
      </c>
    </row>
    <row r="2316" spans="1:9" ht="23.25">
      <c r="A2316" s="4" t="s">
        <v>46</v>
      </c>
      <c r="B2316" s="4"/>
      <c r="C2316" s="4" t="s">
        <v>43</v>
      </c>
      <c r="D2316" s="4"/>
      <c r="E2316" s="1">
        <v>18354</v>
      </c>
      <c r="F2316" s="1">
        <v>876</v>
      </c>
      <c r="G2316" s="1">
        <v>0</v>
      </c>
      <c r="H2316" s="1">
        <v>202</v>
      </c>
      <c r="I2316" s="1">
        <v>0</v>
      </c>
    </row>
    <row r="2317" spans="1:9" ht="23.25">
      <c r="A2317" s="4" t="s">
        <v>47</v>
      </c>
      <c r="B2317" s="4"/>
      <c r="C2317" s="4" t="s">
        <v>43</v>
      </c>
      <c r="D2317" s="4"/>
      <c r="E2317" s="1">
        <v>79299</v>
      </c>
      <c r="F2317" s="1">
        <v>0</v>
      </c>
      <c r="G2317" s="1">
        <v>0</v>
      </c>
      <c r="H2317" s="1">
        <v>0</v>
      </c>
      <c r="I2317" s="1">
        <v>0</v>
      </c>
    </row>
    <row r="2318" spans="1:9" ht="23.25">
      <c r="A2318" s="4" t="s">
        <v>48</v>
      </c>
      <c r="B2318" s="4"/>
      <c r="C2318" s="4" t="s">
        <v>43</v>
      </c>
      <c r="D2318" s="4"/>
      <c r="E2318" s="1">
        <v>0</v>
      </c>
      <c r="F2318" s="1">
        <v>0</v>
      </c>
      <c r="G2318" s="1">
        <v>0</v>
      </c>
      <c r="H2318" s="1">
        <v>0</v>
      </c>
      <c r="I2318" s="1">
        <v>0</v>
      </c>
    </row>
    <row r="2319" spans="1:9" ht="23.25">
      <c r="A2319" s="4" t="s">
        <v>49</v>
      </c>
      <c r="B2319" s="4"/>
      <c r="C2319" s="4" t="s">
        <v>43</v>
      </c>
      <c r="D2319" s="4"/>
      <c r="E2319" s="1">
        <v>0</v>
      </c>
      <c r="F2319" s="1">
        <v>0</v>
      </c>
      <c r="G2319" s="1">
        <v>0</v>
      </c>
      <c r="H2319" s="1">
        <v>0</v>
      </c>
      <c r="I2319" s="1">
        <v>0</v>
      </c>
    </row>
    <row r="2320" spans="1:9" ht="23.25">
      <c r="A2320" s="4" t="s">
        <v>50</v>
      </c>
      <c r="B2320" s="4"/>
      <c r="C2320" s="4" t="s">
        <v>43</v>
      </c>
      <c r="D2320" s="4"/>
      <c r="E2320" s="1">
        <v>0</v>
      </c>
      <c r="F2320" s="1">
        <v>0</v>
      </c>
      <c r="G2320" s="1">
        <v>0</v>
      </c>
      <c r="H2320" s="1">
        <v>0</v>
      </c>
      <c r="I2320" s="1">
        <v>0</v>
      </c>
    </row>
    <row r="2321" spans="1:9" ht="23.25">
      <c r="A2321" s="4" t="s">
        <v>51</v>
      </c>
      <c r="B2321" s="4"/>
      <c r="C2321" s="4" t="s">
        <v>43</v>
      </c>
      <c r="D2321" s="4"/>
      <c r="E2321" s="1">
        <v>60081</v>
      </c>
      <c r="F2321" s="1">
        <v>9797</v>
      </c>
      <c r="G2321" s="1">
        <v>7986</v>
      </c>
      <c r="H2321" s="1">
        <v>854</v>
      </c>
      <c r="I2321" s="1">
        <v>0</v>
      </c>
    </row>
    <row r="2322" spans="1:9" ht="23.25">
      <c r="A2322" s="4" t="s">
        <v>52</v>
      </c>
      <c r="B2322" s="4"/>
      <c r="C2322" s="4" t="s">
        <v>43</v>
      </c>
      <c r="D2322" s="4"/>
      <c r="E2322" s="1">
        <v>3139207</v>
      </c>
      <c r="F2322" s="1">
        <v>7071</v>
      </c>
      <c r="G2322" s="1">
        <v>13136</v>
      </c>
      <c r="H2322" s="1">
        <v>1496</v>
      </c>
      <c r="I2322" s="1">
        <v>0</v>
      </c>
    </row>
    <row r="2323" spans="1:9" ht="23.25">
      <c r="A2323" s="4" t="s">
        <v>53</v>
      </c>
      <c r="B2323" s="4"/>
      <c r="C2323" s="4" t="s">
        <v>43</v>
      </c>
      <c r="D2323" s="4"/>
      <c r="E2323" s="1">
        <v>12110</v>
      </c>
      <c r="F2323" s="1">
        <v>0</v>
      </c>
      <c r="G2323" s="1">
        <v>0</v>
      </c>
      <c r="H2323" s="1">
        <v>0</v>
      </c>
      <c r="I2323" s="1">
        <v>0</v>
      </c>
    </row>
    <row r="2324" spans="1:9" ht="23.25">
      <c r="A2324" s="4" t="s">
        <v>54</v>
      </c>
      <c r="B2324" s="4"/>
      <c r="C2324" s="4" t="s">
        <v>43</v>
      </c>
      <c r="D2324" s="4"/>
      <c r="E2324" s="1">
        <v>40946</v>
      </c>
      <c r="F2324" s="1">
        <v>0</v>
      </c>
      <c r="G2324" s="1">
        <v>0</v>
      </c>
      <c r="H2324" s="1">
        <v>0</v>
      </c>
      <c r="I2324" s="1">
        <v>0</v>
      </c>
    </row>
    <row r="2325" spans="1:9" ht="23.25">
      <c r="A2325" s="4" t="s">
        <v>55</v>
      </c>
      <c r="B2325" s="4"/>
      <c r="C2325" s="4" t="s">
        <v>43</v>
      </c>
      <c r="D2325" s="4"/>
      <c r="E2325" s="1">
        <v>0</v>
      </c>
      <c r="F2325" s="1">
        <v>0</v>
      </c>
      <c r="G2325" s="1">
        <v>0</v>
      </c>
      <c r="H2325" s="1">
        <v>0</v>
      </c>
      <c r="I2325" s="1">
        <v>0</v>
      </c>
    </row>
    <row r="2326" spans="1:9" ht="23.25">
      <c r="A2326" s="4" t="s">
        <v>56</v>
      </c>
      <c r="B2326" s="4"/>
      <c r="C2326" s="4" t="s">
        <v>43</v>
      </c>
      <c r="D2326" s="4"/>
      <c r="E2326" s="1">
        <v>0</v>
      </c>
      <c r="F2326" s="1">
        <v>-3184551</v>
      </c>
      <c r="G2326" s="1">
        <v>-1491121</v>
      </c>
      <c r="H2326" s="1">
        <v>0</v>
      </c>
      <c r="I2326" s="1">
        <v>0</v>
      </c>
    </row>
    <row r="2327" spans="1:9" ht="23.25">
      <c r="A2327" s="4" t="s">
        <v>57</v>
      </c>
      <c r="B2327" s="4"/>
      <c r="C2327" s="4" t="s">
        <v>43</v>
      </c>
      <c r="D2327" s="4"/>
      <c r="E2327" s="1">
        <v>87831</v>
      </c>
      <c r="F2327" s="1">
        <v>0</v>
      </c>
      <c r="G2327" s="1">
        <v>0</v>
      </c>
      <c r="H2327" s="1">
        <v>0</v>
      </c>
      <c r="I2327" s="1">
        <v>0</v>
      </c>
    </row>
    <row r="2328" spans="1:9" ht="23.25">
      <c r="A2328" s="4" t="s">
        <v>58</v>
      </c>
      <c r="B2328" s="4"/>
      <c r="C2328" s="4" t="s">
        <v>43</v>
      </c>
      <c r="D2328" s="4"/>
      <c r="E2328" s="1">
        <v>310184</v>
      </c>
      <c r="F2328" s="1">
        <v>0</v>
      </c>
      <c r="G2328" s="1">
        <v>0</v>
      </c>
      <c r="H2328" s="1">
        <v>-835872</v>
      </c>
      <c r="I2328" s="1">
        <v>0</v>
      </c>
    </row>
    <row r="2329" spans="1:9" ht="23.25">
      <c r="A2329" s="4" t="s">
        <v>59</v>
      </c>
      <c r="B2329" s="4"/>
      <c r="C2329" s="4" t="s">
        <v>43</v>
      </c>
      <c r="D2329" s="4"/>
      <c r="E2329" s="1">
        <v>38128</v>
      </c>
      <c r="F2329" s="1">
        <v>0</v>
      </c>
      <c r="G2329" s="1">
        <v>0</v>
      </c>
      <c r="H2329" s="1">
        <v>0</v>
      </c>
      <c r="I2329" s="1">
        <v>0</v>
      </c>
    </row>
    <row r="2330" spans="1:9" ht="23.25">
      <c r="A2330" s="4" t="s">
        <v>60</v>
      </c>
      <c r="B2330" s="4"/>
      <c r="C2330" s="4" t="s">
        <v>43</v>
      </c>
      <c r="D2330" s="4"/>
      <c r="E2330" s="1">
        <v>1576072</v>
      </c>
      <c r="F2330" s="1">
        <v>0</v>
      </c>
      <c r="G2330" s="1">
        <v>0</v>
      </c>
      <c r="H2330" s="1">
        <v>0</v>
      </c>
      <c r="I2330" s="1">
        <v>0</v>
      </c>
    </row>
    <row r="2331" spans="1:9" ht="23.25">
      <c r="A2331" s="4" t="s">
        <v>61</v>
      </c>
      <c r="B2331" s="4"/>
      <c r="C2331" s="4" t="s">
        <v>43</v>
      </c>
      <c r="D2331" s="4"/>
      <c r="E2331" s="1">
        <v>9333</v>
      </c>
      <c r="F2331" s="1">
        <v>0</v>
      </c>
      <c r="G2331" s="1">
        <v>0</v>
      </c>
      <c r="H2331" s="1">
        <v>0</v>
      </c>
      <c r="I2331" s="1">
        <v>0</v>
      </c>
    </row>
    <row r="2332" spans="1:9" ht="23.25">
      <c r="A2332" s="4" t="s">
        <v>62</v>
      </c>
      <c r="B2332" s="4"/>
      <c r="C2332" s="4" t="s">
        <v>43</v>
      </c>
      <c r="D2332" s="4"/>
      <c r="E2332" s="1">
        <v>976092</v>
      </c>
      <c r="F2332" s="1">
        <v>0</v>
      </c>
      <c r="G2332" s="1">
        <v>0</v>
      </c>
      <c r="H2332" s="1">
        <v>0</v>
      </c>
      <c r="I2332" s="1">
        <v>0</v>
      </c>
    </row>
    <row r="2333" spans="1:9" ht="23.25">
      <c r="A2333" s="4" t="s">
        <v>63</v>
      </c>
      <c r="B2333" s="4"/>
      <c r="C2333" s="4" t="s">
        <v>43</v>
      </c>
      <c r="D2333" s="4"/>
      <c r="E2333" s="1">
        <v>35928</v>
      </c>
      <c r="F2333" s="1">
        <v>0</v>
      </c>
      <c r="G2333" s="1">
        <v>0</v>
      </c>
      <c r="H2333" s="1">
        <v>0</v>
      </c>
      <c r="I2333" s="1">
        <v>0</v>
      </c>
    </row>
    <row r="2334" spans="1:9" ht="23.25">
      <c r="A2334" s="4" t="s">
        <v>64</v>
      </c>
      <c r="B2334" s="4"/>
      <c r="C2334" s="4" t="s">
        <v>43</v>
      </c>
      <c r="D2334" s="4"/>
      <c r="E2334" s="1">
        <v>177729</v>
      </c>
      <c r="F2334" s="1">
        <v>0</v>
      </c>
      <c r="G2334" s="1">
        <v>0</v>
      </c>
      <c r="H2334" s="1">
        <v>0</v>
      </c>
      <c r="I2334" s="1">
        <v>0</v>
      </c>
    </row>
    <row r="2335" spans="1:9" ht="23.25">
      <c r="A2335" s="4" t="s">
        <v>65</v>
      </c>
      <c r="B2335" s="4"/>
      <c r="C2335" s="4" t="s">
        <v>43</v>
      </c>
      <c r="D2335" s="4"/>
      <c r="E2335" s="1">
        <v>200012</v>
      </c>
      <c r="F2335" s="1">
        <v>0</v>
      </c>
      <c r="G2335" s="1">
        <v>0</v>
      </c>
      <c r="H2335" s="1">
        <v>0</v>
      </c>
      <c r="I2335" s="1">
        <v>21694</v>
      </c>
    </row>
    <row r="2336" spans="1:9" ht="23.25">
      <c r="A2336" s="4" t="s">
        <v>66</v>
      </c>
      <c r="B2336" s="4"/>
      <c r="C2336" s="4" t="s">
        <v>43</v>
      </c>
      <c r="D2336" s="4"/>
      <c r="E2336" s="1">
        <v>82274692</v>
      </c>
      <c r="F2336" s="1">
        <v>0</v>
      </c>
      <c r="G2336" s="1">
        <v>0</v>
      </c>
      <c r="H2336" s="1">
        <v>0</v>
      </c>
      <c r="I2336" s="1">
        <v>52868046</v>
      </c>
    </row>
    <row r="2337" spans="1:9" ht="23.25">
      <c r="A2337" s="4" t="s">
        <v>67</v>
      </c>
      <c r="B2337" s="4"/>
      <c r="C2337" s="4" t="s">
        <v>43</v>
      </c>
      <c r="D2337" s="4"/>
      <c r="E2337" s="1">
        <v>19138116</v>
      </c>
      <c r="F2337" s="1">
        <v>0</v>
      </c>
      <c r="G2337" s="1">
        <v>0</v>
      </c>
      <c r="H2337" s="1">
        <v>0</v>
      </c>
      <c r="I2337" s="1">
        <v>0</v>
      </c>
    </row>
    <row r="2338" spans="1:9" ht="23.25">
      <c r="A2338" s="4" t="s">
        <v>68</v>
      </c>
      <c r="B2338" s="4"/>
      <c r="C2338" s="4" t="s">
        <v>43</v>
      </c>
      <c r="D2338" s="4"/>
      <c r="E2338" s="1">
        <v>24360395</v>
      </c>
      <c r="F2338" s="1">
        <v>0</v>
      </c>
      <c r="G2338" s="1">
        <v>0</v>
      </c>
      <c r="H2338" s="1">
        <v>0</v>
      </c>
      <c r="I2338" s="1">
        <v>0</v>
      </c>
    </row>
    <row r="2339" spans="1:9" ht="23.25">
      <c r="A2339" s="4" t="s">
        <v>69</v>
      </c>
      <c r="B2339" s="4"/>
      <c r="C2339" s="4" t="s">
        <v>43</v>
      </c>
      <c r="D2339" s="4"/>
      <c r="E2339" s="1">
        <v>7725868</v>
      </c>
      <c r="F2339" s="1">
        <v>0</v>
      </c>
      <c r="G2339" s="1">
        <v>0</v>
      </c>
      <c r="H2339" s="1">
        <v>0</v>
      </c>
      <c r="I2339" s="1">
        <v>0</v>
      </c>
    </row>
    <row r="2340" spans="1:9" ht="23.25">
      <c r="A2340" s="4" t="s">
        <v>70</v>
      </c>
      <c r="B2340" s="4"/>
      <c r="C2340" s="4" t="s">
        <v>43</v>
      </c>
      <c r="D2340" s="4"/>
      <c r="E2340" s="1">
        <v>4924091</v>
      </c>
      <c r="F2340" s="1">
        <v>0</v>
      </c>
      <c r="G2340" s="1">
        <v>0</v>
      </c>
      <c r="H2340" s="1">
        <v>0</v>
      </c>
      <c r="I2340" s="1">
        <v>0</v>
      </c>
    </row>
    <row r="2341" spans="1:9" ht="23.25">
      <c r="A2341" s="4" t="s">
        <v>71</v>
      </c>
      <c r="B2341" s="4"/>
      <c r="C2341" s="4" t="s">
        <v>43</v>
      </c>
      <c r="D2341" s="4"/>
      <c r="E2341" s="1">
        <v>56148470</v>
      </c>
      <c r="F2341" s="1">
        <v>0</v>
      </c>
      <c r="G2341" s="1">
        <v>0</v>
      </c>
      <c r="H2341" s="1">
        <v>0</v>
      </c>
      <c r="I2341" s="1">
        <v>0</v>
      </c>
    </row>
    <row r="2342" spans="1:9" ht="23.25">
      <c r="A2342" s="4" t="s">
        <v>72</v>
      </c>
      <c r="B2342" s="4"/>
      <c r="C2342" s="4" t="s">
        <v>43</v>
      </c>
      <c r="D2342" s="4"/>
      <c r="E2342" s="1">
        <v>138423162</v>
      </c>
      <c r="F2342" s="1">
        <v>0</v>
      </c>
      <c r="G2342" s="1">
        <v>0</v>
      </c>
      <c r="H2342" s="1">
        <v>0</v>
      </c>
      <c r="I2342" s="1">
        <v>0</v>
      </c>
    </row>
    <row r="2343" spans="1:9" ht="23.25">
      <c r="A2343" s="4" t="s">
        <v>8</v>
      </c>
      <c r="B2343" s="4"/>
      <c r="C2343" s="4" t="s">
        <v>44</v>
      </c>
      <c r="D2343" s="4"/>
      <c r="E2343" s="1">
        <v>0</v>
      </c>
      <c r="F2343" s="1">
        <v>0</v>
      </c>
      <c r="G2343" s="1">
        <v>0</v>
      </c>
      <c r="H2343" s="1">
        <v>0</v>
      </c>
      <c r="I2343" s="1">
        <v>0</v>
      </c>
    </row>
    <row r="2344" spans="1:9" ht="23.25">
      <c r="A2344" s="4" t="s">
        <v>9</v>
      </c>
      <c r="B2344" s="4"/>
      <c r="C2344" s="4" t="s">
        <v>44</v>
      </c>
      <c r="D2344" s="4"/>
      <c r="E2344" s="1">
        <v>0</v>
      </c>
      <c r="F2344" s="1">
        <v>0</v>
      </c>
      <c r="G2344" s="1">
        <v>0</v>
      </c>
      <c r="H2344" s="1">
        <v>0</v>
      </c>
      <c r="I2344" s="1">
        <v>0</v>
      </c>
    </row>
    <row r="2345" spans="1:9" ht="23.25">
      <c r="A2345" s="4" t="s">
        <v>10</v>
      </c>
      <c r="B2345" s="4"/>
      <c r="C2345" s="4" t="s">
        <v>44</v>
      </c>
      <c r="D2345" s="4"/>
      <c r="E2345" s="1">
        <v>0</v>
      </c>
      <c r="F2345" s="1">
        <v>0</v>
      </c>
      <c r="G2345" s="1">
        <v>0</v>
      </c>
      <c r="H2345" s="1">
        <v>0</v>
      </c>
      <c r="I2345" s="1">
        <v>0</v>
      </c>
    </row>
    <row r="2346" spans="1:9" ht="23.25">
      <c r="A2346" s="4" t="s">
        <v>11</v>
      </c>
      <c r="B2346" s="4"/>
      <c r="C2346" s="4" t="s">
        <v>44</v>
      </c>
      <c r="D2346" s="4"/>
      <c r="E2346" s="1">
        <v>0</v>
      </c>
      <c r="F2346" s="1">
        <v>0</v>
      </c>
      <c r="G2346" s="1">
        <v>0</v>
      </c>
      <c r="H2346" s="1">
        <v>0</v>
      </c>
      <c r="I2346" s="1">
        <v>0</v>
      </c>
    </row>
    <row r="2347" spans="1:9" ht="23.25">
      <c r="A2347" s="4" t="s">
        <v>12</v>
      </c>
      <c r="B2347" s="4"/>
      <c r="C2347" s="4" t="s">
        <v>44</v>
      </c>
      <c r="D2347" s="4"/>
      <c r="E2347" s="1">
        <v>0</v>
      </c>
      <c r="F2347" s="1">
        <v>0</v>
      </c>
      <c r="G2347" s="1">
        <v>0</v>
      </c>
      <c r="H2347" s="1">
        <v>0</v>
      </c>
      <c r="I2347" s="1">
        <v>0</v>
      </c>
    </row>
    <row r="2348" spans="1:9" ht="23.25">
      <c r="A2348" s="4" t="s">
        <v>13</v>
      </c>
      <c r="B2348" s="4"/>
      <c r="C2348" s="4" t="s">
        <v>44</v>
      </c>
      <c r="D2348" s="4"/>
      <c r="E2348" s="1">
        <v>0</v>
      </c>
      <c r="F2348" s="1">
        <v>0</v>
      </c>
      <c r="G2348" s="1">
        <v>0</v>
      </c>
      <c r="H2348" s="1">
        <v>0</v>
      </c>
      <c r="I2348" s="1">
        <v>0</v>
      </c>
    </row>
    <row r="2349" spans="1:9" ht="23.25">
      <c r="A2349" s="4" t="s">
        <v>14</v>
      </c>
      <c r="B2349" s="4"/>
      <c r="C2349" s="4" t="s">
        <v>44</v>
      </c>
      <c r="D2349" s="4"/>
      <c r="E2349" s="1">
        <v>0</v>
      </c>
      <c r="F2349" s="1">
        <v>0</v>
      </c>
      <c r="G2349" s="1">
        <v>0</v>
      </c>
      <c r="H2349" s="1">
        <v>0</v>
      </c>
      <c r="I2349" s="1">
        <v>0</v>
      </c>
    </row>
    <row r="2350" spans="1:9" ht="23.25">
      <c r="A2350" s="4" t="s">
        <v>15</v>
      </c>
      <c r="B2350" s="4"/>
      <c r="C2350" s="4" t="s">
        <v>44</v>
      </c>
      <c r="D2350" s="4"/>
      <c r="E2350" s="1">
        <v>0</v>
      </c>
      <c r="F2350" s="1">
        <v>0</v>
      </c>
      <c r="G2350" s="1">
        <v>0</v>
      </c>
      <c r="H2350" s="1">
        <v>0</v>
      </c>
      <c r="I2350" s="1">
        <v>0</v>
      </c>
    </row>
    <row r="2351" spans="1:9" ht="23.25">
      <c r="A2351" s="4" t="s">
        <v>16</v>
      </c>
      <c r="B2351" s="4"/>
      <c r="C2351" s="4" t="s">
        <v>44</v>
      </c>
      <c r="D2351" s="4"/>
      <c r="E2351" s="1">
        <v>0</v>
      </c>
      <c r="F2351" s="1">
        <v>0</v>
      </c>
      <c r="G2351" s="1">
        <v>0</v>
      </c>
      <c r="H2351" s="1">
        <v>0</v>
      </c>
      <c r="I2351" s="1">
        <v>0</v>
      </c>
    </row>
    <row r="2352" spans="1:9" ht="23.25">
      <c r="A2352" s="4" t="s">
        <v>17</v>
      </c>
      <c r="B2352" s="4"/>
      <c r="C2352" s="4" t="s">
        <v>44</v>
      </c>
      <c r="D2352" s="4"/>
      <c r="E2352" s="1">
        <v>0</v>
      </c>
      <c r="F2352" s="1">
        <v>0</v>
      </c>
      <c r="G2352" s="1">
        <v>0</v>
      </c>
      <c r="H2352" s="1">
        <v>0</v>
      </c>
      <c r="I2352" s="1">
        <v>0</v>
      </c>
    </row>
    <row r="2353" spans="1:9" ht="23.25">
      <c r="A2353" s="4" t="s">
        <v>18</v>
      </c>
      <c r="B2353" s="4"/>
      <c r="C2353" s="4" t="s">
        <v>44</v>
      </c>
      <c r="D2353" s="4"/>
      <c r="E2353" s="1">
        <v>0</v>
      </c>
      <c r="F2353" s="1">
        <v>0</v>
      </c>
      <c r="G2353" s="1">
        <v>0</v>
      </c>
      <c r="H2353" s="1">
        <v>0</v>
      </c>
      <c r="I2353" s="1">
        <v>0</v>
      </c>
    </row>
    <row r="2354" spans="1:9" ht="23.25">
      <c r="A2354" s="4" t="s">
        <v>19</v>
      </c>
      <c r="B2354" s="4"/>
      <c r="C2354" s="4" t="s">
        <v>44</v>
      </c>
      <c r="D2354" s="4"/>
      <c r="E2354" s="1">
        <v>0</v>
      </c>
      <c r="F2354" s="1">
        <v>0</v>
      </c>
      <c r="G2354" s="1">
        <v>0</v>
      </c>
      <c r="H2354" s="1">
        <v>0</v>
      </c>
      <c r="I2354" s="1">
        <v>0</v>
      </c>
    </row>
    <row r="2355" spans="1:9" ht="23.25">
      <c r="A2355" s="4" t="s">
        <v>20</v>
      </c>
      <c r="B2355" s="4"/>
      <c r="C2355" s="4" t="s">
        <v>44</v>
      </c>
      <c r="D2355" s="4"/>
      <c r="E2355" s="1">
        <v>0</v>
      </c>
      <c r="F2355" s="1">
        <v>0</v>
      </c>
      <c r="G2355" s="1">
        <v>0</v>
      </c>
      <c r="H2355" s="1">
        <v>0</v>
      </c>
      <c r="I2355" s="1">
        <v>0</v>
      </c>
    </row>
    <row r="2356" spans="1:9" ht="23.25">
      <c r="A2356" s="4" t="s">
        <v>21</v>
      </c>
      <c r="B2356" s="4"/>
      <c r="C2356" s="4" t="s">
        <v>44</v>
      </c>
      <c r="D2356" s="4"/>
      <c r="E2356" s="1">
        <v>262073</v>
      </c>
      <c r="F2356" s="1">
        <v>28067</v>
      </c>
      <c r="G2356" s="1">
        <v>0</v>
      </c>
      <c r="H2356" s="1">
        <v>30382</v>
      </c>
      <c r="I2356" s="1">
        <v>0</v>
      </c>
    </row>
    <row r="2357" spans="1:9" ht="23.25">
      <c r="A2357" s="4" t="s">
        <v>22</v>
      </c>
      <c r="B2357" s="4"/>
      <c r="C2357" s="4" t="s">
        <v>44</v>
      </c>
      <c r="D2357" s="4"/>
      <c r="E2357" s="1">
        <v>0</v>
      </c>
      <c r="F2357" s="1">
        <v>0</v>
      </c>
      <c r="G2357" s="1">
        <v>0</v>
      </c>
      <c r="H2357" s="1">
        <v>0</v>
      </c>
      <c r="I2357" s="1">
        <v>0</v>
      </c>
    </row>
    <row r="2358" spans="1:9" ht="23.25">
      <c r="A2358" s="4" t="s">
        <v>23</v>
      </c>
      <c r="B2358" s="4"/>
      <c r="C2358" s="4" t="s">
        <v>44</v>
      </c>
      <c r="D2358" s="4"/>
      <c r="E2358" s="1">
        <v>0</v>
      </c>
      <c r="F2358" s="1">
        <v>0</v>
      </c>
      <c r="G2358" s="1">
        <v>0</v>
      </c>
      <c r="H2358" s="1">
        <v>0</v>
      </c>
      <c r="I2358" s="1">
        <v>0</v>
      </c>
    </row>
    <row r="2359" spans="1:9" ht="23.25">
      <c r="A2359" s="4" t="s">
        <v>24</v>
      </c>
      <c r="B2359" s="4"/>
      <c r="C2359" s="4" t="s">
        <v>44</v>
      </c>
      <c r="D2359" s="4"/>
      <c r="E2359" s="1">
        <v>0</v>
      </c>
      <c r="F2359" s="1">
        <v>0</v>
      </c>
      <c r="G2359" s="1">
        <v>0</v>
      </c>
      <c r="H2359" s="1">
        <v>0</v>
      </c>
      <c r="I2359" s="1">
        <v>0</v>
      </c>
    </row>
    <row r="2360" spans="1:9" ht="23.25">
      <c r="A2360" s="4" t="s">
        <v>25</v>
      </c>
      <c r="B2360" s="4"/>
      <c r="C2360" s="4" t="s">
        <v>44</v>
      </c>
      <c r="D2360" s="4"/>
      <c r="E2360" s="1">
        <v>0</v>
      </c>
      <c r="F2360" s="1">
        <v>0</v>
      </c>
      <c r="G2360" s="1">
        <v>0</v>
      </c>
      <c r="H2360" s="1">
        <v>0</v>
      </c>
      <c r="I2360" s="1">
        <v>0</v>
      </c>
    </row>
    <row r="2361" spans="1:9" ht="23.25">
      <c r="A2361" s="4" t="s">
        <v>26</v>
      </c>
      <c r="B2361" s="4"/>
      <c r="C2361" s="4" t="s">
        <v>44</v>
      </c>
      <c r="D2361" s="4"/>
      <c r="E2361" s="1">
        <v>0</v>
      </c>
      <c r="F2361" s="1">
        <v>0</v>
      </c>
      <c r="G2361" s="1">
        <v>0</v>
      </c>
      <c r="H2361" s="1">
        <v>0</v>
      </c>
      <c r="I2361" s="1">
        <v>0</v>
      </c>
    </row>
    <row r="2362" spans="1:9" ht="23.25">
      <c r="A2362" s="4" t="s">
        <v>27</v>
      </c>
      <c r="B2362" s="4"/>
      <c r="C2362" s="4" t="s">
        <v>44</v>
      </c>
      <c r="D2362" s="4"/>
      <c r="E2362" s="1">
        <v>0</v>
      </c>
      <c r="F2362" s="1">
        <v>0</v>
      </c>
      <c r="G2362" s="1">
        <v>0</v>
      </c>
      <c r="H2362" s="1">
        <v>0</v>
      </c>
      <c r="I2362" s="1">
        <v>0</v>
      </c>
    </row>
    <row r="2363" spans="1:9" ht="23.25">
      <c r="A2363" s="4" t="s">
        <v>28</v>
      </c>
      <c r="B2363" s="4"/>
      <c r="C2363" s="4" t="s">
        <v>44</v>
      </c>
      <c r="D2363" s="4"/>
      <c r="E2363" s="1">
        <v>0</v>
      </c>
      <c r="F2363" s="1">
        <v>0</v>
      </c>
      <c r="G2363" s="1">
        <v>0</v>
      </c>
      <c r="H2363" s="1">
        <v>0</v>
      </c>
      <c r="I2363" s="1">
        <v>0</v>
      </c>
    </row>
    <row r="2364" spans="1:9" ht="23.25">
      <c r="A2364" s="4" t="s">
        <v>29</v>
      </c>
      <c r="B2364" s="4"/>
      <c r="C2364" s="4" t="s">
        <v>44</v>
      </c>
      <c r="D2364" s="4"/>
      <c r="E2364" s="1">
        <v>0</v>
      </c>
      <c r="F2364" s="1">
        <v>0</v>
      </c>
      <c r="G2364" s="1">
        <v>0</v>
      </c>
      <c r="H2364" s="1">
        <v>0</v>
      </c>
      <c r="I2364" s="1">
        <v>0</v>
      </c>
    </row>
    <row r="2365" spans="1:9" ht="23.25">
      <c r="A2365" s="4" t="s">
        <v>30</v>
      </c>
      <c r="B2365" s="4"/>
      <c r="C2365" s="4" t="s">
        <v>44</v>
      </c>
      <c r="D2365" s="4"/>
      <c r="E2365" s="1">
        <v>54043</v>
      </c>
      <c r="F2365" s="1">
        <v>5489</v>
      </c>
      <c r="G2365" s="1">
        <v>3910</v>
      </c>
      <c r="H2365" s="1">
        <v>722</v>
      </c>
      <c r="I2365" s="1">
        <v>0</v>
      </c>
    </row>
    <row r="2366" spans="1:9" ht="23.25">
      <c r="A2366" s="4" t="s">
        <v>31</v>
      </c>
      <c r="B2366" s="4"/>
      <c r="C2366" s="4" t="s">
        <v>44</v>
      </c>
      <c r="D2366" s="4"/>
      <c r="E2366" s="1">
        <v>119831</v>
      </c>
      <c r="F2366" s="1">
        <v>10369</v>
      </c>
      <c r="G2366" s="1">
        <v>18584</v>
      </c>
      <c r="H2366" s="1">
        <v>852</v>
      </c>
      <c r="I2366" s="1">
        <v>42379</v>
      </c>
    </row>
    <row r="2367" spans="1:9" ht="23.25">
      <c r="A2367" s="4" t="s">
        <v>32</v>
      </c>
      <c r="B2367" s="4"/>
      <c r="C2367" s="4" t="s">
        <v>44</v>
      </c>
      <c r="D2367" s="4"/>
      <c r="E2367" s="1">
        <v>1010785</v>
      </c>
      <c r="F2367" s="1">
        <v>53770</v>
      </c>
      <c r="G2367" s="1">
        <v>32481</v>
      </c>
      <c r="H2367" s="1">
        <v>9970</v>
      </c>
      <c r="I2367" s="1">
        <v>0</v>
      </c>
    </row>
    <row r="2368" spans="1:9" ht="23.25">
      <c r="A2368" s="4" t="s">
        <v>33</v>
      </c>
      <c r="B2368" s="4"/>
      <c r="C2368" s="4" t="s">
        <v>44</v>
      </c>
      <c r="D2368" s="4"/>
      <c r="E2368" s="1">
        <v>0</v>
      </c>
      <c r="F2368" s="1">
        <v>0</v>
      </c>
      <c r="G2368" s="1">
        <v>0</v>
      </c>
      <c r="H2368" s="1">
        <v>0</v>
      </c>
      <c r="I2368" s="1">
        <v>0</v>
      </c>
    </row>
    <row r="2369" spans="1:9" ht="23.25">
      <c r="A2369" s="4" t="s">
        <v>34</v>
      </c>
      <c r="B2369" s="4"/>
      <c r="C2369" s="4" t="s">
        <v>44</v>
      </c>
      <c r="D2369" s="4"/>
      <c r="E2369" s="1">
        <v>9385422</v>
      </c>
      <c r="F2369" s="1">
        <v>703230</v>
      </c>
      <c r="G2369" s="1">
        <v>383944</v>
      </c>
      <c r="H2369" s="1">
        <v>160846</v>
      </c>
      <c r="I2369" s="1">
        <v>4258408</v>
      </c>
    </row>
    <row r="2370" spans="1:9" ht="23.25">
      <c r="A2370" s="4" t="s">
        <v>35</v>
      </c>
      <c r="B2370" s="4"/>
      <c r="C2370" s="4" t="s">
        <v>44</v>
      </c>
      <c r="D2370" s="4"/>
      <c r="E2370" s="1">
        <v>0</v>
      </c>
      <c r="F2370" s="1">
        <v>0</v>
      </c>
      <c r="G2370" s="1">
        <v>0</v>
      </c>
      <c r="H2370" s="1">
        <v>0</v>
      </c>
      <c r="I2370" s="1">
        <v>0</v>
      </c>
    </row>
    <row r="2371" spans="1:9" ht="23.25">
      <c r="A2371" s="4" t="s">
        <v>36</v>
      </c>
      <c r="B2371" s="4"/>
      <c r="C2371" s="4" t="s">
        <v>44</v>
      </c>
      <c r="D2371" s="4"/>
      <c r="E2371" s="1">
        <v>10525598</v>
      </c>
      <c r="F2371" s="1">
        <v>640652</v>
      </c>
      <c r="G2371" s="1">
        <v>570085</v>
      </c>
      <c r="H2371" s="1">
        <v>107802</v>
      </c>
      <c r="I2371" s="1">
        <v>4406065</v>
      </c>
    </row>
    <row r="2372" spans="1:9" ht="23.25">
      <c r="A2372" s="4" t="s">
        <v>37</v>
      </c>
      <c r="B2372" s="4"/>
      <c r="C2372" s="4" t="s">
        <v>44</v>
      </c>
      <c r="D2372" s="4"/>
      <c r="E2372" s="1">
        <v>5028448</v>
      </c>
      <c r="F2372" s="1">
        <v>226451</v>
      </c>
      <c r="G2372" s="1">
        <v>254871</v>
      </c>
      <c r="H2372" s="1">
        <v>43254</v>
      </c>
      <c r="I2372" s="1">
        <v>919385</v>
      </c>
    </row>
    <row r="2373" spans="1:9" ht="23.25">
      <c r="A2373" s="4" t="s">
        <v>38</v>
      </c>
      <c r="B2373" s="4"/>
      <c r="C2373" s="4" t="s">
        <v>44</v>
      </c>
      <c r="D2373" s="4"/>
      <c r="E2373" s="1">
        <v>211739</v>
      </c>
      <c r="F2373" s="1">
        <v>23348</v>
      </c>
      <c r="G2373" s="1">
        <v>34061</v>
      </c>
      <c r="H2373" s="1">
        <v>6471</v>
      </c>
      <c r="I2373" s="1">
        <v>0</v>
      </c>
    </row>
    <row r="2374" spans="1:9" ht="23.25">
      <c r="A2374" s="4" t="s">
        <v>39</v>
      </c>
      <c r="B2374" s="4"/>
      <c r="C2374" s="4" t="s">
        <v>44</v>
      </c>
      <c r="D2374" s="4"/>
      <c r="E2374" s="1">
        <v>6164463</v>
      </c>
      <c r="F2374" s="1">
        <v>212389</v>
      </c>
      <c r="G2374" s="1">
        <v>336691</v>
      </c>
      <c r="H2374" s="1">
        <v>42810</v>
      </c>
      <c r="I2374" s="1">
        <v>2189220</v>
      </c>
    </row>
    <row r="2375" spans="1:9" ht="23.25">
      <c r="A2375" s="4" t="s">
        <v>40</v>
      </c>
      <c r="B2375" s="4"/>
      <c r="C2375" s="4" t="s">
        <v>44</v>
      </c>
      <c r="D2375" s="4"/>
      <c r="E2375" s="1">
        <v>1074240</v>
      </c>
      <c r="F2375" s="1">
        <v>69642</v>
      </c>
      <c r="G2375" s="1">
        <v>48593</v>
      </c>
      <c r="H2375" s="1">
        <v>14628</v>
      </c>
      <c r="I2375" s="1">
        <v>0</v>
      </c>
    </row>
    <row r="2376" spans="1:9" ht="23.25">
      <c r="A2376" s="4" t="s">
        <v>41</v>
      </c>
      <c r="B2376" s="4"/>
      <c r="C2376" s="4" t="s">
        <v>44</v>
      </c>
      <c r="D2376" s="4"/>
      <c r="E2376" s="1">
        <v>2242348</v>
      </c>
      <c r="F2376" s="1">
        <v>140223</v>
      </c>
      <c r="G2376" s="1">
        <v>78785</v>
      </c>
      <c r="H2376" s="1">
        <v>19514</v>
      </c>
      <c r="I2376" s="1">
        <v>0</v>
      </c>
    </row>
    <row r="2377" spans="1:9" ht="23.25">
      <c r="A2377" s="4" t="s">
        <v>42</v>
      </c>
      <c r="B2377" s="4"/>
      <c r="C2377" s="4" t="s">
        <v>44</v>
      </c>
      <c r="D2377" s="4"/>
      <c r="E2377" s="1">
        <v>177227063</v>
      </c>
      <c r="F2377" s="1">
        <v>6367441</v>
      </c>
      <c r="G2377" s="1">
        <v>7083756</v>
      </c>
      <c r="H2377" s="1">
        <v>1729972</v>
      </c>
      <c r="I2377" s="1">
        <v>124686993</v>
      </c>
    </row>
    <row r="2378" spans="1:9" ht="23.25">
      <c r="A2378" s="4" t="s">
        <v>43</v>
      </c>
      <c r="B2378" s="4"/>
      <c r="C2378" s="4" t="s">
        <v>44</v>
      </c>
      <c r="D2378" s="4"/>
      <c r="E2378" s="1">
        <v>59710744</v>
      </c>
      <c r="F2378" s="1">
        <v>3064526</v>
      </c>
      <c r="G2378" s="1">
        <v>1225814</v>
      </c>
      <c r="H2378" s="1">
        <v>85479</v>
      </c>
      <c r="I2378" s="1">
        <v>43850281</v>
      </c>
    </row>
    <row r="2379" spans="1:9" ht="23.25">
      <c r="A2379" s="4" t="s">
        <v>44</v>
      </c>
      <c r="B2379" s="4"/>
      <c r="C2379" s="4" t="s">
        <v>44</v>
      </c>
      <c r="D2379" s="4"/>
      <c r="E2379" s="1">
        <v>24414306</v>
      </c>
      <c r="F2379" s="1">
        <v>245998</v>
      </c>
      <c r="G2379" s="1">
        <v>710617</v>
      </c>
      <c r="H2379" s="1">
        <v>48676</v>
      </c>
      <c r="I2379" s="1">
        <v>21435581</v>
      </c>
    </row>
    <row r="2380" spans="1:9" ht="23.25">
      <c r="A2380" s="4" t="s">
        <v>45</v>
      </c>
      <c r="B2380" s="4"/>
      <c r="C2380" s="4" t="s">
        <v>44</v>
      </c>
      <c r="D2380" s="4"/>
      <c r="E2380" s="1">
        <v>2520425</v>
      </c>
      <c r="F2380" s="1">
        <v>140145</v>
      </c>
      <c r="G2380" s="1">
        <v>0</v>
      </c>
      <c r="H2380" s="1">
        <v>23146</v>
      </c>
      <c r="I2380" s="1">
        <v>281684</v>
      </c>
    </row>
    <row r="2381" spans="1:9" ht="23.25">
      <c r="A2381" s="4" t="s">
        <v>46</v>
      </c>
      <c r="B2381" s="4"/>
      <c r="C2381" s="4" t="s">
        <v>44</v>
      </c>
      <c r="D2381" s="4"/>
      <c r="E2381" s="1">
        <v>1771190</v>
      </c>
      <c r="F2381" s="1">
        <v>77273</v>
      </c>
      <c r="G2381" s="1">
        <v>90020</v>
      </c>
      <c r="H2381" s="1">
        <v>10022</v>
      </c>
      <c r="I2381" s="1">
        <v>0</v>
      </c>
    </row>
    <row r="2382" spans="1:9" ht="23.25">
      <c r="A2382" s="4" t="s">
        <v>47</v>
      </c>
      <c r="B2382" s="4"/>
      <c r="C2382" s="4" t="s">
        <v>44</v>
      </c>
      <c r="D2382" s="4"/>
      <c r="E2382" s="1">
        <v>807431</v>
      </c>
      <c r="F2382" s="1">
        <v>0</v>
      </c>
      <c r="G2382" s="1">
        <v>0</v>
      </c>
      <c r="H2382" s="1">
        <v>0</v>
      </c>
      <c r="I2382" s="1">
        <v>0</v>
      </c>
    </row>
    <row r="2383" spans="1:9" ht="23.25">
      <c r="A2383" s="4" t="s">
        <v>48</v>
      </c>
      <c r="B2383" s="4"/>
      <c r="C2383" s="4" t="s">
        <v>44</v>
      </c>
      <c r="D2383" s="4"/>
      <c r="E2383" s="1">
        <v>0</v>
      </c>
      <c r="F2383" s="1">
        <v>0</v>
      </c>
      <c r="G2383" s="1">
        <v>0</v>
      </c>
      <c r="H2383" s="1">
        <v>0</v>
      </c>
      <c r="I2383" s="1">
        <v>0</v>
      </c>
    </row>
    <row r="2384" spans="1:9" ht="23.25">
      <c r="A2384" s="4" t="s">
        <v>49</v>
      </c>
      <c r="B2384" s="4"/>
      <c r="C2384" s="4" t="s">
        <v>44</v>
      </c>
      <c r="D2384" s="4"/>
      <c r="E2384" s="1">
        <v>3148395</v>
      </c>
      <c r="F2384" s="1">
        <v>209309</v>
      </c>
      <c r="G2384" s="1">
        <v>116658</v>
      </c>
      <c r="H2384" s="1">
        <v>15079</v>
      </c>
      <c r="I2384" s="1">
        <v>2403931</v>
      </c>
    </row>
    <row r="2385" spans="1:9" ht="23.25">
      <c r="A2385" s="4" t="s">
        <v>50</v>
      </c>
      <c r="B2385" s="4"/>
      <c r="C2385" s="4" t="s">
        <v>44</v>
      </c>
      <c r="D2385" s="4"/>
      <c r="E2385" s="1">
        <v>1606135</v>
      </c>
      <c r="F2385" s="1">
        <v>70071</v>
      </c>
      <c r="G2385" s="1">
        <v>136933</v>
      </c>
      <c r="H2385" s="1">
        <v>14319</v>
      </c>
      <c r="I2385" s="1">
        <v>0</v>
      </c>
    </row>
    <row r="2386" spans="1:9" ht="23.25">
      <c r="A2386" s="4" t="s">
        <v>51</v>
      </c>
      <c r="B2386" s="4"/>
      <c r="C2386" s="4" t="s">
        <v>44</v>
      </c>
      <c r="D2386" s="4"/>
      <c r="E2386" s="1">
        <v>532989</v>
      </c>
      <c r="F2386" s="1">
        <v>63510</v>
      </c>
      <c r="G2386" s="1">
        <v>63984</v>
      </c>
      <c r="H2386" s="1">
        <v>6651</v>
      </c>
      <c r="I2386" s="1">
        <v>4624</v>
      </c>
    </row>
    <row r="2387" spans="1:9" ht="23.25">
      <c r="A2387" s="4" t="s">
        <v>52</v>
      </c>
      <c r="B2387" s="4"/>
      <c r="C2387" s="4" t="s">
        <v>44</v>
      </c>
      <c r="D2387" s="4"/>
      <c r="E2387" s="1">
        <v>8583184</v>
      </c>
      <c r="F2387" s="1">
        <v>10873</v>
      </c>
      <c r="G2387" s="1">
        <v>19464</v>
      </c>
      <c r="H2387" s="1">
        <v>2425</v>
      </c>
      <c r="I2387" s="1">
        <v>0</v>
      </c>
    </row>
    <row r="2388" spans="1:9" ht="23.25">
      <c r="A2388" s="4" t="s">
        <v>53</v>
      </c>
      <c r="B2388" s="4"/>
      <c r="C2388" s="4" t="s">
        <v>44</v>
      </c>
      <c r="D2388" s="4"/>
      <c r="E2388" s="1">
        <v>102616</v>
      </c>
      <c r="F2388" s="1">
        <v>0</v>
      </c>
      <c r="G2388" s="1">
        <v>0</v>
      </c>
      <c r="H2388" s="1">
        <v>0</v>
      </c>
      <c r="I2388" s="1">
        <v>0</v>
      </c>
    </row>
    <row r="2389" spans="1:9" ht="23.25">
      <c r="A2389" s="4" t="s">
        <v>54</v>
      </c>
      <c r="B2389" s="4"/>
      <c r="C2389" s="4" t="s">
        <v>44</v>
      </c>
      <c r="D2389" s="4"/>
      <c r="E2389" s="1">
        <v>385592</v>
      </c>
      <c r="F2389" s="1">
        <v>0</v>
      </c>
      <c r="G2389" s="1">
        <v>0</v>
      </c>
      <c r="H2389" s="1">
        <v>0</v>
      </c>
      <c r="I2389" s="1">
        <v>0</v>
      </c>
    </row>
    <row r="2390" spans="1:9" ht="23.25">
      <c r="A2390" s="4" t="s">
        <v>55</v>
      </c>
      <c r="B2390" s="4"/>
      <c r="C2390" s="4" t="s">
        <v>44</v>
      </c>
      <c r="D2390" s="4"/>
      <c r="E2390" s="1">
        <v>0</v>
      </c>
      <c r="F2390" s="1">
        <v>0</v>
      </c>
      <c r="G2390" s="1">
        <v>0</v>
      </c>
      <c r="H2390" s="1">
        <v>0</v>
      </c>
      <c r="I2390" s="1">
        <v>0</v>
      </c>
    </row>
    <row r="2391" spans="1:9" ht="23.25">
      <c r="A2391" s="4" t="s">
        <v>56</v>
      </c>
      <c r="B2391" s="4"/>
      <c r="C2391" s="4" t="s">
        <v>44</v>
      </c>
      <c r="D2391" s="4"/>
      <c r="E2391" s="1">
        <v>0</v>
      </c>
      <c r="F2391" s="1">
        <v>-12362776</v>
      </c>
      <c r="G2391" s="1">
        <v>-11209251</v>
      </c>
      <c r="H2391" s="1">
        <v>0</v>
      </c>
      <c r="I2391" s="1">
        <v>0</v>
      </c>
    </row>
    <row r="2392" spans="1:9" ht="23.25">
      <c r="A2392" s="4" t="s">
        <v>57</v>
      </c>
      <c r="B2392" s="4"/>
      <c r="C2392" s="4" t="s">
        <v>44</v>
      </c>
      <c r="D2392" s="4"/>
      <c r="E2392" s="1">
        <v>1050224</v>
      </c>
      <c r="F2392" s="1">
        <v>0</v>
      </c>
      <c r="G2392" s="1">
        <v>0</v>
      </c>
      <c r="H2392" s="1">
        <v>0</v>
      </c>
      <c r="I2392" s="1">
        <v>0</v>
      </c>
    </row>
    <row r="2393" spans="1:9" ht="23.25">
      <c r="A2393" s="4" t="s">
        <v>58</v>
      </c>
      <c r="B2393" s="4"/>
      <c r="C2393" s="4" t="s">
        <v>44</v>
      </c>
      <c r="D2393" s="4"/>
      <c r="E2393" s="1">
        <v>2685742</v>
      </c>
      <c r="F2393" s="1">
        <v>0</v>
      </c>
      <c r="G2393" s="1">
        <v>0</v>
      </c>
      <c r="H2393" s="1">
        <v>-2373020</v>
      </c>
      <c r="I2393" s="1">
        <v>0</v>
      </c>
    </row>
    <row r="2394" spans="1:9" ht="23.25">
      <c r="A2394" s="4" t="s">
        <v>59</v>
      </c>
      <c r="B2394" s="4"/>
      <c r="C2394" s="4" t="s">
        <v>44</v>
      </c>
      <c r="D2394" s="4"/>
      <c r="E2394" s="1">
        <v>678605</v>
      </c>
      <c r="F2394" s="1">
        <v>0</v>
      </c>
      <c r="G2394" s="1">
        <v>0</v>
      </c>
      <c r="H2394" s="1">
        <v>0</v>
      </c>
      <c r="I2394" s="1">
        <v>0</v>
      </c>
    </row>
    <row r="2395" spans="1:9" ht="23.25">
      <c r="A2395" s="4" t="s">
        <v>60</v>
      </c>
      <c r="B2395" s="4"/>
      <c r="C2395" s="4" t="s">
        <v>44</v>
      </c>
      <c r="D2395" s="4"/>
      <c r="E2395" s="1">
        <v>6077310</v>
      </c>
      <c r="F2395" s="1">
        <v>0</v>
      </c>
      <c r="G2395" s="1">
        <v>0</v>
      </c>
      <c r="H2395" s="1">
        <v>0</v>
      </c>
      <c r="I2395" s="1">
        <v>0</v>
      </c>
    </row>
    <row r="2396" spans="1:9" ht="23.25">
      <c r="A2396" s="4" t="s">
        <v>61</v>
      </c>
      <c r="B2396" s="4"/>
      <c r="C2396" s="4" t="s">
        <v>44</v>
      </c>
      <c r="D2396" s="4"/>
      <c r="E2396" s="1">
        <v>138207</v>
      </c>
      <c r="F2396" s="1">
        <v>0</v>
      </c>
      <c r="G2396" s="1">
        <v>0</v>
      </c>
      <c r="H2396" s="1">
        <v>0</v>
      </c>
      <c r="I2396" s="1">
        <v>0</v>
      </c>
    </row>
    <row r="2397" spans="1:9" ht="23.25">
      <c r="A2397" s="4" t="s">
        <v>62</v>
      </c>
      <c r="B2397" s="4"/>
      <c r="C2397" s="4" t="s">
        <v>44</v>
      </c>
      <c r="D2397" s="4"/>
      <c r="E2397" s="1">
        <v>5650220</v>
      </c>
      <c r="F2397" s="1">
        <v>0</v>
      </c>
      <c r="G2397" s="1">
        <v>0</v>
      </c>
      <c r="H2397" s="1">
        <v>0</v>
      </c>
      <c r="I2397" s="1">
        <v>0</v>
      </c>
    </row>
    <row r="2398" spans="1:9" ht="23.25">
      <c r="A2398" s="4" t="s">
        <v>63</v>
      </c>
      <c r="B2398" s="4"/>
      <c r="C2398" s="4" t="s">
        <v>44</v>
      </c>
      <c r="D2398" s="4"/>
      <c r="E2398" s="1">
        <v>254240</v>
      </c>
      <c r="F2398" s="1">
        <v>0</v>
      </c>
      <c r="G2398" s="1">
        <v>0</v>
      </c>
      <c r="H2398" s="1">
        <v>0</v>
      </c>
      <c r="I2398" s="1">
        <v>0</v>
      </c>
    </row>
    <row r="2399" spans="1:9" ht="23.25">
      <c r="A2399" s="4" t="s">
        <v>64</v>
      </c>
      <c r="B2399" s="4"/>
      <c r="C2399" s="4" t="s">
        <v>44</v>
      </c>
      <c r="D2399" s="4"/>
      <c r="E2399" s="1">
        <v>339065</v>
      </c>
      <c r="F2399" s="1">
        <v>0</v>
      </c>
      <c r="G2399" s="1">
        <v>0</v>
      </c>
      <c r="H2399" s="1">
        <v>0</v>
      </c>
      <c r="I2399" s="1">
        <v>0</v>
      </c>
    </row>
    <row r="2400" spans="1:9" ht="23.25">
      <c r="A2400" s="4" t="s">
        <v>65</v>
      </c>
      <c r="B2400" s="4"/>
      <c r="C2400" s="4" t="s">
        <v>44</v>
      </c>
      <c r="D2400" s="4"/>
      <c r="E2400" s="1">
        <v>1078372</v>
      </c>
      <c r="F2400" s="1">
        <v>0</v>
      </c>
      <c r="G2400" s="1">
        <v>0</v>
      </c>
      <c r="H2400" s="1">
        <v>0</v>
      </c>
      <c r="I2400" s="1">
        <v>108436</v>
      </c>
    </row>
    <row r="2401" spans="1:9" ht="23.25">
      <c r="A2401" s="4" t="s">
        <v>66</v>
      </c>
      <c r="B2401" s="4"/>
      <c r="C2401" s="4" t="s">
        <v>44</v>
      </c>
      <c r="D2401" s="4"/>
      <c r="E2401" s="1">
        <v>334841045</v>
      </c>
      <c r="F2401" s="1">
        <v>0</v>
      </c>
      <c r="G2401" s="1">
        <v>0</v>
      </c>
      <c r="H2401" s="1">
        <v>0</v>
      </c>
      <c r="I2401" s="1">
        <v>204586987</v>
      </c>
    </row>
    <row r="2402" spans="1:9" ht="23.25">
      <c r="A2402" s="4" t="s">
        <v>67</v>
      </c>
      <c r="B2402" s="4"/>
      <c r="C2402" s="4" t="s">
        <v>44</v>
      </c>
      <c r="D2402" s="4"/>
      <c r="E2402" s="1">
        <v>53518694</v>
      </c>
      <c r="F2402" s="1">
        <v>0</v>
      </c>
      <c r="G2402" s="1">
        <v>0</v>
      </c>
      <c r="H2402" s="1">
        <v>0</v>
      </c>
      <c r="I2402" s="1">
        <v>0</v>
      </c>
    </row>
    <row r="2403" spans="1:9" ht="23.25">
      <c r="A2403" s="4" t="s">
        <v>68</v>
      </c>
      <c r="B2403" s="4"/>
      <c r="C2403" s="4" t="s">
        <v>44</v>
      </c>
      <c r="D2403" s="4"/>
      <c r="E2403" s="1">
        <v>83521995</v>
      </c>
      <c r="F2403" s="1">
        <v>0</v>
      </c>
      <c r="G2403" s="1">
        <v>0</v>
      </c>
      <c r="H2403" s="1">
        <v>0</v>
      </c>
      <c r="I2403" s="1">
        <v>0</v>
      </c>
    </row>
    <row r="2404" spans="1:9" ht="23.25">
      <c r="A2404" s="4" t="s">
        <v>69</v>
      </c>
      <c r="B2404" s="4"/>
      <c r="C2404" s="4" t="s">
        <v>44</v>
      </c>
      <c r="D2404" s="4"/>
      <c r="E2404" s="1">
        <v>24961642</v>
      </c>
      <c r="F2404" s="1">
        <v>0</v>
      </c>
      <c r="G2404" s="1">
        <v>0</v>
      </c>
      <c r="H2404" s="1">
        <v>0</v>
      </c>
      <c r="I2404" s="1">
        <v>0</v>
      </c>
    </row>
    <row r="2405" spans="1:9" ht="23.25">
      <c r="A2405" s="4" t="s">
        <v>70</v>
      </c>
      <c r="B2405" s="4"/>
      <c r="C2405" s="4" t="s">
        <v>44</v>
      </c>
      <c r="D2405" s="4"/>
      <c r="E2405" s="1">
        <v>13275908</v>
      </c>
      <c r="F2405" s="1">
        <v>0</v>
      </c>
      <c r="G2405" s="1">
        <v>0</v>
      </c>
      <c r="H2405" s="1">
        <v>0</v>
      </c>
      <c r="I2405" s="1">
        <v>0</v>
      </c>
    </row>
    <row r="2406" spans="1:9" ht="23.25">
      <c r="A2406" s="4" t="s">
        <v>71</v>
      </c>
      <c r="B2406" s="4"/>
      <c r="C2406" s="4" t="s">
        <v>44</v>
      </c>
      <c r="D2406" s="4"/>
      <c r="E2406" s="1">
        <v>175278239</v>
      </c>
      <c r="F2406" s="1">
        <v>0</v>
      </c>
      <c r="G2406" s="1">
        <v>0</v>
      </c>
      <c r="H2406" s="1">
        <v>0</v>
      </c>
      <c r="I2406" s="1">
        <v>0</v>
      </c>
    </row>
    <row r="2407" spans="1:9" ht="23.25">
      <c r="A2407" s="4" t="s">
        <v>72</v>
      </c>
      <c r="B2407" s="4"/>
      <c r="C2407" s="4" t="s">
        <v>44</v>
      </c>
      <c r="D2407" s="4"/>
      <c r="E2407" s="1">
        <v>510119284</v>
      </c>
      <c r="F2407" s="1">
        <v>0</v>
      </c>
      <c r="G2407" s="1">
        <v>0</v>
      </c>
      <c r="H2407" s="1">
        <v>0</v>
      </c>
      <c r="I2407" s="1">
        <v>0</v>
      </c>
    </row>
    <row r="2408" spans="1:9" ht="23.25">
      <c r="A2408" s="4" t="s">
        <v>8</v>
      </c>
      <c r="B2408" s="4"/>
      <c r="C2408" s="4" t="s">
        <v>45</v>
      </c>
      <c r="D2408" s="4"/>
      <c r="E2408" s="1">
        <v>0</v>
      </c>
      <c r="F2408" s="1">
        <v>0</v>
      </c>
      <c r="G2408" s="1">
        <v>0</v>
      </c>
      <c r="H2408" s="1">
        <v>0</v>
      </c>
      <c r="I2408" s="1">
        <v>0</v>
      </c>
    </row>
    <row r="2409" spans="1:9" ht="23.25">
      <c r="A2409" s="4" t="s">
        <v>9</v>
      </c>
      <c r="B2409" s="4"/>
      <c r="C2409" s="4" t="s">
        <v>45</v>
      </c>
      <c r="D2409" s="4"/>
      <c r="E2409" s="1">
        <v>0</v>
      </c>
      <c r="F2409" s="1">
        <v>0</v>
      </c>
      <c r="G2409" s="1">
        <v>0</v>
      </c>
      <c r="H2409" s="1">
        <v>0</v>
      </c>
      <c r="I2409" s="1">
        <v>0</v>
      </c>
    </row>
    <row r="2410" spans="1:9" ht="23.25">
      <c r="A2410" s="4" t="s">
        <v>10</v>
      </c>
      <c r="B2410" s="4"/>
      <c r="C2410" s="4" t="s">
        <v>45</v>
      </c>
      <c r="D2410" s="4"/>
      <c r="E2410" s="1">
        <v>0</v>
      </c>
      <c r="F2410" s="1">
        <v>0</v>
      </c>
      <c r="G2410" s="1">
        <v>0</v>
      </c>
      <c r="H2410" s="1">
        <v>0</v>
      </c>
      <c r="I2410" s="1">
        <v>0</v>
      </c>
    </row>
    <row r="2411" spans="1:9" ht="23.25">
      <c r="A2411" s="4" t="s">
        <v>11</v>
      </c>
      <c r="B2411" s="4"/>
      <c r="C2411" s="4" t="s">
        <v>45</v>
      </c>
      <c r="D2411" s="4"/>
      <c r="E2411" s="1">
        <v>0</v>
      </c>
      <c r="F2411" s="1">
        <v>0</v>
      </c>
      <c r="G2411" s="1">
        <v>0</v>
      </c>
      <c r="H2411" s="1">
        <v>0</v>
      </c>
      <c r="I2411" s="1">
        <v>0</v>
      </c>
    </row>
    <row r="2412" spans="1:9" ht="23.25">
      <c r="A2412" s="4" t="s">
        <v>12</v>
      </c>
      <c r="B2412" s="4"/>
      <c r="C2412" s="4" t="s">
        <v>45</v>
      </c>
      <c r="D2412" s="4"/>
      <c r="E2412" s="1">
        <v>0</v>
      </c>
      <c r="F2412" s="1">
        <v>0</v>
      </c>
      <c r="G2412" s="1">
        <v>0</v>
      </c>
      <c r="H2412" s="1">
        <v>0</v>
      </c>
      <c r="I2412" s="1">
        <v>0</v>
      </c>
    </row>
    <row r="2413" spans="1:9" ht="23.25">
      <c r="A2413" s="4" t="s">
        <v>13</v>
      </c>
      <c r="B2413" s="4"/>
      <c r="C2413" s="4" t="s">
        <v>45</v>
      </c>
      <c r="D2413" s="4"/>
      <c r="E2413" s="1">
        <v>0</v>
      </c>
      <c r="F2413" s="1">
        <v>0</v>
      </c>
      <c r="G2413" s="1">
        <v>0</v>
      </c>
      <c r="H2413" s="1">
        <v>0</v>
      </c>
      <c r="I2413" s="1">
        <v>0</v>
      </c>
    </row>
    <row r="2414" spans="1:9" ht="23.25">
      <c r="A2414" s="4" t="s">
        <v>14</v>
      </c>
      <c r="B2414" s="4"/>
      <c r="C2414" s="4" t="s">
        <v>45</v>
      </c>
      <c r="D2414" s="4"/>
      <c r="E2414" s="1">
        <v>0</v>
      </c>
      <c r="F2414" s="1">
        <v>0</v>
      </c>
      <c r="G2414" s="1">
        <v>0</v>
      </c>
      <c r="H2414" s="1">
        <v>0</v>
      </c>
      <c r="I2414" s="1">
        <v>0</v>
      </c>
    </row>
    <row r="2415" spans="1:9" ht="23.25">
      <c r="A2415" s="4" t="s">
        <v>15</v>
      </c>
      <c r="B2415" s="4"/>
      <c r="C2415" s="4" t="s">
        <v>45</v>
      </c>
      <c r="D2415" s="4"/>
      <c r="E2415" s="1">
        <v>0</v>
      </c>
      <c r="F2415" s="1">
        <v>0</v>
      </c>
      <c r="G2415" s="1">
        <v>0</v>
      </c>
      <c r="H2415" s="1">
        <v>0</v>
      </c>
      <c r="I2415" s="1">
        <v>0</v>
      </c>
    </row>
    <row r="2416" spans="1:9" ht="23.25">
      <c r="A2416" s="4" t="s">
        <v>16</v>
      </c>
      <c r="B2416" s="4"/>
      <c r="C2416" s="4" t="s">
        <v>45</v>
      </c>
      <c r="D2416" s="4"/>
      <c r="E2416" s="1">
        <v>0</v>
      </c>
      <c r="F2416" s="1">
        <v>0</v>
      </c>
      <c r="G2416" s="1">
        <v>0</v>
      </c>
      <c r="H2416" s="1">
        <v>0</v>
      </c>
      <c r="I2416" s="1">
        <v>0</v>
      </c>
    </row>
    <row r="2417" spans="1:9" ht="23.25">
      <c r="A2417" s="4" t="s">
        <v>17</v>
      </c>
      <c r="B2417" s="4"/>
      <c r="C2417" s="4" t="s">
        <v>45</v>
      </c>
      <c r="D2417" s="4"/>
      <c r="E2417" s="1">
        <v>0</v>
      </c>
      <c r="F2417" s="1">
        <v>0</v>
      </c>
      <c r="G2417" s="1">
        <v>0</v>
      </c>
      <c r="H2417" s="1">
        <v>0</v>
      </c>
      <c r="I2417" s="1">
        <v>0</v>
      </c>
    </row>
    <row r="2418" spans="1:9" ht="23.25">
      <c r="A2418" s="4" t="s">
        <v>18</v>
      </c>
      <c r="B2418" s="4"/>
      <c r="C2418" s="4" t="s">
        <v>45</v>
      </c>
      <c r="D2418" s="4"/>
      <c r="E2418" s="1">
        <v>0</v>
      </c>
      <c r="F2418" s="1">
        <v>0</v>
      </c>
      <c r="G2418" s="1">
        <v>0</v>
      </c>
      <c r="H2418" s="1">
        <v>0</v>
      </c>
      <c r="I2418" s="1">
        <v>0</v>
      </c>
    </row>
    <row r="2419" spans="1:9" ht="23.25">
      <c r="A2419" s="4" t="s">
        <v>19</v>
      </c>
      <c r="B2419" s="4"/>
      <c r="C2419" s="4" t="s">
        <v>45</v>
      </c>
      <c r="D2419" s="4"/>
      <c r="E2419" s="1">
        <v>0</v>
      </c>
      <c r="F2419" s="1">
        <v>0</v>
      </c>
      <c r="G2419" s="1">
        <v>0</v>
      </c>
      <c r="H2419" s="1">
        <v>0</v>
      </c>
      <c r="I2419" s="1">
        <v>0</v>
      </c>
    </row>
    <row r="2420" spans="1:9" ht="23.25">
      <c r="A2420" s="4" t="s">
        <v>20</v>
      </c>
      <c r="B2420" s="4"/>
      <c r="C2420" s="4" t="s">
        <v>45</v>
      </c>
      <c r="D2420" s="4"/>
      <c r="E2420" s="1">
        <v>0</v>
      </c>
      <c r="F2420" s="1">
        <v>0</v>
      </c>
      <c r="G2420" s="1">
        <v>0</v>
      </c>
      <c r="H2420" s="1">
        <v>0</v>
      </c>
      <c r="I2420" s="1">
        <v>0</v>
      </c>
    </row>
    <row r="2421" spans="1:9" ht="23.25">
      <c r="A2421" s="4" t="s">
        <v>21</v>
      </c>
      <c r="B2421" s="4"/>
      <c r="C2421" s="4" t="s">
        <v>45</v>
      </c>
      <c r="D2421" s="4"/>
      <c r="E2421" s="1">
        <v>421669</v>
      </c>
      <c r="F2421" s="1">
        <v>18894</v>
      </c>
      <c r="G2421" s="1">
        <v>0</v>
      </c>
      <c r="H2421" s="1">
        <v>43519</v>
      </c>
      <c r="I2421" s="1">
        <v>0</v>
      </c>
    </row>
    <row r="2422" spans="1:9" ht="23.25">
      <c r="A2422" s="4" t="s">
        <v>22</v>
      </c>
      <c r="B2422" s="4"/>
      <c r="C2422" s="4" t="s">
        <v>45</v>
      </c>
      <c r="D2422" s="4"/>
      <c r="E2422" s="1">
        <v>0</v>
      </c>
      <c r="F2422" s="1">
        <v>0</v>
      </c>
      <c r="G2422" s="1">
        <v>0</v>
      </c>
      <c r="H2422" s="1">
        <v>0</v>
      </c>
      <c r="I2422" s="1">
        <v>0</v>
      </c>
    </row>
    <row r="2423" spans="1:9" ht="23.25">
      <c r="A2423" s="4" t="s">
        <v>23</v>
      </c>
      <c r="B2423" s="4"/>
      <c r="C2423" s="4" t="s">
        <v>45</v>
      </c>
      <c r="D2423" s="4"/>
      <c r="E2423" s="1">
        <v>0</v>
      </c>
      <c r="F2423" s="1">
        <v>0</v>
      </c>
      <c r="G2423" s="1">
        <v>0</v>
      </c>
      <c r="H2423" s="1">
        <v>0</v>
      </c>
      <c r="I2423" s="1">
        <v>0</v>
      </c>
    </row>
    <row r="2424" spans="1:9" ht="23.25">
      <c r="A2424" s="4" t="s">
        <v>24</v>
      </c>
      <c r="B2424" s="4"/>
      <c r="C2424" s="4" t="s">
        <v>45</v>
      </c>
      <c r="D2424" s="4"/>
      <c r="E2424" s="1">
        <v>0</v>
      </c>
      <c r="F2424" s="1">
        <v>0</v>
      </c>
      <c r="G2424" s="1">
        <v>0</v>
      </c>
      <c r="H2424" s="1">
        <v>0</v>
      </c>
      <c r="I2424" s="1">
        <v>0</v>
      </c>
    </row>
    <row r="2425" spans="1:9" ht="23.25">
      <c r="A2425" s="4" t="s">
        <v>25</v>
      </c>
      <c r="B2425" s="4"/>
      <c r="C2425" s="4" t="s">
        <v>45</v>
      </c>
      <c r="D2425" s="4"/>
      <c r="E2425" s="1">
        <v>0</v>
      </c>
      <c r="F2425" s="1">
        <v>0</v>
      </c>
      <c r="G2425" s="1">
        <v>0</v>
      </c>
      <c r="H2425" s="1">
        <v>0</v>
      </c>
      <c r="I2425" s="1">
        <v>0</v>
      </c>
    </row>
    <row r="2426" spans="1:9" ht="23.25">
      <c r="A2426" s="4" t="s">
        <v>26</v>
      </c>
      <c r="B2426" s="4"/>
      <c r="C2426" s="4" t="s">
        <v>45</v>
      </c>
      <c r="D2426" s="4"/>
      <c r="E2426" s="1">
        <v>0</v>
      </c>
      <c r="F2426" s="1">
        <v>0</v>
      </c>
      <c r="G2426" s="1">
        <v>0</v>
      </c>
      <c r="H2426" s="1">
        <v>0</v>
      </c>
      <c r="I2426" s="1">
        <v>0</v>
      </c>
    </row>
    <row r="2427" spans="1:9" ht="23.25">
      <c r="A2427" s="4" t="s">
        <v>27</v>
      </c>
      <c r="B2427" s="4"/>
      <c r="C2427" s="4" t="s">
        <v>45</v>
      </c>
      <c r="D2427" s="4"/>
      <c r="E2427" s="1">
        <v>0</v>
      </c>
      <c r="F2427" s="1">
        <v>0</v>
      </c>
      <c r="G2427" s="1">
        <v>0</v>
      </c>
      <c r="H2427" s="1">
        <v>0</v>
      </c>
      <c r="I2427" s="1">
        <v>0</v>
      </c>
    </row>
    <row r="2428" spans="1:9" ht="23.25">
      <c r="A2428" s="4" t="s">
        <v>28</v>
      </c>
      <c r="B2428" s="4"/>
      <c r="C2428" s="4" t="s">
        <v>45</v>
      </c>
      <c r="D2428" s="4"/>
      <c r="E2428" s="1">
        <v>0</v>
      </c>
      <c r="F2428" s="1">
        <v>0</v>
      </c>
      <c r="G2428" s="1">
        <v>0</v>
      </c>
      <c r="H2428" s="1">
        <v>0</v>
      </c>
      <c r="I2428" s="1">
        <v>0</v>
      </c>
    </row>
    <row r="2429" spans="1:9" ht="23.25">
      <c r="A2429" s="4" t="s">
        <v>29</v>
      </c>
      <c r="B2429" s="4"/>
      <c r="C2429" s="4" t="s">
        <v>45</v>
      </c>
      <c r="D2429" s="4"/>
      <c r="E2429" s="1">
        <v>0</v>
      </c>
      <c r="F2429" s="1">
        <v>0</v>
      </c>
      <c r="G2429" s="1">
        <v>0</v>
      </c>
      <c r="H2429" s="1">
        <v>0</v>
      </c>
      <c r="I2429" s="1">
        <v>0</v>
      </c>
    </row>
    <row r="2430" spans="1:9" ht="23.25">
      <c r="A2430" s="4" t="s">
        <v>30</v>
      </c>
      <c r="B2430" s="4"/>
      <c r="C2430" s="4" t="s">
        <v>45</v>
      </c>
      <c r="D2430" s="4"/>
      <c r="E2430" s="1">
        <v>0</v>
      </c>
      <c r="F2430" s="1">
        <v>0</v>
      </c>
      <c r="G2430" s="1">
        <v>0</v>
      </c>
      <c r="H2430" s="1">
        <v>0</v>
      </c>
      <c r="I2430" s="1">
        <v>0</v>
      </c>
    </row>
    <row r="2431" spans="1:9" ht="23.25">
      <c r="A2431" s="4" t="s">
        <v>31</v>
      </c>
      <c r="B2431" s="4"/>
      <c r="C2431" s="4" t="s">
        <v>45</v>
      </c>
      <c r="D2431" s="4"/>
      <c r="E2431" s="1">
        <v>133933</v>
      </c>
      <c r="F2431" s="1">
        <v>2760</v>
      </c>
      <c r="G2431" s="1">
        <v>8655</v>
      </c>
      <c r="H2431" s="1">
        <v>908</v>
      </c>
      <c r="I2431" s="1">
        <v>0</v>
      </c>
    </row>
    <row r="2432" spans="1:9" ht="23.25">
      <c r="A2432" s="4" t="s">
        <v>32</v>
      </c>
      <c r="B2432" s="4"/>
      <c r="C2432" s="4" t="s">
        <v>45</v>
      </c>
      <c r="D2432" s="4"/>
      <c r="E2432" s="1">
        <v>279796</v>
      </c>
      <c r="F2432" s="1">
        <v>5555</v>
      </c>
      <c r="G2432" s="1">
        <v>7800</v>
      </c>
      <c r="H2432" s="1">
        <v>2368</v>
      </c>
      <c r="I2432" s="1">
        <v>0</v>
      </c>
    </row>
    <row r="2433" spans="1:9" ht="23.25">
      <c r="A2433" s="4" t="s">
        <v>33</v>
      </c>
      <c r="B2433" s="4"/>
      <c r="C2433" s="4" t="s">
        <v>45</v>
      </c>
      <c r="D2433" s="4"/>
      <c r="E2433" s="1">
        <v>0</v>
      </c>
      <c r="F2433" s="1">
        <v>0</v>
      </c>
      <c r="G2433" s="1">
        <v>0</v>
      </c>
      <c r="H2433" s="1">
        <v>0</v>
      </c>
      <c r="I2433" s="1">
        <v>0</v>
      </c>
    </row>
    <row r="2434" spans="1:9" ht="23.25">
      <c r="A2434" s="4" t="s">
        <v>34</v>
      </c>
      <c r="B2434" s="4"/>
      <c r="C2434" s="4" t="s">
        <v>45</v>
      </c>
      <c r="D2434" s="4"/>
      <c r="E2434" s="1">
        <v>4123987</v>
      </c>
      <c r="F2434" s="1">
        <v>488739</v>
      </c>
      <c r="G2434" s="1">
        <v>154255</v>
      </c>
      <c r="H2434" s="1">
        <v>57430</v>
      </c>
      <c r="I2434" s="1">
        <v>1615517</v>
      </c>
    </row>
    <row r="2435" spans="1:9" ht="23.25">
      <c r="A2435" s="4" t="s">
        <v>35</v>
      </c>
      <c r="B2435" s="4"/>
      <c r="C2435" s="4" t="s">
        <v>45</v>
      </c>
      <c r="D2435" s="4"/>
      <c r="E2435" s="1">
        <v>0</v>
      </c>
      <c r="F2435" s="1">
        <v>0</v>
      </c>
      <c r="G2435" s="1">
        <v>0</v>
      </c>
      <c r="H2435" s="1">
        <v>0</v>
      </c>
      <c r="I2435" s="1">
        <v>0</v>
      </c>
    </row>
    <row r="2436" spans="1:9" ht="23.25">
      <c r="A2436" s="4" t="s">
        <v>36</v>
      </c>
      <c r="B2436" s="4"/>
      <c r="C2436" s="4" t="s">
        <v>45</v>
      </c>
      <c r="D2436" s="4"/>
      <c r="E2436" s="1">
        <v>6550864</v>
      </c>
      <c r="F2436" s="1">
        <v>437668</v>
      </c>
      <c r="G2436" s="1">
        <v>446852</v>
      </c>
      <c r="H2436" s="1">
        <v>66925</v>
      </c>
      <c r="I2436" s="1">
        <v>2177148</v>
      </c>
    </row>
    <row r="2437" spans="1:9" ht="23.25">
      <c r="A2437" s="4" t="s">
        <v>37</v>
      </c>
      <c r="B2437" s="4"/>
      <c r="C2437" s="4" t="s">
        <v>45</v>
      </c>
      <c r="D2437" s="4"/>
      <c r="E2437" s="1">
        <v>10114192</v>
      </c>
      <c r="F2437" s="1">
        <v>331281</v>
      </c>
      <c r="G2437" s="1">
        <v>356467</v>
      </c>
      <c r="H2437" s="1">
        <v>84580</v>
      </c>
      <c r="I2437" s="1">
        <v>2317662</v>
      </c>
    </row>
    <row r="2438" spans="1:9" ht="23.25">
      <c r="A2438" s="4" t="s">
        <v>38</v>
      </c>
      <c r="B2438" s="4"/>
      <c r="C2438" s="4" t="s">
        <v>45</v>
      </c>
      <c r="D2438" s="4"/>
      <c r="E2438" s="1">
        <v>7666971</v>
      </c>
      <c r="F2438" s="1">
        <v>561120</v>
      </c>
      <c r="G2438" s="1">
        <v>1131989</v>
      </c>
      <c r="H2438" s="1">
        <v>183558</v>
      </c>
      <c r="I2438" s="1">
        <v>4665391</v>
      </c>
    </row>
    <row r="2439" spans="1:9" ht="23.25">
      <c r="A2439" s="4" t="s">
        <v>39</v>
      </c>
      <c r="B2439" s="4"/>
      <c r="C2439" s="4" t="s">
        <v>45</v>
      </c>
      <c r="D2439" s="4"/>
      <c r="E2439" s="1">
        <v>5150759</v>
      </c>
      <c r="F2439" s="1">
        <v>134420</v>
      </c>
      <c r="G2439" s="1">
        <v>198353</v>
      </c>
      <c r="H2439" s="1">
        <v>32737</v>
      </c>
      <c r="I2439" s="1">
        <v>2259172</v>
      </c>
    </row>
    <row r="2440" spans="1:9" ht="23.25">
      <c r="A2440" s="4" t="s">
        <v>40</v>
      </c>
      <c r="B2440" s="4"/>
      <c r="C2440" s="4" t="s">
        <v>45</v>
      </c>
      <c r="D2440" s="4"/>
      <c r="E2440" s="1">
        <v>38881</v>
      </c>
      <c r="F2440" s="1">
        <v>2129</v>
      </c>
      <c r="G2440" s="1">
        <v>1574</v>
      </c>
      <c r="H2440" s="1">
        <v>594</v>
      </c>
      <c r="I2440" s="1">
        <v>0</v>
      </c>
    </row>
    <row r="2441" spans="1:9" ht="23.25">
      <c r="A2441" s="4" t="s">
        <v>41</v>
      </c>
      <c r="B2441" s="4"/>
      <c r="C2441" s="4" t="s">
        <v>45</v>
      </c>
      <c r="D2441" s="4"/>
      <c r="E2441" s="1">
        <v>5426190</v>
      </c>
      <c r="F2441" s="1">
        <v>323445</v>
      </c>
      <c r="G2441" s="1">
        <v>378590</v>
      </c>
      <c r="H2441" s="1">
        <v>33543</v>
      </c>
      <c r="I2441" s="1">
        <v>0</v>
      </c>
    </row>
    <row r="2442" spans="1:9" ht="23.25">
      <c r="A2442" s="4" t="s">
        <v>42</v>
      </c>
      <c r="B2442" s="4"/>
      <c r="C2442" s="4" t="s">
        <v>45</v>
      </c>
      <c r="D2442" s="4"/>
      <c r="E2442" s="1">
        <v>81672540</v>
      </c>
      <c r="F2442" s="1">
        <v>3389791</v>
      </c>
      <c r="G2442" s="1">
        <v>4382014</v>
      </c>
      <c r="H2442" s="1">
        <v>860349</v>
      </c>
      <c r="I2442" s="1">
        <v>41845392</v>
      </c>
    </row>
    <row r="2443" spans="1:9" ht="23.25">
      <c r="A2443" s="4" t="s">
        <v>43</v>
      </c>
      <c r="B2443" s="4"/>
      <c r="C2443" s="4" t="s">
        <v>45</v>
      </c>
      <c r="D2443" s="4"/>
      <c r="E2443" s="1">
        <v>15797928</v>
      </c>
      <c r="F2443" s="1">
        <v>610690</v>
      </c>
      <c r="G2443" s="1">
        <v>290559</v>
      </c>
      <c r="H2443" s="1">
        <v>24956</v>
      </c>
      <c r="I2443" s="1">
        <v>10706834</v>
      </c>
    </row>
    <row r="2444" spans="1:9" ht="23.25">
      <c r="A2444" s="4" t="s">
        <v>44</v>
      </c>
      <c r="B2444" s="4"/>
      <c r="C2444" s="4" t="s">
        <v>45</v>
      </c>
      <c r="D2444" s="4"/>
      <c r="E2444" s="1">
        <v>30892041</v>
      </c>
      <c r="F2444" s="1">
        <v>241234</v>
      </c>
      <c r="G2444" s="1">
        <v>844417</v>
      </c>
      <c r="H2444" s="1">
        <v>71883</v>
      </c>
      <c r="I2444" s="1">
        <v>25701121</v>
      </c>
    </row>
    <row r="2445" spans="1:9" ht="23.25">
      <c r="A2445" s="4" t="s">
        <v>45</v>
      </c>
      <c r="B2445" s="4"/>
      <c r="C2445" s="4" t="s">
        <v>45</v>
      </c>
      <c r="D2445" s="4"/>
      <c r="E2445" s="1">
        <v>187820577</v>
      </c>
      <c r="F2445" s="1">
        <v>14031672</v>
      </c>
      <c r="G2445" s="1">
        <v>6744087</v>
      </c>
      <c r="H2445" s="1">
        <v>1641419</v>
      </c>
      <c r="I2445" s="1">
        <v>137295653</v>
      </c>
    </row>
    <row r="2446" spans="1:9" ht="23.25">
      <c r="A2446" s="4" t="s">
        <v>46</v>
      </c>
      <c r="B2446" s="4"/>
      <c r="C2446" s="4" t="s">
        <v>45</v>
      </c>
      <c r="D2446" s="4"/>
      <c r="E2446" s="1">
        <v>15498415</v>
      </c>
      <c r="F2446" s="1">
        <v>705477</v>
      </c>
      <c r="G2446" s="1">
        <v>968522</v>
      </c>
      <c r="H2446" s="1">
        <v>131059</v>
      </c>
      <c r="I2446" s="1">
        <v>9436712</v>
      </c>
    </row>
    <row r="2447" spans="1:9" ht="23.25">
      <c r="A2447" s="4" t="s">
        <v>47</v>
      </c>
      <c r="B2447" s="4"/>
      <c r="C2447" s="4" t="s">
        <v>45</v>
      </c>
      <c r="D2447" s="4"/>
      <c r="E2447" s="1">
        <v>3324662</v>
      </c>
      <c r="F2447" s="1">
        <v>28921</v>
      </c>
      <c r="G2447" s="1">
        <v>19928</v>
      </c>
      <c r="H2447" s="1">
        <v>1104</v>
      </c>
      <c r="I2447" s="1">
        <v>70648</v>
      </c>
    </row>
    <row r="2448" spans="1:9" ht="23.25">
      <c r="A2448" s="4" t="s">
        <v>48</v>
      </c>
      <c r="B2448" s="4"/>
      <c r="C2448" s="4" t="s">
        <v>45</v>
      </c>
      <c r="D2448" s="4"/>
      <c r="E2448" s="1">
        <v>0</v>
      </c>
      <c r="F2448" s="1">
        <v>0</v>
      </c>
      <c r="G2448" s="1">
        <v>0</v>
      </c>
      <c r="H2448" s="1">
        <v>0</v>
      </c>
      <c r="I2448" s="1">
        <v>0</v>
      </c>
    </row>
    <row r="2449" spans="1:9" ht="23.25">
      <c r="A2449" s="4" t="s">
        <v>49</v>
      </c>
      <c r="B2449" s="4"/>
      <c r="C2449" s="4" t="s">
        <v>45</v>
      </c>
      <c r="D2449" s="4"/>
      <c r="E2449" s="1">
        <v>0</v>
      </c>
      <c r="F2449" s="1">
        <v>0</v>
      </c>
      <c r="G2449" s="1">
        <v>0</v>
      </c>
      <c r="H2449" s="1">
        <v>0</v>
      </c>
      <c r="I2449" s="1">
        <v>0</v>
      </c>
    </row>
    <row r="2450" spans="1:9" ht="23.25">
      <c r="A2450" s="4" t="s">
        <v>50</v>
      </c>
      <c r="B2450" s="4"/>
      <c r="C2450" s="4" t="s">
        <v>45</v>
      </c>
      <c r="D2450" s="4"/>
      <c r="E2450" s="1">
        <v>953271</v>
      </c>
      <c r="F2450" s="1">
        <v>67799</v>
      </c>
      <c r="G2450" s="1">
        <v>109851</v>
      </c>
      <c r="H2450" s="1">
        <v>8929</v>
      </c>
      <c r="I2450" s="1">
        <v>0</v>
      </c>
    </row>
    <row r="2451" spans="1:9" ht="23.25">
      <c r="A2451" s="4" t="s">
        <v>51</v>
      </c>
      <c r="B2451" s="4"/>
      <c r="C2451" s="4" t="s">
        <v>45</v>
      </c>
      <c r="D2451" s="4"/>
      <c r="E2451" s="1">
        <v>2031721</v>
      </c>
      <c r="F2451" s="1">
        <v>126570</v>
      </c>
      <c r="G2451" s="1">
        <v>155819</v>
      </c>
      <c r="H2451" s="1">
        <v>16856</v>
      </c>
      <c r="I2451" s="1">
        <v>1093169</v>
      </c>
    </row>
    <row r="2452" spans="1:9" ht="23.25">
      <c r="A2452" s="4" t="s">
        <v>52</v>
      </c>
      <c r="B2452" s="4"/>
      <c r="C2452" s="4" t="s">
        <v>45</v>
      </c>
      <c r="D2452" s="4"/>
      <c r="E2452" s="1">
        <v>8989664</v>
      </c>
      <c r="F2452" s="1">
        <v>6177</v>
      </c>
      <c r="G2452" s="1">
        <v>11725</v>
      </c>
      <c r="H2452" s="1">
        <v>1326</v>
      </c>
      <c r="I2452" s="1">
        <v>0</v>
      </c>
    </row>
    <row r="2453" spans="1:9" ht="23.25">
      <c r="A2453" s="4" t="s">
        <v>53</v>
      </c>
      <c r="B2453" s="4"/>
      <c r="C2453" s="4" t="s">
        <v>45</v>
      </c>
      <c r="D2453" s="4"/>
      <c r="E2453" s="1">
        <v>114271</v>
      </c>
      <c r="F2453" s="1">
        <v>0</v>
      </c>
      <c r="G2453" s="1">
        <v>0</v>
      </c>
      <c r="H2453" s="1">
        <v>0</v>
      </c>
      <c r="I2453" s="1">
        <v>0</v>
      </c>
    </row>
    <row r="2454" spans="1:9" ht="23.25">
      <c r="A2454" s="4" t="s">
        <v>54</v>
      </c>
      <c r="B2454" s="4"/>
      <c r="C2454" s="4" t="s">
        <v>45</v>
      </c>
      <c r="D2454" s="4"/>
      <c r="E2454" s="1">
        <v>221634</v>
      </c>
      <c r="F2454" s="1">
        <v>0</v>
      </c>
      <c r="G2454" s="1">
        <v>0</v>
      </c>
      <c r="H2454" s="1">
        <v>0</v>
      </c>
      <c r="I2454" s="1">
        <v>0</v>
      </c>
    </row>
    <row r="2455" spans="1:9" ht="23.25">
      <c r="A2455" s="4" t="s">
        <v>55</v>
      </c>
      <c r="B2455" s="4"/>
      <c r="C2455" s="4" t="s">
        <v>45</v>
      </c>
      <c r="D2455" s="4"/>
      <c r="E2455" s="1">
        <v>0</v>
      </c>
      <c r="F2455" s="1">
        <v>0</v>
      </c>
      <c r="G2455" s="1">
        <v>0</v>
      </c>
      <c r="H2455" s="1">
        <v>0</v>
      </c>
      <c r="I2455" s="1">
        <v>0</v>
      </c>
    </row>
    <row r="2456" spans="1:9" ht="23.25">
      <c r="A2456" s="4" t="s">
        <v>56</v>
      </c>
      <c r="B2456" s="4"/>
      <c r="C2456" s="4" t="s">
        <v>45</v>
      </c>
      <c r="D2456" s="4"/>
      <c r="E2456" s="1">
        <v>0</v>
      </c>
      <c r="F2456" s="1">
        <v>-21514342</v>
      </c>
      <c r="G2456" s="1">
        <v>-16211457</v>
      </c>
      <c r="H2456" s="1">
        <v>0</v>
      </c>
      <c r="I2456" s="1">
        <v>0</v>
      </c>
    </row>
    <row r="2457" spans="1:9" ht="23.25">
      <c r="A2457" s="4" t="s">
        <v>57</v>
      </c>
      <c r="B2457" s="4"/>
      <c r="C2457" s="4" t="s">
        <v>45</v>
      </c>
      <c r="D2457" s="4"/>
      <c r="E2457" s="1">
        <v>504724</v>
      </c>
      <c r="F2457" s="1">
        <v>0</v>
      </c>
      <c r="G2457" s="1">
        <v>0</v>
      </c>
      <c r="H2457" s="1">
        <v>0</v>
      </c>
      <c r="I2457" s="1">
        <v>0</v>
      </c>
    </row>
    <row r="2458" spans="1:9" ht="23.25">
      <c r="A2458" s="4" t="s">
        <v>58</v>
      </c>
      <c r="B2458" s="4"/>
      <c r="C2458" s="4" t="s">
        <v>45</v>
      </c>
      <c r="D2458" s="4"/>
      <c r="E2458" s="1">
        <v>903322</v>
      </c>
      <c r="F2458" s="1">
        <v>0</v>
      </c>
      <c r="G2458" s="1">
        <v>0</v>
      </c>
      <c r="H2458" s="1">
        <v>-3264043</v>
      </c>
      <c r="I2458" s="1">
        <v>0</v>
      </c>
    </row>
    <row r="2459" spans="1:9" ht="23.25">
      <c r="A2459" s="4" t="s">
        <v>59</v>
      </c>
      <c r="B2459" s="4"/>
      <c r="C2459" s="4" t="s">
        <v>45</v>
      </c>
      <c r="D2459" s="4"/>
      <c r="E2459" s="1">
        <v>379770</v>
      </c>
      <c r="F2459" s="1">
        <v>0</v>
      </c>
      <c r="G2459" s="1">
        <v>0</v>
      </c>
      <c r="H2459" s="1">
        <v>0</v>
      </c>
      <c r="I2459" s="1">
        <v>0</v>
      </c>
    </row>
    <row r="2460" spans="1:9" ht="23.25">
      <c r="A2460" s="4" t="s">
        <v>60</v>
      </c>
      <c r="B2460" s="4"/>
      <c r="C2460" s="4" t="s">
        <v>45</v>
      </c>
      <c r="D2460" s="4"/>
      <c r="E2460" s="1">
        <v>4430350</v>
      </c>
      <c r="F2460" s="1">
        <v>0</v>
      </c>
      <c r="G2460" s="1">
        <v>0</v>
      </c>
      <c r="H2460" s="1">
        <v>0</v>
      </c>
      <c r="I2460" s="1">
        <v>0</v>
      </c>
    </row>
    <row r="2461" spans="1:9" ht="23.25">
      <c r="A2461" s="4" t="s">
        <v>61</v>
      </c>
      <c r="B2461" s="4"/>
      <c r="C2461" s="4" t="s">
        <v>45</v>
      </c>
      <c r="D2461" s="4"/>
      <c r="E2461" s="1">
        <v>125822</v>
      </c>
      <c r="F2461" s="1">
        <v>0</v>
      </c>
      <c r="G2461" s="1">
        <v>0</v>
      </c>
      <c r="H2461" s="1">
        <v>0</v>
      </c>
      <c r="I2461" s="1">
        <v>0</v>
      </c>
    </row>
    <row r="2462" spans="1:9" ht="23.25">
      <c r="A2462" s="4" t="s">
        <v>62</v>
      </c>
      <c r="B2462" s="4"/>
      <c r="C2462" s="4" t="s">
        <v>45</v>
      </c>
      <c r="D2462" s="4"/>
      <c r="E2462" s="1">
        <v>6742431</v>
      </c>
      <c r="F2462" s="1">
        <v>0</v>
      </c>
      <c r="G2462" s="1">
        <v>0</v>
      </c>
      <c r="H2462" s="1">
        <v>0</v>
      </c>
      <c r="I2462" s="1">
        <v>0</v>
      </c>
    </row>
    <row r="2463" spans="1:9" ht="23.25">
      <c r="A2463" s="4" t="s">
        <v>63</v>
      </c>
      <c r="B2463" s="4"/>
      <c r="C2463" s="4" t="s">
        <v>45</v>
      </c>
      <c r="D2463" s="4"/>
      <c r="E2463" s="1">
        <v>467584</v>
      </c>
      <c r="F2463" s="1">
        <v>0</v>
      </c>
      <c r="G2463" s="1">
        <v>0</v>
      </c>
      <c r="H2463" s="1">
        <v>0</v>
      </c>
      <c r="I2463" s="1">
        <v>0</v>
      </c>
    </row>
    <row r="2464" spans="1:9" ht="23.25">
      <c r="A2464" s="4" t="s">
        <v>64</v>
      </c>
      <c r="B2464" s="4"/>
      <c r="C2464" s="4" t="s">
        <v>45</v>
      </c>
      <c r="D2464" s="4"/>
      <c r="E2464" s="1">
        <v>326439</v>
      </c>
      <c r="F2464" s="1">
        <v>0</v>
      </c>
      <c r="G2464" s="1">
        <v>0</v>
      </c>
      <c r="H2464" s="1">
        <v>0</v>
      </c>
      <c r="I2464" s="1">
        <v>0</v>
      </c>
    </row>
    <row r="2465" spans="1:9" ht="23.25">
      <c r="A2465" s="4" t="s">
        <v>65</v>
      </c>
      <c r="B2465" s="4"/>
      <c r="C2465" s="4" t="s">
        <v>45</v>
      </c>
      <c r="D2465" s="4"/>
      <c r="E2465" s="1">
        <v>1684338</v>
      </c>
      <c r="F2465" s="1">
        <v>0</v>
      </c>
      <c r="G2465" s="1">
        <v>0</v>
      </c>
      <c r="H2465" s="1">
        <v>0</v>
      </c>
      <c r="I2465" s="1">
        <v>158371</v>
      </c>
    </row>
    <row r="2466" spans="1:9" ht="23.25">
      <c r="A2466" s="4" t="s">
        <v>66</v>
      </c>
      <c r="B2466" s="4"/>
      <c r="C2466" s="4" t="s">
        <v>45</v>
      </c>
      <c r="D2466" s="4"/>
      <c r="E2466" s="1">
        <v>402788746</v>
      </c>
      <c r="F2466" s="1">
        <v>0</v>
      </c>
      <c r="G2466" s="1">
        <v>0</v>
      </c>
      <c r="H2466" s="1">
        <v>0</v>
      </c>
      <c r="I2466" s="1">
        <v>239342790</v>
      </c>
    </row>
    <row r="2467" spans="1:9" ht="23.25">
      <c r="A2467" s="4" t="s">
        <v>67</v>
      </c>
      <c r="B2467" s="4"/>
      <c r="C2467" s="4" t="s">
        <v>45</v>
      </c>
      <c r="D2467" s="4"/>
      <c r="E2467" s="1">
        <v>52341917</v>
      </c>
      <c r="F2467" s="1">
        <v>0</v>
      </c>
      <c r="G2467" s="1">
        <v>0</v>
      </c>
      <c r="H2467" s="1">
        <v>0</v>
      </c>
      <c r="I2467" s="1">
        <v>0</v>
      </c>
    </row>
    <row r="2468" spans="1:9" ht="23.25">
      <c r="A2468" s="4" t="s">
        <v>68</v>
      </c>
      <c r="B2468" s="4"/>
      <c r="C2468" s="4" t="s">
        <v>45</v>
      </c>
      <c r="D2468" s="4"/>
      <c r="E2468" s="1">
        <v>70657723</v>
      </c>
      <c r="F2468" s="1">
        <v>0</v>
      </c>
      <c r="G2468" s="1">
        <v>0</v>
      </c>
      <c r="H2468" s="1">
        <v>0</v>
      </c>
      <c r="I2468" s="1">
        <v>0</v>
      </c>
    </row>
    <row r="2469" spans="1:9" ht="23.25">
      <c r="A2469" s="4" t="s">
        <v>69</v>
      </c>
      <c r="B2469" s="4"/>
      <c r="C2469" s="4" t="s">
        <v>45</v>
      </c>
      <c r="D2469" s="4"/>
      <c r="E2469" s="1">
        <v>33787543</v>
      </c>
      <c r="F2469" s="1">
        <v>0</v>
      </c>
      <c r="G2469" s="1">
        <v>0</v>
      </c>
      <c r="H2469" s="1">
        <v>0</v>
      </c>
      <c r="I2469" s="1">
        <v>0</v>
      </c>
    </row>
    <row r="2470" spans="1:9" ht="23.25">
      <c r="A2470" s="4" t="s">
        <v>70</v>
      </c>
      <c r="B2470" s="4"/>
      <c r="C2470" s="4" t="s">
        <v>45</v>
      </c>
      <c r="D2470" s="4"/>
      <c r="E2470" s="1">
        <v>15140477</v>
      </c>
      <c r="F2470" s="1">
        <v>0</v>
      </c>
      <c r="G2470" s="1">
        <v>0</v>
      </c>
      <c r="H2470" s="1">
        <v>0</v>
      </c>
      <c r="I2470" s="1">
        <v>0</v>
      </c>
    </row>
    <row r="2471" spans="1:9" ht="23.25">
      <c r="A2471" s="4" t="s">
        <v>71</v>
      </c>
      <c r="B2471" s="4"/>
      <c r="C2471" s="4" t="s">
        <v>45</v>
      </c>
      <c r="D2471" s="4"/>
      <c r="E2471" s="1">
        <v>171927660</v>
      </c>
      <c r="F2471" s="1">
        <v>0</v>
      </c>
      <c r="G2471" s="1">
        <v>0</v>
      </c>
      <c r="H2471" s="1">
        <v>0</v>
      </c>
      <c r="I2471" s="1">
        <v>0</v>
      </c>
    </row>
    <row r="2472" spans="1:9" ht="23.25">
      <c r="A2472" s="4" t="s">
        <v>72</v>
      </c>
      <c r="B2472" s="4"/>
      <c r="C2472" s="4" t="s">
        <v>45</v>
      </c>
      <c r="D2472" s="4"/>
      <c r="E2472" s="1">
        <v>574716406</v>
      </c>
      <c r="F2472" s="1">
        <v>0</v>
      </c>
      <c r="G2472" s="1">
        <v>0</v>
      </c>
      <c r="H2472" s="1">
        <v>0</v>
      </c>
      <c r="I2472" s="1">
        <v>0</v>
      </c>
    </row>
    <row r="2473" spans="1:9" ht="23.25">
      <c r="A2473" s="4" t="s">
        <v>8</v>
      </c>
      <c r="B2473" s="4"/>
      <c r="C2473" s="4" t="s">
        <v>46</v>
      </c>
      <c r="D2473" s="4"/>
      <c r="E2473" s="1">
        <v>0</v>
      </c>
      <c r="F2473" s="1">
        <v>0</v>
      </c>
      <c r="G2473" s="1">
        <v>0</v>
      </c>
      <c r="H2473" s="1">
        <v>0</v>
      </c>
      <c r="I2473" s="1">
        <v>0</v>
      </c>
    </row>
    <row r="2474" spans="1:9" ht="23.25">
      <c r="A2474" s="4" t="s">
        <v>9</v>
      </c>
      <c r="B2474" s="4"/>
      <c r="C2474" s="4" t="s">
        <v>46</v>
      </c>
      <c r="D2474" s="4"/>
      <c r="E2474" s="1">
        <v>0</v>
      </c>
      <c r="F2474" s="1">
        <v>0</v>
      </c>
      <c r="G2474" s="1">
        <v>0</v>
      </c>
      <c r="H2474" s="1">
        <v>0</v>
      </c>
      <c r="I2474" s="1">
        <v>0</v>
      </c>
    </row>
    <row r="2475" spans="1:9" ht="23.25">
      <c r="A2475" s="4" t="s">
        <v>10</v>
      </c>
      <c r="B2475" s="4"/>
      <c r="C2475" s="4" t="s">
        <v>46</v>
      </c>
      <c r="D2475" s="4"/>
      <c r="E2475" s="1">
        <v>0</v>
      </c>
      <c r="F2475" s="1">
        <v>0</v>
      </c>
      <c r="G2475" s="1">
        <v>0</v>
      </c>
      <c r="H2475" s="1">
        <v>0</v>
      </c>
      <c r="I2475" s="1">
        <v>0</v>
      </c>
    </row>
    <row r="2476" spans="1:9" ht="23.25">
      <c r="A2476" s="4" t="s">
        <v>11</v>
      </c>
      <c r="B2476" s="4"/>
      <c r="C2476" s="4" t="s">
        <v>46</v>
      </c>
      <c r="D2476" s="4"/>
      <c r="E2476" s="1">
        <v>0</v>
      </c>
      <c r="F2476" s="1">
        <v>0</v>
      </c>
      <c r="G2476" s="1">
        <v>0</v>
      </c>
      <c r="H2476" s="1">
        <v>0</v>
      </c>
      <c r="I2476" s="1">
        <v>0</v>
      </c>
    </row>
    <row r="2477" spans="1:9" ht="23.25">
      <c r="A2477" s="4" t="s">
        <v>12</v>
      </c>
      <c r="B2477" s="4"/>
      <c r="C2477" s="4" t="s">
        <v>46</v>
      </c>
      <c r="D2477" s="4"/>
      <c r="E2477" s="1">
        <v>0</v>
      </c>
      <c r="F2477" s="1">
        <v>0</v>
      </c>
      <c r="G2477" s="1">
        <v>0</v>
      </c>
      <c r="H2477" s="1">
        <v>0</v>
      </c>
      <c r="I2477" s="1">
        <v>0</v>
      </c>
    </row>
    <row r="2478" spans="1:9" ht="23.25">
      <c r="A2478" s="4" t="s">
        <v>13</v>
      </c>
      <c r="B2478" s="4"/>
      <c r="C2478" s="4" t="s">
        <v>46</v>
      </c>
      <c r="D2478" s="4"/>
      <c r="E2478" s="1">
        <v>0</v>
      </c>
      <c r="F2478" s="1">
        <v>0</v>
      </c>
      <c r="G2478" s="1">
        <v>0</v>
      </c>
      <c r="H2478" s="1">
        <v>0</v>
      </c>
      <c r="I2478" s="1">
        <v>0</v>
      </c>
    </row>
    <row r="2479" spans="1:9" ht="23.25">
      <c r="A2479" s="4" t="s">
        <v>14</v>
      </c>
      <c r="B2479" s="4"/>
      <c r="C2479" s="4" t="s">
        <v>46</v>
      </c>
      <c r="D2479" s="4"/>
      <c r="E2479" s="1">
        <v>0</v>
      </c>
      <c r="F2479" s="1">
        <v>0</v>
      </c>
      <c r="G2479" s="1">
        <v>0</v>
      </c>
      <c r="H2479" s="1">
        <v>0</v>
      </c>
      <c r="I2479" s="1">
        <v>0</v>
      </c>
    </row>
    <row r="2480" spans="1:9" ht="23.25">
      <c r="A2480" s="4" t="s">
        <v>15</v>
      </c>
      <c r="B2480" s="4"/>
      <c r="C2480" s="4" t="s">
        <v>46</v>
      </c>
      <c r="D2480" s="4"/>
      <c r="E2480" s="1">
        <v>0</v>
      </c>
      <c r="F2480" s="1">
        <v>0</v>
      </c>
      <c r="G2480" s="1">
        <v>0</v>
      </c>
      <c r="H2480" s="1">
        <v>0</v>
      </c>
      <c r="I2480" s="1">
        <v>0</v>
      </c>
    </row>
    <row r="2481" spans="1:9" ht="23.25">
      <c r="A2481" s="4" t="s">
        <v>16</v>
      </c>
      <c r="B2481" s="4"/>
      <c r="C2481" s="4" t="s">
        <v>46</v>
      </c>
      <c r="D2481" s="4"/>
      <c r="E2481" s="1">
        <v>0</v>
      </c>
      <c r="F2481" s="1">
        <v>0</v>
      </c>
      <c r="G2481" s="1">
        <v>0</v>
      </c>
      <c r="H2481" s="1">
        <v>0</v>
      </c>
      <c r="I2481" s="1">
        <v>0</v>
      </c>
    </row>
    <row r="2482" spans="1:9" ht="23.25">
      <c r="A2482" s="4" t="s">
        <v>17</v>
      </c>
      <c r="B2482" s="4"/>
      <c r="C2482" s="4" t="s">
        <v>46</v>
      </c>
      <c r="D2482" s="4"/>
      <c r="E2482" s="1">
        <v>0</v>
      </c>
      <c r="F2482" s="1">
        <v>0</v>
      </c>
      <c r="G2482" s="1">
        <v>0</v>
      </c>
      <c r="H2482" s="1">
        <v>0</v>
      </c>
      <c r="I2482" s="1">
        <v>0</v>
      </c>
    </row>
    <row r="2483" spans="1:9" ht="23.25">
      <c r="A2483" s="4" t="s">
        <v>18</v>
      </c>
      <c r="B2483" s="4"/>
      <c r="C2483" s="4" t="s">
        <v>46</v>
      </c>
      <c r="D2483" s="4"/>
      <c r="E2483" s="1">
        <v>0</v>
      </c>
      <c r="F2483" s="1">
        <v>0</v>
      </c>
      <c r="G2483" s="1">
        <v>0</v>
      </c>
      <c r="H2483" s="1">
        <v>0</v>
      </c>
      <c r="I2483" s="1">
        <v>0</v>
      </c>
    </row>
    <row r="2484" spans="1:9" ht="23.25">
      <c r="A2484" s="4" t="s">
        <v>19</v>
      </c>
      <c r="B2484" s="4"/>
      <c r="C2484" s="4" t="s">
        <v>46</v>
      </c>
      <c r="D2484" s="4"/>
      <c r="E2484" s="1">
        <v>0</v>
      </c>
      <c r="F2484" s="1">
        <v>0</v>
      </c>
      <c r="G2484" s="1">
        <v>0</v>
      </c>
      <c r="H2484" s="1">
        <v>0</v>
      </c>
      <c r="I2484" s="1">
        <v>0</v>
      </c>
    </row>
    <row r="2485" spans="1:9" ht="23.25">
      <c r="A2485" s="4" t="s">
        <v>20</v>
      </c>
      <c r="B2485" s="4"/>
      <c r="C2485" s="4" t="s">
        <v>46</v>
      </c>
      <c r="D2485" s="4"/>
      <c r="E2485" s="1">
        <v>0</v>
      </c>
      <c r="F2485" s="1">
        <v>0</v>
      </c>
      <c r="G2485" s="1">
        <v>0</v>
      </c>
      <c r="H2485" s="1">
        <v>0</v>
      </c>
      <c r="I2485" s="1">
        <v>0</v>
      </c>
    </row>
    <row r="2486" spans="1:9" ht="23.25">
      <c r="A2486" s="4" t="s">
        <v>21</v>
      </c>
      <c r="B2486" s="4"/>
      <c r="C2486" s="4" t="s">
        <v>46</v>
      </c>
      <c r="D2486" s="4"/>
      <c r="E2486" s="1">
        <v>746547</v>
      </c>
      <c r="F2486" s="1">
        <v>30115</v>
      </c>
      <c r="G2486" s="1">
        <v>816</v>
      </c>
      <c r="H2486" s="1">
        <v>51788</v>
      </c>
      <c r="I2486" s="1">
        <v>193205</v>
      </c>
    </row>
    <row r="2487" spans="1:9" ht="23.25">
      <c r="A2487" s="4" t="s">
        <v>22</v>
      </c>
      <c r="B2487" s="4"/>
      <c r="C2487" s="4" t="s">
        <v>46</v>
      </c>
      <c r="D2487" s="4"/>
      <c r="E2487" s="1">
        <v>0</v>
      </c>
      <c r="F2487" s="1">
        <v>0</v>
      </c>
      <c r="G2487" s="1">
        <v>0</v>
      </c>
      <c r="H2487" s="1">
        <v>0</v>
      </c>
      <c r="I2487" s="1">
        <v>0</v>
      </c>
    </row>
    <row r="2488" spans="1:9" ht="23.25">
      <c r="A2488" s="4" t="s">
        <v>23</v>
      </c>
      <c r="B2488" s="4"/>
      <c r="C2488" s="4" t="s">
        <v>46</v>
      </c>
      <c r="D2488" s="4"/>
      <c r="E2488" s="1">
        <v>0</v>
      </c>
      <c r="F2488" s="1">
        <v>0</v>
      </c>
      <c r="G2488" s="1">
        <v>0</v>
      </c>
      <c r="H2488" s="1">
        <v>0</v>
      </c>
      <c r="I2488" s="1">
        <v>0</v>
      </c>
    </row>
    <row r="2489" spans="1:9" ht="23.25">
      <c r="A2489" s="4" t="s">
        <v>24</v>
      </c>
      <c r="B2489" s="4"/>
      <c r="C2489" s="4" t="s">
        <v>46</v>
      </c>
      <c r="D2489" s="4"/>
      <c r="E2489" s="1">
        <v>28614</v>
      </c>
      <c r="F2489" s="1">
        <v>1504</v>
      </c>
      <c r="G2489" s="1">
        <v>1524</v>
      </c>
      <c r="H2489" s="1">
        <v>599</v>
      </c>
      <c r="I2489" s="1">
        <v>0</v>
      </c>
    </row>
    <row r="2490" spans="1:9" ht="23.25">
      <c r="A2490" s="4" t="s">
        <v>25</v>
      </c>
      <c r="B2490" s="4"/>
      <c r="C2490" s="4" t="s">
        <v>46</v>
      </c>
      <c r="D2490" s="4"/>
      <c r="E2490" s="1">
        <v>0</v>
      </c>
      <c r="F2490" s="1">
        <v>0</v>
      </c>
      <c r="G2490" s="1">
        <v>0</v>
      </c>
      <c r="H2490" s="1">
        <v>0</v>
      </c>
      <c r="I2490" s="1">
        <v>0</v>
      </c>
    </row>
    <row r="2491" spans="1:9" ht="23.25">
      <c r="A2491" s="4" t="s">
        <v>26</v>
      </c>
      <c r="B2491" s="4"/>
      <c r="C2491" s="4" t="s">
        <v>46</v>
      </c>
      <c r="D2491" s="4"/>
      <c r="E2491" s="1">
        <v>0</v>
      </c>
      <c r="F2491" s="1">
        <v>0</v>
      </c>
      <c r="G2491" s="1">
        <v>0</v>
      </c>
      <c r="H2491" s="1">
        <v>0</v>
      </c>
      <c r="I2491" s="1">
        <v>0</v>
      </c>
    </row>
    <row r="2492" spans="1:9" ht="23.25">
      <c r="A2492" s="4" t="s">
        <v>27</v>
      </c>
      <c r="B2492" s="4"/>
      <c r="C2492" s="4" t="s">
        <v>46</v>
      </c>
      <c r="D2492" s="4"/>
      <c r="E2492" s="1">
        <v>0</v>
      </c>
      <c r="F2492" s="1">
        <v>0</v>
      </c>
      <c r="G2492" s="1">
        <v>0</v>
      </c>
      <c r="H2492" s="1">
        <v>0</v>
      </c>
      <c r="I2492" s="1">
        <v>0</v>
      </c>
    </row>
    <row r="2493" spans="1:9" ht="23.25">
      <c r="A2493" s="4" t="s">
        <v>28</v>
      </c>
      <c r="B2493" s="4"/>
      <c r="C2493" s="4" t="s">
        <v>46</v>
      </c>
      <c r="D2493" s="4"/>
      <c r="E2493" s="1">
        <v>33310</v>
      </c>
      <c r="F2493" s="1">
        <v>2788</v>
      </c>
      <c r="G2493" s="1">
        <v>4532</v>
      </c>
      <c r="H2493" s="1">
        <v>806</v>
      </c>
      <c r="I2493" s="1">
        <v>0</v>
      </c>
    </row>
    <row r="2494" spans="1:9" ht="23.25">
      <c r="A2494" s="4" t="s">
        <v>29</v>
      </c>
      <c r="B2494" s="4"/>
      <c r="C2494" s="4" t="s">
        <v>46</v>
      </c>
      <c r="D2494" s="4"/>
      <c r="E2494" s="1">
        <v>0</v>
      </c>
      <c r="F2494" s="1">
        <v>0</v>
      </c>
      <c r="G2494" s="1">
        <v>0</v>
      </c>
      <c r="H2494" s="1">
        <v>0</v>
      </c>
      <c r="I2494" s="1">
        <v>0</v>
      </c>
    </row>
    <row r="2495" spans="1:9" ht="23.25">
      <c r="A2495" s="4" t="s">
        <v>30</v>
      </c>
      <c r="B2495" s="4"/>
      <c r="C2495" s="4" t="s">
        <v>46</v>
      </c>
      <c r="D2495" s="4"/>
      <c r="E2495" s="1">
        <v>0</v>
      </c>
      <c r="F2495" s="1">
        <v>0</v>
      </c>
      <c r="G2495" s="1">
        <v>0</v>
      </c>
      <c r="H2495" s="1">
        <v>0</v>
      </c>
      <c r="I2495" s="1">
        <v>0</v>
      </c>
    </row>
    <row r="2496" spans="1:9" ht="23.25">
      <c r="A2496" s="4" t="s">
        <v>31</v>
      </c>
      <c r="B2496" s="4"/>
      <c r="C2496" s="4" t="s">
        <v>46</v>
      </c>
      <c r="D2496" s="4"/>
      <c r="E2496" s="1">
        <v>3766743</v>
      </c>
      <c r="F2496" s="1">
        <v>61688</v>
      </c>
      <c r="G2496" s="1">
        <v>329398</v>
      </c>
      <c r="H2496" s="1">
        <v>28350</v>
      </c>
      <c r="I2496" s="1">
        <v>2067903</v>
      </c>
    </row>
    <row r="2497" spans="1:9" ht="23.25">
      <c r="A2497" s="4" t="s">
        <v>32</v>
      </c>
      <c r="B2497" s="4"/>
      <c r="C2497" s="4" t="s">
        <v>46</v>
      </c>
      <c r="D2497" s="4"/>
      <c r="E2497" s="1">
        <v>9645724</v>
      </c>
      <c r="F2497" s="1">
        <v>664808</v>
      </c>
      <c r="G2497" s="1">
        <v>445560</v>
      </c>
      <c r="H2497" s="1">
        <v>97734</v>
      </c>
      <c r="I2497" s="1">
        <v>0</v>
      </c>
    </row>
    <row r="2498" spans="1:9" ht="23.25">
      <c r="A2498" s="4" t="s">
        <v>33</v>
      </c>
      <c r="B2498" s="4"/>
      <c r="C2498" s="4" t="s">
        <v>46</v>
      </c>
      <c r="D2498" s="4"/>
      <c r="E2498" s="1">
        <v>274704</v>
      </c>
      <c r="F2498" s="1">
        <v>12832</v>
      </c>
      <c r="G2498" s="1">
        <v>28517</v>
      </c>
      <c r="H2498" s="1">
        <v>2638</v>
      </c>
      <c r="I2498" s="1">
        <v>0</v>
      </c>
    </row>
    <row r="2499" spans="1:9" ht="23.25">
      <c r="A2499" s="4" t="s">
        <v>34</v>
      </c>
      <c r="B2499" s="4"/>
      <c r="C2499" s="4" t="s">
        <v>46</v>
      </c>
      <c r="D2499" s="4"/>
      <c r="E2499" s="1">
        <v>74806861</v>
      </c>
      <c r="F2499" s="1">
        <v>9886311</v>
      </c>
      <c r="G2499" s="1">
        <v>8777671</v>
      </c>
      <c r="H2499" s="1">
        <v>1536066</v>
      </c>
      <c r="I2499" s="1">
        <v>37350632</v>
      </c>
    </row>
    <row r="2500" spans="1:9" ht="23.25">
      <c r="A2500" s="4" t="s">
        <v>35</v>
      </c>
      <c r="B2500" s="4"/>
      <c r="C2500" s="4" t="s">
        <v>46</v>
      </c>
      <c r="D2500" s="4"/>
      <c r="E2500" s="1">
        <v>0</v>
      </c>
      <c r="F2500" s="1">
        <v>0</v>
      </c>
      <c r="G2500" s="1">
        <v>0</v>
      </c>
      <c r="H2500" s="1">
        <v>0</v>
      </c>
      <c r="I2500" s="1">
        <v>0</v>
      </c>
    </row>
    <row r="2501" spans="1:9" ht="23.25">
      <c r="A2501" s="4" t="s">
        <v>36</v>
      </c>
      <c r="B2501" s="4"/>
      <c r="C2501" s="4" t="s">
        <v>46</v>
      </c>
      <c r="D2501" s="4"/>
      <c r="E2501" s="1">
        <v>39712835</v>
      </c>
      <c r="F2501" s="1">
        <v>4903799</v>
      </c>
      <c r="G2501" s="1">
        <v>5104078</v>
      </c>
      <c r="H2501" s="1">
        <v>471496</v>
      </c>
      <c r="I2501" s="1">
        <v>17256613</v>
      </c>
    </row>
    <row r="2502" spans="1:9" ht="23.25">
      <c r="A2502" s="4" t="s">
        <v>37</v>
      </c>
      <c r="B2502" s="4"/>
      <c r="C2502" s="4" t="s">
        <v>46</v>
      </c>
      <c r="D2502" s="4"/>
      <c r="E2502" s="1">
        <v>20447912</v>
      </c>
      <c r="F2502" s="1">
        <v>1558657</v>
      </c>
      <c r="G2502" s="1">
        <v>1620769</v>
      </c>
      <c r="H2502" s="1">
        <v>198512</v>
      </c>
      <c r="I2502" s="1">
        <v>3460692</v>
      </c>
    </row>
    <row r="2503" spans="1:9" ht="23.25">
      <c r="A2503" s="4" t="s">
        <v>38</v>
      </c>
      <c r="B2503" s="4"/>
      <c r="C2503" s="4" t="s">
        <v>46</v>
      </c>
      <c r="D2503" s="4"/>
      <c r="E2503" s="1">
        <v>6454265</v>
      </c>
      <c r="F2503" s="1">
        <v>901744</v>
      </c>
      <c r="G2503" s="1">
        <v>1039400</v>
      </c>
      <c r="H2503" s="1">
        <v>197917</v>
      </c>
      <c r="I2503" s="1">
        <v>3062440</v>
      </c>
    </row>
    <row r="2504" spans="1:9" ht="23.25">
      <c r="A2504" s="4" t="s">
        <v>39</v>
      </c>
      <c r="B2504" s="4"/>
      <c r="C2504" s="4" t="s">
        <v>46</v>
      </c>
      <c r="D2504" s="4"/>
      <c r="E2504" s="1">
        <v>84067968</v>
      </c>
      <c r="F2504" s="1">
        <v>2969241</v>
      </c>
      <c r="G2504" s="1">
        <v>4240532</v>
      </c>
      <c r="H2504" s="1">
        <v>684520</v>
      </c>
      <c r="I2504" s="1">
        <v>26808243</v>
      </c>
    </row>
    <row r="2505" spans="1:9" ht="23.25">
      <c r="A2505" s="4" t="s">
        <v>40</v>
      </c>
      <c r="B2505" s="4"/>
      <c r="C2505" s="4" t="s">
        <v>46</v>
      </c>
      <c r="D2505" s="4"/>
      <c r="E2505" s="1">
        <v>0</v>
      </c>
      <c r="F2505" s="1">
        <v>0</v>
      </c>
      <c r="G2505" s="1">
        <v>0</v>
      </c>
      <c r="H2505" s="1">
        <v>0</v>
      </c>
      <c r="I2505" s="1">
        <v>0</v>
      </c>
    </row>
    <row r="2506" spans="1:9" ht="23.25">
      <c r="A2506" s="4" t="s">
        <v>41</v>
      </c>
      <c r="B2506" s="4"/>
      <c r="C2506" s="4" t="s">
        <v>46</v>
      </c>
      <c r="D2506" s="4"/>
      <c r="E2506" s="1">
        <v>48715815</v>
      </c>
      <c r="F2506" s="1">
        <v>4758446</v>
      </c>
      <c r="G2506" s="1">
        <v>3590635</v>
      </c>
      <c r="H2506" s="1">
        <v>618065</v>
      </c>
      <c r="I2506" s="1">
        <v>5530926</v>
      </c>
    </row>
    <row r="2507" spans="1:9" ht="23.25">
      <c r="A2507" s="4" t="s">
        <v>42</v>
      </c>
      <c r="B2507" s="4"/>
      <c r="C2507" s="4" t="s">
        <v>46</v>
      </c>
      <c r="D2507" s="4"/>
      <c r="E2507" s="1">
        <v>114060177</v>
      </c>
      <c r="F2507" s="1">
        <v>5896878</v>
      </c>
      <c r="G2507" s="1">
        <v>6572242</v>
      </c>
      <c r="H2507" s="1">
        <v>1224312</v>
      </c>
      <c r="I2507" s="1">
        <v>72374722</v>
      </c>
    </row>
    <row r="2508" spans="1:9" ht="23.25">
      <c r="A2508" s="4" t="s">
        <v>43</v>
      </c>
      <c r="B2508" s="4"/>
      <c r="C2508" s="4" t="s">
        <v>46</v>
      </c>
      <c r="D2508" s="4"/>
      <c r="E2508" s="1">
        <v>244342691</v>
      </c>
      <c r="F2508" s="1">
        <v>12138169</v>
      </c>
      <c r="G2508" s="1">
        <v>6394447</v>
      </c>
      <c r="H2508" s="1">
        <v>439820</v>
      </c>
      <c r="I2508" s="1">
        <v>185659271</v>
      </c>
    </row>
    <row r="2509" spans="1:9" ht="23.25">
      <c r="A2509" s="4" t="s">
        <v>44</v>
      </c>
      <c r="B2509" s="4"/>
      <c r="C2509" s="4" t="s">
        <v>46</v>
      </c>
      <c r="D2509" s="4"/>
      <c r="E2509" s="1">
        <v>44264472</v>
      </c>
      <c r="F2509" s="1">
        <v>798089</v>
      </c>
      <c r="G2509" s="1">
        <v>2483429</v>
      </c>
      <c r="H2509" s="1">
        <v>105392</v>
      </c>
      <c r="I2509" s="1">
        <v>34595997</v>
      </c>
    </row>
    <row r="2510" spans="1:9" ht="23.25">
      <c r="A2510" s="4" t="s">
        <v>45</v>
      </c>
      <c r="B2510" s="4"/>
      <c r="C2510" s="4" t="s">
        <v>46</v>
      </c>
      <c r="D2510" s="4"/>
      <c r="E2510" s="1">
        <v>28325909</v>
      </c>
      <c r="F2510" s="1">
        <v>2553090</v>
      </c>
      <c r="G2510" s="1">
        <v>1406511</v>
      </c>
      <c r="H2510" s="1">
        <v>288093</v>
      </c>
      <c r="I2510" s="1">
        <v>12472734</v>
      </c>
    </row>
    <row r="2511" spans="1:9" ht="23.25">
      <c r="A2511" s="4" t="s">
        <v>46</v>
      </c>
      <c r="B2511" s="4"/>
      <c r="C2511" s="4" t="s">
        <v>46</v>
      </c>
      <c r="D2511" s="4"/>
      <c r="E2511" s="1">
        <v>1753075785</v>
      </c>
      <c r="F2511" s="1">
        <v>111144633</v>
      </c>
      <c r="G2511" s="1">
        <v>129570476</v>
      </c>
      <c r="H2511" s="1">
        <v>11986545</v>
      </c>
      <c r="I2511" s="1">
        <v>1115274445</v>
      </c>
    </row>
    <row r="2512" spans="1:9" ht="23.25">
      <c r="A2512" s="4" t="s">
        <v>47</v>
      </c>
      <c r="B2512" s="4"/>
      <c r="C2512" s="4" t="s">
        <v>46</v>
      </c>
      <c r="D2512" s="4"/>
      <c r="E2512" s="1">
        <v>8131843</v>
      </c>
      <c r="F2512" s="1">
        <v>29636</v>
      </c>
      <c r="G2512" s="1">
        <v>43287</v>
      </c>
      <c r="H2512" s="1">
        <v>2561</v>
      </c>
      <c r="I2512" s="1">
        <v>0</v>
      </c>
    </row>
    <row r="2513" spans="1:9" ht="23.25">
      <c r="A2513" s="4" t="s">
        <v>48</v>
      </c>
      <c r="B2513" s="4"/>
      <c r="C2513" s="4" t="s">
        <v>46</v>
      </c>
      <c r="D2513" s="4"/>
      <c r="E2513" s="1">
        <v>0</v>
      </c>
      <c r="F2513" s="1">
        <v>0</v>
      </c>
      <c r="G2513" s="1">
        <v>0</v>
      </c>
      <c r="H2513" s="1">
        <v>0</v>
      </c>
      <c r="I2513" s="1">
        <v>0</v>
      </c>
    </row>
    <row r="2514" spans="1:9" ht="23.25">
      <c r="A2514" s="4" t="s">
        <v>49</v>
      </c>
      <c r="B2514" s="4"/>
      <c r="C2514" s="4" t="s">
        <v>46</v>
      </c>
      <c r="D2514" s="4"/>
      <c r="E2514" s="1">
        <v>0</v>
      </c>
      <c r="F2514" s="1">
        <v>0</v>
      </c>
      <c r="G2514" s="1">
        <v>0</v>
      </c>
      <c r="H2514" s="1">
        <v>0</v>
      </c>
      <c r="I2514" s="1">
        <v>0</v>
      </c>
    </row>
    <row r="2515" spans="1:9" ht="23.25">
      <c r="A2515" s="4" t="s">
        <v>50</v>
      </c>
      <c r="B2515" s="4"/>
      <c r="C2515" s="4" t="s">
        <v>46</v>
      </c>
      <c r="D2515" s="4"/>
      <c r="E2515" s="1">
        <v>3384380</v>
      </c>
      <c r="F2515" s="1">
        <v>213803</v>
      </c>
      <c r="G2515" s="1">
        <v>192890</v>
      </c>
      <c r="H2515" s="1">
        <v>24540</v>
      </c>
      <c r="I2515" s="1">
        <v>60</v>
      </c>
    </row>
    <row r="2516" spans="1:9" ht="23.25">
      <c r="A2516" s="4" t="s">
        <v>51</v>
      </c>
      <c r="B2516" s="4"/>
      <c r="C2516" s="4" t="s">
        <v>46</v>
      </c>
      <c r="D2516" s="4"/>
      <c r="E2516" s="1">
        <v>18951629</v>
      </c>
      <c r="F2516" s="1">
        <v>2074071</v>
      </c>
      <c r="G2516" s="1">
        <v>2028787</v>
      </c>
      <c r="H2516" s="1">
        <v>159008</v>
      </c>
      <c r="I2516" s="1">
        <v>6007177</v>
      </c>
    </row>
    <row r="2517" spans="1:9" ht="23.25">
      <c r="A2517" s="4" t="s">
        <v>52</v>
      </c>
      <c r="B2517" s="4"/>
      <c r="C2517" s="4" t="s">
        <v>46</v>
      </c>
      <c r="D2517" s="4"/>
      <c r="E2517" s="1">
        <v>45006251</v>
      </c>
      <c r="F2517" s="1">
        <v>30016</v>
      </c>
      <c r="G2517" s="1">
        <v>61901</v>
      </c>
      <c r="H2517" s="1">
        <v>7610</v>
      </c>
      <c r="I2517" s="1">
        <v>0</v>
      </c>
    </row>
    <row r="2518" spans="1:9" ht="23.25">
      <c r="A2518" s="4" t="s">
        <v>53</v>
      </c>
      <c r="B2518" s="4"/>
      <c r="C2518" s="4" t="s">
        <v>46</v>
      </c>
      <c r="D2518" s="4"/>
      <c r="E2518" s="1">
        <v>991204</v>
      </c>
      <c r="F2518" s="1">
        <v>0</v>
      </c>
      <c r="G2518" s="1">
        <v>0</v>
      </c>
      <c r="H2518" s="1">
        <v>0</v>
      </c>
      <c r="I2518" s="1">
        <v>0</v>
      </c>
    </row>
    <row r="2519" spans="1:9" ht="23.25">
      <c r="A2519" s="4" t="s">
        <v>54</v>
      </c>
      <c r="B2519" s="4"/>
      <c r="C2519" s="4" t="s">
        <v>46</v>
      </c>
      <c r="D2519" s="4"/>
      <c r="E2519" s="1">
        <v>1082095</v>
      </c>
      <c r="F2519" s="1">
        <v>0</v>
      </c>
      <c r="G2519" s="1">
        <v>0</v>
      </c>
      <c r="H2519" s="1">
        <v>0</v>
      </c>
      <c r="I2519" s="1">
        <v>0</v>
      </c>
    </row>
    <row r="2520" spans="1:9" ht="23.25">
      <c r="A2520" s="4" t="s">
        <v>55</v>
      </c>
      <c r="B2520" s="4"/>
      <c r="C2520" s="4" t="s">
        <v>46</v>
      </c>
      <c r="D2520" s="4"/>
      <c r="E2520" s="1">
        <v>0</v>
      </c>
      <c r="F2520" s="1">
        <v>0</v>
      </c>
      <c r="G2520" s="1">
        <v>0</v>
      </c>
      <c r="H2520" s="1">
        <v>0</v>
      </c>
      <c r="I2520" s="1">
        <v>0</v>
      </c>
    </row>
    <row r="2521" spans="1:9" ht="23.25">
      <c r="A2521" s="4" t="s">
        <v>56</v>
      </c>
      <c r="B2521" s="4"/>
      <c r="C2521" s="4" t="s">
        <v>46</v>
      </c>
      <c r="D2521" s="4"/>
      <c r="E2521" s="1">
        <v>0</v>
      </c>
      <c r="F2521" s="1">
        <v>-160630318</v>
      </c>
      <c r="G2521" s="1">
        <v>-173937402</v>
      </c>
      <c r="H2521" s="1">
        <v>0</v>
      </c>
      <c r="I2521" s="1">
        <v>0</v>
      </c>
    </row>
    <row r="2522" spans="1:9" ht="23.25">
      <c r="A2522" s="4" t="s">
        <v>57</v>
      </c>
      <c r="B2522" s="4"/>
      <c r="C2522" s="4" t="s">
        <v>46</v>
      </c>
      <c r="D2522" s="4"/>
      <c r="E2522" s="1">
        <v>4119023</v>
      </c>
      <c r="F2522" s="1">
        <v>0</v>
      </c>
      <c r="G2522" s="1">
        <v>0</v>
      </c>
      <c r="H2522" s="1">
        <v>0</v>
      </c>
      <c r="I2522" s="1">
        <v>0</v>
      </c>
    </row>
    <row r="2523" spans="1:9" ht="23.25">
      <c r="A2523" s="4" t="s">
        <v>58</v>
      </c>
      <c r="B2523" s="4"/>
      <c r="C2523" s="4" t="s">
        <v>46</v>
      </c>
      <c r="D2523" s="4"/>
      <c r="E2523" s="1">
        <v>16075630</v>
      </c>
      <c r="F2523" s="1">
        <v>0</v>
      </c>
      <c r="G2523" s="1">
        <v>0</v>
      </c>
      <c r="H2523" s="1">
        <v>-18126372</v>
      </c>
      <c r="I2523" s="1">
        <v>0</v>
      </c>
    </row>
    <row r="2524" spans="1:9" ht="23.25">
      <c r="A2524" s="4" t="s">
        <v>59</v>
      </c>
      <c r="B2524" s="4"/>
      <c r="C2524" s="4" t="s">
        <v>46</v>
      </c>
      <c r="D2524" s="4"/>
      <c r="E2524" s="1">
        <v>3605863</v>
      </c>
      <c r="F2524" s="1">
        <v>0</v>
      </c>
      <c r="G2524" s="1">
        <v>0</v>
      </c>
      <c r="H2524" s="1">
        <v>0</v>
      </c>
      <c r="I2524" s="1">
        <v>0</v>
      </c>
    </row>
    <row r="2525" spans="1:9" ht="23.25">
      <c r="A2525" s="4" t="s">
        <v>60</v>
      </c>
      <c r="B2525" s="4"/>
      <c r="C2525" s="4" t="s">
        <v>46</v>
      </c>
      <c r="D2525" s="4"/>
      <c r="E2525" s="1">
        <v>21017490</v>
      </c>
      <c r="F2525" s="1">
        <v>0</v>
      </c>
      <c r="G2525" s="1">
        <v>0</v>
      </c>
      <c r="H2525" s="1">
        <v>0</v>
      </c>
      <c r="I2525" s="1">
        <v>0</v>
      </c>
    </row>
    <row r="2526" spans="1:9" ht="23.25">
      <c r="A2526" s="4" t="s">
        <v>61</v>
      </c>
      <c r="B2526" s="4"/>
      <c r="C2526" s="4" t="s">
        <v>46</v>
      </c>
      <c r="D2526" s="4"/>
      <c r="E2526" s="1">
        <v>1520250</v>
      </c>
      <c r="F2526" s="1">
        <v>0</v>
      </c>
      <c r="G2526" s="1">
        <v>0</v>
      </c>
      <c r="H2526" s="1">
        <v>0</v>
      </c>
      <c r="I2526" s="1">
        <v>0</v>
      </c>
    </row>
    <row r="2527" spans="1:9" ht="23.25">
      <c r="A2527" s="4" t="s">
        <v>62</v>
      </c>
      <c r="B2527" s="4"/>
      <c r="C2527" s="4" t="s">
        <v>46</v>
      </c>
      <c r="D2527" s="4"/>
      <c r="E2527" s="1">
        <v>28942831</v>
      </c>
      <c r="F2527" s="1">
        <v>0</v>
      </c>
      <c r="G2527" s="1">
        <v>0</v>
      </c>
      <c r="H2527" s="1">
        <v>0</v>
      </c>
      <c r="I2527" s="1">
        <v>0</v>
      </c>
    </row>
    <row r="2528" spans="1:9" ht="23.25">
      <c r="A2528" s="4" t="s">
        <v>63</v>
      </c>
      <c r="B2528" s="4"/>
      <c r="C2528" s="4" t="s">
        <v>46</v>
      </c>
      <c r="D2528" s="4"/>
      <c r="E2528" s="1">
        <v>2637052</v>
      </c>
      <c r="F2528" s="1">
        <v>0</v>
      </c>
      <c r="G2528" s="1">
        <v>0</v>
      </c>
      <c r="H2528" s="1">
        <v>0</v>
      </c>
      <c r="I2528" s="1">
        <v>0</v>
      </c>
    </row>
    <row r="2529" spans="1:9" ht="23.25">
      <c r="A2529" s="4" t="s">
        <v>64</v>
      </c>
      <c r="B2529" s="4"/>
      <c r="C2529" s="4" t="s">
        <v>46</v>
      </c>
      <c r="D2529" s="4"/>
      <c r="E2529" s="1">
        <v>9686108</v>
      </c>
      <c r="F2529" s="1">
        <v>0</v>
      </c>
      <c r="G2529" s="1">
        <v>0</v>
      </c>
      <c r="H2529" s="1">
        <v>0</v>
      </c>
      <c r="I2529" s="1">
        <v>0</v>
      </c>
    </row>
    <row r="2530" spans="1:9" ht="23.25">
      <c r="A2530" s="4" t="s">
        <v>65</v>
      </c>
      <c r="B2530" s="4"/>
      <c r="C2530" s="4" t="s">
        <v>46</v>
      </c>
      <c r="D2530" s="4"/>
      <c r="E2530" s="1">
        <v>3927501</v>
      </c>
      <c r="F2530" s="1">
        <v>0</v>
      </c>
      <c r="G2530" s="1">
        <v>0</v>
      </c>
      <c r="H2530" s="1">
        <v>0</v>
      </c>
      <c r="I2530" s="1">
        <v>422657</v>
      </c>
    </row>
    <row r="2531" spans="1:9" ht="23.25">
      <c r="A2531" s="4" t="s">
        <v>66</v>
      </c>
      <c r="B2531" s="4"/>
      <c r="C2531" s="4" t="s">
        <v>46</v>
      </c>
      <c r="D2531" s="4"/>
      <c r="E2531" s="1">
        <v>2641849482</v>
      </c>
      <c r="F2531" s="1">
        <v>0</v>
      </c>
      <c r="G2531" s="1">
        <v>0</v>
      </c>
      <c r="H2531" s="1">
        <v>0</v>
      </c>
      <c r="I2531" s="1">
        <v>1522537717</v>
      </c>
    </row>
    <row r="2532" spans="1:9" ht="23.25">
      <c r="A2532" s="4" t="s">
        <v>67</v>
      </c>
      <c r="B2532" s="4"/>
      <c r="C2532" s="4" t="s">
        <v>46</v>
      </c>
      <c r="D2532" s="4"/>
      <c r="E2532" s="1">
        <v>211962643</v>
      </c>
      <c r="F2532" s="1">
        <v>0</v>
      </c>
      <c r="G2532" s="1">
        <v>0</v>
      </c>
      <c r="H2532" s="1">
        <v>0</v>
      </c>
      <c r="I2532" s="1">
        <v>0</v>
      </c>
    </row>
    <row r="2533" spans="1:9" ht="23.25">
      <c r="A2533" s="4" t="s">
        <v>68</v>
      </c>
      <c r="B2533" s="4"/>
      <c r="C2533" s="4" t="s">
        <v>46</v>
      </c>
      <c r="D2533" s="4"/>
      <c r="E2533" s="1">
        <v>320472134</v>
      </c>
      <c r="F2533" s="1">
        <v>0</v>
      </c>
      <c r="G2533" s="1">
        <v>0</v>
      </c>
      <c r="H2533" s="1">
        <v>0</v>
      </c>
      <c r="I2533" s="1">
        <v>0</v>
      </c>
    </row>
    <row r="2534" spans="1:9" ht="23.25">
      <c r="A2534" s="4" t="s">
        <v>69</v>
      </c>
      <c r="B2534" s="4"/>
      <c r="C2534" s="4" t="s">
        <v>46</v>
      </c>
      <c r="D2534" s="4"/>
      <c r="E2534" s="1">
        <v>153620165</v>
      </c>
      <c r="F2534" s="1">
        <v>0</v>
      </c>
      <c r="G2534" s="1">
        <v>0</v>
      </c>
      <c r="H2534" s="1">
        <v>0</v>
      </c>
      <c r="I2534" s="1">
        <v>0</v>
      </c>
    </row>
    <row r="2535" spans="1:9" ht="23.25">
      <c r="A2535" s="4" t="s">
        <v>70</v>
      </c>
      <c r="B2535" s="4"/>
      <c r="C2535" s="4" t="s">
        <v>46</v>
      </c>
      <c r="D2535" s="4"/>
      <c r="E2535" s="1">
        <v>79347221</v>
      </c>
      <c r="F2535" s="1">
        <v>0</v>
      </c>
      <c r="G2535" s="1">
        <v>0</v>
      </c>
      <c r="H2535" s="1">
        <v>0</v>
      </c>
      <c r="I2535" s="1">
        <v>0</v>
      </c>
    </row>
    <row r="2536" spans="1:9" ht="23.25">
      <c r="A2536" s="4" t="s">
        <v>71</v>
      </c>
      <c r="B2536" s="4"/>
      <c r="C2536" s="4" t="s">
        <v>46</v>
      </c>
      <c r="D2536" s="4"/>
      <c r="E2536" s="1">
        <v>765402163</v>
      </c>
      <c r="F2536" s="1">
        <v>0</v>
      </c>
      <c r="G2536" s="1">
        <v>0</v>
      </c>
      <c r="H2536" s="1">
        <v>0</v>
      </c>
      <c r="I2536" s="1">
        <v>0</v>
      </c>
    </row>
    <row r="2537" spans="1:9" ht="23.25">
      <c r="A2537" s="4" t="s">
        <v>72</v>
      </c>
      <c r="B2537" s="4"/>
      <c r="C2537" s="4" t="s">
        <v>46</v>
      </c>
      <c r="D2537" s="4"/>
      <c r="E2537" s="1">
        <v>3407251645</v>
      </c>
      <c r="F2537" s="1">
        <v>0</v>
      </c>
      <c r="G2537" s="1">
        <v>0</v>
      </c>
      <c r="H2537" s="1">
        <v>0</v>
      </c>
      <c r="I2537" s="1">
        <v>0</v>
      </c>
    </row>
    <row r="2538" spans="1:9" ht="23.25">
      <c r="A2538" s="4" t="s">
        <v>8</v>
      </c>
      <c r="B2538" s="4"/>
      <c r="C2538" s="4" t="s">
        <v>47</v>
      </c>
      <c r="D2538" s="4"/>
      <c r="E2538" s="1">
        <v>0</v>
      </c>
      <c r="F2538" s="1">
        <v>0</v>
      </c>
      <c r="G2538" s="1">
        <v>0</v>
      </c>
      <c r="H2538" s="1">
        <v>0</v>
      </c>
      <c r="I2538" s="1">
        <v>0</v>
      </c>
    </row>
    <row r="2539" spans="1:9" ht="23.25">
      <c r="A2539" s="4" t="s">
        <v>9</v>
      </c>
      <c r="B2539" s="4"/>
      <c r="C2539" s="4" t="s">
        <v>47</v>
      </c>
      <c r="D2539" s="4"/>
      <c r="E2539" s="1">
        <v>0</v>
      </c>
      <c r="F2539" s="1">
        <v>0</v>
      </c>
      <c r="G2539" s="1">
        <v>0</v>
      </c>
      <c r="H2539" s="1">
        <v>0</v>
      </c>
      <c r="I2539" s="1">
        <v>0</v>
      </c>
    </row>
    <row r="2540" spans="1:9" ht="23.25">
      <c r="A2540" s="4" t="s">
        <v>10</v>
      </c>
      <c r="B2540" s="4"/>
      <c r="C2540" s="4" t="s">
        <v>47</v>
      </c>
      <c r="D2540" s="4"/>
      <c r="E2540" s="1">
        <v>0</v>
      </c>
      <c r="F2540" s="1">
        <v>0</v>
      </c>
      <c r="G2540" s="1">
        <v>0</v>
      </c>
      <c r="H2540" s="1">
        <v>0</v>
      </c>
      <c r="I2540" s="1">
        <v>0</v>
      </c>
    </row>
    <row r="2541" spans="1:9" ht="23.25">
      <c r="A2541" s="4" t="s">
        <v>11</v>
      </c>
      <c r="B2541" s="4"/>
      <c r="C2541" s="4" t="s">
        <v>47</v>
      </c>
      <c r="D2541" s="4"/>
      <c r="E2541" s="1">
        <v>0</v>
      </c>
      <c r="F2541" s="1">
        <v>0</v>
      </c>
      <c r="G2541" s="1">
        <v>0</v>
      </c>
      <c r="H2541" s="1">
        <v>0</v>
      </c>
      <c r="I2541" s="1">
        <v>0</v>
      </c>
    </row>
    <row r="2542" spans="1:9" ht="23.25">
      <c r="A2542" s="4" t="s">
        <v>12</v>
      </c>
      <c r="B2542" s="4"/>
      <c r="C2542" s="4" t="s">
        <v>47</v>
      </c>
      <c r="D2542" s="4"/>
      <c r="E2542" s="1">
        <v>0</v>
      </c>
      <c r="F2542" s="1">
        <v>0</v>
      </c>
      <c r="G2542" s="1">
        <v>0</v>
      </c>
      <c r="H2542" s="1">
        <v>0</v>
      </c>
      <c r="I2542" s="1">
        <v>0</v>
      </c>
    </row>
    <row r="2543" spans="1:9" ht="23.25">
      <c r="A2543" s="4" t="s">
        <v>13</v>
      </c>
      <c r="B2543" s="4"/>
      <c r="C2543" s="4" t="s">
        <v>47</v>
      </c>
      <c r="D2543" s="4"/>
      <c r="E2543" s="1">
        <v>0</v>
      </c>
      <c r="F2543" s="1">
        <v>0</v>
      </c>
      <c r="G2543" s="1">
        <v>0</v>
      </c>
      <c r="H2543" s="1">
        <v>0</v>
      </c>
      <c r="I2543" s="1">
        <v>0</v>
      </c>
    </row>
    <row r="2544" spans="1:9" ht="23.25">
      <c r="A2544" s="4" t="s">
        <v>14</v>
      </c>
      <c r="B2544" s="4"/>
      <c r="C2544" s="4" t="s">
        <v>47</v>
      </c>
      <c r="D2544" s="4"/>
      <c r="E2544" s="1">
        <v>0</v>
      </c>
      <c r="F2544" s="1">
        <v>0</v>
      </c>
      <c r="G2544" s="1">
        <v>0</v>
      </c>
      <c r="H2544" s="1">
        <v>0</v>
      </c>
      <c r="I2544" s="1">
        <v>0</v>
      </c>
    </row>
    <row r="2545" spans="1:9" ht="23.25">
      <c r="A2545" s="4" t="s">
        <v>15</v>
      </c>
      <c r="B2545" s="4"/>
      <c r="C2545" s="4" t="s">
        <v>47</v>
      </c>
      <c r="D2545" s="4"/>
      <c r="E2545" s="1">
        <v>0</v>
      </c>
      <c r="F2545" s="1">
        <v>0</v>
      </c>
      <c r="G2545" s="1">
        <v>0</v>
      </c>
      <c r="H2545" s="1">
        <v>0</v>
      </c>
      <c r="I2545" s="1">
        <v>0</v>
      </c>
    </row>
    <row r="2546" spans="1:9" ht="23.25">
      <c r="A2546" s="4" t="s">
        <v>16</v>
      </c>
      <c r="B2546" s="4"/>
      <c r="C2546" s="4" t="s">
        <v>47</v>
      </c>
      <c r="D2546" s="4"/>
      <c r="E2546" s="1">
        <v>0</v>
      </c>
      <c r="F2546" s="1">
        <v>0</v>
      </c>
      <c r="G2546" s="1">
        <v>0</v>
      </c>
      <c r="H2546" s="1">
        <v>0</v>
      </c>
      <c r="I2546" s="1">
        <v>0</v>
      </c>
    </row>
    <row r="2547" spans="1:9" ht="23.25">
      <c r="A2547" s="4" t="s">
        <v>17</v>
      </c>
      <c r="B2547" s="4"/>
      <c r="C2547" s="4" t="s">
        <v>47</v>
      </c>
      <c r="D2547" s="4"/>
      <c r="E2547" s="1">
        <v>0</v>
      </c>
      <c r="F2547" s="1">
        <v>0</v>
      </c>
      <c r="G2547" s="1">
        <v>0</v>
      </c>
      <c r="H2547" s="1">
        <v>0</v>
      </c>
      <c r="I2547" s="1">
        <v>0</v>
      </c>
    </row>
    <row r="2548" spans="1:9" ht="23.25">
      <c r="A2548" s="4" t="s">
        <v>18</v>
      </c>
      <c r="B2548" s="4"/>
      <c r="C2548" s="4" t="s">
        <v>47</v>
      </c>
      <c r="D2548" s="4"/>
      <c r="E2548" s="1">
        <v>0</v>
      </c>
      <c r="F2548" s="1">
        <v>0</v>
      </c>
      <c r="G2548" s="1">
        <v>0</v>
      </c>
      <c r="H2548" s="1">
        <v>0</v>
      </c>
      <c r="I2548" s="1">
        <v>0</v>
      </c>
    </row>
    <row r="2549" spans="1:9" ht="23.25">
      <c r="A2549" s="4" t="s">
        <v>19</v>
      </c>
      <c r="B2549" s="4"/>
      <c r="C2549" s="4" t="s">
        <v>47</v>
      </c>
      <c r="D2549" s="4"/>
      <c r="E2549" s="1">
        <v>0</v>
      </c>
      <c r="F2549" s="1">
        <v>0</v>
      </c>
      <c r="G2549" s="1">
        <v>0</v>
      </c>
      <c r="H2549" s="1">
        <v>0</v>
      </c>
      <c r="I2549" s="1">
        <v>0</v>
      </c>
    </row>
    <row r="2550" spans="1:9" ht="23.25">
      <c r="A2550" s="4" t="s">
        <v>20</v>
      </c>
      <c r="B2550" s="4"/>
      <c r="C2550" s="4" t="s">
        <v>47</v>
      </c>
      <c r="D2550" s="4"/>
      <c r="E2550" s="1">
        <v>0</v>
      </c>
      <c r="F2550" s="1">
        <v>0</v>
      </c>
      <c r="G2550" s="1">
        <v>0</v>
      </c>
      <c r="H2550" s="1">
        <v>0</v>
      </c>
      <c r="I2550" s="1">
        <v>0</v>
      </c>
    </row>
    <row r="2551" spans="1:9" ht="23.25">
      <c r="A2551" s="4" t="s">
        <v>21</v>
      </c>
      <c r="B2551" s="4"/>
      <c r="C2551" s="4" t="s">
        <v>47</v>
      </c>
      <c r="D2551" s="4"/>
      <c r="E2551" s="1">
        <v>0</v>
      </c>
      <c r="F2551" s="1">
        <v>0</v>
      </c>
      <c r="G2551" s="1">
        <v>0</v>
      </c>
      <c r="H2551" s="1">
        <v>0</v>
      </c>
      <c r="I2551" s="1">
        <v>0</v>
      </c>
    </row>
    <row r="2552" spans="1:9" ht="23.25">
      <c r="A2552" s="4" t="s">
        <v>22</v>
      </c>
      <c r="B2552" s="4"/>
      <c r="C2552" s="4" t="s">
        <v>47</v>
      </c>
      <c r="D2552" s="4"/>
      <c r="E2552" s="1">
        <v>0</v>
      </c>
      <c r="F2552" s="1">
        <v>0</v>
      </c>
      <c r="G2552" s="1">
        <v>0</v>
      </c>
      <c r="H2552" s="1">
        <v>0</v>
      </c>
      <c r="I2552" s="1">
        <v>0</v>
      </c>
    </row>
    <row r="2553" spans="1:9" ht="23.25">
      <c r="A2553" s="4" t="s">
        <v>23</v>
      </c>
      <c r="B2553" s="4"/>
      <c r="C2553" s="4" t="s">
        <v>47</v>
      </c>
      <c r="D2553" s="4"/>
      <c r="E2553" s="1">
        <v>0</v>
      </c>
      <c r="F2553" s="1">
        <v>0</v>
      </c>
      <c r="G2553" s="1">
        <v>0</v>
      </c>
      <c r="H2553" s="1">
        <v>0</v>
      </c>
      <c r="I2553" s="1">
        <v>0</v>
      </c>
    </row>
    <row r="2554" spans="1:9" ht="23.25">
      <c r="A2554" s="4" t="s">
        <v>24</v>
      </c>
      <c r="B2554" s="4"/>
      <c r="C2554" s="4" t="s">
        <v>47</v>
      </c>
      <c r="D2554" s="4"/>
      <c r="E2554" s="1">
        <v>0</v>
      </c>
      <c r="F2554" s="1">
        <v>0</v>
      </c>
      <c r="G2554" s="1">
        <v>0</v>
      </c>
      <c r="H2554" s="1">
        <v>0</v>
      </c>
      <c r="I2554" s="1">
        <v>0</v>
      </c>
    </row>
    <row r="2555" spans="1:9" ht="23.25">
      <c r="A2555" s="4" t="s">
        <v>25</v>
      </c>
      <c r="B2555" s="4"/>
      <c r="C2555" s="4" t="s">
        <v>47</v>
      </c>
      <c r="D2555" s="4"/>
      <c r="E2555" s="1">
        <v>0</v>
      </c>
      <c r="F2555" s="1">
        <v>0</v>
      </c>
      <c r="G2555" s="1">
        <v>0</v>
      </c>
      <c r="H2555" s="1">
        <v>0</v>
      </c>
      <c r="I2555" s="1">
        <v>0</v>
      </c>
    </row>
    <row r="2556" spans="1:9" ht="23.25">
      <c r="A2556" s="4" t="s">
        <v>26</v>
      </c>
      <c r="B2556" s="4"/>
      <c r="C2556" s="4" t="s">
        <v>47</v>
      </c>
      <c r="D2556" s="4"/>
      <c r="E2556" s="1">
        <v>0</v>
      </c>
      <c r="F2556" s="1">
        <v>0</v>
      </c>
      <c r="G2556" s="1">
        <v>0</v>
      </c>
      <c r="H2556" s="1">
        <v>0</v>
      </c>
      <c r="I2556" s="1">
        <v>0</v>
      </c>
    </row>
    <row r="2557" spans="1:9" ht="23.25">
      <c r="A2557" s="4" t="s">
        <v>27</v>
      </c>
      <c r="B2557" s="4"/>
      <c r="C2557" s="4" t="s">
        <v>47</v>
      </c>
      <c r="D2557" s="4"/>
      <c r="E2557" s="1">
        <v>0</v>
      </c>
      <c r="F2557" s="1">
        <v>0</v>
      </c>
      <c r="G2557" s="1">
        <v>0</v>
      </c>
      <c r="H2557" s="1">
        <v>0</v>
      </c>
      <c r="I2557" s="1">
        <v>0</v>
      </c>
    </row>
    <row r="2558" spans="1:9" ht="23.25">
      <c r="A2558" s="4" t="s">
        <v>28</v>
      </c>
      <c r="B2558" s="4"/>
      <c r="C2558" s="4" t="s">
        <v>47</v>
      </c>
      <c r="D2558" s="4"/>
      <c r="E2558" s="1">
        <v>0</v>
      </c>
      <c r="F2558" s="1">
        <v>0</v>
      </c>
      <c r="G2558" s="1">
        <v>0</v>
      </c>
      <c r="H2558" s="1">
        <v>0</v>
      </c>
      <c r="I2558" s="1">
        <v>0</v>
      </c>
    </row>
    <row r="2559" spans="1:9" ht="23.25">
      <c r="A2559" s="4" t="s">
        <v>29</v>
      </c>
      <c r="B2559" s="4"/>
      <c r="C2559" s="4" t="s">
        <v>47</v>
      </c>
      <c r="D2559" s="4"/>
      <c r="E2559" s="1">
        <v>0</v>
      </c>
      <c r="F2559" s="1">
        <v>0</v>
      </c>
      <c r="G2559" s="1">
        <v>0</v>
      </c>
      <c r="H2559" s="1">
        <v>0</v>
      </c>
      <c r="I2559" s="1">
        <v>0</v>
      </c>
    </row>
    <row r="2560" spans="1:9" ht="23.25">
      <c r="A2560" s="4" t="s">
        <v>30</v>
      </c>
      <c r="B2560" s="4"/>
      <c r="C2560" s="4" t="s">
        <v>47</v>
      </c>
      <c r="D2560" s="4"/>
      <c r="E2560" s="1">
        <v>592576</v>
      </c>
      <c r="F2560" s="1">
        <v>18753</v>
      </c>
      <c r="G2560" s="1">
        <v>13001</v>
      </c>
      <c r="H2560" s="1">
        <v>2860</v>
      </c>
      <c r="I2560" s="1">
        <v>0</v>
      </c>
    </row>
    <row r="2561" spans="1:9" ht="23.25">
      <c r="A2561" s="4" t="s">
        <v>31</v>
      </c>
      <c r="B2561" s="4"/>
      <c r="C2561" s="4" t="s">
        <v>47</v>
      </c>
      <c r="D2561" s="4"/>
      <c r="E2561" s="1">
        <v>2401793</v>
      </c>
      <c r="F2561" s="1">
        <v>70181</v>
      </c>
      <c r="G2561" s="1">
        <v>137247</v>
      </c>
      <c r="H2561" s="1">
        <v>13958</v>
      </c>
      <c r="I2561" s="1">
        <v>1030859</v>
      </c>
    </row>
    <row r="2562" spans="1:9" ht="23.25">
      <c r="A2562" s="4" t="s">
        <v>32</v>
      </c>
      <c r="B2562" s="4"/>
      <c r="C2562" s="4" t="s">
        <v>47</v>
      </c>
      <c r="D2562" s="4"/>
      <c r="E2562" s="1">
        <v>7705666</v>
      </c>
      <c r="F2562" s="1">
        <v>196695</v>
      </c>
      <c r="G2562" s="1">
        <v>145964</v>
      </c>
      <c r="H2562" s="1">
        <v>66924</v>
      </c>
      <c r="I2562" s="1">
        <v>0</v>
      </c>
    </row>
    <row r="2563" spans="1:9" ht="23.25">
      <c r="A2563" s="4" t="s">
        <v>33</v>
      </c>
      <c r="B2563" s="4"/>
      <c r="C2563" s="4" t="s">
        <v>47</v>
      </c>
      <c r="D2563" s="4"/>
      <c r="E2563" s="1">
        <v>363919</v>
      </c>
      <c r="F2563" s="1">
        <v>16089</v>
      </c>
      <c r="G2563" s="1">
        <v>35663</v>
      </c>
      <c r="H2563" s="1">
        <v>3408</v>
      </c>
      <c r="I2563" s="1">
        <v>0</v>
      </c>
    </row>
    <row r="2564" spans="1:9" ht="23.25">
      <c r="A2564" s="4" t="s">
        <v>34</v>
      </c>
      <c r="B2564" s="4"/>
      <c r="C2564" s="4" t="s">
        <v>47</v>
      </c>
      <c r="D2564" s="4"/>
      <c r="E2564" s="1">
        <v>14857271</v>
      </c>
      <c r="F2564" s="1">
        <v>891784</v>
      </c>
      <c r="G2564" s="1">
        <v>315319</v>
      </c>
      <c r="H2564" s="1">
        <v>156090</v>
      </c>
      <c r="I2564" s="1">
        <v>4809365</v>
      </c>
    </row>
    <row r="2565" spans="1:9" ht="23.25">
      <c r="A2565" s="4" t="s">
        <v>35</v>
      </c>
      <c r="B2565" s="4"/>
      <c r="C2565" s="4" t="s">
        <v>47</v>
      </c>
      <c r="D2565" s="4"/>
      <c r="E2565" s="1">
        <v>0</v>
      </c>
      <c r="F2565" s="1">
        <v>0</v>
      </c>
      <c r="G2565" s="1">
        <v>0</v>
      </c>
      <c r="H2565" s="1">
        <v>0</v>
      </c>
      <c r="I2565" s="1">
        <v>0</v>
      </c>
    </row>
    <row r="2566" spans="1:9" ht="23.25">
      <c r="A2566" s="4" t="s">
        <v>36</v>
      </c>
      <c r="B2566" s="4"/>
      <c r="C2566" s="4" t="s">
        <v>47</v>
      </c>
      <c r="D2566" s="4"/>
      <c r="E2566" s="1">
        <v>68026968</v>
      </c>
      <c r="F2566" s="1">
        <v>5486277</v>
      </c>
      <c r="G2566" s="1">
        <v>4889616</v>
      </c>
      <c r="H2566" s="1">
        <v>559296</v>
      </c>
      <c r="I2566" s="1">
        <v>17189451</v>
      </c>
    </row>
    <row r="2567" spans="1:9" ht="23.25">
      <c r="A2567" s="4" t="s">
        <v>37</v>
      </c>
      <c r="B2567" s="4"/>
      <c r="C2567" s="4" t="s">
        <v>47</v>
      </c>
      <c r="D2567" s="4"/>
      <c r="E2567" s="1">
        <v>39430065</v>
      </c>
      <c r="F2567" s="1">
        <v>2116396</v>
      </c>
      <c r="G2567" s="1">
        <v>1171322</v>
      </c>
      <c r="H2567" s="1">
        <v>298593</v>
      </c>
      <c r="I2567" s="1">
        <v>14135743</v>
      </c>
    </row>
    <row r="2568" spans="1:9" ht="23.25">
      <c r="A2568" s="4" t="s">
        <v>38</v>
      </c>
      <c r="B2568" s="4"/>
      <c r="C2568" s="4" t="s">
        <v>47</v>
      </c>
      <c r="D2568" s="4"/>
      <c r="E2568" s="1">
        <v>60105400</v>
      </c>
      <c r="F2568" s="1">
        <v>3392300</v>
      </c>
      <c r="G2568" s="1">
        <v>5535397</v>
      </c>
      <c r="H2568" s="1">
        <v>680695</v>
      </c>
      <c r="I2568" s="1">
        <v>26002683</v>
      </c>
    </row>
    <row r="2569" spans="1:9" ht="23.25">
      <c r="A2569" s="4" t="s">
        <v>39</v>
      </c>
      <c r="B2569" s="4"/>
      <c r="C2569" s="4" t="s">
        <v>47</v>
      </c>
      <c r="D2569" s="4"/>
      <c r="E2569" s="1">
        <v>42078283</v>
      </c>
      <c r="F2569" s="1">
        <v>696681</v>
      </c>
      <c r="G2569" s="1">
        <v>724262</v>
      </c>
      <c r="H2569" s="1">
        <v>308374</v>
      </c>
      <c r="I2569" s="1">
        <v>10666551</v>
      </c>
    </row>
    <row r="2570" spans="1:9" ht="23.25">
      <c r="A2570" s="4" t="s">
        <v>40</v>
      </c>
      <c r="B2570" s="4"/>
      <c r="C2570" s="4" t="s">
        <v>47</v>
      </c>
      <c r="D2570" s="4"/>
      <c r="E2570" s="1">
        <v>0</v>
      </c>
      <c r="F2570" s="1">
        <v>0</v>
      </c>
      <c r="G2570" s="1">
        <v>0</v>
      </c>
      <c r="H2570" s="1">
        <v>0</v>
      </c>
      <c r="I2570" s="1">
        <v>0</v>
      </c>
    </row>
    <row r="2571" spans="1:9" ht="23.25">
      <c r="A2571" s="4" t="s">
        <v>41</v>
      </c>
      <c r="B2571" s="4"/>
      <c r="C2571" s="4" t="s">
        <v>47</v>
      </c>
      <c r="D2571" s="4"/>
      <c r="E2571" s="1">
        <v>21928023</v>
      </c>
      <c r="F2571" s="1">
        <v>1462538</v>
      </c>
      <c r="G2571" s="1">
        <v>733305</v>
      </c>
      <c r="H2571" s="1">
        <v>217590</v>
      </c>
      <c r="I2571" s="1">
        <v>9159683</v>
      </c>
    </row>
    <row r="2572" spans="1:9" ht="23.25">
      <c r="A2572" s="4" t="s">
        <v>42</v>
      </c>
      <c r="B2572" s="4"/>
      <c r="C2572" s="4" t="s">
        <v>47</v>
      </c>
      <c r="D2572" s="4"/>
      <c r="E2572" s="1">
        <v>287940083</v>
      </c>
      <c r="F2572" s="1">
        <v>9587167</v>
      </c>
      <c r="G2572" s="1">
        <v>11066963</v>
      </c>
      <c r="H2572" s="1">
        <v>2673629</v>
      </c>
      <c r="I2572" s="1">
        <v>194058495</v>
      </c>
    </row>
    <row r="2573" spans="1:9" ht="23.25">
      <c r="A2573" s="4" t="s">
        <v>43</v>
      </c>
      <c r="B2573" s="4"/>
      <c r="C2573" s="4" t="s">
        <v>47</v>
      </c>
      <c r="D2573" s="4"/>
      <c r="E2573" s="1">
        <v>30399130</v>
      </c>
      <c r="F2573" s="1">
        <v>532648</v>
      </c>
      <c r="G2573" s="1">
        <v>231453</v>
      </c>
      <c r="H2573" s="1">
        <v>38714</v>
      </c>
      <c r="I2573" s="1">
        <v>22520097</v>
      </c>
    </row>
    <row r="2574" spans="1:9" ht="23.25">
      <c r="A2574" s="4" t="s">
        <v>44</v>
      </c>
      <c r="B2574" s="4"/>
      <c r="C2574" s="4" t="s">
        <v>47</v>
      </c>
      <c r="D2574" s="4"/>
      <c r="E2574" s="1">
        <v>37805580</v>
      </c>
      <c r="F2574" s="1">
        <v>521093</v>
      </c>
      <c r="G2574" s="1">
        <v>1521961</v>
      </c>
      <c r="H2574" s="1">
        <v>66463</v>
      </c>
      <c r="I2574" s="1">
        <v>32994173</v>
      </c>
    </row>
    <row r="2575" spans="1:9" ht="23.25">
      <c r="A2575" s="4" t="s">
        <v>45</v>
      </c>
      <c r="B2575" s="4"/>
      <c r="C2575" s="4" t="s">
        <v>47</v>
      </c>
      <c r="D2575" s="4"/>
      <c r="E2575" s="1">
        <v>143192291</v>
      </c>
      <c r="F2575" s="1">
        <v>9197620</v>
      </c>
      <c r="G2575" s="1">
        <v>1744516</v>
      </c>
      <c r="H2575" s="1">
        <v>716412</v>
      </c>
      <c r="I2575" s="1">
        <v>91104100</v>
      </c>
    </row>
    <row r="2576" spans="1:9" ht="23.25">
      <c r="A2576" s="4" t="s">
        <v>46</v>
      </c>
      <c r="B2576" s="4"/>
      <c r="C2576" s="4" t="s">
        <v>47</v>
      </c>
      <c r="D2576" s="4"/>
      <c r="E2576" s="1">
        <v>191768620</v>
      </c>
      <c r="F2576" s="1">
        <v>7436803</v>
      </c>
      <c r="G2576" s="1">
        <v>7645129</v>
      </c>
      <c r="H2576" s="1">
        <v>967603</v>
      </c>
      <c r="I2576" s="1">
        <v>130057906</v>
      </c>
    </row>
    <row r="2577" spans="1:9" ht="23.25">
      <c r="A2577" s="4" t="s">
        <v>47</v>
      </c>
      <c r="B2577" s="4"/>
      <c r="C2577" s="4" t="s">
        <v>47</v>
      </c>
      <c r="D2577" s="4"/>
      <c r="E2577" s="1">
        <v>476531360</v>
      </c>
      <c r="F2577" s="1">
        <v>25870905</v>
      </c>
      <c r="G2577" s="1">
        <v>46178045</v>
      </c>
      <c r="H2577" s="1">
        <v>3902237</v>
      </c>
      <c r="I2577" s="1">
        <v>276141403</v>
      </c>
    </row>
    <row r="2578" spans="1:9" ht="23.25">
      <c r="A2578" s="4" t="s">
        <v>48</v>
      </c>
      <c r="B2578" s="4"/>
      <c r="C2578" s="4" t="s">
        <v>47</v>
      </c>
      <c r="D2578" s="4"/>
      <c r="E2578" s="1">
        <v>0</v>
      </c>
      <c r="F2578" s="1">
        <v>0</v>
      </c>
      <c r="G2578" s="1">
        <v>0</v>
      </c>
      <c r="H2578" s="1">
        <v>0</v>
      </c>
      <c r="I2578" s="1">
        <v>0</v>
      </c>
    </row>
    <row r="2579" spans="1:9" ht="23.25">
      <c r="A2579" s="4" t="s">
        <v>49</v>
      </c>
      <c r="B2579" s="4"/>
      <c r="C2579" s="4" t="s">
        <v>47</v>
      </c>
      <c r="D2579" s="4"/>
      <c r="E2579" s="1">
        <v>0</v>
      </c>
      <c r="F2579" s="1">
        <v>0</v>
      </c>
      <c r="G2579" s="1">
        <v>0</v>
      </c>
      <c r="H2579" s="1">
        <v>0</v>
      </c>
      <c r="I2579" s="1">
        <v>0</v>
      </c>
    </row>
    <row r="2580" spans="1:9" ht="23.25">
      <c r="A2580" s="4" t="s">
        <v>50</v>
      </c>
      <c r="B2580" s="4"/>
      <c r="C2580" s="4" t="s">
        <v>47</v>
      </c>
      <c r="D2580" s="4"/>
      <c r="E2580" s="1">
        <v>2425686</v>
      </c>
      <c r="F2580" s="1">
        <v>126418</v>
      </c>
      <c r="G2580" s="1">
        <v>162037</v>
      </c>
      <c r="H2580" s="1">
        <v>20757</v>
      </c>
      <c r="I2580" s="1">
        <v>0</v>
      </c>
    </row>
    <row r="2581" spans="1:9" ht="23.25">
      <c r="A2581" s="4" t="s">
        <v>51</v>
      </c>
      <c r="B2581" s="4"/>
      <c r="C2581" s="4" t="s">
        <v>47</v>
      </c>
      <c r="D2581" s="4"/>
      <c r="E2581" s="1">
        <v>4955104</v>
      </c>
      <c r="F2581" s="1">
        <v>314784</v>
      </c>
      <c r="G2581" s="1">
        <v>229066</v>
      </c>
      <c r="H2581" s="1">
        <v>36953</v>
      </c>
      <c r="I2581" s="1">
        <v>2502678</v>
      </c>
    </row>
    <row r="2582" spans="1:9" ht="23.25">
      <c r="A2582" s="4" t="s">
        <v>52</v>
      </c>
      <c r="B2582" s="4"/>
      <c r="C2582" s="4" t="s">
        <v>47</v>
      </c>
      <c r="D2582" s="4"/>
      <c r="E2582" s="1">
        <v>36010944</v>
      </c>
      <c r="F2582" s="1">
        <v>27946</v>
      </c>
      <c r="G2582" s="1">
        <v>42087</v>
      </c>
      <c r="H2582" s="1">
        <v>9120</v>
      </c>
      <c r="I2582" s="1">
        <v>0</v>
      </c>
    </row>
    <row r="2583" spans="1:9" ht="23.25">
      <c r="A2583" s="4" t="s">
        <v>53</v>
      </c>
      <c r="B2583" s="4"/>
      <c r="C2583" s="4" t="s">
        <v>47</v>
      </c>
      <c r="D2583" s="4"/>
      <c r="E2583" s="1">
        <v>705358</v>
      </c>
      <c r="F2583" s="1">
        <v>0</v>
      </c>
      <c r="G2583" s="1">
        <v>0</v>
      </c>
      <c r="H2583" s="1">
        <v>0</v>
      </c>
      <c r="I2583" s="1">
        <v>0</v>
      </c>
    </row>
    <row r="2584" spans="1:9" ht="23.25">
      <c r="A2584" s="4" t="s">
        <v>54</v>
      </c>
      <c r="B2584" s="4"/>
      <c r="C2584" s="4" t="s">
        <v>47</v>
      </c>
      <c r="D2584" s="4"/>
      <c r="E2584" s="1">
        <v>759797</v>
      </c>
      <c r="F2584" s="1">
        <v>0</v>
      </c>
      <c r="G2584" s="1">
        <v>0</v>
      </c>
      <c r="H2584" s="1">
        <v>0</v>
      </c>
      <c r="I2584" s="1">
        <v>0</v>
      </c>
    </row>
    <row r="2585" spans="1:9" ht="23.25">
      <c r="A2585" s="4" t="s">
        <v>55</v>
      </c>
      <c r="B2585" s="4"/>
      <c r="C2585" s="4" t="s">
        <v>47</v>
      </c>
      <c r="D2585" s="4"/>
      <c r="E2585" s="1">
        <v>0</v>
      </c>
      <c r="F2585" s="1">
        <v>0</v>
      </c>
      <c r="G2585" s="1">
        <v>0</v>
      </c>
      <c r="H2585" s="1">
        <v>0</v>
      </c>
      <c r="I2585" s="1">
        <v>0</v>
      </c>
    </row>
    <row r="2586" spans="1:9" ht="23.25">
      <c r="A2586" s="4" t="s">
        <v>56</v>
      </c>
      <c r="B2586" s="4"/>
      <c r="C2586" s="4" t="s">
        <v>47</v>
      </c>
      <c r="D2586" s="4"/>
      <c r="E2586" s="1">
        <v>0</v>
      </c>
      <c r="F2586" s="1">
        <v>-67963078</v>
      </c>
      <c r="G2586" s="1">
        <v>-82522353</v>
      </c>
      <c r="H2586" s="1">
        <v>0</v>
      </c>
      <c r="I2586" s="1">
        <v>0</v>
      </c>
    </row>
    <row r="2587" spans="1:9" ht="23.25">
      <c r="A2587" s="4" t="s">
        <v>57</v>
      </c>
      <c r="B2587" s="4"/>
      <c r="C2587" s="4" t="s">
        <v>47</v>
      </c>
      <c r="D2587" s="4"/>
      <c r="E2587" s="1">
        <v>2074471</v>
      </c>
      <c r="F2587" s="1">
        <v>0</v>
      </c>
      <c r="G2587" s="1">
        <v>0</v>
      </c>
      <c r="H2587" s="1">
        <v>0</v>
      </c>
      <c r="I2587" s="1">
        <v>0</v>
      </c>
    </row>
    <row r="2588" spans="1:9" ht="23.25">
      <c r="A2588" s="4" t="s">
        <v>58</v>
      </c>
      <c r="B2588" s="4"/>
      <c r="C2588" s="4" t="s">
        <v>47</v>
      </c>
      <c r="D2588" s="4"/>
      <c r="E2588" s="1">
        <v>14256507</v>
      </c>
      <c r="F2588" s="1">
        <v>0</v>
      </c>
      <c r="G2588" s="1">
        <v>0</v>
      </c>
      <c r="H2588" s="1">
        <v>-10739676</v>
      </c>
      <c r="I2588" s="1">
        <v>0</v>
      </c>
    </row>
    <row r="2589" spans="1:9" ht="23.25">
      <c r="A2589" s="4" t="s">
        <v>59</v>
      </c>
      <c r="B2589" s="4"/>
      <c r="C2589" s="4" t="s">
        <v>47</v>
      </c>
      <c r="D2589" s="4"/>
      <c r="E2589" s="1">
        <v>2988081</v>
      </c>
      <c r="F2589" s="1">
        <v>0</v>
      </c>
      <c r="G2589" s="1">
        <v>0</v>
      </c>
      <c r="H2589" s="1">
        <v>0</v>
      </c>
      <c r="I2589" s="1">
        <v>0</v>
      </c>
    </row>
    <row r="2590" spans="1:9" ht="23.25">
      <c r="A2590" s="4" t="s">
        <v>60</v>
      </c>
      <c r="B2590" s="4"/>
      <c r="C2590" s="4" t="s">
        <v>47</v>
      </c>
      <c r="D2590" s="4"/>
      <c r="E2590" s="1">
        <v>35222209</v>
      </c>
      <c r="F2590" s="1">
        <v>0</v>
      </c>
      <c r="G2590" s="1">
        <v>0</v>
      </c>
      <c r="H2590" s="1">
        <v>0</v>
      </c>
      <c r="I2590" s="1">
        <v>0</v>
      </c>
    </row>
    <row r="2591" spans="1:9" ht="23.25">
      <c r="A2591" s="4" t="s">
        <v>61</v>
      </c>
      <c r="B2591" s="4"/>
      <c r="C2591" s="4" t="s">
        <v>47</v>
      </c>
      <c r="D2591" s="4"/>
      <c r="E2591" s="1">
        <v>610708</v>
      </c>
      <c r="F2591" s="1">
        <v>0</v>
      </c>
      <c r="G2591" s="1">
        <v>0</v>
      </c>
      <c r="H2591" s="1">
        <v>0</v>
      </c>
      <c r="I2591" s="1">
        <v>0</v>
      </c>
    </row>
    <row r="2592" spans="1:9" ht="23.25">
      <c r="A2592" s="4" t="s">
        <v>62</v>
      </c>
      <c r="B2592" s="4"/>
      <c r="C2592" s="4" t="s">
        <v>47</v>
      </c>
      <c r="D2592" s="4"/>
      <c r="E2592" s="1">
        <v>30181223</v>
      </c>
      <c r="F2592" s="1">
        <v>0</v>
      </c>
      <c r="G2592" s="1">
        <v>0</v>
      </c>
      <c r="H2592" s="1">
        <v>0</v>
      </c>
      <c r="I2592" s="1">
        <v>0</v>
      </c>
    </row>
    <row r="2593" spans="1:9" ht="23.25">
      <c r="A2593" s="4" t="s">
        <v>63</v>
      </c>
      <c r="B2593" s="4"/>
      <c r="C2593" s="4" t="s">
        <v>47</v>
      </c>
      <c r="D2593" s="4"/>
      <c r="E2593" s="1">
        <v>3614400</v>
      </c>
      <c r="F2593" s="1">
        <v>0</v>
      </c>
      <c r="G2593" s="1">
        <v>0</v>
      </c>
      <c r="H2593" s="1">
        <v>0</v>
      </c>
      <c r="I2593" s="1">
        <v>0</v>
      </c>
    </row>
    <row r="2594" spans="1:9" ht="23.25">
      <c r="A2594" s="4" t="s">
        <v>64</v>
      </c>
      <c r="B2594" s="4"/>
      <c r="C2594" s="4" t="s">
        <v>47</v>
      </c>
      <c r="D2594" s="4"/>
      <c r="E2594" s="1">
        <v>3158093</v>
      </c>
      <c r="F2594" s="1">
        <v>0</v>
      </c>
      <c r="G2594" s="1">
        <v>0</v>
      </c>
      <c r="H2594" s="1">
        <v>0</v>
      </c>
      <c r="I2594" s="1">
        <v>0</v>
      </c>
    </row>
    <row r="2595" spans="1:9" ht="23.25">
      <c r="A2595" s="4" t="s">
        <v>65</v>
      </c>
      <c r="B2595" s="4"/>
      <c r="C2595" s="4" t="s">
        <v>47</v>
      </c>
      <c r="D2595" s="4"/>
      <c r="E2595" s="1">
        <v>6080645</v>
      </c>
      <c r="F2595" s="1">
        <v>0</v>
      </c>
      <c r="G2595" s="1">
        <v>0</v>
      </c>
      <c r="H2595" s="1">
        <v>0</v>
      </c>
      <c r="I2595" s="1">
        <v>549398</v>
      </c>
    </row>
    <row r="2596" spans="1:9" ht="23.25">
      <c r="A2596" s="4" t="s">
        <v>66</v>
      </c>
      <c r="B2596" s="4"/>
      <c r="C2596" s="4" t="s">
        <v>47</v>
      </c>
      <c r="D2596" s="4"/>
      <c r="E2596" s="1">
        <v>1568170254</v>
      </c>
      <c r="F2596" s="1">
        <v>0</v>
      </c>
      <c r="G2596" s="1">
        <v>0</v>
      </c>
      <c r="H2596" s="1">
        <v>0</v>
      </c>
      <c r="I2596" s="1">
        <v>832922585</v>
      </c>
    </row>
    <row r="2597" spans="1:9" ht="23.25">
      <c r="A2597" s="4" t="s">
        <v>67</v>
      </c>
      <c r="B2597" s="4"/>
      <c r="C2597" s="4" t="s">
        <v>47</v>
      </c>
      <c r="D2597" s="4"/>
      <c r="E2597" s="1">
        <v>182634401</v>
      </c>
      <c r="F2597" s="1">
        <v>0</v>
      </c>
      <c r="G2597" s="1">
        <v>0</v>
      </c>
      <c r="H2597" s="1">
        <v>0</v>
      </c>
      <c r="I2597" s="1">
        <v>0</v>
      </c>
    </row>
    <row r="2598" spans="1:9" ht="23.25">
      <c r="A2598" s="4" t="s">
        <v>68</v>
      </c>
      <c r="B2598" s="4"/>
      <c r="C2598" s="4" t="s">
        <v>47</v>
      </c>
      <c r="D2598" s="4"/>
      <c r="E2598" s="1">
        <v>207807404</v>
      </c>
      <c r="F2598" s="1">
        <v>0</v>
      </c>
      <c r="G2598" s="1">
        <v>0</v>
      </c>
      <c r="H2598" s="1">
        <v>0</v>
      </c>
      <c r="I2598" s="1">
        <v>0</v>
      </c>
    </row>
    <row r="2599" spans="1:9" ht="23.25">
      <c r="A2599" s="4" t="s">
        <v>69</v>
      </c>
      <c r="B2599" s="4"/>
      <c r="C2599" s="4" t="s">
        <v>47</v>
      </c>
      <c r="D2599" s="4"/>
      <c r="E2599" s="1">
        <v>108764737</v>
      </c>
      <c r="F2599" s="1">
        <v>0</v>
      </c>
      <c r="G2599" s="1">
        <v>0</v>
      </c>
      <c r="H2599" s="1">
        <v>0</v>
      </c>
      <c r="I2599" s="1">
        <v>0</v>
      </c>
    </row>
    <row r="2600" spans="1:9" ht="23.25">
      <c r="A2600" s="4" t="s">
        <v>70</v>
      </c>
      <c r="B2600" s="4"/>
      <c r="C2600" s="4" t="s">
        <v>47</v>
      </c>
      <c r="D2600" s="4"/>
      <c r="E2600" s="1">
        <v>115825059</v>
      </c>
      <c r="F2600" s="1">
        <v>0</v>
      </c>
      <c r="G2600" s="1">
        <v>0</v>
      </c>
      <c r="H2600" s="1">
        <v>0</v>
      </c>
      <c r="I2600" s="1">
        <v>0</v>
      </c>
    </row>
    <row r="2601" spans="1:9" ht="23.25">
      <c r="A2601" s="4" t="s">
        <v>71</v>
      </c>
      <c r="B2601" s="4"/>
      <c r="C2601" s="4" t="s">
        <v>47</v>
      </c>
      <c r="D2601" s="4"/>
      <c r="E2601" s="1">
        <v>615031601</v>
      </c>
      <c r="F2601" s="1">
        <v>0</v>
      </c>
      <c r="G2601" s="1">
        <v>0</v>
      </c>
      <c r="H2601" s="1">
        <v>0</v>
      </c>
      <c r="I2601" s="1">
        <v>0</v>
      </c>
    </row>
    <row r="2602" spans="1:9" ht="23.25">
      <c r="A2602" s="4" t="s">
        <v>72</v>
      </c>
      <c r="B2602" s="4"/>
      <c r="C2602" s="4" t="s">
        <v>47</v>
      </c>
      <c r="D2602" s="4"/>
      <c r="E2602" s="1">
        <v>2183201855</v>
      </c>
      <c r="F2602" s="1">
        <v>0</v>
      </c>
      <c r="G2602" s="1">
        <v>0</v>
      </c>
      <c r="H2602" s="1">
        <v>0</v>
      </c>
      <c r="I2602" s="1">
        <v>0</v>
      </c>
    </row>
    <row r="2603" spans="1:9" ht="23.25">
      <c r="A2603" s="4" t="s">
        <v>8</v>
      </c>
      <c r="B2603" s="4"/>
      <c r="C2603" s="4" t="s">
        <v>48</v>
      </c>
      <c r="D2603" s="4"/>
      <c r="E2603" s="1">
        <v>0</v>
      </c>
      <c r="F2603" s="1">
        <v>0</v>
      </c>
      <c r="G2603" s="1">
        <v>0</v>
      </c>
      <c r="H2603" s="1">
        <v>0</v>
      </c>
      <c r="I2603" s="1">
        <v>0</v>
      </c>
    </row>
    <row r="2604" spans="1:9" ht="23.25">
      <c r="A2604" s="4" t="s">
        <v>9</v>
      </c>
      <c r="B2604" s="4"/>
      <c r="C2604" s="4" t="s">
        <v>48</v>
      </c>
      <c r="D2604" s="4"/>
      <c r="E2604" s="1">
        <v>0</v>
      </c>
      <c r="F2604" s="1">
        <v>0</v>
      </c>
      <c r="G2604" s="1">
        <v>0</v>
      </c>
      <c r="H2604" s="1">
        <v>0</v>
      </c>
      <c r="I2604" s="1">
        <v>0</v>
      </c>
    </row>
    <row r="2605" spans="1:9" ht="23.25">
      <c r="A2605" s="4" t="s">
        <v>10</v>
      </c>
      <c r="B2605" s="4"/>
      <c r="C2605" s="4" t="s">
        <v>48</v>
      </c>
      <c r="D2605" s="4"/>
      <c r="E2605" s="1">
        <v>0</v>
      </c>
      <c r="F2605" s="1">
        <v>0</v>
      </c>
      <c r="G2605" s="1">
        <v>0</v>
      </c>
      <c r="H2605" s="1">
        <v>0</v>
      </c>
      <c r="I2605" s="1">
        <v>0</v>
      </c>
    </row>
    <row r="2606" spans="1:9" ht="23.25">
      <c r="A2606" s="4" t="s">
        <v>11</v>
      </c>
      <c r="B2606" s="4"/>
      <c r="C2606" s="4" t="s">
        <v>48</v>
      </c>
      <c r="D2606" s="4"/>
      <c r="E2606" s="1">
        <v>0</v>
      </c>
      <c r="F2606" s="1">
        <v>0</v>
      </c>
      <c r="G2606" s="1">
        <v>0</v>
      </c>
      <c r="H2606" s="1">
        <v>0</v>
      </c>
      <c r="I2606" s="1">
        <v>0</v>
      </c>
    </row>
    <row r="2607" spans="1:9" ht="23.25">
      <c r="A2607" s="4" t="s">
        <v>12</v>
      </c>
      <c r="B2607" s="4"/>
      <c r="C2607" s="4" t="s">
        <v>48</v>
      </c>
      <c r="D2607" s="4"/>
      <c r="E2607" s="1">
        <v>0</v>
      </c>
      <c r="F2607" s="1">
        <v>0</v>
      </c>
      <c r="G2607" s="1">
        <v>0</v>
      </c>
      <c r="H2607" s="1">
        <v>0</v>
      </c>
      <c r="I2607" s="1">
        <v>0</v>
      </c>
    </row>
    <row r="2608" spans="1:9" ht="23.25">
      <c r="A2608" s="4" t="s">
        <v>13</v>
      </c>
      <c r="B2608" s="4"/>
      <c r="C2608" s="4" t="s">
        <v>48</v>
      </c>
      <c r="D2608" s="4"/>
      <c r="E2608" s="1">
        <v>0</v>
      </c>
      <c r="F2608" s="1">
        <v>0</v>
      </c>
      <c r="G2608" s="1">
        <v>0</v>
      </c>
      <c r="H2608" s="1">
        <v>0</v>
      </c>
      <c r="I2608" s="1">
        <v>0</v>
      </c>
    </row>
    <row r="2609" spans="1:9" ht="23.25">
      <c r="A2609" s="4" t="s">
        <v>14</v>
      </c>
      <c r="B2609" s="4"/>
      <c r="C2609" s="4" t="s">
        <v>48</v>
      </c>
      <c r="D2609" s="4"/>
      <c r="E2609" s="1">
        <v>15939</v>
      </c>
      <c r="F2609" s="1">
        <v>92</v>
      </c>
      <c r="G2609" s="1">
        <v>0</v>
      </c>
      <c r="H2609" s="1">
        <v>110</v>
      </c>
      <c r="I2609" s="1">
        <v>0</v>
      </c>
    </row>
    <row r="2610" spans="1:9" ht="23.25">
      <c r="A2610" s="4" t="s">
        <v>15</v>
      </c>
      <c r="B2610" s="4"/>
      <c r="C2610" s="4" t="s">
        <v>48</v>
      </c>
      <c r="D2610" s="4"/>
      <c r="E2610" s="1">
        <v>0</v>
      </c>
      <c r="F2610" s="1">
        <v>0</v>
      </c>
      <c r="G2610" s="1">
        <v>0</v>
      </c>
      <c r="H2610" s="1">
        <v>0</v>
      </c>
      <c r="I2610" s="1">
        <v>0</v>
      </c>
    </row>
    <row r="2611" spans="1:9" ht="23.25">
      <c r="A2611" s="4" t="s">
        <v>16</v>
      </c>
      <c r="B2611" s="4"/>
      <c r="C2611" s="4" t="s">
        <v>48</v>
      </c>
      <c r="D2611" s="4"/>
      <c r="E2611" s="1">
        <v>0</v>
      </c>
      <c r="F2611" s="1">
        <v>0</v>
      </c>
      <c r="G2611" s="1">
        <v>0</v>
      </c>
      <c r="H2611" s="1">
        <v>0</v>
      </c>
      <c r="I2611" s="1">
        <v>0</v>
      </c>
    </row>
    <row r="2612" spans="1:9" ht="23.25">
      <c r="A2612" s="4" t="s">
        <v>17</v>
      </c>
      <c r="B2612" s="4"/>
      <c r="C2612" s="4" t="s">
        <v>48</v>
      </c>
      <c r="D2612" s="4"/>
      <c r="E2612" s="1">
        <v>7227</v>
      </c>
      <c r="F2612" s="1">
        <v>188</v>
      </c>
      <c r="G2612" s="1">
        <v>0</v>
      </c>
      <c r="H2612" s="1">
        <v>165</v>
      </c>
      <c r="I2612" s="1">
        <v>646</v>
      </c>
    </row>
    <row r="2613" spans="1:9" ht="23.25">
      <c r="A2613" s="4" t="s">
        <v>18</v>
      </c>
      <c r="B2613" s="4"/>
      <c r="C2613" s="4" t="s">
        <v>48</v>
      </c>
      <c r="D2613" s="4"/>
      <c r="E2613" s="1">
        <v>0</v>
      </c>
      <c r="F2613" s="1">
        <v>0</v>
      </c>
      <c r="G2613" s="1">
        <v>0</v>
      </c>
      <c r="H2613" s="1">
        <v>0</v>
      </c>
      <c r="I2613" s="1">
        <v>0</v>
      </c>
    </row>
    <row r="2614" spans="1:9" ht="23.25">
      <c r="A2614" s="4" t="s">
        <v>19</v>
      </c>
      <c r="B2614" s="4"/>
      <c r="C2614" s="4" t="s">
        <v>48</v>
      </c>
      <c r="D2614" s="4"/>
      <c r="E2614" s="1">
        <v>0</v>
      </c>
      <c r="F2614" s="1">
        <v>0</v>
      </c>
      <c r="G2614" s="1">
        <v>0</v>
      </c>
      <c r="H2614" s="1">
        <v>0</v>
      </c>
      <c r="I2614" s="1">
        <v>0</v>
      </c>
    </row>
    <row r="2615" spans="1:9" ht="23.25">
      <c r="A2615" s="4" t="s">
        <v>20</v>
      </c>
      <c r="B2615" s="4"/>
      <c r="C2615" s="4" t="s">
        <v>48</v>
      </c>
      <c r="D2615" s="4"/>
      <c r="E2615" s="1">
        <v>0</v>
      </c>
      <c r="F2615" s="1">
        <v>0</v>
      </c>
      <c r="G2615" s="1">
        <v>0</v>
      </c>
      <c r="H2615" s="1">
        <v>0</v>
      </c>
      <c r="I2615" s="1">
        <v>0</v>
      </c>
    </row>
    <row r="2616" spans="1:9" ht="23.25">
      <c r="A2616" s="4" t="s">
        <v>21</v>
      </c>
      <c r="B2616" s="4"/>
      <c r="C2616" s="4" t="s">
        <v>48</v>
      </c>
      <c r="D2616" s="4"/>
      <c r="E2616" s="1">
        <v>114389</v>
      </c>
      <c r="F2616" s="1">
        <v>15234</v>
      </c>
      <c r="G2616" s="1">
        <v>0</v>
      </c>
      <c r="H2616" s="1">
        <v>13911</v>
      </c>
      <c r="I2616" s="1">
        <v>0</v>
      </c>
    </row>
    <row r="2617" spans="1:9" ht="23.25">
      <c r="A2617" s="4" t="s">
        <v>22</v>
      </c>
      <c r="B2617" s="4"/>
      <c r="C2617" s="4" t="s">
        <v>48</v>
      </c>
      <c r="D2617" s="4"/>
      <c r="E2617" s="1">
        <v>0</v>
      </c>
      <c r="F2617" s="1">
        <v>0</v>
      </c>
      <c r="G2617" s="1">
        <v>0</v>
      </c>
      <c r="H2617" s="1">
        <v>0</v>
      </c>
      <c r="I2617" s="1">
        <v>0</v>
      </c>
    </row>
    <row r="2618" spans="1:9" ht="23.25">
      <c r="A2618" s="4" t="s">
        <v>23</v>
      </c>
      <c r="B2618" s="4"/>
      <c r="C2618" s="4" t="s">
        <v>48</v>
      </c>
      <c r="D2618" s="4"/>
      <c r="E2618" s="1">
        <v>0</v>
      </c>
      <c r="F2618" s="1">
        <v>0</v>
      </c>
      <c r="G2618" s="1">
        <v>0</v>
      </c>
      <c r="H2618" s="1">
        <v>0</v>
      </c>
      <c r="I2618" s="1">
        <v>0</v>
      </c>
    </row>
    <row r="2619" spans="1:9" ht="23.25">
      <c r="A2619" s="4" t="s">
        <v>24</v>
      </c>
      <c r="B2619" s="4"/>
      <c r="C2619" s="4" t="s">
        <v>48</v>
      </c>
      <c r="D2619" s="4"/>
      <c r="E2619" s="1">
        <v>0</v>
      </c>
      <c r="F2619" s="1">
        <v>0</v>
      </c>
      <c r="G2619" s="1">
        <v>0</v>
      </c>
      <c r="H2619" s="1">
        <v>0</v>
      </c>
      <c r="I2619" s="1">
        <v>0</v>
      </c>
    </row>
    <row r="2620" spans="1:9" ht="23.25">
      <c r="A2620" s="4" t="s">
        <v>25</v>
      </c>
      <c r="B2620" s="4"/>
      <c r="C2620" s="4" t="s">
        <v>48</v>
      </c>
      <c r="D2620" s="4"/>
      <c r="E2620" s="1">
        <v>0</v>
      </c>
      <c r="F2620" s="1">
        <v>0</v>
      </c>
      <c r="G2620" s="1">
        <v>0</v>
      </c>
      <c r="H2620" s="1">
        <v>0</v>
      </c>
      <c r="I2620" s="1">
        <v>0</v>
      </c>
    </row>
    <row r="2621" spans="1:9" ht="23.25">
      <c r="A2621" s="4" t="s">
        <v>26</v>
      </c>
      <c r="B2621" s="4"/>
      <c r="C2621" s="4" t="s">
        <v>48</v>
      </c>
      <c r="D2621" s="4"/>
      <c r="E2621" s="1">
        <v>0</v>
      </c>
      <c r="F2621" s="1">
        <v>0</v>
      </c>
      <c r="G2621" s="1">
        <v>0</v>
      </c>
      <c r="H2621" s="1">
        <v>0</v>
      </c>
      <c r="I2621" s="1">
        <v>0</v>
      </c>
    </row>
    <row r="2622" spans="1:9" ht="23.25">
      <c r="A2622" s="4" t="s">
        <v>27</v>
      </c>
      <c r="B2622" s="4"/>
      <c r="C2622" s="4" t="s">
        <v>48</v>
      </c>
      <c r="D2622" s="4"/>
      <c r="E2622" s="1">
        <v>0</v>
      </c>
      <c r="F2622" s="1">
        <v>0</v>
      </c>
      <c r="G2622" s="1">
        <v>0</v>
      </c>
      <c r="H2622" s="1">
        <v>0</v>
      </c>
      <c r="I2622" s="1">
        <v>0</v>
      </c>
    </row>
    <row r="2623" spans="1:9" ht="23.25">
      <c r="A2623" s="4" t="s">
        <v>28</v>
      </c>
      <c r="B2623" s="4"/>
      <c r="C2623" s="4" t="s">
        <v>48</v>
      </c>
      <c r="D2623" s="4"/>
      <c r="E2623" s="1">
        <v>0</v>
      </c>
      <c r="F2623" s="1">
        <v>0</v>
      </c>
      <c r="G2623" s="1">
        <v>0</v>
      </c>
      <c r="H2623" s="1">
        <v>0</v>
      </c>
      <c r="I2623" s="1">
        <v>0</v>
      </c>
    </row>
    <row r="2624" spans="1:9" ht="23.25">
      <c r="A2624" s="4" t="s">
        <v>29</v>
      </c>
      <c r="B2624" s="4"/>
      <c r="C2624" s="4" t="s">
        <v>48</v>
      </c>
      <c r="D2624" s="4"/>
      <c r="E2624" s="1">
        <v>0</v>
      </c>
      <c r="F2624" s="1">
        <v>0</v>
      </c>
      <c r="G2624" s="1">
        <v>0</v>
      </c>
      <c r="H2624" s="1">
        <v>0</v>
      </c>
      <c r="I2624" s="1">
        <v>0</v>
      </c>
    </row>
    <row r="2625" spans="1:9" ht="23.25">
      <c r="A2625" s="4" t="s">
        <v>30</v>
      </c>
      <c r="B2625" s="4"/>
      <c r="C2625" s="4" t="s">
        <v>48</v>
      </c>
      <c r="D2625" s="4"/>
      <c r="E2625" s="1">
        <v>49849</v>
      </c>
      <c r="F2625" s="1">
        <v>2479</v>
      </c>
      <c r="G2625" s="1">
        <v>1270</v>
      </c>
      <c r="H2625" s="1">
        <v>231</v>
      </c>
      <c r="I2625" s="1">
        <v>0</v>
      </c>
    </row>
    <row r="2626" spans="1:9" ht="23.25">
      <c r="A2626" s="4" t="s">
        <v>31</v>
      </c>
      <c r="B2626" s="4"/>
      <c r="C2626" s="4" t="s">
        <v>48</v>
      </c>
      <c r="D2626" s="4"/>
      <c r="E2626" s="1">
        <v>1593070</v>
      </c>
      <c r="F2626" s="1">
        <v>76128</v>
      </c>
      <c r="G2626" s="1">
        <v>141398</v>
      </c>
      <c r="H2626" s="1">
        <v>8067</v>
      </c>
      <c r="I2626" s="1">
        <v>93661</v>
      </c>
    </row>
    <row r="2627" spans="1:9" ht="23.25">
      <c r="A2627" s="4" t="s">
        <v>32</v>
      </c>
      <c r="B2627" s="4"/>
      <c r="C2627" s="4" t="s">
        <v>48</v>
      </c>
      <c r="D2627" s="4"/>
      <c r="E2627" s="1">
        <v>34481</v>
      </c>
      <c r="F2627" s="1">
        <v>796</v>
      </c>
      <c r="G2627" s="1">
        <v>499</v>
      </c>
      <c r="H2627" s="1">
        <v>267</v>
      </c>
      <c r="I2627" s="1">
        <v>0</v>
      </c>
    </row>
    <row r="2628" spans="1:9" ht="23.25">
      <c r="A2628" s="4" t="s">
        <v>33</v>
      </c>
      <c r="B2628" s="4"/>
      <c r="C2628" s="4" t="s">
        <v>48</v>
      </c>
      <c r="D2628" s="4"/>
      <c r="E2628" s="1">
        <v>5436</v>
      </c>
      <c r="F2628" s="1">
        <v>125</v>
      </c>
      <c r="G2628" s="1">
        <v>255</v>
      </c>
      <c r="H2628" s="1">
        <v>43</v>
      </c>
      <c r="I2628" s="1">
        <v>0</v>
      </c>
    </row>
    <row r="2629" spans="1:9" ht="23.25">
      <c r="A2629" s="4" t="s">
        <v>34</v>
      </c>
      <c r="B2629" s="4"/>
      <c r="C2629" s="4" t="s">
        <v>48</v>
      </c>
      <c r="D2629" s="4"/>
      <c r="E2629" s="1">
        <v>2388325</v>
      </c>
      <c r="F2629" s="1">
        <v>281302</v>
      </c>
      <c r="G2629" s="1">
        <v>151290</v>
      </c>
      <c r="H2629" s="1">
        <v>29012</v>
      </c>
      <c r="I2629" s="1">
        <v>583325</v>
      </c>
    </row>
    <row r="2630" spans="1:9" ht="23.25">
      <c r="A2630" s="4" t="s">
        <v>35</v>
      </c>
      <c r="B2630" s="4"/>
      <c r="C2630" s="4" t="s">
        <v>48</v>
      </c>
      <c r="D2630" s="4"/>
      <c r="E2630" s="1">
        <v>0</v>
      </c>
      <c r="F2630" s="1">
        <v>0</v>
      </c>
      <c r="G2630" s="1">
        <v>0</v>
      </c>
      <c r="H2630" s="1">
        <v>0</v>
      </c>
      <c r="I2630" s="1">
        <v>0</v>
      </c>
    </row>
    <row r="2631" spans="1:9" ht="23.25">
      <c r="A2631" s="4" t="s">
        <v>36</v>
      </c>
      <c r="B2631" s="4"/>
      <c r="C2631" s="4" t="s">
        <v>48</v>
      </c>
      <c r="D2631" s="4"/>
      <c r="E2631" s="1">
        <v>3416810</v>
      </c>
      <c r="F2631" s="1">
        <v>212683</v>
      </c>
      <c r="G2631" s="1">
        <v>248204</v>
      </c>
      <c r="H2631" s="1">
        <v>31072</v>
      </c>
      <c r="I2631" s="1">
        <v>749752</v>
      </c>
    </row>
    <row r="2632" spans="1:9" ht="23.25">
      <c r="A2632" s="4" t="s">
        <v>37</v>
      </c>
      <c r="B2632" s="4"/>
      <c r="C2632" s="4" t="s">
        <v>48</v>
      </c>
      <c r="D2632" s="4"/>
      <c r="E2632" s="1">
        <v>1068799</v>
      </c>
      <c r="F2632" s="1">
        <v>27130</v>
      </c>
      <c r="G2632" s="1">
        <v>27206</v>
      </c>
      <c r="H2632" s="1">
        <v>8569</v>
      </c>
      <c r="I2632" s="1">
        <v>150627</v>
      </c>
    </row>
    <row r="2633" spans="1:9" ht="23.25">
      <c r="A2633" s="4" t="s">
        <v>38</v>
      </c>
      <c r="B2633" s="4"/>
      <c r="C2633" s="4" t="s">
        <v>48</v>
      </c>
      <c r="D2633" s="4"/>
      <c r="E2633" s="1">
        <v>197279</v>
      </c>
      <c r="F2633" s="1">
        <v>13952</v>
      </c>
      <c r="G2633" s="1">
        <v>24083</v>
      </c>
      <c r="H2633" s="1">
        <v>4550</v>
      </c>
      <c r="I2633" s="1">
        <v>147746</v>
      </c>
    </row>
    <row r="2634" spans="1:9" ht="23.25">
      <c r="A2634" s="4" t="s">
        <v>39</v>
      </c>
      <c r="B2634" s="4"/>
      <c r="C2634" s="4" t="s">
        <v>48</v>
      </c>
      <c r="D2634" s="4"/>
      <c r="E2634" s="1">
        <v>615738</v>
      </c>
      <c r="F2634" s="1">
        <v>10898</v>
      </c>
      <c r="G2634" s="1">
        <v>10741</v>
      </c>
      <c r="H2634" s="1">
        <v>4124</v>
      </c>
      <c r="I2634" s="1">
        <v>149380</v>
      </c>
    </row>
    <row r="2635" spans="1:9" ht="23.25">
      <c r="A2635" s="4" t="s">
        <v>40</v>
      </c>
      <c r="B2635" s="4"/>
      <c r="C2635" s="4" t="s">
        <v>48</v>
      </c>
      <c r="D2635" s="4"/>
      <c r="E2635" s="1">
        <v>15342</v>
      </c>
      <c r="F2635" s="1">
        <v>848</v>
      </c>
      <c r="G2635" s="1">
        <v>504</v>
      </c>
      <c r="H2635" s="1">
        <v>226</v>
      </c>
      <c r="I2635" s="1">
        <v>0</v>
      </c>
    </row>
    <row r="2636" spans="1:9" ht="23.25">
      <c r="A2636" s="4" t="s">
        <v>41</v>
      </c>
      <c r="B2636" s="4"/>
      <c r="C2636" s="4" t="s">
        <v>48</v>
      </c>
      <c r="D2636" s="4"/>
      <c r="E2636" s="1">
        <v>3803442</v>
      </c>
      <c r="F2636" s="1">
        <v>212841</v>
      </c>
      <c r="G2636" s="1">
        <v>190863</v>
      </c>
      <c r="H2636" s="1">
        <v>33862</v>
      </c>
      <c r="I2636" s="1">
        <v>10967</v>
      </c>
    </row>
    <row r="2637" spans="1:9" ht="23.25">
      <c r="A2637" s="4" t="s">
        <v>42</v>
      </c>
      <c r="B2637" s="4"/>
      <c r="C2637" s="4" t="s">
        <v>48</v>
      </c>
      <c r="D2637" s="4"/>
      <c r="E2637" s="1">
        <v>10224733</v>
      </c>
      <c r="F2637" s="1">
        <v>387892</v>
      </c>
      <c r="G2637" s="1">
        <v>1016068</v>
      </c>
      <c r="H2637" s="1">
        <v>113481</v>
      </c>
      <c r="I2637" s="1">
        <v>3705077</v>
      </c>
    </row>
    <row r="2638" spans="1:9" ht="23.25">
      <c r="A2638" s="4" t="s">
        <v>43</v>
      </c>
      <c r="B2638" s="4"/>
      <c r="C2638" s="4" t="s">
        <v>48</v>
      </c>
      <c r="D2638" s="4"/>
      <c r="E2638" s="1">
        <v>2604719</v>
      </c>
      <c r="F2638" s="1">
        <v>100502</v>
      </c>
      <c r="G2638" s="1">
        <v>46196</v>
      </c>
      <c r="H2638" s="1">
        <v>3750</v>
      </c>
      <c r="I2638" s="1">
        <v>1562690</v>
      </c>
    </row>
    <row r="2639" spans="1:9" ht="23.25">
      <c r="A2639" s="4" t="s">
        <v>44</v>
      </c>
      <c r="B2639" s="4"/>
      <c r="C2639" s="4" t="s">
        <v>48</v>
      </c>
      <c r="D2639" s="4"/>
      <c r="E2639" s="1">
        <v>3884996</v>
      </c>
      <c r="F2639" s="1">
        <v>33024</v>
      </c>
      <c r="G2639" s="1">
        <v>113632</v>
      </c>
      <c r="H2639" s="1">
        <v>7327</v>
      </c>
      <c r="I2639" s="1">
        <v>3388197</v>
      </c>
    </row>
    <row r="2640" spans="1:9" ht="23.25">
      <c r="A2640" s="4" t="s">
        <v>45</v>
      </c>
      <c r="B2640" s="4"/>
      <c r="C2640" s="4" t="s">
        <v>48</v>
      </c>
      <c r="D2640" s="4"/>
      <c r="E2640" s="1">
        <v>10864624</v>
      </c>
      <c r="F2640" s="1">
        <v>1098886</v>
      </c>
      <c r="G2640" s="1">
        <v>15685</v>
      </c>
      <c r="H2640" s="1">
        <v>57927</v>
      </c>
      <c r="I2640" s="1">
        <v>2137678</v>
      </c>
    </row>
    <row r="2641" spans="1:9" ht="23.25">
      <c r="A2641" s="4" t="s">
        <v>46</v>
      </c>
      <c r="B2641" s="4"/>
      <c r="C2641" s="4" t="s">
        <v>48</v>
      </c>
      <c r="D2641" s="4"/>
      <c r="E2641" s="1">
        <v>4126709</v>
      </c>
      <c r="F2641" s="1">
        <v>132061</v>
      </c>
      <c r="G2641" s="1">
        <v>108314</v>
      </c>
      <c r="H2641" s="1">
        <v>20486</v>
      </c>
      <c r="I2641" s="1">
        <v>2031643</v>
      </c>
    </row>
    <row r="2642" spans="1:9" ht="23.25">
      <c r="A2642" s="4" t="s">
        <v>47</v>
      </c>
      <c r="B2642" s="4"/>
      <c r="C2642" s="4" t="s">
        <v>48</v>
      </c>
      <c r="D2642" s="4"/>
      <c r="E2642" s="1">
        <v>309271</v>
      </c>
      <c r="F2642" s="1">
        <v>15546</v>
      </c>
      <c r="G2642" s="1">
        <v>33287</v>
      </c>
      <c r="H2642" s="1">
        <v>1465</v>
      </c>
      <c r="I2642" s="1">
        <v>113580</v>
      </c>
    </row>
    <row r="2643" spans="1:9" ht="23.25">
      <c r="A2643" s="4" t="s">
        <v>48</v>
      </c>
      <c r="B2643" s="4"/>
      <c r="C2643" s="4" t="s">
        <v>48</v>
      </c>
      <c r="D2643" s="4"/>
      <c r="E2643" s="1">
        <v>11047837</v>
      </c>
      <c r="F2643" s="1">
        <v>187535</v>
      </c>
      <c r="G2643" s="1">
        <v>84753</v>
      </c>
      <c r="H2643" s="1">
        <v>62120</v>
      </c>
      <c r="I2643" s="1">
        <v>7651800</v>
      </c>
    </row>
    <row r="2644" spans="1:9" ht="23.25">
      <c r="A2644" s="4" t="s">
        <v>49</v>
      </c>
      <c r="B2644" s="4"/>
      <c r="C2644" s="4" t="s">
        <v>48</v>
      </c>
      <c r="D2644" s="4"/>
      <c r="E2644" s="1">
        <v>40927</v>
      </c>
      <c r="F2644" s="1">
        <v>2597</v>
      </c>
      <c r="G2644" s="1">
        <v>6529</v>
      </c>
      <c r="H2644" s="1">
        <v>312</v>
      </c>
      <c r="I2644" s="1">
        <v>0</v>
      </c>
    </row>
    <row r="2645" spans="1:9" ht="23.25">
      <c r="A2645" s="4" t="s">
        <v>50</v>
      </c>
      <c r="B2645" s="4"/>
      <c r="C2645" s="4" t="s">
        <v>48</v>
      </c>
      <c r="D2645" s="4"/>
      <c r="E2645" s="1">
        <v>2696168</v>
      </c>
      <c r="F2645" s="1">
        <v>150240</v>
      </c>
      <c r="G2645" s="1">
        <v>186316</v>
      </c>
      <c r="H2645" s="1">
        <v>24109</v>
      </c>
      <c r="I2645" s="1">
        <v>0</v>
      </c>
    </row>
    <row r="2646" spans="1:9" ht="23.25">
      <c r="A2646" s="4" t="s">
        <v>51</v>
      </c>
      <c r="B2646" s="4"/>
      <c r="C2646" s="4" t="s">
        <v>48</v>
      </c>
      <c r="D2646" s="4"/>
      <c r="E2646" s="1">
        <v>128116</v>
      </c>
      <c r="F2646" s="1">
        <v>5473</v>
      </c>
      <c r="G2646" s="1">
        <v>5849</v>
      </c>
      <c r="H2646" s="1">
        <v>1098</v>
      </c>
      <c r="I2646" s="1">
        <v>0</v>
      </c>
    </row>
    <row r="2647" spans="1:9" ht="23.25">
      <c r="A2647" s="4" t="s">
        <v>52</v>
      </c>
      <c r="B2647" s="4"/>
      <c r="C2647" s="4" t="s">
        <v>48</v>
      </c>
      <c r="D2647" s="4"/>
      <c r="E2647" s="1">
        <v>2571562</v>
      </c>
      <c r="F2647" s="1">
        <v>6943</v>
      </c>
      <c r="G2647" s="1">
        <v>8144</v>
      </c>
      <c r="H2647" s="1">
        <v>3038</v>
      </c>
      <c r="I2647" s="1">
        <v>0</v>
      </c>
    </row>
    <row r="2648" spans="1:9" ht="23.25">
      <c r="A2648" s="4" t="s">
        <v>53</v>
      </c>
      <c r="B2648" s="4"/>
      <c r="C2648" s="4" t="s">
        <v>48</v>
      </c>
      <c r="D2648" s="4"/>
      <c r="E2648" s="1">
        <v>40909</v>
      </c>
      <c r="F2648" s="1">
        <v>0</v>
      </c>
      <c r="G2648" s="1">
        <v>0</v>
      </c>
      <c r="H2648" s="1">
        <v>0</v>
      </c>
      <c r="I2648" s="1">
        <v>0</v>
      </c>
    </row>
    <row r="2649" spans="1:9" ht="23.25">
      <c r="A2649" s="4" t="s">
        <v>54</v>
      </c>
      <c r="B2649" s="4"/>
      <c r="C2649" s="4" t="s">
        <v>48</v>
      </c>
      <c r="D2649" s="4"/>
      <c r="E2649" s="1">
        <v>66503</v>
      </c>
      <c r="F2649" s="1">
        <v>0</v>
      </c>
      <c r="G2649" s="1">
        <v>0</v>
      </c>
      <c r="H2649" s="1">
        <v>0</v>
      </c>
      <c r="I2649" s="1">
        <v>0</v>
      </c>
    </row>
    <row r="2650" spans="1:9" ht="23.25">
      <c r="A2650" s="4" t="s">
        <v>55</v>
      </c>
      <c r="B2650" s="4"/>
      <c r="C2650" s="4" t="s">
        <v>48</v>
      </c>
      <c r="D2650" s="4"/>
      <c r="E2650" s="1">
        <v>0</v>
      </c>
      <c r="F2650" s="1">
        <v>0</v>
      </c>
      <c r="G2650" s="1">
        <v>0</v>
      </c>
      <c r="H2650" s="1">
        <v>0</v>
      </c>
      <c r="I2650" s="1">
        <v>0</v>
      </c>
    </row>
    <row r="2651" spans="1:9" ht="23.25">
      <c r="A2651" s="4" t="s">
        <v>56</v>
      </c>
      <c r="B2651" s="4"/>
      <c r="C2651" s="4" t="s">
        <v>48</v>
      </c>
      <c r="D2651" s="4"/>
      <c r="E2651" s="1">
        <v>0</v>
      </c>
      <c r="F2651" s="1">
        <v>-2975395</v>
      </c>
      <c r="G2651" s="1">
        <v>-2421086</v>
      </c>
      <c r="H2651" s="1">
        <v>0</v>
      </c>
      <c r="I2651" s="1">
        <v>0</v>
      </c>
    </row>
    <row r="2652" spans="1:9" ht="23.25">
      <c r="A2652" s="4" t="s">
        <v>57</v>
      </c>
      <c r="B2652" s="4"/>
      <c r="C2652" s="4" t="s">
        <v>48</v>
      </c>
      <c r="D2652" s="4"/>
      <c r="E2652" s="1">
        <v>419365</v>
      </c>
      <c r="F2652" s="1">
        <v>0</v>
      </c>
      <c r="G2652" s="1">
        <v>0</v>
      </c>
      <c r="H2652" s="1">
        <v>0</v>
      </c>
      <c r="I2652" s="1">
        <v>0</v>
      </c>
    </row>
    <row r="2653" spans="1:9" ht="23.25">
      <c r="A2653" s="4" t="s">
        <v>58</v>
      </c>
      <c r="B2653" s="4"/>
      <c r="C2653" s="4" t="s">
        <v>48</v>
      </c>
      <c r="D2653" s="4"/>
      <c r="E2653" s="1">
        <v>274455</v>
      </c>
      <c r="F2653" s="1">
        <v>0</v>
      </c>
      <c r="G2653" s="1">
        <v>0</v>
      </c>
      <c r="H2653" s="1">
        <v>-429322</v>
      </c>
      <c r="I2653" s="1">
        <v>0</v>
      </c>
    </row>
    <row r="2654" spans="1:9" ht="23.25">
      <c r="A2654" s="4" t="s">
        <v>59</v>
      </c>
      <c r="B2654" s="4"/>
      <c r="C2654" s="4" t="s">
        <v>48</v>
      </c>
      <c r="D2654" s="4"/>
      <c r="E2654" s="1">
        <v>106894</v>
      </c>
      <c r="F2654" s="1">
        <v>0</v>
      </c>
      <c r="G2654" s="1">
        <v>0</v>
      </c>
      <c r="H2654" s="1">
        <v>0</v>
      </c>
      <c r="I2654" s="1">
        <v>0</v>
      </c>
    </row>
    <row r="2655" spans="1:9" ht="23.25">
      <c r="A2655" s="4" t="s">
        <v>60</v>
      </c>
      <c r="B2655" s="4"/>
      <c r="C2655" s="4" t="s">
        <v>48</v>
      </c>
      <c r="D2655" s="4"/>
      <c r="E2655" s="1">
        <v>2002589</v>
      </c>
      <c r="F2655" s="1">
        <v>0</v>
      </c>
      <c r="G2655" s="1">
        <v>0</v>
      </c>
      <c r="H2655" s="1">
        <v>0</v>
      </c>
      <c r="I2655" s="1">
        <v>0</v>
      </c>
    </row>
    <row r="2656" spans="1:9" ht="23.25">
      <c r="A2656" s="4" t="s">
        <v>61</v>
      </c>
      <c r="B2656" s="4"/>
      <c r="C2656" s="4" t="s">
        <v>48</v>
      </c>
      <c r="D2656" s="4"/>
      <c r="E2656" s="1">
        <v>81325</v>
      </c>
      <c r="F2656" s="1">
        <v>0</v>
      </c>
      <c r="G2656" s="1">
        <v>0</v>
      </c>
      <c r="H2656" s="1">
        <v>0</v>
      </c>
      <c r="I2656" s="1">
        <v>0</v>
      </c>
    </row>
    <row r="2657" spans="1:9" ht="23.25">
      <c r="A2657" s="4" t="s">
        <v>62</v>
      </c>
      <c r="B2657" s="4"/>
      <c r="C2657" s="4" t="s">
        <v>48</v>
      </c>
      <c r="D2657" s="4"/>
      <c r="E2657" s="1">
        <v>606126</v>
      </c>
      <c r="F2657" s="1">
        <v>0</v>
      </c>
      <c r="G2657" s="1">
        <v>0</v>
      </c>
      <c r="H2657" s="1">
        <v>0</v>
      </c>
      <c r="I2657" s="1">
        <v>0</v>
      </c>
    </row>
    <row r="2658" spans="1:9" ht="23.25">
      <c r="A2658" s="4" t="s">
        <v>63</v>
      </c>
      <c r="B2658" s="4"/>
      <c r="C2658" s="4" t="s">
        <v>48</v>
      </c>
      <c r="D2658" s="4"/>
      <c r="E2658" s="1">
        <v>20994</v>
      </c>
      <c r="F2658" s="1">
        <v>0</v>
      </c>
      <c r="G2658" s="1">
        <v>0</v>
      </c>
      <c r="H2658" s="1">
        <v>0</v>
      </c>
      <c r="I2658" s="1">
        <v>0</v>
      </c>
    </row>
    <row r="2659" spans="1:9" ht="23.25">
      <c r="A2659" s="4" t="s">
        <v>64</v>
      </c>
      <c r="B2659" s="4"/>
      <c r="C2659" s="4" t="s">
        <v>48</v>
      </c>
      <c r="D2659" s="4"/>
      <c r="E2659" s="1">
        <v>104314</v>
      </c>
      <c r="F2659" s="1">
        <v>0</v>
      </c>
      <c r="G2659" s="1">
        <v>0</v>
      </c>
      <c r="H2659" s="1">
        <v>0</v>
      </c>
      <c r="I2659" s="1">
        <v>0</v>
      </c>
    </row>
    <row r="2660" spans="1:9" ht="23.25">
      <c r="A2660" s="4" t="s">
        <v>65</v>
      </c>
      <c r="B2660" s="4"/>
      <c r="C2660" s="4" t="s">
        <v>48</v>
      </c>
      <c r="D2660" s="4"/>
      <c r="E2660" s="1">
        <v>527589</v>
      </c>
      <c r="F2660" s="1">
        <v>0</v>
      </c>
      <c r="G2660" s="1">
        <v>0</v>
      </c>
      <c r="H2660" s="1">
        <v>0</v>
      </c>
      <c r="I2660" s="1">
        <v>53016</v>
      </c>
    </row>
    <row r="2661" spans="1:9" ht="23.25">
      <c r="A2661" s="4" t="s">
        <v>66</v>
      </c>
      <c r="B2661" s="4"/>
      <c r="C2661" s="4" t="s">
        <v>48</v>
      </c>
      <c r="D2661" s="4"/>
      <c r="E2661" s="1">
        <v>66076851</v>
      </c>
      <c r="F2661" s="1">
        <v>0</v>
      </c>
      <c r="G2661" s="1">
        <v>0</v>
      </c>
      <c r="H2661" s="1">
        <v>0</v>
      </c>
      <c r="I2661" s="1">
        <v>22529785</v>
      </c>
    </row>
    <row r="2662" spans="1:9" ht="23.25">
      <c r="A2662" s="4" t="s">
        <v>67</v>
      </c>
      <c r="B2662" s="4"/>
      <c r="C2662" s="4" t="s">
        <v>48</v>
      </c>
      <c r="D2662" s="4"/>
      <c r="E2662" s="1">
        <v>14952073</v>
      </c>
      <c r="F2662" s="1">
        <v>0</v>
      </c>
      <c r="G2662" s="1">
        <v>0</v>
      </c>
      <c r="H2662" s="1">
        <v>0</v>
      </c>
      <c r="I2662" s="1">
        <v>0</v>
      </c>
    </row>
    <row r="2663" spans="1:9" ht="23.25">
      <c r="A2663" s="4" t="s">
        <v>68</v>
      </c>
      <c r="B2663" s="4"/>
      <c r="C2663" s="4" t="s">
        <v>48</v>
      </c>
      <c r="D2663" s="4"/>
      <c r="E2663" s="1">
        <v>22816474</v>
      </c>
      <c r="F2663" s="1">
        <v>0</v>
      </c>
      <c r="G2663" s="1">
        <v>0</v>
      </c>
      <c r="H2663" s="1">
        <v>0</v>
      </c>
      <c r="I2663" s="1">
        <v>0</v>
      </c>
    </row>
    <row r="2664" spans="1:9" ht="23.25">
      <c r="A2664" s="4" t="s">
        <v>69</v>
      </c>
      <c r="B2664" s="4"/>
      <c r="C2664" s="4" t="s">
        <v>48</v>
      </c>
      <c r="D2664" s="4"/>
      <c r="E2664" s="1">
        <v>6793652</v>
      </c>
      <c r="F2664" s="1">
        <v>0</v>
      </c>
      <c r="G2664" s="1">
        <v>0</v>
      </c>
      <c r="H2664" s="1">
        <v>0</v>
      </c>
      <c r="I2664" s="1">
        <v>0</v>
      </c>
    </row>
    <row r="2665" spans="1:9" ht="23.25">
      <c r="A2665" s="4" t="s">
        <v>70</v>
      </c>
      <c r="B2665" s="4"/>
      <c r="C2665" s="4" t="s">
        <v>48</v>
      </c>
      <c r="D2665" s="4"/>
      <c r="E2665" s="1">
        <v>2387607</v>
      </c>
      <c r="F2665" s="1">
        <v>0</v>
      </c>
      <c r="G2665" s="1">
        <v>0</v>
      </c>
      <c r="H2665" s="1">
        <v>0</v>
      </c>
      <c r="I2665" s="1">
        <v>0</v>
      </c>
    </row>
    <row r="2666" spans="1:9" ht="23.25">
      <c r="A2666" s="4" t="s">
        <v>71</v>
      </c>
      <c r="B2666" s="4"/>
      <c r="C2666" s="4" t="s">
        <v>48</v>
      </c>
      <c r="D2666" s="4"/>
      <c r="E2666" s="1">
        <v>46949806</v>
      </c>
      <c r="F2666" s="1">
        <v>0</v>
      </c>
      <c r="G2666" s="1">
        <v>0</v>
      </c>
      <c r="H2666" s="1">
        <v>0</v>
      </c>
      <c r="I2666" s="1">
        <v>0</v>
      </c>
    </row>
    <row r="2667" spans="1:9" ht="23.25">
      <c r="A2667" s="4" t="s">
        <v>72</v>
      </c>
      <c r="B2667" s="4"/>
      <c r="C2667" s="4" t="s">
        <v>48</v>
      </c>
      <c r="D2667" s="4"/>
      <c r="E2667" s="1">
        <v>113026657</v>
      </c>
      <c r="F2667" s="1">
        <v>0</v>
      </c>
      <c r="G2667" s="1">
        <v>0</v>
      </c>
      <c r="H2667" s="1">
        <v>0</v>
      </c>
      <c r="I2667" s="1">
        <v>0</v>
      </c>
    </row>
    <row r="2668" spans="1:9" ht="23.25">
      <c r="A2668" s="4" t="s">
        <v>8</v>
      </c>
      <c r="B2668" s="4"/>
      <c r="C2668" s="4" t="s">
        <v>49</v>
      </c>
      <c r="D2668" s="4"/>
      <c r="E2668" s="1">
        <v>0</v>
      </c>
      <c r="F2668" s="1">
        <v>0</v>
      </c>
      <c r="G2668" s="1">
        <v>0</v>
      </c>
      <c r="H2668" s="1">
        <v>0</v>
      </c>
      <c r="I2668" s="1">
        <v>0</v>
      </c>
    </row>
    <row r="2669" spans="1:9" ht="23.25">
      <c r="A2669" s="4" t="s">
        <v>9</v>
      </c>
      <c r="B2669" s="4"/>
      <c r="C2669" s="4" t="s">
        <v>49</v>
      </c>
      <c r="D2669" s="4"/>
      <c r="E2669" s="1">
        <v>0</v>
      </c>
      <c r="F2669" s="1">
        <v>0</v>
      </c>
      <c r="G2669" s="1">
        <v>0</v>
      </c>
      <c r="H2669" s="1">
        <v>0</v>
      </c>
      <c r="I2669" s="1">
        <v>0</v>
      </c>
    </row>
    <row r="2670" spans="1:9" ht="23.25">
      <c r="A2670" s="4" t="s">
        <v>10</v>
      </c>
      <c r="B2670" s="4"/>
      <c r="C2670" s="4" t="s">
        <v>49</v>
      </c>
      <c r="D2670" s="4"/>
      <c r="E2670" s="1">
        <v>0</v>
      </c>
      <c r="F2670" s="1">
        <v>0</v>
      </c>
      <c r="G2670" s="1">
        <v>0</v>
      </c>
      <c r="H2670" s="1">
        <v>0</v>
      </c>
      <c r="I2670" s="1">
        <v>0</v>
      </c>
    </row>
    <row r="2671" spans="1:9" ht="23.25">
      <c r="A2671" s="4" t="s">
        <v>11</v>
      </c>
      <c r="B2671" s="4"/>
      <c r="C2671" s="4" t="s">
        <v>49</v>
      </c>
      <c r="D2671" s="4"/>
      <c r="E2671" s="1">
        <v>0</v>
      </c>
      <c r="F2671" s="1">
        <v>0</v>
      </c>
      <c r="G2671" s="1">
        <v>0</v>
      </c>
      <c r="H2671" s="1">
        <v>0</v>
      </c>
      <c r="I2671" s="1">
        <v>0</v>
      </c>
    </row>
    <row r="2672" spans="1:9" ht="23.25">
      <c r="A2672" s="4" t="s">
        <v>12</v>
      </c>
      <c r="B2672" s="4"/>
      <c r="C2672" s="4" t="s">
        <v>49</v>
      </c>
      <c r="D2672" s="4"/>
      <c r="E2672" s="1">
        <v>0</v>
      </c>
      <c r="F2672" s="1">
        <v>0</v>
      </c>
      <c r="G2672" s="1">
        <v>0</v>
      </c>
      <c r="H2672" s="1">
        <v>0</v>
      </c>
      <c r="I2672" s="1">
        <v>0</v>
      </c>
    </row>
    <row r="2673" spans="1:9" ht="23.25">
      <c r="A2673" s="4" t="s">
        <v>13</v>
      </c>
      <c r="B2673" s="4"/>
      <c r="C2673" s="4" t="s">
        <v>49</v>
      </c>
      <c r="D2673" s="4"/>
      <c r="E2673" s="1">
        <v>0</v>
      </c>
      <c r="F2673" s="1">
        <v>0</v>
      </c>
      <c r="G2673" s="1">
        <v>0</v>
      </c>
      <c r="H2673" s="1">
        <v>0</v>
      </c>
      <c r="I2673" s="1">
        <v>0</v>
      </c>
    </row>
    <row r="2674" spans="1:9" ht="23.25">
      <c r="A2674" s="4" t="s">
        <v>14</v>
      </c>
      <c r="B2674" s="4"/>
      <c r="C2674" s="4" t="s">
        <v>49</v>
      </c>
      <c r="D2674" s="4"/>
      <c r="E2674" s="1">
        <v>0</v>
      </c>
      <c r="F2674" s="1">
        <v>0</v>
      </c>
      <c r="G2674" s="1">
        <v>0</v>
      </c>
      <c r="H2674" s="1">
        <v>0</v>
      </c>
      <c r="I2674" s="1">
        <v>0</v>
      </c>
    </row>
    <row r="2675" spans="1:9" ht="23.25">
      <c r="A2675" s="4" t="s">
        <v>15</v>
      </c>
      <c r="B2675" s="4"/>
      <c r="C2675" s="4" t="s">
        <v>49</v>
      </c>
      <c r="D2675" s="4"/>
      <c r="E2675" s="1">
        <v>0</v>
      </c>
      <c r="F2675" s="1">
        <v>0</v>
      </c>
      <c r="G2675" s="1">
        <v>0</v>
      </c>
      <c r="H2675" s="1">
        <v>0</v>
      </c>
      <c r="I2675" s="1">
        <v>0</v>
      </c>
    </row>
    <row r="2676" spans="1:9" ht="23.25">
      <c r="A2676" s="4" t="s">
        <v>16</v>
      </c>
      <c r="B2676" s="4"/>
      <c r="C2676" s="4" t="s">
        <v>49</v>
      </c>
      <c r="D2676" s="4"/>
      <c r="E2676" s="1">
        <v>1313067</v>
      </c>
      <c r="F2676" s="1">
        <v>31960</v>
      </c>
      <c r="G2676" s="1">
        <v>0</v>
      </c>
      <c r="H2676" s="1">
        <v>1565</v>
      </c>
      <c r="I2676" s="1">
        <v>1258007</v>
      </c>
    </row>
    <row r="2677" spans="1:9" ht="23.25">
      <c r="A2677" s="4" t="s">
        <v>17</v>
      </c>
      <c r="B2677" s="4"/>
      <c r="C2677" s="4" t="s">
        <v>49</v>
      </c>
      <c r="D2677" s="4"/>
      <c r="E2677" s="1">
        <v>0</v>
      </c>
      <c r="F2677" s="1">
        <v>0</v>
      </c>
      <c r="G2677" s="1">
        <v>0</v>
      </c>
      <c r="H2677" s="1">
        <v>0</v>
      </c>
      <c r="I2677" s="1">
        <v>0</v>
      </c>
    </row>
    <row r="2678" spans="1:9" ht="23.25">
      <c r="A2678" s="4" t="s">
        <v>18</v>
      </c>
      <c r="B2678" s="4"/>
      <c r="C2678" s="4" t="s">
        <v>49</v>
      </c>
      <c r="D2678" s="4"/>
      <c r="E2678" s="1">
        <v>0</v>
      </c>
      <c r="F2678" s="1">
        <v>0</v>
      </c>
      <c r="G2678" s="1">
        <v>0</v>
      </c>
      <c r="H2678" s="1">
        <v>0</v>
      </c>
      <c r="I2678" s="1">
        <v>0</v>
      </c>
    </row>
    <row r="2679" spans="1:9" ht="23.25">
      <c r="A2679" s="4" t="s">
        <v>19</v>
      </c>
      <c r="B2679" s="4"/>
      <c r="C2679" s="4" t="s">
        <v>49</v>
      </c>
      <c r="D2679" s="4"/>
      <c r="E2679" s="1">
        <v>0</v>
      </c>
      <c r="F2679" s="1">
        <v>0</v>
      </c>
      <c r="G2679" s="1">
        <v>0</v>
      </c>
      <c r="H2679" s="1">
        <v>0</v>
      </c>
      <c r="I2679" s="1">
        <v>0</v>
      </c>
    </row>
    <row r="2680" spans="1:9" ht="23.25">
      <c r="A2680" s="4" t="s">
        <v>20</v>
      </c>
      <c r="B2680" s="4"/>
      <c r="C2680" s="4" t="s">
        <v>49</v>
      </c>
      <c r="D2680" s="4"/>
      <c r="E2680" s="1">
        <v>0</v>
      </c>
      <c r="F2680" s="1">
        <v>0</v>
      </c>
      <c r="G2680" s="1">
        <v>0</v>
      </c>
      <c r="H2680" s="1">
        <v>0</v>
      </c>
      <c r="I2680" s="1">
        <v>0</v>
      </c>
    </row>
    <row r="2681" spans="1:9" ht="23.25">
      <c r="A2681" s="4" t="s">
        <v>21</v>
      </c>
      <c r="B2681" s="4"/>
      <c r="C2681" s="4" t="s">
        <v>49</v>
      </c>
      <c r="D2681" s="4"/>
      <c r="E2681" s="1">
        <v>49830</v>
      </c>
      <c r="F2681" s="1">
        <v>5217</v>
      </c>
      <c r="G2681" s="1">
        <v>3331</v>
      </c>
      <c r="H2681" s="1">
        <v>1080</v>
      </c>
      <c r="I2681" s="1">
        <v>0</v>
      </c>
    </row>
    <row r="2682" spans="1:9" ht="23.25">
      <c r="A2682" s="4" t="s">
        <v>22</v>
      </c>
      <c r="B2682" s="4"/>
      <c r="C2682" s="4" t="s">
        <v>49</v>
      </c>
      <c r="D2682" s="4"/>
      <c r="E2682" s="1">
        <v>9719406</v>
      </c>
      <c r="F2682" s="1">
        <v>5749</v>
      </c>
      <c r="G2682" s="1">
        <v>4902</v>
      </c>
      <c r="H2682" s="1">
        <v>21393</v>
      </c>
      <c r="I2682" s="1">
        <v>0</v>
      </c>
    </row>
    <row r="2683" spans="1:9" ht="23.25">
      <c r="A2683" s="4" t="s">
        <v>23</v>
      </c>
      <c r="B2683" s="4"/>
      <c r="C2683" s="4" t="s">
        <v>49</v>
      </c>
      <c r="D2683" s="4"/>
      <c r="E2683" s="1">
        <v>0</v>
      </c>
      <c r="F2683" s="1">
        <v>0</v>
      </c>
      <c r="G2683" s="1">
        <v>0</v>
      </c>
      <c r="H2683" s="1">
        <v>0</v>
      </c>
      <c r="I2683" s="1">
        <v>0</v>
      </c>
    </row>
    <row r="2684" spans="1:9" ht="23.25">
      <c r="A2684" s="4" t="s">
        <v>24</v>
      </c>
      <c r="B2684" s="4"/>
      <c r="C2684" s="4" t="s">
        <v>49</v>
      </c>
      <c r="D2684" s="4"/>
      <c r="E2684" s="1">
        <v>18432</v>
      </c>
      <c r="F2684" s="1">
        <v>1059</v>
      </c>
      <c r="G2684" s="1">
        <v>1302</v>
      </c>
      <c r="H2684" s="1">
        <v>292</v>
      </c>
      <c r="I2684" s="1">
        <v>0</v>
      </c>
    </row>
    <row r="2685" spans="1:9" ht="23.25">
      <c r="A2685" s="4" t="s">
        <v>25</v>
      </c>
      <c r="B2685" s="4"/>
      <c r="C2685" s="4" t="s">
        <v>49</v>
      </c>
      <c r="D2685" s="4"/>
      <c r="E2685" s="1">
        <v>0</v>
      </c>
      <c r="F2685" s="1">
        <v>0</v>
      </c>
      <c r="G2685" s="1">
        <v>0</v>
      </c>
      <c r="H2685" s="1">
        <v>0</v>
      </c>
      <c r="I2685" s="1">
        <v>0</v>
      </c>
    </row>
    <row r="2686" spans="1:9" ht="23.25">
      <c r="A2686" s="4" t="s">
        <v>26</v>
      </c>
      <c r="B2686" s="4"/>
      <c r="C2686" s="4" t="s">
        <v>49</v>
      </c>
      <c r="D2686" s="4"/>
      <c r="E2686" s="1">
        <v>0</v>
      </c>
      <c r="F2686" s="1">
        <v>0</v>
      </c>
      <c r="G2686" s="1">
        <v>0</v>
      </c>
      <c r="H2686" s="1">
        <v>0</v>
      </c>
      <c r="I2686" s="1">
        <v>0</v>
      </c>
    </row>
    <row r="2687" spans="1:9" ht="23.25">
      <c r="A2687" s="4" t="s">
        <v>27</v>
      </c>
      <c r="B2687" s="4"/>
      <c r="C2687" s="4" t="s">
        <v>49</v>
      </c>
      <c r="D2687" s="4"/>
      <c r="E2687" s="1">
        <v>0</v>
      </c>
      <c r="F2687" s="1">
        <v>0</v>
      </c>
      <c r="G2687" s="1">
        <v>0</v>
      </c>
      <c r="H2687" s="1">
        <v>0</v>
      </c>
      <c r="I2687" s="1">
        <v>0</v>
      </c>
    </row>
    <row r="2688" spans="1:9" ht="23.25">
      <c r="A2688" s="4" t="s">
        <v>28</v>
      </c>
      <c r="B2688" s="4"/>
      <c r="C2688" s="4" t="s">
        <v>49</v>
      </c>
      <c r="D2688" s="4"/>
      <c r="E2688" s="1">
        <v>0</v>
      </c>
      <c r="F2688" s="1">
        <v>0</v>
      </c>
      <c r="G2688" s="1">
        <v>0</v>
      </c>
      <c r="H2688" s="1">
        <v>0</v>
      </c>
      <c r="I2688" s="1">
        <v>0</v>
      </c>
    </row>
    <row r="2689" spans="1:9" ht="23.25">
      <c r="A2689" s="4" t="s">
        <v>29</v>
      </c>
      <c r="B2689" s="4"/>
      <c r="C2689" s="4" t="s">
        <v>49</v>
      </c>
      <c r="D2689" s="4"/>
      <c r="E2689" s="1">
        <v>0</v>
      </c>
      <c r="F2689" s="1">
        <v>0</v>
      </c>
      <c r="G2689" s="1">
        <v>0</v>
      </c>
      <c r="H2689" s="1">
        <v>0</v>
      </c>
      <c r="I2689" s="1">
        <v>0</v>
      </c>
    </row>
    <row r="2690" spans="1:9" ht="23.25">
      <c r="A2690" s="4" t="s">
        <v>30</v>
      </c>
      <c r="B2690" s="4"/>
      <c r="C2690" s="4" t="s">
        <v>49</v>
      </c>
      <c r="D2690" s="4"/>
      <c r="E2690" s="1">
        <v>4014291</v>
      </c>
      <c r="F2690" s="1">
        <v>101279</v>
      </c>
      <c r="G2690" s="1">
        <v>71172</v>
      </c>
      <c r="H2690" s="1">
        <v>35026</v>
      </c>
      <c r="I2690" s="1">
        <v>0</v>
      </c>
    </row>
    <row r="2691" spans="1:9" ht="23.25">
      <c r="A2691" s="4" t="s">
        <v>31</v>
      </c>
      <c r="B2691" s="4"/>
      <c r="C2691" s="4" t="s">
        <v>49</v>
      </c>
      <c r="D2691" s="4"/>
      <c r="E2691" s="1">
        <v>1067732</v>
      </c>
      <c r="F2691" s="1">
        <v>69280</v>
      </c>
      <c r="G2691" s="1">
        <v>133101</v>
      </c>
      <c r="H2691" s="1">
        <v>7360</v>
      </c>
      <c r="I2691" s="1">
        <v>482806</v>
      </c>
    </row>
    <row r="2692" spans="1:9" ht="23.25">
      <c r="A2692" s="4" t="s">
        <v>32</v>
      </c>
      <c r="B2692" s="4"/>
      <c r="C2692" s="4" t="s">
        <v>49</v>
      </c>
      <c r="D2692" s="4"/>
      <c r="E2692" s="1">
        <v>400919</v>
      </c>
      <c r="F2692" s="1">
        <v>39595</v>
      </c>
      <c r="G2692" s="1">
        <v>8339</v>
      </c>
      <c r="H2692" s="1">
        <v>4875</v>
      </c>
      <c r="I2692" s="1">
        <v>0</v>
      </c>
    </row>
    <row r="2693" spans="1:9" ht="23.25">
      <c r="A2693" s="4" t="s">
        <v>33</v>
      </c>
      <c r="B2693" s="4"/>
      <c r="C2693" s="4" t="s">
        <v>49</v>
      </c>
      <c r="D2693" s="4"/>
      <c r="E2693" s="1">
        <v>4142</v>
      </c>
      <c r="F2693" s="1">
        <v>56</v>
      </c>
      <c r="G2693" s="1">
        <v>109</v>
      </c>
      <c r="H2693" s="1">
        <v>32</v>
      </c>
      <c r="I2693" s="1">
        <v>0</v>
      </c>
    </row>
    <row r="2694" spans="1:9" ht="23.25">
      <c r="A2694" s="4" t="s">
        <v>34</v>
      </c>
      <c r="B2694" s="4"/>
      <c r="C2694" s="4" t="s">
        <v>49</v>
      </c>
      <c r="D2694" s="4"/>
      <c r="E2694" s="1">
        <v>4349661</v>
      </c>
      <c r="F2694" s="1">
        <v>456349</v>
      </c>
      <c r="G2694" s="1">
        <v>401524</v>
      </c>
      <c r="H2694" s="1">
        <v>69824</v>
      </c>
      <c r="I2694" s="1">
        <v>1402374</v>
      </c>
    </row>
    <row r="2695" spans="1:9" ht="23.25">
      <c r="A2695" s="4" t="s">
        <v>35</v>
      </c>
      <c r="B2695" s="4"/>
      <c r="C2695" s="4" t="s">
        <v>49</v>
      </c>
      <c r="D2695" s="4"/>
      <c r="E2695" s="1">
        <v>0</v>
      </c>
      <c r="F2695" s="1">
        <v>0</v>
      </c>
      <c r="G2695" s="1">
        <v>0</v>
      </c>
      <c r="H2695" s="1">
        <v>0</v>
      </c>
      <c r="I2695" s="1">
        <v>0</v>
      </c>
    </row>
    <row r="2696" spans="1:9" ht="23.25">
      <c r="A2696" s="4" t="s">
        <v>36</v>
      </c>
      <c r="B2696" s="4"/>
      <c r="C2696" s="4" t="s">
        <v>49</v>
      </c>
      <c r="D2696" s="4"/>
      <c r="E2696" s="1">
        <v>3002154</v>
      </c>
      <c r="F2696" s="1">
        <v>297973</v>
      </c>
      <c r="G2696" s="1">
        <v>403522</v>
      </c>
      <c r="H2696" s="1">
        <v>37524</v>
      </c>
      <c r="I2696" s="1">
        <v>1825309</v>
      </c>
    </row>
    <row r="2697" spans="1:9" ht="23.25">
      <c r="A2697" s="4" t="s">
        <v>37</v>
      </c>
      <c r="B2697" s="4"/>
      <c r="C2697" s="4" t="s">
        <v>49</v>
      </c>
      <c r="D2697" s="4"/>
      <c r="E2697" s="1">
        <v>454585</v>
      </c>
      <c r="F2697" s="1">
        <v>32296</v>
      </c>
      <c r="G2697" s="1">
        <v>33450</v>
      </c>
      <c r="H2697" s="1">
        <v>4705</v>
      </c>
      <c r="I2697" s="1">
        <v>81834</v>
      </c>
    </row>
    <row r="2698" spans="1:9" ht="23.25">
      <c r="A2698" s="4" t="s">
        <v>38</v>
      </c>
      <c r="B2698" s="4"/>
      <c r="C2698" s="4" t="s">
        <v>49</v>
      </c>
      <c r="D2698" s="4"/>
      <c r="E2698" s="1">
        <v>4813119</v>
      </c>
      <c r="F2698" s="1">
        <v>465080</v>
      </c>
      <c r="G2698" s="1">
        <v>679348</v>
      </c>
      <c r="H2698" s="1">
        <v>142968</v>
      </c>
      <c r="I2698" s="1">
        <v>2094253</v>
      </c>
    </row>
    <row r="2699" spans="1:9" ht="23.25">
      <c r="A2699" s="4" t="s">
        <v>39</v>
      </c>
      <c r="B2699" s="4"/>
      <c r="C2699" s="4" t="s">
        <v>49</v>
      </c>
      <c r="D2699" s="4"/>
      <c r="E2699" s="1">
        <v>2622628</v>
      </c>
      <c r="F2699" s="1">
        <v>42771</v>
      </c>
      <c r="G2699" s="1">
        <v>42768</v>
      </c>
      <c r="H2699" s="1">
        <v>17273</v>
      </c>
      <c r="I2699" s="1">
        <v>1553045</v>
      </c>
    </row>
    <row r="2700" spans="1:9" ht="23.25">
      <c r="A2700" s="4" t="s">
        <v>40</v>
      </c>
      <c r="B2700" s="4"/>
      <c r="C2700" s="4" t="s">
        <v>49</v>
      </c>
      <c r="D2700" s="4"/>
      <c r="E2700" s="1">
        <v>0</v>
      </c>
      <c r="F2700" s="1">
        <v>0</v>
      </c>
      <c r="G2700" s="1">
        <v>0</v>
      </c>
      <c r="H2700" s="1">
        <v>0</v>
      </c>
      <c r="I2700" s="1">
        <v>0</v>
      </c>
    </row>
    <row r="2701" spans="1:9" ht="23.25">
      <c r="A2701" s="4" t="s">
        <v>41</v>
      </c>
      <c r="B2701" s="4"/>
      <c r="C2701" s="4" t="s">
        <v>49</v>
      </c>
      <c r="D2701" s="4"/>
      <c r="E2701" s="1">
        <v>621</v>
      </c>
      <c r="F2701" s="1">
        <v>28</v>
      </c>
      <c r="G2701" s="1">
        <v>37</v>
      </c>
      <c r="H2701" s="1">
        <v>4</v>
      </c>
      <c r="I2701" s="1">
        <v>0</v>
      </c>
    </row>
    <row r="2702" spans="1:9" ht="23.25">
      <c r="A2702" s="4" t="s">
        <v>42</v>
      </c>
      <c r="B2702" s="4"/>
      <c r="C2702" s="4" t="s">
        <v>49</v>
      </c>
      <c r="D2702" s="4"/>
      <c r="E2702" s="1">
        <v>8156</v>
      </c>
      <c r="F2702" s="1">
        <v>356</v>
      </c>
      <c r="G2702" s="1">
        <v>430</v>
      </c>
      <c r="H2702" s="1">
        <v>89</v>
      </c>
      <c r="I2702" s="1">
        <v>2081</v>
      </c>
    </row>
    <row r="2703" spans="1:9" ht="23.25">
      <c r="A2703" s="4" t="s">
        <v>43</v>
      </c>
      <c r="B2703" s="4"/>
      <c r="C2703" s="4" t="s">
        <v>49</v>
      </c>
      <c r="D2703" s="4"/>
      <c r="E2703" s="1">
        <v>0</v>
      </c>
      <c r="F2703" s="1">
        <v>0</v>
      </c>
      <c r="G2703" s="1">
        <v>0</v>
      </c>
      <c r="H2703" s="1">
        <v>0</v>
      </c>
      <c r="I2703" s="1">
        <v>0</v>
      </c>
    </row>
    <row r="2704" spans="1:9" ht="23.25">
      <c r="A2704" s="4" t="s">
        <v>44</v>
      </c>
      <c r="B2704" s="4"/>
      <c r="C2704" s="4" t="s">
        <v>49</v>
      </c>
      <c r="D2704" s="4"/>
      <c r="E2704" s="1">
        <v>1402123</v>
      </c>
      <c r="F2704" s="1">
        <v>24275</v>
      </c>
      <c r="G2704" s="1">
        <v>47801</v>
      </c>
      <c r="H2704" s="1">
        <v>3885</v>
      </c>
      <c r="I2704" s="1">
        <v>981729</v>
      </c>
    </row>
    <row r="2705" spans="1:9" ht="23.25">
      <c r="A2705" s="4" t="s">
        <v>45</v>
      </c>
      <c r="B2705" s="4"/>
      <c r="C2705" s="4" t="s">
        <v>49</v>
      </c>
      <c r="D2705" s="4"/>
      <c r="E2705" s="1">
        <v>513539</v>
      </c>
      <c r="F2705" s="1">
        <v>27583</v>
      </c>
      <c r="G2705" s="1">
        <v>0</v>
      </c>
      <c r="H2705" s="1">
        <v>5058</v>
      </c>
      <c r="I2705" s="1">
        <v>0</v>
      </c>
    </row>
    <row r="2706" spans="1:9" ht="23.25">
      <c r="A2706" s="4" t="s">
        <v>46</v>
      </c>
      <c r="B2706" s="4"/>
      <c r="C2706" s="4" t="s">
        <v>49</v>
      </c>
      <c r="D2706" s="4"/>
      <c r="E2706" s="1">
        <v>182158</v>
      </c>
      <c r="F2706" s="1">
        <v>8890</v>
      </c>
      <c r="G2706" s="1">
        <v>8541</v>
      </c>
      <c r="H2706" s="1">
        <v>1805</v>
      </c>
      <c r="I2706" s="1">
        <v>0</v>
      </c>
    </row>
    <row r="2707" spans="1:9" ht="23.25">
      <c r="A2707" s="4" t="s">
        <v>47</v>
      </c>
      <c r="B2707" s="4"/>
      <c r="C2707" s="4" t="s">
        <v>49</v>
      </c>
      <c r="D2707" s="4"/>
      <c r="E2707" s="1">
        <v>189346</v>
      </c>
      <c r="F2707" s="1">
        <v>0</v>
      </c>
      <c r="G2707" s="1">
        <v>0</v>
      </c>
      <c r="H2707" s="1">
        <v>0</v>
      </c>
      <c r="I2707" s="1">
        <v>0</v>
      </c>
    </row>
    <row r="2708" spans="1:9" ht="23.25">
      <c r="A2708" s="4" t="s">
        <v>48</v>
      </c>
      <c r="B2708" s="4"/>
      <c r="C2708" s="4" t="s">
        <v>49</v>
      </c>
      <c r="D2708" s="4"/>
      <c r="E2708" s="1">
        <v>0</v>
      </c>
      <c r="F2708" s="1">
        <v>0</v>
      </c>
      <c r="G2708" s="1">
        <v>0</v>
      </c>
      <c r="H2708" s="1">
        <v>0</v>
      </c>
      <c r="I2708" s="1">
        <v>0</v>
      </c>
    </row>
    <row r="2709" spans="1:9" ht="23.25">
      <c r="A2709" s="4" t="s">
        <v>49</v>
      </c>
      <c r="B2709" s="4"/>
      <c r="C2709" s="4" t="s">
        <v>49</v>
      </c>
      <c r="D2709" s="4"/>
      <c r="E2709" s="1">
        <v>17375565</v>
      </c>
      <c r="F2709" s="1">
        <v>1234883</v>
      </c>
      <c r="G2709" s="1">
        <v>768359</v>
      </c>
      <c r="H2709" s="1">
        <v>93153</v>
      </c>
      <c r="I2709" s="1">
        <v>14764942</v>
      </c>
    </row>
    <row r="2710" spans="1:9" ht="23.25">
      <c r="A2710" s="4" t="s">
        <v>50</v>
      </c>
      <c r="B2710" s="4"/>
      <c r="C2710" s="4" t="s">
        <v>49</v>
      </c>
      <c r="D2710" s="4"/>
      <c r="E2710" s="1">
        <v>68339</v>
      </c>
      <c r="F2710" s="1">
        <v>5562</v>
      </c>
      <c r="G2710" s="1">
        <v>12476</v>
      </c>
      <c r="H2710" s="1">
        <v>879</v>
      </c>
      <c r="I2710" s="1">
        <v>0</v>
      </c>
    </row>
    <row r="2711" spans="1:9" ht="23.25">
      <c r="A2711" s="4" t="s">
        <v>51</v>
      </c>
      <c r="B2711" s="4"/>
      <c r="C2711" s="4" t="s">
        <v>49</v>
      </c>
      <c r="D2711" s="4"/>
      <c r="E2711" s="1">
        <v>3249233</v>
      </c>
      <c r="F2711" s="1">
        <v>340613</v>
      </c>
      <c r="G2711" s="1">
        <v>327167</v>
      </c>
      <c r="H2711" s="1">
        <v>43741</v>
      </c>
      <c r="I2711" s="1">
        <v>456097</v>
      </c>
    </row>
    <row r="2712" spans="1:9" ht="23.25">
      <c r="A2712" s="4" t="s">
        <v>52</v>
      </c>
      <c r="B2712" s="4"/>
      <c r="C2712" s="4" t="s">
        <v>49</v>
      </c>
      <c r="D2712" s="4"/>
      <c r="E2712" s="1">
        <v>1117194</v>
      </c>
      <c r="F2712" s="1">
        <v>242</v>
      </c>
      <c r="G2712" s="1">
        <v>406</v>
      </c>
      <c r="H2712" s="1">
        <v>80</v>
      </c>
      <c r="I2712" s="1">
        <v>0</v>
      </c>
    </row>
    <row r="2713" spans="1:9" ht="23.25">
      <c r="A2713" s="4" t="s">
        <v>53</v>
      </c>
      <c r="B2713" s="4"/>
      <c r="C2713" s="4" t="s">
        <v>49</v>
      </c>
      <c r="D2713" s="4"/>
      <c r="E2713" s="1">
        <v>37821</v>
      </c>
      <c r="F2713" s="1">
        <v>0</v>
      </c>
      <c r="G2713" s="1">
        <v>0</v>
      </c>
      <c r="H2713" s="1">
        <v>0</v>
      </c>
      <c r="I2713" s="1">
        <v>0</v>
      </c>
    </row>
    <row r="2714" spans="1:9" ht="23.25">
      <c r="A2714" s="4" t="s">
        <v>54</v>
      </c>
      <c r="B2714" s="4"/>
      <c r="C2714" s="4" t="s">
        <v>49</v>
      </c>
      <c r="D2714" s="4"/>
      <c r="E2714" s="1">
        <v>50381</v>
      </c>
      <c r="F2714" s="1">
        <v>0</v>
      </c>
      <c r="G2714" s="1">
        <v>0</v>
      </c>
      <c r="H2714" s="1">
        <v>0</v>
      </c>
      <c r="I2714" s="1">
        <v>0</v>
      </c>
    </row>
    <row r="2715" spans="1:9" ht="23.25">
      <c r="A2715" s="4" t="s">
        <v>55</v>
      </c>
      <c r="B2715" s="4"/>
      <c r="C2715" s="4" t="s">
        <v>49</v>
      </c>
      <c r="D2715" s="4"/>
      <c r="E2715" s="1">
        <v>0</v>
      </c>
      <c r="F2715" s="1">
        <v>0</v>
      </c>
      <c r="G2715" s="1">
        <v>0</v>
      </c>
      <c r="H2715" s="1">
        <v>0</v>
      </c>
      <c r="I2715" s="1">
        <v>0</v>
      </c>
    </row>
    <row r="2716" spans="1:9" ht="23.25">
      <c r="A2716" s="4" t="s">
        <v>56</v>
      </c>
      <c r="B2716" s="4"/>
      <c r="C2716" s="4" t="s">
        <v>49</v>
      </c>
      <c r="D2716" s="4"/>
      <c r="E2716" s="1">
        <v>0</v>
      </c>
      <c r="F2716" s="1">
        <v>-3191096</v>
      </c>
      <c r="G2716" s="1">
        <v>-2948085</v>
      </c>
      <c r="H2716" s="1">
        <v>0</v>
      </c>
      <c r="I2716" s="1">
        <v>0</v>
      </c>
    </row>
    <row r="2717" spans="1:9" ht="23.25">
      <c r="A2717" s="4" t="s">
        <v>57</v>
      </c>
      <c r="B2717" s="4"/>
      <c r="C2717" s="4" t="s">
        <v>49</v>
      </c>
      <c r="D2717" s="4"/>
      <c r="E2717" s="1">
        <v>274804</v>
      </c>
      <c r="F2717" s="1">
        <v>0</v>
      </c>
      <c r="G2717" s="1">
        <v>0</v>
      </c>
      <c r="H2717" s="1">
        <v>0</v>
      </c>
      <c r="I2717" s="1">
        <v>0</v>
      </c>
    </row>
    <row r="2718" spans="1:9" ht="23.25">
      <c r="A2718" s="4" t="s">
        <v>58</v>
      </c>
      <c r="B2718" s="4"/>
      <c r="C2718" s="4" t="s">
        <v>49</v>
      </c>
      <c r="D2718" s="4"/>
      <c r="E2718" s="1">
        <v>406070</v>
      </c>
      <c r="F2718" s="1">
        <v>0</v>
      </c>
      <c r="G2718" s="1">
        <v>0</v>
      </c>
      <c r="H2718" s="1">
        <v>-492611</v>
      </c>
      <c r="I2718" s="1">
        <v>0</v>
      </c>
    </row>
    <row r="2719" spans="1:9" ht="23.25">
      <c r="A2719" s="4" t="s">
        <v>59</v>
      </c>
      <c r="B2719" s="4"/>
      <c r="C2719" s="4" t="s">
        <v>49</v>
      </c>
      <c r="D2719" s="4"/>
      <c r="E2719" s="1">
        <v>130471</v>
      </c>
      <c r="F2719" s="1">
        <v>0</v>
      </c>
      <c r="G2719" s="1">
        <v>0</v>
      </c>
      <c r="H2719" s="1">
        <v>0</v>
      </c>
      <c r="I2719" s="1">
        <v>0</v>
      </c>
    </row>
    <row r="2720" spans="1:9" ht="23.25">
      <c r="A2720" s="4" t="s">
        <v>60</v>
      </c>
      <c r="B2720" s="4"/>
      <c r="C2720" s="4" t="s">
        <v>49</v>
      </c>
      <c r="D2720" s="4"/>
      <c r="E2720" s="1">
        <v>996935</v>
      </c>
      <c r="F2720" s="1">
        <v>0</v>
      </c>
      <c r="G2720" s="1">
        <v>0</v>
      </c>
      <c r="H2720" s="1">
        <v>0</v>
      </c>
      <c r="I2720" s="1">
        <v>0</v>
      </c>
    </row>
    <row r="2721" spans="1:9" ht="23.25">
      <c r="A2721" s="4" t="s">
        <v>61</v>
      </c>
      <c r="B2721" s="4"/>
      <c r="C2721" s="4" t="s">
        <v>49</v>
      </c>
      <c r="D2721" s="4"/>
      <c r="E2721" s="1">
        <v>67979</v>
      </c>
      <c r="F2721" s="1">
        <v>0</v>
      </c>
      <c r="G2721" s="1">
        <v>0</v>
      </c>
      <c r="H2721" s="1">
        <v>0</v>
      </c>
      <c r="I2721" s="1">
        <v>0</v>
      </c>
    </row>
    <row r="2722" spans="1:9" ht="23.25">
      <c r="A2722" s="4" t="s">
        <v>62</v>
      </c>
      <c r="B2722" s="4"/>
      <c r="C2722" s="4" t="s">
        <v>49</v>
      </c>
      <c r="D2722" s="4"/>
      <c r="E2722" s="1">
        <v>1239822</v>
      </c>
      <c r="F2722" s="1">
        <v>0</v>
      </c>
      <c r="G2722" s="1">
        <v>0</v>
      </c>
      <c r="H2722" s="1">
        <v>0</v>
      </c>
      <c r="I2722" s="1">
        <v>0</v>
      </c>
    </row>
    <row r="2723" spans="1:9" ht="23.25">
      <c r="A2723" s="4" t="s">
        <v>63</v>
      </c>
      <c r="B2723" s="4"/>
      <c r="C2723" s="4" t="s">
        <v>49</v>
      </c>
      <c r="D2723" s="4"/>
      <c r="E2723" s="1">
        <v>57833</v>
      </c>
      <c r="F2723" s="1">
        <v>0</v>
      </c>
      <c r="G2723" s="1">
        <v>0</v>
      </c>
      <c r="H2723" s="1">
        <v>0</v>
      </c>
      <c r="I2723" s="1">
        <v>0</v>
      </c>
    </row>
    <row r="2724" spans="1:9" ht="23.25">
      <c r="A2724" s="4" t="s">
        <v>64</v>
      </c>
      <c r="B2724" s="4"/>
      <c r="C2724" s="4" t="s">
        <v>49</v>
      </c>
      <c r="D2724" s="4"/>
      <c r="E2724" s="1">
        <v>73249</v>
      </c>
      <c r="F2724" s="1">
        <v>0</v>
      </c>
      <c r="G2724" s="1">
        <v>0</v>
      </c>
      <c r="H2724" s="1">
        <v>0</v>
      </c>
      <c r="I2724" s="1">
        <v>0</v>
      </c>
    </row>
    <row r="2725" spans="1:9" ht="23.25">
      <c r="A2725" s="4" t="s">
        <v>65</v>
      </c>
      <c r="B2725" s="4"/>
      <c r="C2725" s="4" t="s">
        <v>49</v>
      </c>
      <c r="D2725" s="4"/>
      <c r="E2725" s="1">
        <v>224972</v>
      </c>
      <c r="F2725" s="1">
        <v>0</v>
      </c>
      <c r="G2725" s="1">
        <v>0</v>
      </c>
      <c r="H2725" s="1">
        <v>0</v>
      </c>
      <c r="I2725" s="1">
        <v>25313</v>
      </c>
    </row>
    <row r="2726" spans="1:9" ht="23.25">
      <c r="A2726" s="4" t="s">
        <v>66</v>
      </c>
      <c r="B2726" s="4"/>
      <c r="C2726" s="4" t="s">
        <v>49</v>
      </c>
      <c r="D2726" s="4"/>
      <c r="E2726" s="1">
        <v>59496577</v>
      </c>
      <c r="F2726" s="1">
        <v>0</v>
      </c>
      <c r="G2726" s="1">
        <v>0</v>
      </c>
      <c r="H2726" s="1">
        <v>0</v>
      </c>
      <c r="I2726" s="1">
        <v>24927790</v>
      </c>
    </row>
    <row r="2727" spans="1:9" ht="23.25">
      <c r="A2727" s="4" t="s">
        <v>67</v>
      </c>
      <c r="B2727" s="4"/>
      <c r="C2727" s="4" t="s">
        <v>49</v>
      </c>
      <c r="D2727" s="4"/>
      <c r="E2727" s="1">
        <v>9470241</v>
      </c>
      <c r="F2727" s="1">
        <v>0</v>
      </c>
      <c r="G2727" s="1">
        <v>0</v>
      </c>
      <c r="H2727" s="1">
        <v>0</v>
      </c>
      <c r="I2727" s="1">
        <v>0</v>
      </c>
    </row>
    <row r="2728" spans="1:9" ht="23.25">
      <c r="A2728" s="4" t="s">
        <v>68</v>
      </c>
      <c r="B2728" s="4"/>
      <c r="C2728" s="4" t="s">
        <v>49</v>
      </c>
      <c r="D2728" s="4"/>
      <c r="E2728" s="1">
        <v>11479631</v>
      </c>
      <c r="F2728" s="1">
        <v>0</v>
      </c>
      <c r="G2728" s="1">
        <v>0</v>
      </c>
      <c r="H2728" s="1">
        <v>0</v>
      </c>
      <c r="I2728" s="1">
        <v>0</v>
      </c>
    </row>
    <row r="2729" spans="1:9" ht="23.25">
      <c r="A2729" s="4" t="s">
        <v>69</v>
      </c>
      <c r="B2729" s="4"/>
      <c r="C2729" s="4" t="s">
        <v>49</v>
      </c>
      <c r="D2729" s="4"/>
      <c r="E2729" s="1">
        <v>4893238</v>
      </c>
      <c r="F2729" s="1">
        <v>0</v>
      </c>
      <c r="G2729" s="1">
        <v>0</v>
      </c>
      <c r="H2729" s="1">
        <v>0</v>
      </c>
      <c r="I2729" s="1">
        <v>0</v>
      </c>
    </row>
    <row r="2730" spans="1:9" ht="23.25">
      <c r="A2730" s="4" t="s">
        <v>70</v>
      </c>
      <c r="B2730" s="4"/>
      <c r="C2730" s="4" t="s">
        <v>49</v>
      </c>
      <c r="D2730" s="4"/>
      <c r="E2730" s="1">
        <v>2148117</v>
      </c>
      <c r="F2730" s="1">
        <v>0</v>
      </c>
      <c r="G2730" s="1">
        <v>0</v>
      </c>
      <c r="H2730" s="1">
        <v>0</v>
      </c>
      <c r="I2730" s="1">
        <v>0</v>
      </c>
    </row>
    <row r="2731" spans="1:9" ht="23.25">
      <c r="A2731" s="4" t="s">
        <v>71</v>
      </c>
      <c r="B2731" s="4"/>
      <c r="C2731" s="4" t="s">
        <v>49</v>
      </c>
      <c r="D2731" s="4"/>
      <c r="E2731" s="1">
        <v>27991227</v>
      </c>
      <c r="F2731" s="1">
        <v>0</v>
      </c>
      <c r="G2731" s="1">
        <v>0</v>
      </c>
      <c r="H2731" s="1">
        <v>0</v>
      </c>
      <c r="I2731" s="1">
        <v>0</v>
      </c>
    </row>
    <row r="2732" spans="1:9" ht="23.25">
      <c r="A2732" s="4" t="s">
        <v>72</v>
      </c>
      <c r="B2732" s="4"/>
      <c r="C2732" s="4" t="s">
        <v>49</v>
      </c>
      <c r="D2732" s="4"/>
      <c r="E2732" s="1">
        <v>87487804</v>
      </c>
      <c r="F2732" s="1">
        <v>0</v>
      </c>
      <c r="G2732" s="1">
        <v>0</v>
      </c>
      <c r="H2732" s="1">
        <v>0</v>
      </c>
      <c r="I2732" s="1">
        <v>0</v>
      </c>
    </row>
    <row r="2733" spans="1:9" ht="23.25">
      <c r="A2733" s="4" t="s">
        <v>8</v>
      </c>
      <c r="B2733" s="4"/>
      <c r="C2733" s="4" t="s">
        <v>50</v>
      </c>
      <c r="D2733" s="4"/>
      <c r="E2733" s="1">
        <v>0</v>
      </c>
      <c r="F2733" s="1">
        <v>0</v>
      </c>
      <c r="G2733" s="1">
        <v>0</v>
      </c>
      <c r="H2733" s="1">
        <v>0</v>
      </c>
      <c r="I2733" s="1">
        <v>0</v>
      </c>
    </row>
    <row r="2734" spans="1:9" ht="23.25">
      <c r="A2734" s="4" t="s">
        <v>9</v>
      </c>
      <c r="B2734" s="4"/>
      <c r="C2734" s="4" t="s">
        <v>50</v>
      </c>
      <c r="D2734" s="4"/>
      <c r="E2734" s="1">
        <v>0</v>
      </c>
      <c r="F2734" s="1">
        <v>0</v>
      </c>
      <c r="G2734" s="1">
        <v>0</v>
      </c>
      <c r="H2734" s="1">
        <v>0</v>
      </c>
      <c r="I2734" s="1">
        <v>0</v>
      </c>
    </row>
    <row r="2735" spans="1:9" ht="23.25">
      <c r="A2735" s="4" t="s">
        <v>10</v>
      </c>
      <c r="B2735" s="4"/>
      <c r="C2735" s="4" t="s">
        <v>50</v>
      </c>
      <c r="D2735" s="4"/>
      <c r="E2735" s="1">
        <v>0</v>
      </c>
      <c r="F2735" s="1">
        <v>0</v>
      </c>
      <c r="G2735" s="1">
        <v>0</v>
      </c>
      <c r="H2735" s="1">
        <v>0</v>
      </c>
      <c r="I2735" s="1">
        <v>0</v>
      </c>
    </row>
    <row r="2736" spans="1:9" ht="23.25">
      <c r="A2736" s="4" t="s">
        <v>11</v>
      </c>
      <c r="B2736" s="4"/>
      <c r="C2736" s="4" t="s">
        <v>50</v>
      </c>
      <c r="D2736" s="4"/>
      <c r="E2736" s="1">
        <v>0</v>
      </c>
      <c r="F2736" s="1">
        <v>0</v>
      </c>
      <c r="G2736" s="1">
        <v>0</v>
      </c>
      <c r="H2736" s="1">
        <v>0</v>
      </c>
      <c r="I2736" s="1">
        <v>0</v>
      </c>
    </row>
    <row r="2737" spans="1:9" ht="23.25">
      <c r="A2737" s="4" t="s">
        <v>12</v>
      </c>
      <c r="B2737" s="4"/>
      <c r="C2737" s="4" t="s">
        <v>50</v>
      </c>
      <c r="D2737" s="4"/>
      <c r="E2737" s="1">
        <v>0</v>
      </c>
      <c r="F2737" s="1">
        <v>0</v>
      </c>
      <c r="G2737" s="1">
        <v>0</v>
      </c>
      <c r="H2737" s="1">
        <v>0</v>
      </c>
      <c r="I2737" s="1">
        <v>0</v>
      </c>
    </row>
    <row r="2738" spans="1:9" ht="23.25">
      <c r="A2738" s="4" t="s">
        <v>13</v>
      </c>
      <c r="B2738" s="4"/>
      <c r="C2738" s="4" t="s">
        <v>50</v>
      </c>
      <c r="D2738" s="4"/>
      <c r="E2738" s="1">
        <v>0</v>
      </c>
      <c r="F2738" s="1">
        <v>0</v>
      </c>
      <c r="G2738" s="1">
        <v>0</v>
      </c>
      <c r="H2738" s="1">
        <v>0</v>
      </c>
      <c r="I2738" s="1">
        <v>0</v>
      </c>
    </row>
    <row r="2739" spans="1:9" ht="23.25">
      <c r="A2739" s="4" t="s">
        <v>14</v>
      </c>
      <c r="B2739" s="4"/>
      <c r="C2739" s="4" t="s">
        <v>50</v>
      </c>
      <c r="D2739" s="4"/>
      <c r="E2739" s="1">
        <v>0</v>
      </c>
      <c r="F2739" s="1">
        <v>0</v>
      </c>
      <c r="G2739" s="1">
        <v>0</v>
      </c>
      <c r="H2739" s="1">
        <v>0</v>
      </c>
      <c r="I2739" s="1">
        <v>0</v>
      </c>
    </row>
    <row r="2740" spans="1:9" ht="23.25">
      <c r="A2740" s="4" t="s">
        <v>15</v>
      </c>
      <c r="B2740" s="4"/>
      <c r="C2740" s="4" t="s">
        <v>50</v>
      </c>
      <c r="D2740" s="4"/>
      <c r="E2740" s="1">
        <v>255123</v>
      </c>
      <c r="F2740" s="1">
        <v>37894</v>
      </c>
      <c r="G2740" s="1">
        <v>0</v>
      </c>
      <c r="H2740" s="1">
        <v>3711</v>
      </c>
      <c r="I2740" s="1">
        <v>0</v>
      </c>
    </row>
    <row r="2741" spans="1:9" ht="23.25">
      <c r="A2741" s="4" t="s">
        <v>16</v>
      </c>
      <c r="B2741" s="4"/>
      <c r="C2741" s="4" t="s">
        <v>50</v>
      </c>
      <c r="D2741" s="4"/>
      <c r="E2741" s="1">
        <v>0</v>
      </c>
      <c r="F2741" s="1">
        <v>0</v>
      </c>
      <c r="G2741" s="1">
        <v>0</v>
      </c>
      <c r="H2741" s="1">
        <v>0</v>
      </c>
      <c r="I2741" s="1">
        <v>0</v>
      </c>
    </row>
    <row r="2742" spans="1:9" ht="23.25">
      <c r="A2742" s="4" t="s">
        <v>17</v>
      </c>
      <c r="B2742" s="4"/>
      <c r="C2742" s="4" t="s">
        <v>50</v>
      </c>
      <c r="D2742" s="4"/>
      <c r="E2742" s="1">
        <v>38887303</v>
      </c>
      <c r="F2742" s="1">
        <v>2472930</v>
      </c>
      <c r="G2742" s="1">
        <v>198270</v>
      </c>
      <c r="H2742" s="1">
        <v>556315</v>
      </c>
      <c r="I2742" s="1">
        <v>703872</v>
      </c>
    </row>
    <row r="2743" spans="1:9" ht="23.25">
      <c r="A2743" s="4" t="s">
        <v>18</v>
      </c>
      <c r="B2743" s="4"/>
      <c r="C2743" s="4" t="s">
        <v>50</v>
      </c>
      <c r="D2743" s="4"/>
      <c r="E2743" s="1">
        <v>0</v>
      </c>
      <c r="F2743" s="1">
        <v>0</v>
      </c>
      <c r="G2743" s="1">
        <v>0</v>
      </c>
      <c r="H2743" s="1">
        <v>0</v>
      </c>
      <c r="I2743" s="1">
        <v>0</v>
      </c>
    </row>
    <row r="2744" spans="1:9" ht="23.25">
      <c r="A2744" s="4" t="s">
        <v>19</v>
      </c>
      <c r="B2744" s="4"/>
      <c r="C2744" s="4" t="s">
        <v>50</v>
      </c>
      <c r="D2744" s="4"/>
      <c r="E2744" s="1">
        <v>0</v>
      </c>
      <c r="F2744" s="1">
        <v>0</v>
      </c>
      <c r="G2744" s="1">
        <v>0</v>
      </c>
      <c r="H2744" s="1">
        <v>0</v>
      </c>
      <c r="I2744" s="1">
        <v>0</v>
      </c>
    </row>
    <row r="2745" spans="1:9" ht="23.25">
      <c r="A2745" s="4" t="s">
        <v>20</v>
      </c>
      <c r="B2745" s="4"/>
      <c r="C2745" s="4" t="s">
        <v>50</v>
      </c>
      <c r="D2745" s="4"/>
      <c r="E2745" s="1">
        <v>0</v>
      </c>
      <c r="F2745" s="1">
        <v>0</v>
      </c>
      <c r="G2745" s="1">
        <v>0</v>
      </c>
      <c r="H2745" s="1">
        <v>0</v>
      </c>
      <c r="I2745" s="1">
        <v>0</v>
      </c>
    </row>
    <row r="2746" spans="1:9" ht="23.25">
      <c r="A2746" s="4" t="s">
        <v>21</v>
      </c>
      <c r="B2746" s="4"/>
      <c r="C2746" s="4" t="s">
        <v>50</v>
      </c>
      <c r="D2746" s="4"/>
      <c r="E2746" s="1">
        <v>0</v>
      </c>
      <c r="F2746" s="1">
        <v>0</v>
      </c>
      <c r="G2746" s="1">
        <v>0</v>
      </c>
      <c r="H2746" s="1">
        <v>0</v>
      </c>
      <c r="I2746" s="1">
        <v>0</v>
      </c>
    </row>
    <row r="2747" spans="1:9" ht="23.25">
      <c r="A2747" s="4" t="s">
        <v>22</v>
      </c>
      <c r="B2747" s="4"/>
      <c r="C2747" s="4" t="s">
        <v>50</v>
      </c>
      <c r="D2747" s="4"/>
      <c r="E2747" s="1">
        <v>0</v>
      </c>
      <c r="F2747" s="1">
        <v>0</v>
      </c>
      <c r="G2747" s="1">
        <v>0</v>
      </c>
      <c r="H2747" s="1">
        <v>0</v>
      </c>
      <c r="I2747" s="1">
        <v>0</v>
      </c>
    </row>
    <row r="2748" spans="1:9" ht="23.25">
      <c r="A2748" s="4" t="s">
        <v>23</v>
      </c>
      <c r="B2748" s="4"/>
      <c r="C2748" s="4" t="s">
        <v>50</v>
      </c>
      <c r="D2748" s="4"/>
      <c r="E2748" s="1">
        <v>0</v>
      </c>
      <c r="F2748" s="1">
        <v>0</v>
      </c>
      <c r="G2748" s="1">
        <v>0</v>
      </c>
      <c r="H2748" s="1">
        <v>0</v>
      </c>
      <c r="I2748" s="1">
        <v>0</v>
      </c>
    </row>
    <row r="2749" spans="1:9" ht="23.25">
      <c r="A2749" s="4" t="s">
        <v>24</v>
      </c>
      <c r="B2749" s="4"/>
      <c r="C2749" s="4" t="s">
        <v>50</v>
      </c>
      <c r="D2749" s="4"/>
      <c r="E2749" s="1">
        <v>14797</v>
      </c>
      <c r="F2749" s="1">
        <v>905</v>
      </c>
      <c r="G2749" s="1">
        <v>422</v>
      </c>
      <c r="H2749" s="1">
        <v>108</v>
      </c>
      <c r="I2749" s="1">
        <v>0</v>
      </c>
    </row>
    <row r="2750" spans="1:9" ht="23.25">
      <c r="A2750" s="4" t="s">
        <v>25</v>
      </c>
      <c r="B2750" s="4"/>
      <c r="C2750" s="4" t="s">
        <v>50</v>
      </c>
      <c r="D2750" s="4"/>
      <c r="E2750" s="1">
        <v>495360</v>
      </c>
      <c r="F2750" s="1">
        <v>10459</v>
      </c>
      <c r="G2750" s="1">
        <v>0</v>
      </c>
      <c r="H2750" s="1">
        <v>6424</v>
      </c>
      <c r="I2750" s="1">
        <v>0</v>
      </c>
    </row>
    <row r="2751" spans="1:9" ht="23.25">
      <c r="A2751" s="4" t="s">
        <v>26</v>
      </c>
      <c r="B2751" s="4"/>
      <c r="C2751" s="4" t="s">
        <v>50</v>
      </c>
      <c r="D2751" s="4"/>
      <c r="E2751" s="1">
        <v>0</v>
      </c>
      <c r="F2751" s="1">
        <v>0</v>
      </c>
      <c r="G2751" s="1">
        <v>0</v>
      </c>
      <c r="H2751" s="1">
        <v>0</v>
      </c>
      <c r="I2751" s="1">
        <v>0</v>
      </c>
    </row>
    <row r="2752" spans="1:9" ht="23.25">
      <c r="A2752" s="4" t="s">
        <v>27</v>
      </c>
      <c r="B2752" s="4"/>
      <c r="C2752" s="4" t="s">
        <v>50</v>
      </c>
      <c r="D2752" s="4"/>
      <c r="E2752" s="1">
        <v>0</v>
      </c>
      <c r="F2752" s="1">
        <v>0</v>
      </c>
      <c r="G2752" s="1">
        <v>0</v>
      </c>
      <c r="H2752" s="1">
        <v>0</v>
      </c>
      <c r="I2752" s="1">
        <v>0</v>
      </c>
    </row>
    <row r="2753" spans="1:9" ht="23.25">
      <c r="A2753" s="4" t="s">
        <v>28</v>
      </c>
      <c r="B2753" s="4"/>
      <c r="C2753" s="4" t="s">
        <v>50</v>
      </c>
      <c r="D2753" s="4"/>
      <c r="E2753" s="1">
        <v>0</v>
      </c>
      <c r="F2753" s="1">
        <v>0</v>
      </c>
      <c r="G2753" s="1">
        <v>0</v>
      </c>
      <c r="H2753" s="1">
        <v>0</v>
      </c>
      <c r="I2753" s="1">
        <v>0</v>
      </c>
    </row>
    <row r="2754" spans="1:9" ht="23.25">
      <c r="A2754" s="4" t="s">
        <v>29</v>
      </c>
      <c r="B2754" s="4"/>
      <c r="C2754" s="4" t="s">
        <v>50</v>
      </c>
      <c r="D2754" s="4"/>
      <c r="E2754" s="1">
        <v>0</v>
      </c>
      <c r="F2754" s="1">
        <v>0</v>
      </c>
      <c r="G2754" s="1">
        <v>0</v>
      </c>
      <c r="H2754" s="1">
        <v>0</v>
      </c>
      <c r="I2754" s="1">
        <v>0</v>
      </c>
    </row>
    <row r="2755" spans="1:9" ht="23.25">
      <c r="A2755" s="4" t="s">
        <v>30</v>
      </c>
      <c r="B2755" s="4"/>
      <c r="C2755" s="4" t="s">
        <v>50</v>
      </c>
      <c r="D2755" s="4"/>
      <c r="E2755" s="1">
        <v>121572</v>
      </c>
      <c r="F2755" s="1">
        <v>489</v>
      </c>
      <c r="G2755" s="1">
        <v>234</v>
      </c>
      <c r="H2755" s="1">
        <v>385</v>
      </c>
      <c r="I2755" s="1">
        <v>0</v>
      </c>
    </row>
    <row r="2756" spans="1:9" ht="23.25">
      <c r="A2756" s="4" t="s">
        <v>31</v>
      </c>
      <c r="B2756" s="4"/>
      <c r="C2756" s="4" t="s">
        <v>50</v>
      </c>
      <c r="D2756" s="4"/>
      <c r="E2756" s="1">
        <v>16963</v>
      </c>
      <c r="F2756" s="1">
        <v>1829</v>
      </c>
      <c r="G2756" s="1">
        <v>2585</v>
      </c>
      <c r="H2756" s="1">
        <v>71</v>
      </c>
      <c r="I2756" s="1">
        <v>0</v>
      </c>
    </row>
    <row r="2757" spans="1:9" ht="23.25">
      <c r="A2757" s="4" t="s">
        <v>32</v>
      </c>
      <c r="B2757" s="4"/>
      <c r="C2757" s="4" t="s">
        <v>50</v>
      </c>
      <c r="D2757" s="4"/>
      <c r="E2757" s="1">
        <v>521598</v>
      </c>
      <c r="F2757" s="1">
        <v>15271</v>
      </c>
      <c r="G2757" s="1">
        <v>13061</v>
      </c>
      <c r="H2757" s="1">
        <v>4524</v>
      </c>
      <c r="I2757" s="1">
        <v>0</v>
      </c>
    </row>
    <row r="2758" spans="1:9" ht="23.25">
      <c r="A2758" s="4" t="s">
        <v>33</v>
      </c>
      <c r="B2758" s="4"/>
      <c r="C2758" s="4" t="s">
        <v>50</v>
      </c>
      <c r="D2758" s="4"/>
      <c r="E2758" s="1">
        <v>32623</v>
      </c>
      <c r="F2758" s="1">
        <v>1428</v>
      </c>
      <c r="G2758" s="1">
        <v>1873</v>
      </c>
      <c r="H2758" s="1">
        <v>246</v>
      </c>
      <c r="I2758" s="1">
        <v>0</v>
      </c>
    </row>
    <row r="2759" spans="1:9" ht="23.25">
      <c r="A2759" s="4" t="s">
        <v>34</v>
      </c>
      <c r="B2759" s="4"/>
      <c r="C2759" s="4" t="s">
        <v>50</v>
      </c>
      <c r="D2759" s="4"/>
      <c r="E2759" s="1">
        <v>1527351</v>
      </c>
      <c r="F2759" s="1">
        <v>113002</v>
      </c>
      <c r="G2759" s="1">
        <v>55126</v>
      </c>
      <c r="H2759" s="1">
        <v>20501</v>
      </c>
      <c r="I2759" s="1">
        <v>474024</v>
      </c>
    </row>
    <row r="2760" spans="1:9" ht="23.25">
      <c r="A2760" s="4" t="s">
        <v>35</v>
      </c>
      <c r="B2760" s="4"/>
      <c r="C2760" s="4" t="s">
        <v>50</v>
      </c>
      <c r="D2760" s="4"/>
      <c r="E2760" s="1">
        <v>172118</v>
      </c>
      <c r="F2760" s="1">
        <v>15522</v>
      </c>
      <c r="G2760" s="1">
        <v>15629</v>
      </c>
      <c r="H2760" s="1">
        <v>5962</v>
      </c>
      <c r="I2760" s="1">
        <v>74400</v>
      </c>
    </row>
    <row r="2761" spans="1:9" ht="23.25">
      <c r="A2761" s="4" t="s">
        <v>36</v>
      </c>
      <c r="B2761" s="4"/>
      <c r="C2761" s="4" t="s">
        <v>50</v>
      </c>
      <c r="D2761" s="4"/>
      <c r="E2761" s="1">
        <v>13495482</v>
      </c>
      <c r="F2761" s="1">
        <v>1594675</v>
      </c>
      <c r="G2761" s="1">
        <v>1449445</v>
      </c>
      <c r="H2761" s="1">
        <v>149847</v>
      </c>
      <c r="I2761" s="1">
        <v>5782763</v>
      </c>
    </row>
    <row r="2762" spans="1:9" ht="23.25">
      <c r="A2762" s="4" t="s">
        <v>37</v>
      </c>
      <c r="B2762" s="4"/>
      <c r="C2762" s="4" t="s">
        <v>50</v>
      </c>
      <c r="D2762" s="4"/>
      <c r="E2762" s="1">
        <v>2356995</v>
      </c>
      <c r="F2762" s="1">
        <v>171439</v>
      </c>
      <c r="G2762" s="1">
        <v>184235</v>
      </c>
      <c r="H2762" s="1">
        <v>26731</v>
      </c>
      <c r="I2762" s="1">
        <v>434301</v>
      </c>
    </row>
    <row r="2763" spans="1:9" ht="23.25">
      <c r="A2763" s="4" t="s">
        <v>38</v>
      </c>
      <c r="B2763" s="4"/>
      <c r="C2763" s="4" t="s">
        <v>50</v>
      </c>
      <c r="D2763" s="4"/>
      <c r="E2763" s="1">
        <v>73977</v>
      </c>
      <c r="F2763" s="1">
        <v>8149</v>
      </c>
      <c r="G2763" s="1">
        <v>11409</v>
      </c>
      <c r="H2763" s="1">
        <v>2064</v>
      </c>
      <c r="I2763" s="1">
        <v>0</v>
      </c>
    </row>
    <row r="2764" spans="1:9" ht="23.25">
      <c r="A2764" s="4" t="s">
        <v>39</v>
      </c>
      <c r="B2764" s="4"/>
      <c r="C2764" s="4" t="s">
        <v>50</v>
      </c>
      <c r="D2764" s="4"/>
      <c r="E2764" s="1">
        <v>3514405</v>
      </c>
      <c r="F2764" s="1">
        <v>59394</v>
      </c>
      <c r="G2764" s="1">
        <v>58904</v>
      </c>
      <c r="H2764" s="1">
        <v>23292</v>
      </c>
      <c r="I2764" s="1">
        <v>1595942</v>
      </c>
    </row>
    <row r="2765" spans="1:9" ht="23.25">
      <c r="A2765" s="4" t="s">
        <v>40</v>
      </c>
      <c r="B2765" s="4"/>
      <c r="C2765" s="4" t="s">
        <v>50</v>
      </c>
      <c r="D2765" s="4"/>
      <c r="E2765" s="1">
        <v>163978</v>
      </c>
      <c r="F2765" s="1">
        <v>5850</v>
      </c>
      <c r="G2765" s="1">
        <v>4599</v>
      </c>
      <c r="H2765" s="1">
        <v>2753</v>
      </c>
      <c r="I2765" s="1">
        <v>0</v>
      </c>
    </row>
    <row r="2766" spans="1:9" ht="23.25">
      <c r="A2766" s="4" t="s">
        <v>41</v>
      </c>
      <c r="B2766" s="4"/>
      <c r="C2766" s="4" t="s">
        <v>50</v>
      </c>
      <c r="D2766" s="4"/>
      <c r="E2766" s="1">
        <v>350701</v>
      </c>
      <c r="F2766" s="1">
        <v>46650</v>
      </c>
      <c r="G2766" s="1">
        <v>46423</v>
      </c>
      <c r="H2766" s="1">
        <v>4012</v>
      </c>
      <c r="I2766" s="1">
        <v>0</v>
      </c>
    </row>
    <row r="2767" spans="1:9" ht="23.25">
      <c r="A2767" s="4" t="s">
        <v>42</v>
      </c>
      <c r="B2767" s="4"/>
      <c r="C2767" s="4" t="s">
        <v>50</v>
      </c>
      <c r="D2767" s="4"/>
      <c r="E2767" s="1">
        <v>311703</v>
      </c>
      <c r="F2767" s="1">
        <v>16563</v>
      </c>
      <c r="G2767" s="1">
        <v>25526</v>
      </c>
      <c r="H2767" s="1">
        <v>4438</v>
      </c>
      <c r="I2767" s="1">
        <v>83222</v>
      </c>
    </row>
    <row r="2768" spans="1:9" ht="23.25">
      <c r="A2768" s="4" t="s">
        <v>43</v>
      </c>
      <c r="B2768" s="4"/>
      <c r="C2768" s="4" t="s">
        <v>50</v>
      </c>
      <c r="D2768" s="4"/>
      <c r="E2768" s="1">
        <v>391559</v>
      </c>
      <c r="F2768" s="1">
        <v>6179</v>
      </c>
      <c r="G2768" s="1">
        <v>2831</v>
      </c>
      <c r="H2768" s="1">
        <v>635</v>
      </c>
      <c r="I2768" s="1">
        <v>238471</v>
      </c>
    </row>
    <row r="2769" spans="1:9" ht="23.25">
      <c r="A2769" s="4" t="s">
        <v>44</v>
      </c>
      <c r="B2769" s="4"/>
      <c r="C2769" s="4" t="s">
        <v>50</v>
      </c>
      <c r="D2769" s="4"/>
      <c r="E2769" s="1">
        <v>6271953</v>
      </c>
      <c r="F2769" s="1">
        <v>87824</v>
      </c>
      <c r="G2769" s="1">
        <v>181076</v>
      </c>
      <c r="H2769" s="1">
        <v>15213</v>
      </c>
      <c r="I2769" s="1">
        <v>4563456</v>
      </c>
    </row>
    <row r="2770" spans="1:9" ht="23.25">
      <c r="A2770" s="4" t="s">
        <v>45</v>
      </c>
      <c r="B2770" s="4"/>
      <c r="C2770" s="4" t="s">
        <v>50</v>
      </c>
      <c r="D2770" s="4"/>
      <c r="E2770" s="1">
        <v>2568541</v>
      </c>
      <c r="F2770" s="1">
        <v>152907</v>
      </c>
      <c r="G2770" s="1">
        <v>0</v>
      </c>
      <c r="H2770" s="1">
        <v>23308</v>
      </c>
      <c r="I2770" s="1">
        <v>0</v>
      </c>
    </row>
    <row r="2771" spans="1:9" ht="23.25">
      <c r="A2771" s="4" t="s">
        <v>46</v>
      </c>
      <c r="B2771" s="4"/>
      <c r="C2771" s="4" t="s">
        <v>50</v>
      </c>
      <c r="D2771" s="4"/>
      <c r="E2771" s="1">
        <v>88463</v>
      </c>
      <c r="F2771" s="1">
        <v>4243</v>
      </c>
      <c r="G2771" s="1">
        <v>2163</v>
      </c>
      <c r="H2771" s="1">
        <v>759</v>
      </c>
      <c r="I2771" s="1">
        <v>0</v>
      </c>
    </row>
    <row r="2772" spans="1:9" ht="23.25">
      <c r="A2772" s="4" t="s">
        <v>47</v>
      </c>
      <c r="B2772" s="4"/>
      <c r="C2772" s="4" t="s">
        <v>50</v>
      </c>
      <c r="D2772" s="4"/>
      <c r="E2772" s="1">
        <v>385735</v>
      </c>
      <c r="F2772" s="1">
        <v>0</v>
      </c>
      <c r="G2772" s="1">
        <v>0</v>
      </c>
      <c r="H2772" s="1">
        <v>0</v>
      </c>
      <c r="I2772" s="1">
        <v>0</v>
      </c>
    </row>
    <row r="2773" spans="1:9" ht="23.25">
      <c r="A2773" s="4" t="s">
        <v>48</v>
      </c>
      <c r="B2773" s="4"/>
      <c r="C2773" s="4" t="s">
        <v>50</v>
      </c>
      <c r="D2773" s="4"/>
      <c r="E2773" s="1">
        <v>0</v>
      </c>
      <c r="F2773" s="1">
        <v>0</v>
      </c>
      <c r="G2773" s="1">
        <v>0</v>
      </c>
      <c r="H2773" s="1">
        <v>0</v>
      </c>
      <c r="I2773" s="1">
        <v>0</v>
      </c>
    </row>
    <row r="2774" spans="1:9" ht="23.25">
      <c r="A2774" s="4" t="s">
        <v>49</v>
      </c>
      <c r="B2774" s="4"/>
      <c r="C2774" s="4" t="s">
        <v>50</v>
      </c>
      <c r="D2774" s="4"/>
      <c r="E2774" s="1">
        <v>470050</v>
      </c>
      <c r="F2774" s="1">
        <v>12146</v>
      </c>
      <c r="G2774" s="1">
        <v>7834</v>
      </c>
      <c r="H2774" s="1">
        <v>2164</v>
      </c>
      <c r="I2774" s="1">
        <v>436475</v>
      </c>
    </row>
    <row r="2775" spans="1:9" ht="23.25">
      <c r="A2775" s="4" t="s">
        <v>50</v>
      </c>
      <c r="B2775" s="4"/>
      <c r="C2775" s="4" t="s">
        <v>50</v>
      </c>
      <c r="D2775" s="4"/>
      <c r="E2775" s="1">
        <v>66816170</v>
      </c>
      <c r="F2775" s="1">
        <v>8851215</v>
      </c>
      <c r="G2775" s="1">
        <v>10517903</v>
      </c>
      <c r="H2775" s="1">
        <v>536474</v>
      </c>
      <c r="I2775" s="1">
        <v>17933240</v>
      </c>
    </row>
    <row r="2776" spans="1:9" ht="23.25">
      <c r="A2776" s="4" t="s">
        <v>51</v>
      </c>
      <c r="B2776" s="4"/>
      <c r="C2776" s="4" t="s">
        <v>50</v>
      </c>
      <c r="D2776" s="4"/>
      <c r="E2776" s="1">
        <v>782316</v>
      </c>
      <c r="F2776" s="1">
        <v>56470</v>
      </c>
      <c r="G2776" s="1">
        <v>50773</v>
      </c>
      <c r="H2776" s="1">
        <v>7732</v>
      </c>
      <c r="I2776" s="1">
        <v>36434</v>
      </c>
    </row>
    <row r="2777" spans="1:9" ht="23.25">
      <c r="A2777" s="4" t="s">
        <v>52</v>
      </c>
      <c r="B2777" s="4"/>
      <c r="C2777" s="4" t="s">
        <v>50</v>
      </c>
      <c r="D2777" s="4"/>
      <c r="E2777" s="1">
        <v>6682382</v>
      </c>
      <c r="F2777" s="1">
        <v>858</v>
      </c>
      <c r="G2777" s="1">
        <v>1602</v>
      </c>
      <c r="H2777" s="1">
        <v>280</v>
      </c>
      <c r="I2777" s="1">
        <v>0</v>
      </c>
    </row>
    <row r="2778" spans="1:9" ht="23.25">
      <c r="A2778" s="4" t="s">
        <v>53</v>
      </c>
      <c r="B2778" s="4"/>
      <c r="C2778" s="4" t="s">
        <v>50</v>
      </c>
      <c r="D2778" s="4"/>
      <c r="E2778" s="1">
        <v>83785</v>
      </c>
      <c r="F2778" s="1">
        <v>0</v>
      </c>
      <c r="G2778" s="1">
        <v>0</v>
      </c>
      <c r="H2778" s="1">
        <v>0</v>
      </c>
      <c r="I2778" s="1">
        <v>0</v>
      </c>
    </row>
    <row r="2779" spans="1:9" ht="23.25">
      <c r="A2779" s="4" t="s">
        <v>54</v>
      </c>
      <c r="B2779" s="4"/>
      <c r="C2779" s="4" t="s">
        <v>50</v>
      </c>
      <c r="D2779" s="4"/>
      <c r="E2779" s="1">
        <v>148979</v>
      </c>
      <c r="F2779" s="1">
        <v>0</v>
      </c>
      <c r="G2779" s="1">
        <v>0</v>
      </c>
      <c r="H2779" s="1">
        <v>0</v>
      </c>
      <c r="I2779" s="1">
        <v>0</v>
      </c>
    </row>
    <row r="2780" spans="1:9" ht="23.25">
      <c r="A2780" s="4" t="s">
        <v>55</v>
      </c>
      <c r="B2780" s="4"/>
      <c r="C2780" s="4" t="s">
        <v>50</v>
      </c>
      <c r="D2780" s="4"/>
      <c r="E2780" s="1">
        <v>0</v>
      </c>
      <c r="F2780" s="1">
        <v>0</v>
      </c>
      <c r="G2780" s="1">
        <v>0</v>
      </c>
      <c r="H2780" s="1">
        <v>0</v>
      </c>
      <c r="I2780" s="1">
        <v>0</v>
      </c>
    </row>
    <row r="2781" spans="1:9" ht="23.25">
      <c r="A2781" s="4" t="s">
        <v>56</v>
      </c>
      <c r="B2781" s="4"/>
      <c r="C2781" s="4" t="s">
        <v>50</v>
      </c>
      <c r="D2781" s="4"/>
      <c r="E2781" s="1">
        <v>0</v>
      </c>
      <c r="F2781" s="1">
        <v>-13744291</v>
      </c>
      <c r="G2781" s="1">
        <v>-12831923</v>
      </c>
      <c r="H2781" s="1">
        <v>0</v>
      </c>
      <c r="I2781" s="1">
        <v>0</v>
      </c>
    </row>
    <row r="2782" spans="1:9" ht="23.25">
      <c r="A2782" s="4" t="s">
        <v>57</v>
      </c>
      <c r="B2782" s="4"/>
      <c r="C2782" s="4" t="s">
        <v>50</v>
      </c>
      <c r="D2782" s="4"/>
      <c r="E2782" s="1">
        <v>788176</v>
      </c>
      <c r="F2782" s="1">
        <v>0</v>
      </c>
      <c r="G2782" s="1">
        <v>0</v>
      </c>
      <c r="H2782" s="1">
        <v>0</v>
      </c>
      <c r="I2782" s="1">
        <v>0</v>
      </c>
    </row>
    <row r="2783" spans="1:9" ht="23.25">
      <c r="A2783" s="4" t="s">
        <v>58</v>
      </c>
      <c r="B2783" s="4"/>
      <c r="C2783" s="4" t="s">
        <v>50</v>
      </c>
      <c r="D2783" s="4"/>
      <c r="E2783" s="1">
        <v>869939</v>
      </c>
      <c r="F2783" s="1">
        <v>0</v>
      </c>
      <c r="G2783" s="1">
        <v>0</v>
      </c>
      <c r="H2783" s="1">
        <v>-1397949</v>
      </c>
      <c r="I2783" s="1">
        <v>0</v>
      </c>
    </row>
    <row r="2784" spans="1:9" ht="23.25">
      <c r="A2784" s="4" t="s">
        <v>59</v>
      </c>
      <c r="B2784" s="4"/>
      <c r="C2784" s="4" t="s">
        <v>50</v>
      </c>
      <c r="D2784" s="4"/>
      <c r="E2784" s="1">
        <v>222931</v>
      </c>
      <c r="F2784" s="1">
        <v>0</v>
      </c>
      <c r="G2784" s="1">
        <v>0</v>
      </c>
      <c r="H2784" s="1">
        <v>0</v>
      </c>
      <c r="I2784" s="1">
        <v>0</v>
      </c>
    </row>
    <row r="2785" spans="1:9" ht="23.25">
      <c r="A2785" s="4" t="s">
        <v>60</v>
      </c>
      <c r="B2785" s="4"/>
      <c r="C2785" s="4" t="s">
        <v>50</v>
      </c>
      <c r="D2785" s="4"/>
      <c r="E2785" s="1">
        <v>5362687</v>
      </c>
      <c r="F2785" s="1">
        <v>0</v>
      </c>
      <c r="G2785" s="1">
        <v>0</v>
      </c>
      <c r="H2785" s="1">
        <v>0</v>
      </c>
      <c r="I2785" s="1">
        <v>0</v>
      </c>
    </row>
    <row r="2786" spans="1:9" ht="23.25">
      <c r="A2786" s="4" t="s">
        <v>61</v>
      </c>
      <c r="B2786" s="4"/>
      <c r="C2786" s="4" t="s">
        <v>50</v>
      </c>
      <c r="D2786" s="4"/>
      <c r="E2786" s="1">
        <v>323688</v>
      </c>
      <c r="F2786" s="1">
        <v>0</v>
      </c>
      <c r="G2786" s="1">
        <v>0</v>
      </c>
      <c r="H2786" s="1">
        <v>0</v>
      </c>
      <c r="I2786" s="1">
        <v>0</v>
      </c>
    </row>
    <row r="2787" spans="1:9" ht="23.25">
      <c r="A2787" s="4" t="s">
        <v>62</v>
      </c>
      <c r="B2787" s="4"/>
      <c r="C2787" s="4" t="s">
        <v>50</v>
      </c>
      <c r="D2787" s="4"/>
      <c r="E2787" s="1">
        <v>4095129</v>
      </c>
      <c r="F2787" s="1">
        <v>0</v>
      </c>
      <c r="G2787" s="1">
        <v>0</v>
      </c>
      <c r="H2787" s="1">
        <v>0</v>
      </c>
      <c r="I2787" s="1">
        <v>0</v>
      </c>
    </row>
    <row r="2788" spans="1:9" ht="23.25">
      <c r="A2788" s="4" t="s">
        <v>63</v>
      </c>
      <c r="B2788" s="4"/>
      <c r="C2788" s="4" t="s">
        <v>50</v>
      </c>
      <c r="D2788" s="4"/>
      <c r="E2788" s="1">
        <v>65926</v>
      </c>
      <c r="F2788" s="1">
        <v>0</v>
      </c>
      <c r="G2788" s="1">
        <v>0</v>
      </c>
      <c r="H2788" s="1">
        <v>0</v>
      </c>
      <c r="I2788" s="1">
        <v>0</v>
      </c>
    </row>
    <row r="2789" spans="1:9" ht="23.25">
      <c r="A2789" s="4" t="s">
        <v>64</v>
      </c>
      <c r="B2789" s="4"/>
      <c r="C2789" s="4" t="s">
        <v>50</v>
      </c>
      <c r="D2789" s="4"/>
      <c r="E2789" s="1">
        <v>95691</v>
      </c>
      <c r="F2789" s="1">
        <v>0</v>
      </c>
      <c r="G2789" s="1">
        <v>0</v>
      </c>
      <c r="H2789" s="1">
        <v>0</v>
      </c>
      <c r="I2789" s="1">
        <v>0</v>
      </c>
    </row>
    <row r="2790" spans="1:9" ht="23.25">
      <c r="A2790" s="4" t="s">
        <v>65</v>
      </c>
      <c r="B2790" s="4"/>
      <c r="C2790" s="4" t="s">
        <v>50</v>
      </c>
      <c r="D2790" s="4"/>
      <c r="E2790" s="1">
        <v>695409</v>
      </c>
      <c r="F2790" s="1">
        <v>0</v>
      </c>
      <c r="G2790" s="1">
        <v>0</v>
      </c>
      <c r="H2790" s="1">
        <v>0</v>
      </c>
      <c r="I2790" s="1">
        <v>71745</v>
      </c>
    </row>
    <row r="2791" spans="1:9" ht="23.25">
      <c r="A2791" s="4" t="s">
        <v>66</v>
      </c>
      <c r="B2791" s="4"/>
      <c r="C2791" s="4" t="s">
        <v>50</v>
      </c>
      <c r="D2791" s="4"/>
      <c r="E2791" s="1">
        <v>159521558</v>
      </c>
      <c r="F2791" s="1">
        <v>0</v>
      </c>
      <c r="G2791" s="1">
        <v>0</v>
      </c>
      <c r="H2791" s="1">
        <v>0</v>
      </c>
      <c r="I2791" s="1">
        <v>32428345</v>
      </c>
    </row>
    <row r="2792" spans="1:9" ht="23.25">
      <c r="A2792" s="4" t="s">
        <v>67</v>
      </c>
      <c r="B2792" s="4"/>
      <c r="C2792" s="4" t="s">
        <v>50</v>
      </c>
      <c r="D2792" s="4"/>
      <c r="E2792" s="1">
        <v>36677620</v>
      </c>
      <c r="F2792" s="1">
        <v>0</v>
      </c>
      <c r="G2792" s="1">
        <v>0</v>
      </c>
      <c r="H2792" s="1">
        <v>0</v>
      </c>
      <c r="I2792" s="1">
        <v>0</v>
      </c>
    </row>
    <row r="2793" spans="1:9" ht="23.25">
      <c r="A2793" s="4" t="s">
        <v>68</v>
      </c>
      <c r="B2793" s="4"/>
      <c r="C2793" s="4" t="s">
        <v>50</v>
      </c>
      <c r="D2793" s="4"/>
      <c r="E2793" s="1">
        <v>48466444</v>
      </c>
      <c r="F2793" s="1">
        <v>0</v>
      </c>
      <c r="G2793" s="1">
        <v>0</v>
      </c>
      <c r="H2793" s="1">
        <v>0</v>
      </c>
      <c r="I2793" s="1">
        <v>0</v>
      </c>
    </row>
    <row r="2794" spans="1:9" ht="23.25">
      <c r="A2794" s="4" t="s">
        <v>69</v>
      </c>
      <c r="B2794" s="4"/>
      <c r="C2794" s="4" t="s">
        <v>50</v>
      </c>
      <c r="D2794" s="4"/>
      <c r="E2794" s="1">
        <v>15956666</v>
      </c>
      <c r="F2794" s="1">
        <v>0</v>
      </c>
      <c r="G2794" s="1">
        <v>0</v>
      </c>
      <c r="H2794" s="1">
        <v>0</v>
      </c>
      <c r="I2794" s="1">
        <v>0</v>
      </c>
    </row>
    <row r="2795" spans="1:9" ht="23.25">
      <c r="A2795" s="4" t="s">
        <v>70</v>
      </c>
      <c r="B2795" s="4"/>
      <c r="C2795" s="4" t="s">
        <v>50</v>
      </c>
      <c r="D2795" s="4"/>
      <c r="E2795" s="1">
        <v>5624269</v>
      </c>
      <c r="F2795" s="1">
        <v>0</v>
      </c>
      <c r="G2795" s="1">
        <v>0</v>
      </c>
      <c r="H2795" s="1">
        <v>0</v>
      </c>
      <c r="I2795" s="1">
        <v>0</v>
      </c>
    </row>
    <row r="2796" spans="1:9" ht="23.25">
      <c r="A2796" s="4" t="s">
        <v>71</v>
      </c>
      <c r="B2796" s="4"/>
      <c r="C2796" s="4" t="s">
        <v>50</v>
      </c>
      <c r="D2796" s="4"/>
      <c r="E2796" s="1">
        <v>106724999</v>
      </c>
      <c r="F2796" s="1">
        <v>0</v>
      </c>
      <c r="G2796" s="1">
        <v>0</v>
      </c>
      <c r="H2796" s="1">
        <v>0</v>
      </c>
      <c r="I2796" s="1">
        <v>0</v>
      </c>
    </row>
    <row r="2797" spans="1:9" ht="23.25">
      <c r="A2797" s="4" t="s">
        <v>72</v>
      </c>
      <c r="B2797" s="4"/>
      <c r="C2797" s="4" t="s">
        <v>50</v>
      </c>
      <c r="D2797" s="4"/>
      <c r="E2797" s="1">
        <v>266246557</v>
      </c>
      <c r="F2797" s="1">
        <v>0</v>
      </c>
      <c r="G2797" s="1">
        <v>0</v>
      </c>
      <c r="H2797" s="1">
        <v>0</v>
      </c>
      <c r="I2797" s="1">
        <v>0</v>
      </c>
    </row>
    <row r="2798" spans="1:9" ht="23.25">
      <c r="A2798" s="4" t="s">
        <v>8</v>
      </c>
      <c r="B2798" s="4"/>
      <c r="C2798" s="4" t="s">
        <v>51</v>
      </c>
      <c r="D2798" s="4"/>
      <c r="E2798" s="1">
        <v>68315</v>
      </c>
      <c r="F2798" s="1">
        <v>4648</v>
      </c>
      <c r="G2798" s="1">
        <v>3258</v>
      </c>
      <c r="H2798" s="1">
        <v>565</v>
      </c>
      <c r="I2798" s="1">
        <v>0</v>
      </c>
    </row>
    <row r="2799" spans="1:9" ht="23.25">
      <c r="A2799" s="4" t="s">
        <v>9</v>
      </c>
      <c r="B2799" s="4"/>
      <c r="C2799" s="4" t="s">
        <v>51</v>
      </c>
      <c r="D2799" s="4"/>
      <c r="E2799" s="1">
        <v>0</v>
      </c>
      <c r="F2799" s="1">
        <v>0</v>
      </c>
      <c r="G2799" s="1">
        <v>0</v>
      </c>
      <c r="H2799" s="1">
        <v>0</v>
      </c>
      <c r="I2799" s="1">
        <v>0</v>
      </c>
    </row>
    <row r="2800" spans="1:9" ht="23.25">
      <c r="A2800" s="4" t="s">
        <v>10</v>
      </c>
      <c r="B2800" s="4"/>
      <c r="C2800" s="4" t="s">
        <v>51</v>
      </c>
      <c r="D2800" s="4"/>
      <c r="E2800" s="1">
        <v>0</v>
      </c>
      <c r="F2800" s="1">
        <v>0</v>
      </c>
      <c r="G2800" s="1">
        <v>0</v>
      </c>
      <c r="H2800" s="1">
        <v>0</v>
      </c>
      <c r="I2800" s="1">
        <v>0</v>
      </c>
    </row>
    <row r="2801" spans="1:9" ht="23.25">
      <c r="A2801" s="4" t="s">
        <v>11</v>
      </c>
      <c r="B2801" s="4"/>
      <c r="C2801" s="4" t="s">
        <v>51</v>
      </c>
      <c r="D2801" s="4"/>
      <c r="E2801" s="1">
        <v>0</v>
      </c>
      <c r="F2801" s="1">
        <v>0</v>
      </c>
      <c r="G2801" s="1">
        <v>0</v>
      </c>
      <c r="H2801" s="1">
        <v>0</v>
      </c>
      <c r="I2801" s="1">
        <v>0</v>
      </c>
    </row>
    <row r="2802" spans="1:9" ht="23.25">
      <c r="A2802" s="4" t="s">
        <v>12</v>
      </c>
      <c r="B2802" s="4"/>
      <c r="C2802" s="4" t="s">
        <v>51</v>
      </c>
      <c r="D2802" s="4"/>
      <c r="E2802" s="1">
        <v>0</v>
      </c>
      <c r="F2802" s="1">
        <v>0</v>
      </c>
      <c r="G2802" s="1">
        <v>0</v>
      </c>
      <c r="H2802" s="1">
        <v>0</v>
      </c>
      <c r="I2802" s="1">
        <v>0</v>
      </c>
    </row>
    <row r="2803" spans="1:9" ht="23.25">
      <c r="A2803" s="4" t="s">
        <v>13</v>
      </c>
      <c r="B2803" s="4"/>
      <c r="C2803" s="4" t="s">
        <v>51</v>
      </c>
      <c r="D2803" s="4"/>
      <c r="E2803" s="1">
        <v>0</v>
      </c>
      <c r="F2803" s="1">
        <v>0</v>
      </c>
      <c r="G2803" s="1">
        <v>0</v>
      </c>
      <c r="H2803" s="1">
        <v>0</v>
      </c>
      <c r="I2803" s="1">
        <v>0</v>
      </c>
    </row>
    <row r="2804" spans="1:9" ht="23.25">
      <c r="A2804" s="4" t="s">
        <v>14</v>
      </c>
      <c r="B2804" s="4"/>
      <c r="C2804" s="4" t="s">
        <v>51</v>
      </c>
      <c r="D2804" s="4"/>
      <c r="E2804" s="1">
        <v>35200</v>
      </c>
      <c r="F2804" s="1">
        <v>1167</v>
      </c>
      <c r="G2804" s="1">
        <v>0</v>
      </c>
      <c r="H2804" s="1">
        <v>275</v>
      </c>
      <c r="I2804" s="1">
        <v>0</v>
      </c>
    </row>
    <row r="2805" spans="1:9" ht="23.25">
      <c r="A2805" s="4" t="s">
        <v>15</v>
      </c>
      <c r="B2805" s="4"/>
      <c r="C2805" s="4" t="s">
        <v>51</v>
      </c>
      <c r="D2805" s="4"/>
      <c r="E2805" s="1">
        <v>160203</v>
      </c>
      <c r="F2805" s="1">
        <v>5893</v>
      </c>
      <c r="G2805" s="1">
        <v>114</v>
      </c>
      <c r="H2805" s="1">
        <v>2513</v>
      </c>
      <c r="I2805" s="1">
        <v>0</v>
      </c>
    </row>
    <row r="2806" spans="1:9" ht="23.25">
      <c r="A2806" s="4" t="s">
        <v>16</v>
      </c>
      <c r="B2806" s="4"/>
      <c r="C2806" s="4" t="s">
        <v>51</v>
      </c>
      <c r="D2806" s="4"/>
      <c r="E2806" s="1">
        <v>25524</v>
      </c>
      <c r="F2806" s="1">
        <v>728</v>
      </c>
      <c r="G2806" s="1">
        <v>1426</v>
      </c>
      <c r="H2806" s="1">
        <v>176</v>
      </c>
      <c r="I2806" s="1">
        <v>0</v>
      </c>
    </row>
    <row r="2807" spans="1:9" ht="23.25">
      <c r="A2807" s="4" t="s">
        <v>17</v>
      </c>
      <c r="B2807" s="4"/>
      <c r="C2807" s="4" t="s">
        <v>51</v>
      </c>
      <c r="D2807" s="4"/>
      <c r="E2807" s="1">
        <v>22766</v>
      </c>
      <c r="F2807" s="1">
        <v>3260</v>
      </c>
      <c r="G2807" s="1">
        <v>4420</v>
      </c>
      <c r="H2807" s="1">
        <v>805</v>
      </c>
      <c r="I2807" s="1">
        <v>0</v>
      </c>
    </row>
    <row r="2808" spans="1:9" ht="23.25">
      <c r="A2808" s="4" t="s">
        <v>18</v>
      </c>
      <c r="B2808" s="4"/>
      <c r="C2808" s="4" t="s">
        <v>51</v>
      </c>
      <c r="D2808" s="4"/>
      <c r="E2808" s="1">
        <v>0</v>
      </c>
      <c r="F2808" s="1">
        <v>0</v>
      </c>
      <c r="G2808" s="1">
        <v>0</v>
      </c>
      <c r="H2808" s="1">
        <v>0</v>
      </c>
      <c r="I2808" s="1">
        <v>0</v>
      </c>
    </row>
    <row r="2809" spans="1:9" ht="23.25">
      <c r="A2809" s="4" t="s">
        <v>19</v>
      </c>
      <c r="B2809" s="4"/>
      <c r="C2809" s="4" t="s">
        <v>51</v>
      </c>
      <c r="D2809" s="4"/>
      <c r="E2809" s="1">
        <v>0</v>
      </c>
      <c r="F2809" s="1">
        <v>0</v>
      </c>
      <c r="G2809" s="1">
        <v>0</v>
      </c>
      <c r="H2809" s="1">
        <v>0</v>
      </c>
      <c r="I2809" s="1">
        <v>0</v>
      </c>
    </row>
    <row r="2810" spans="1:9" ht="23.25">
      <c r="A2810" s="4" t="s">
        <v>20</v>
      </c>
      <c r="B2810" s="4"/>
      <c r="C2810" s="4" t="s">
        <v>51</v>
      </c>
      <c r="D2810" s="4"/>
      <c r="E2810" s="1">
        <v>0</v>
      </c>
      <c r="F2810" s="1">
        <v>0</v>
      </c>
      <c r="G2810" s="1">
        <v>0</v>
      </c>
      <c r="H2810" s="1">
        <v>0</v>
      </c>
      <c r="I2810" s="1">
        <v>0</v>
      </c>
    </row>
    <row r="2811" spans="1:9" ht="23.25">
      <c r="A2811" s="4" t="s">
        <v>21</v>
      </c>
      <c r="B2811" s="4"/>
      <c r="C2811" s="4" t="s">
        <v>51</v>
      </c>
      <c r="D2811" s="4"/>
      <c r="E2811" s="1">
        <v>10671636</v>
      </c>
      <c r="F2811" s="1">
        <v>312321</v>
      </c>
      <c r="G2811" s="1">
        <v>0</v>
      </c>
      <c r="H2811" s="1">
        <v>1016666</v>
      </c>
      <c r="I2811" s="1">
        <v>8689</v>
      </c>
    </row>
    <row r="2812" spans="1:9" ht="23.25">
      <c r="A2812" s="4" t="s">
        <v>22</v>
      </c>
      <c r="B2812" s="4"/>
      <c r="C2812" s="4" t="s">
        <v>51</v>
      </c>
      <c r="D2812" s="4"/>
      <c r="E2812" s="1">
        <v>2147182</v>
      </c>
      <c r="F2812" s="1">
        <v>1879</v>
      </c>
      <c r="G2812" s="1">
        <v>2297</v>
      </c>
      <c r="H2812" s="1">
        <v>4813</v>
      </c>
      <c r="I2812" s="1">
        <v>10102</v>
      </c>
    </row>
    <row r="2813" spans="1:9" ht="23.25">
      <c r="A2813" s="4" t="s">
        <v>23</v>
      </c>
      <c r="B2813" s="4"/>
      <c r="C2813" s="4" t="s">
        <v>51</v>
      </c>
      <c r="D2813" s="4"/>
      <c r="E2813" s="1">
        <v>0</v>
      </c>
      <c r="F2813" s="1">
        <v>0</v>
      </c>
      <c r="G2813" s="1">
        <v>0</v>
      </c>
      <c r="H2813" s="1">
        <v>0</v>
      </c>
      <c r="I2813" s="1">
        <v>0</v>
      </c>
    </row>
    <row r="2814" spans="1:9" ht="23.25">
      <c r="A2814" s="4" t="s">
        <v>24</v>
      </c>
      <c r="B2814" s="4"/>
      <c r="C2814" s="4" t="s">
        <v>51</v>
      </c>
      <c r="D2814" s="4"/>
      <c r="E2814" s="1">
        <v>9196</v>
      </c>
      <c r="F2814" s="1">
        <v>397</v>
      </c>
      <c r="G2814" s="1">
        <v>432</v>
      </c>
      <c r="H2814" s="1">
        <v>147</v>
      </c>
      <c r="I2814" s="1">
        <v>0</v>
      </c>
    </row>
    <row r="2815" spans="1:9" ht="23.25">
      <c r="A2815" s="4" t="s">
        <v>25</v>
      </c>
      <c r="B2815" s="4"/>
      <c r="C2815" s="4" t="s">
        <v>51</v>
      </c>
      <c r="D2815" s="4"/>
      <c r="E2815" s="1">
        <v>0</v>
      </c>
      <c r="F2815" s="1">
        <v>0</v>
      </c>
      <c r="G2815" s="1">
        <v>0</v>
      </c>
      <c r="H2815" s="1">
        <v>0</v>
      </c>
      <c r="I2815" s="1">
        <v>0</v>
      </c>
    </row>
    <row r="2816" spans="1:9" ht="23.25">
      <c r="A2816" s="4" t="s">
        <v>26</v>
      </c>
      <c r="B2816" s="4"/>
      <c r="C2816" s="4" t="s">
        <v>51</v>
      </c>
      <c r="D2816" s="4"/>
      <c r="E2816" s="1">
        <v>0</v>
      </c>
      <c r="F2816" s="1">
        <v>0</v>
      </c>
      <c r="G2816" s="1">
        <v>0</v>
      </c>
      <c r="H2816" s="1">
        <v>0</v>
      </c>
      <c r="I2816" s="1">
        <v>0</v>
      </c>
    </row>
    <row r="2817" spans="1:9" ht="23.25">
      <c r="A2817" s="4" t="s">
        <v>27</v>
      </c>
      <c r="B2817" s="4"/>
      <c r="C2817" s="4" t="s">
        <v>51</v>
      </c>
      <c r="D2817" s="4"/>
      <c r="E2817" s="1">
        <v>0</v>
      </c>
      <c r="F2817" s="1">
        <v>0</v>
      </c>
      <c r="G2817" s="1">
        <v>0</v>
      </c>
      <c r="H2817" s="1">
        <v>0</v>
      </c>
      <c r="I2817" s="1">
        <v>0</v>
      </c>
    </row>
    <row r="2818" spans="1:9" ht="23.25">
      <c r="A2818" s="4" t="s">
        <v>28</v>
      </c>
      <c r="B2818" s="4"/>
      <c r="C2818" s="4" t="s">
        <v>51</v>
      </c>
      <c r="D2818" s="4"/>
      <c r="E2818" s="1">
        <v>0</v>
      </c>
      <c r="F2818" s="1">
        <v>0</v>
      </c>
      <c r="G2818" s="1">
        <v>0</v>
      </c>
      <c r="H2818" s="1">
        <v>0</v>
      </c>
      <c r="I2818" s="1">
        <v>0</v>
      </c>
    </row>
    <row r="2819" spans="1:9" ht="23.25">
      <c r="A2819" s="4" t="s">
        <v>29</v>
      </c>
      <c r="B2819" s="4"/>
      <c r="C2819" s="4" t="s">
        <v>51</v>
      </c>
      <c r="D2819" s="4"/>
      <c r="E2819" s="1">
        <v>0</v>
      </c>
      <c r="F2819" s="1">
        <v>0</v>
      </c>
      <c r="G2819" s="1">
        <v>0</v>
      </c>
      <c r="H2819" s="1">
        <v>0</v>
      </c>
      <c r="I2819" s="1">
        <v>0</v>
      </c>
    </row>
    <row r="2820" spans="1:9" ht="23.25">
      <c r="A2820" s="4" t="s">
        <v>30</v>
      </c>
      <c r="B2820" s="4"/>
      <c r="C2820" s="4" t="s">
        <v>51</v>
      </c>
      <c r="D2820" s="4"/>
      <c r="E2820" s="1">
        <v>8458963</v>
      </c>
      <c r="F2820" s="1">
        <v>808941</v>
      </c>
      <c r="G2820" s="1">
        <v>301499</v>
      </c>
      <c r="H2820" s="1">
        <v>64205</v>
      </c>
      <c r="I2820" s="1">
        <v>734406</v>
      </c>
    </row>
    <row r="2821" spans="1:9" ht="23.25">
      <c r="A2821" s="4" t="s">
        <v>31</v>
      </c>
      <c r="B2821" s="4"/>
      <c r="C2821" s="4" t="s">
        <v>51</v>
      </c>
      <c r="D2821" s="4"/>
      <c r="E2821" s="1">
        <v>4318771</v>
      </c>
      <c r="F2821" s="1">
        <v>134700</v>
      </c>
      <c r="G2821" s="1">
        <v>690141</v>
      </c>
      <c r="H2821" s="1">
        <v>32759</v>
      </c>
      <c r="I2821" s="1">
        <v>2651174</v>
      </c>
    </row>
    <row r="2822" spans="1:9" ht="23.25">
      <c r="A2822" s="4" t="s">
        <v>32</v>
      </c>
      <c r="B2822" s="4"/>
      <c r="C2822" s="4" t="s">
        <v>51</v>
      </c>
      <c r="D2822" s="4"/>
      <c r="E2822" s="1">
        <v>5301099</v>
      </c>
      <c r="F2822" s="1">
        <v>514200</v>
      </c>
      <c r="G2822" s="1">
        <v>567608</v>
      </c>
      <c r="H2822" s="1">
        <v>85481</v>
      </c>
      <c r="I2822" s="1">
        <v>561517</v>
      </c>
    </row>
    <row r="2823" spans="1:9" ht="23.25">
      <c r="A2823" s="4" t="s">
        <v>33</v>
      </c>
      <c r="B2823" s="4"/>
      <c r="C2823" s="4" t="s">
        <v>51</v>
      </c>
      <c r="D2823" s="4"/>
      <c r="E2823" s="1">
        <v>119707</v>
      </c>
      <c r="F2823" s="1">
        <v>5824</v>
      </c>
      <c r="G2823" s="1">
        <v>12820</v>
      </c>
      <c r="H2823" s="1">
        <v>1186</v>
      </c>
      <c r="I2823" s="1">
        <v>0</v>
      </c>
    </row>
    <row r="2824" spans="1:9" ht="23.25">
      <c r="A2824" s="4" t="s">
        <v>34</v>
      </c>
      <c r="B2824" s="4"/>
      <c r="C2824" s="4" t="s">
        <v>51</v>
      </c>
      <c r="D2824" s="4"/>
      <c r="E2824" s="1">
        <v>25191384</v>
      </c>
      <c r="F2824" s="1">
        <v>2621035</v>
      </c>
      <c r="G2824" s="1">
        <v>1140844</v>
      </c>
      <c r="H2824" s="1">
        <v>355029</v>
      </c>
      <c r="I2824" s="1">
        <v>9516529</v>
      </c>
    </row>
    <row r="2825" spans="1:9" ht="23.25">
      <c r="A2825" s="4" t="s">
        <v>35</v>
      </c>
      <c r="B2825" s="4"/>
      <c r="C2825" s="4" t="s">
        <v>51</v>
      </c>
      <c r="D2825" s="4"/>
      <c r="E2825" s="1">
        <v>0</v>
      </c>
      <c r="F2825" s="1">
        <v>0</v>
      </c>
      <c r="G2825" s="1">
        <v>0</v>
      </c>
      <c r="H2825" s="1">
        <v>0</v>
      </c>
      <c r="I2825" s="1">
        <v>0</v>
      </c>
    </row>
    <row r="2826" spans="1:9" ht="23.25">
      <c r="A2826" s="4" t="s">
        <v>36</v>
      </c>
      <c r="B2826" s="4"/>
      <c r="C2826" s="4" t="s">
        <v>51</v>
      </c>
      <c r="D2826" s="4"/>
      <c r="E2826" s="1">
        <v>10814307</v>
      </c>
      <c r="F2826" s="1">
        <v>954645</v>
      </c>
      <c r="G2826" s="1">
        <v>988115</v>
      </c>
      <c r="H2826" s="1">
        <v>136188</v>
      </c>
      <c r="I2826" s="1">
        <v>5421593</v>
      </c>
    </row>
    <row r="2827" spans="1:9" ht="23.25">
      <c r="A2827" s="4" t="s">
        <v>37</v>
      </c>
      <c r="B2827" s="4"/>
      <c r="C2827" s="4" t="s">
        <v>51</v>
      </c>
      <c r="D2827" s="4"/>
      <c r="E2827" s="1">
        <v>6867271</v>
      </c>
      <c r="F2827" s="1">
        <v>387372</v>
      </c>
      <c r="G2827" s="1">
        <v>430868</v>
      </c>
      <c r="H2827" s="1">
        <v>64332</v>
      </c>
      <c r="I2827" s="1">
        <v>1196367</v>
      </c>
    </row>
    <row r="2828" spans="1:9" ht="23.25">
      <c r="A2828" s="4" t="s">
        <v>38</v>
      </c>
      <c r="B2828" s="4"/>
      <c r="C2828" s="4" t="s">
        <v>51</v>
      </c>
      <c r="D2828" s="4"/>
      <c r="E2828" s="1">
        <v>6728304</v>
      </c>
      <c r="F2828" s="1">
        <v>856495</v>
      </c>
      <c r="G2828" s="1">
        <v>990412</v>
      </c>
      <c r="H2828" s="1">
        <v>211680</v>
      </c>
      <c r="I2828" s="1">
        <v>1522104</v>
      </c>
    </row>
    <row r="2829" spans="1:9" ht="23.25">
      <c r="A2829" s="4" t="s">
        <v>39</v>
      </c>
      <c r="B2829" s="4"/>
      <c r="C2829" s="4" t="s">
        <v>51</v>
      </c>
      <c r="D2829" s="4"/>
      <c r="E2829" s="1">
        <v>21376772</v>
      </c>
      <c r="F2829" s="1">
        <v>871470</v>
      </c>
      <c r="G2829" s="1">
        <v>1138891</v>
      </c>
      <c r="H2829" s="1">
        <v>172747</v>
      </c>
      <c r="I2829" s="1">
        <v>5428050</v>
      </c>
    </row>
    <row r="2830" spans="1:9" ht="23.25">
      <c r="A2830" s="4" t="s">
        <v>40</v>
      </c>
      <c r="B2830" s="4"/>
      <c r="C2830" s="4" t="s">
        <v>51</v>
      </c>
      <c r="D2830" s="4"/>
      <c r="E2830" s="1">
        <v>4574</v>
      </c>
      <c r="F2830" s="1">
        <v>252</v>
      </c>
      <c r="G2830" s="1">
        <v>187</v>
      </c>
      <c r="H2830" s="1">
        <v>70</v>
      </c>
      <c r="I2830" s="1">
        <v>0</v>
      </c>
    </row>
    <row r="2831" spans="1:9" ht="23.25">
      <c r="A2831" s="4" t="s">
        <v>41</v>
      </c>
      <c r="B2831" s="4"/>
      <c r="C2831" s="4" t="s">
        <v>51</v>
      </c>
      <c r="D2831" s="4"/>
      <c r="E2831" s="1">
        <v>17022569</v>
      </c>
      <c r="F2831" s="1">
        <v>667652</v>
      </c>
      <c r="G2831" s="1">
        <v>790571</v>
      </c>
      <c r="H2831" s="1">
        <v>209366</v>
      </c>
      <c r="I2831" s="1">
        <v>9430795</v>
      </c>
    </row>
    <row r="2832" spans="1:9" ht="23.25">
      <c r="A2832" s="4" t="s">
        <v>42</v>
      </c>
      <c r="B2832" s="4"/>
      <c r="C2832" s="4" t="s">
        <v>51</v>
      </c>
      <c r="D2832" s="4"/>
      <c r="E2832" s="1">
        <v>15421600</v>
      </c>
      <c r="F2832" s="1">
        <v>1149771</v>
      </c>
      <c r="G2832" s="1">
        <v>1469500</v>
      </c>
      <c r="H2832" s="1">
        <v>198379</v>
      </c>
      <c r="I2832" s="1">
        <v>7948362</v>
      </c>
    </row>
    <row r="2833" spans="1:9" ht="23.25">
      <c r="A2833" s="4" t="s">
        <v>43</v>
      </c>
      <c r="B2833" s="4"/>
      <c r="C2833" s="4" t="s">
        <v>51</v>
      </c>
      <c r="D2833" s="4"/>
      <c r="E2833" s="1">
        <v>220341608</v>
      </c>
      <c r="F2833" s="1">
        <v>13055023</v>
      </c>
      <c r="G2833" s="1">
        <v>7336922</v>
      </c>
      <c r="H2833" s="1">
        <v>304963</v>
      </c>
      <c r="I2833" s="1">
        <v>183162924</v>
      </c>
    </row>
    <row r="2834" spans="1:9" ht="23.25">
      <c r="A2834" s="4" t="s">
        <v>44</v>
      </c>
      <c r="B2834" s="4"/>
      <c r="C2834" s="4" t="s">
        <v>51</v>
      </c>
      <c r="D2834" s="4"/>
      <c r="E2834" s="1">
        <v>6182526</v>
      </c>
      <c r="F2834" s="1">
        <v>103507</v>
      </c>
      <c r="G2834" s="1">
        <v>343640</v>
      </c>
      <c r="H2834" s="1">
        <v>15990</v>
      </c>
      <c r="I2834" s="1">
        <v>4881970</v>
      </c>
    </row>
    <row r="2835" spans="1:9" ht="23.25">
      <c r="A2835" s="4" t="s">
        <v>45</v>
      </c>
      <c r="B2835" s="4"/>
      <c r="C2835" s="4" t="s">
        <v>51</v>
      </c>
      <c r="D2835" s="4"/>
      <c r="E2835" s="1">
        <v>4608876</v>
      </c>
      <c r="F2835" s="1">
        <v>275772</v>
      </c>
      <c r="G2835" s="1">
        <v>0</v>
      </c>
      <c r="H2835" s="1">
        <v>47739</v>
      </c>
      <c r="I2835" s="1">
        <v>0</v>
      </c>
    </row>
    <row r="2836" spans="1:9" ht="23.25">
      <c r="A2836" s="4" t="s">
        <v>46</v>
      </c>
      <c r="B2836" s="4"/>
      <c r="C2836" s="4" t="s">
        <v>51</v>
      </c>
      <c r="D2836" s="4"/>
      <c r="E2836" s="1">
        <v>3569069</v>
      </c>
      <c r="F2836" s="1">
        <v>172747</v>
      </c>
      <c r="G2836" s="1">
        <v>150482</v>
      </c>
      <c r="H2836" s="1">
        <v>18296</v>
      </c>
      <c r="I2836" s="1">
        <v>1230006</v>
      </c>
    </row>
    <row r="2837" spans="1:9" ht="23.25">
      <c r="A2837" s="4" t="s">
        <v>47</v>
      </c>
      <c r="B2837" s="4"/>
      <c r="C2837" s="4" t="s">
        <v>51</v>
      </c>
      <c r="D2837" s="4"/>
      <c r="E2837" s="1">
        <v>2014696</v>
      </c>
      <c r="F2837" s="1">
        <v>1809</v>
      </c>
      <c r="G2837" s="1">
        <v>0</v>
      </c>
      <c r="H2837" s="1">
        <v>175</v>
      </c>
      <c r="I2837" s="1">
        <v>0</v>
      </c>
    </row>
    <row r="2838" spans="1:9" ht="23.25">
      <c r="A2838" s="4" t="s">
        <v>48</v>
      </c>
      <c r="B2838" s="4"/>
      <c r="C2838" s="4" t="s">
        <v>51</v>
      </c>
      <c r="D2838" s="4"/>
      <c r="E2838" s="1">
        <v>0</v>
      </c>
      <c r="F2838" s="1">
        <v>0</v>
      </c>
      <c r="G2838" s="1">
        <v>0</v>
      </c>
      <c r="H2838" s="1">
        <v>0</v>
      </c>
      <c r="I2838" s="1">
        <v>0</v>
      </c>
    </row>
    <row r="2839" spans="1:9" ht="23.25">
      <c r="A2839" s="4" t="s">
        <v>49</v>
      </c>
      <c r="B2839" s="4"/>
      <c r="C2839" s="4" t="s">
        <v>51</v>
      </c>
      <c r="D2839" s="4"/>
      <c r="E2839" s="1">
        <v>4151513</v>
      </c>
      <c r="F2839" s="1">
        <v>185153</v>
      </c>
      <c r="G2839" s="1">
        <v>193772</v>
      </c>
      <c r="H2839" s="1">
        <v>21755</v>
      </c>
      <c r="I2839" s="1">
        <v>3349669</v>
      </c>
    </row>
    <row r="2840" spans="1:9" ht="23.25">
      <c r="A2840" s="4" t="s">
        <v>50</v>
      </c>
      <c r="B2840" s="4"/>
      <c r="C2840" s="4" t="s">
        <v>51</v>
      </c>
      <c r="D2840" s="4"/>
      <c r="E2840" s="1">
        <v>4745886</v>
      </c>
      <c r="F2840" s="1">
        <v>528575</v>
      </c>
      <c r="G2840" s="1">
        <v>770412</v>
      </c>
      <c r="H2840" s="1">
        <v>45859</v>
      </c>
      <c r="I2840" s="1">
        <v>237738</v>
      </c>
    </row>
    <row r="2841" spans="1:9" ht="23.25">
      <c r="A2841" s="4" t="s">
        <v>51</v>
      </c>
      <c r="B2841" s="4"/>
      <c r="C2841" s="4" t="s">
        <v>51</v>
      </c>
      <c r="D2841" s="4"/>
      <c r="E2841" s="1">
        <v>497965378</v>
      </c>
      <c r="F2841" s="1">
        <v>27744984</v>
      </c>
      <c r="G2841" s="1">
        <v>57470639</v>
      </c>
      <c r="H2841" s="1">
        <v>1230944</v>
      </c>
      <c r="I2841" s="1">
        <v>164176485</v>
      </c>
    </row>
    <row r="2842" spans="1:9" ht="23.25">
      <c r="A2842" s="4" t="s">
        <v>52</v>
      </c>
      <c r="B2842" s="4"/>
      <c r="C2842" s="4" t="s">
        <v>51</v>
      </c>
      <c r="D2842" s="4"/>
      <c r="E2842" s="1">
        <v>15030187</v>
      </c>
      <c r="F2842" s="1">
        <v>6177</v>
      </c>
      <c r="G2842" s="1">
        <v>8630</v>
      </c>
      <c r="H2842" s="1">
        <v>2844</v>
      </c>
      <c r="I2842" s="1">
        <v>0</v>
      </c>
    </row>
    <row r="2843" spans="1:9" ht="23.25">
      <c r="A2843" s="4" t="s">
        <v>53</v>
      </c>
      <c r="B2843" s="4"/>
      <c r="C2843" s="4" t="s">
        <v>51</v>
      </c>
      <c r="D2843" s="4"/>
      <c r="E2843" s="1">
        <v>340288</v>
      </c>
      <c r="F2843" s="1">
        <v>0</v>
      </c>
      <c r="G2843" s="1">
        <v>0</v>
      </c>
      <c r="H2843" s="1">
        <v>0</v>
      </c>
      <c r="I2843" s="1">
        <v>0</v>
      </c>
    </row>
    <row r="2844" spans="1:9" ht="23.25">
      <c r="A2844" s="4" t="s">
        <v>54</v>
      </c>
      <c r="B2844" s="4"/>
      <c r="C2844" s="4" t="s">
        <v>51</v>
      </c>
      <c r="D2844" s="4"/>
      <c r="E2844" s="1">
        <v>373471</v>
      </c>
      <c r="F2844" s="1">
        <v>0</v>
      </c>
      <c r="G2844" s="1">
        <v>0</v>
      </c>
      <c r="H2844" s="1">
        <v>0</v>
      </c>
      <c r="I2844" s="1">
        <v>0</v>
      </c>
    </row>
    <row r="2845" spans="1:9" ht="23.25">
      <c r="A2845" s="4" t="s">
        <v>55</v>
      </c>
      <c r="B2845" s="4"/>
      <c r="C2845" s="4" t="s">
        <v>51</v>
      </c>
      <c r="D2845" s="4"/>
      <c r="E2845" s="1">
        <v>0</v>
      </c>
      <c r="F2845" s="1">
        <v>0</v>
      </c>
      <c r="G2845" s="1">
        <v>0</v>
      </c>
      <c r="H2845" s="1">
        <v>0</v>
      </c>
      <c r="I2845" s="1">
        <v>0</v>
      </c>
    </row>
    <row r="2846" spans="1:9" ht="23.25">
      <c r="A2846" s="4" t="s">
        <v>56</v>
      </c>
      <c r="B2846" s="4"/>
      <c r="C2846" s="4" t="s">
        <v>51</v>
      </c>
      <c r="D2846" s="4"/>
      <c r="E2846" s="1">
        <v>0</v>
      </c>
      <c r="F2846" s="1">
        <v>-51376397</v>
      </c>
      <c r="G2846" s="1">
        <v>-74807900</v>
      </c>
      <c r="H2846" s="1">
        <v>0</v>
      </c>
      <c r="I2846" s="1">
        <v>0</v>
      </c>
    </row>
    <row r="2847" spans="1:9" ht="23.25">
      <c r="A2847" s="4" t="s">
        <v>57</v>
      </c>
      <c r="B2847" s="4"/>
      <c r="C2847" s="4" t="s">
        <v>51</v>
      </c>
      <c r="D2847" s="4"/>
      <c r="E2847" s="1">
        <v>1804474</v>
      </c>
      <c r="F2847" s="1">
        <v>0</v>
      </c>
      <c r="G2847" s="1">
        <v>0</v>
      </c>
      <c r="H2847" s="1">
        <v>0</v>
      </c>
      <c r="I2847" s="1">
        <v>0</v>
      </c>
    </row>
    <row r="2848" spans="1:9" ht="23.25">
      <c r="A2848" s="4" t="s">
        <v>58</v>
      </c>
      <c r="B2848" s="4"/>
      <c r="C2848" s="4" t="s">
        <v>51</v>
      </c>
      <c r="D2848" s="4"/>
      <c r="E2848" s="1">
        <v>5914012</v>
      </c>
      <c r="F2848" s="1">
        <v>0</v>
      </c>
      <c r="G2848" s="1">
        <v>0</v>
      </c>
      <c r="H2848" s="1">
        <v>-4245947</v>
      </c>
      <c r="I2848" s="1">
        <v>0</v>
      </c>
    </row>
    <row r="2849" spans="1:9" ht="23.25">
      <c r="A2849" s="4" t="s">
        <v>59</v>
      </c>
      <c r="B2849" s="4"/>
      <c r="C2849" s="4" t="s">
        <v>51</v>
      </c>
      <c r="D2849" s="4"/>
      <c r="E2849" s="1">
        <v>2304959</v>
      </c>
      <c r="F2849" s="1">
        <v>0</v>
      </c>
      <c r="G2849" s="1">
        <v>0</v>
      </c>
      <c r="H2849" s="1">
        <v>0</v>
      </c>
      <c r="I2849" s="1">
        <v>0</v>
      </c>
    </row>
    <row r="2850" spans="1:9" ht="23.25">
      <c r="A2850" s="4" t="s">
        <v>60</v>
      </c>
      <c r="B2850" s="4"/>
      <c r="C2850" s="4" t="s">
        <v>51</v>
      </c>
      <c r="D2850" s="4"/>
      <c r="E2850" s="1">
        <v>19401593</v>
      </c>
      <c r="F2850" s="1">
        <v>0</v>
      </c>
      <c r="G2850" s="1">
        <v>0</v>
      </c>
      <c r="H2850" s="1">
        <v>0</v>
      </c>
      <c r="I2850" s="1">
        <v>0</v>
      </c>
    </row>
    <row r="2851" spans="1:9" ht="23.25">
      <c r="A2851" s="4" t="s">
        <v>61</v>
      </c>
      <c r="B2851" s="4"/>
      <c r="C2851" s="4" t="s">
        <v>51</v>
      </c>
      <c r="D2851" s="4"/>
      <c r="E2851" s="1">
        <v>1339666</v>
      </c>
      <c r="F2851" s="1">
        <v>0</v>
      </c>
      <c r="G2851" s="1">
        <v>0</v>
      </c>
      <c r="H2851" s="1">
        <v>0</v>
      </c>
      <c r="I2851" s="1">
        <v>0</v>
      </c>
    </row>
    <row r="2852" spans="1:9" ht="23.25">
      <c r="A2852" s="4" t="s">
        <v>62</v>
      </c>
      <c r="B2852" s="4"/>
      <c r="C2852" s="4" t="s">
        <v>51</v>
      </c>
      <c r="D2852" s="4"/>
      <c r="E2852" s="1">
        <v>22175090</v>
      </c>
      <c r="F2852" s="1">
        <v>0</v>
      </c>
      <c r="G2852" s="1">
        <v>0</v>
      </c>
      <c r="H2852" s="1">
        <v>0</v>
      </c>
      <c r="I2852" s="1">
        <v>0</v>
      </c>
    </row>
    <row r="2853" spans="1:9" ht="23.25">
      <c r="A2853" s="4" t="s">
        <v>63</v>
      </c>
      <c r="B2853" s="4"/>
      <c r="C2853" s="4" t="s">
        <v>51</v>
      </c>
      <c r="D2853" s="4"/>
      <c r="E2853" s="1">
        <v>236087</v>
      </c>
      <c r="F2853" s="1">
        <v>0</v>
      </c>
      <c r="G2853" s="1">
        <v>0</v>
      </c>
      <c r="H2853" s="1">
        <v>0</v>
      </c>
      <c r="I2853" s="1">
        <v>0</v>
      </c>
    </row>
    <row r="2854" spans="1:9" ht="23.25">
      <c r="A2854" s="4" t="s">
        <v>64</v>
      </c>
      <c r="B2854" s="4"/>
      <c r="C2854" s="4" t="s">
        <v>51</v>
      </c>
      <c r="D2854" s="4"/>
      <c r="E2854" s="1">
        <v>915066</v>
      </c>
      <c r="F2854" s="1">
        <v>0</v>
      </c>
      <c r="G2854" s="1">
        <v>0</v>
      </c>
      <c r="H2854" s="1">
        <v>0</v>
      </c>
      <c r="I2854" s="1">
        <v>0</v>
      </c>
    </row>
    <row r="2855" spans="1:9" ht="23.25">
      <c r="A2855" s="4" t="s">
        <v>65</v>
      </c>
      <c r="B2855" s="4"/>
      <c r="C2855" s="4" t="s">
        <v>51</v>
      </c>
      <c r="D2855" s="4"/>
      <c r="E2855" s="1">
        <v>1948485</v>
      </c>
      <c r="F2855" s="1">
        <v>0</v>
      </c>
      <c r="G2855" s="1">
        <v>0</v>
      </c>
      <c r="H2855" s="1">
        <v>0</v>
      </c>
      <c r="I2855" s="1">
        <v>196283</v>
      </c>
    </row>
    <row r="2856" spans="1:9" ht="23.25">
      <c r="A2856" s="4" t="s">
        <v>66</v>
      </c>
      <c r="B2856" s="4"/>
      <c r="C2856" s="4" t="s">
        <v>51</v>
      </c>
      <c r="D2856" s="4"/>
      <c r="E2856" s="1">
        <v>950128273</v>
      </c>
      <c r="F2856" s="1">
        <v>0</v>
      </c>
      <c r="G2856" s="1">
        <v>0</v>
      </c>
      <c r="H2856" s="1">
        <v>0</v>
      </c>
      <c r="I2856" s="1">
        <v>401664763</v>
      </c>
    </row>
    <row r="2857" spans="1:9" ht="23.25">
      <c r="A2857" s="4" t="s">
        <v>67</v>
      </c>
      <c r="B2857" s="4"/>
      <c r="C2857" s="4" t="s">
        <v>51</v>
      </c>
      <c r="D2857" s="4"/>
      <c r="E2857" s="1">
        <v>102883422</v>
      </c>
      <c r="F2857" s="1">
        <v>0</v>
      </c>
      <c r="G2857" s="1">
        <v>0</v>
      </c>
      <c r="H2857" s="1">
        <v>0</v>
      </c>
      <c r="I2857" s="1">
        <v>0</v>
      </c>
    </row>
    <row r="2858" spans="1:9" ht="23.25">
      <c r="A2858" s="4" t="s">
        <v>68</v>
      </c>
      <c r="B2858" s="4"/>
      <c r="C2858" s="4" t="s">
        <v>51</v>
      </c>
      <c r="D2858" s="4"/>
      <c r="E2858" s="1">
        <v>151097808</v>
      </c>
      <c r="F2858" s="1">
        <v>0</v>
      </c>
      <c r="G2858" s="1">
        <v>0</v>
      </c>
      <c r="H2858" s="1">
        <v>0</v>
      </c>
      <c r="I2858" s="1">
        <v>0</v>
      </c>
    </row>
    <row r="2859" spans="1:9" ht="23.25">
      <c r="A2859" s="4" t="s">
        <v>69</v>
      </c>
      <c r="B2859" s="4"/>
      <c r="C2859" s="4" t="s">
        <v>51</v>
      </c>
      <c r="D2859" s="4"/>
      <c r="E2859" s="1">
        <v>61092259</v>
      </c>
      <c r="F2859" s="1">
        <v>0</v>
      </c>
      <c r="G2859" s="1">
        <v>0</v>
      </c>
      <c r="H2859" s="1">
        <v>0</v>
      </c>
      <c r="I2859" s="1">
        <v>0</v>
      </c>
    </row>
    <row r="2860" spans="1:9" ht="23.25">
      <c r="A2860" s="4" t="s">
        <v>70</v>
      </c>
      <c r="B2860" s="4"/>
      <c r="C2860" s="4" t="s">
        <v>51</v>
      </c>
      <c r="D2860" s="4"/>
      <c r="E2860" s="1">
        <v>28174403</v>
      </c>
      <c r="F2860" s="1">
        <v>0</v>
      </c>
      <c r="G2860" s="1">
        <v>0</v>
      </c>
      <c r="H2860" s="1">
        <v>0</v>
      </c>
      <c r="I2860" s="1">
        <v>0</v>
      </c>
    </row>
    <row r="2861" spans="1:9" ht="23.25">
      <c r="A2861" s="4" t="s">
        <v>71</v>
      </c>
      <c r="B2861" s="4"/>
      <c r="C2861" s="4" t="s">
        <v>51</v>
      </c>
      <c r="D2861" s="4"/>
      <c r="E2861" s="1">
        <v>343247892</v>
      </c>
      <c r="F2861" s="1">
        <v>0</v>
      </c>
      <c r="G2861" s="1">
        <v>0</v>
      </c>
      <c r="H2861" s="1">
        <v>0</v>
      </c>
      <c r="I2861" s="1">
        <v>0</v>
      </c>
    </row>
    <row r="2862" spans="1:9" ht="23.25">
      <c r="A2862" s="4" t="s">
        <v>72</v>
      </c>
      <c r="B2862" s="4"/>
      <c r="C2862" s="4" t="s">
        <v>51</v>
      </c>
      <c r="D2862" s="4"/>
      <c r="E2862" s="1">
        <v>1293376165</v>
      </c>
      <c r="F2862" s="1">
        <v>0</v>
      </c>
      <c r="G2862" s="1">
        <v>0</v>
      </c>
      <c r="H2862" s="1">
        <v>0</v>
      </c>
      <c r="I2862" s="1">
        <v>0</v>
      </c>
    </row>
    <row r="2863" spans="1:9" ht="23.25">
      <c r="A2863" s="4" t="s">
        <v>8</v>
      </c>
      <c r="B2863" s="4"/>
      <c r="C2863" s="4" t="s">
        <v>52</v>
      </c>
      <c r="D2863" s="4"/>
      <c r="E2863" s="1">
        <v>296681</v>
      </c>
      <c r="F2863" s="1">
        <v>13201</v>
      </c>
      <c r="G2863" s="1">
        <v>0</v>
      </c>
      <c r="H2863" s="1">
        <v>1835</v>
      </c>
      <c r="I2863" s="1">
        <v>0</v>
      </c>
    </row>
    <row r="2864" spans="1:9" ht="23.25">
      <c r="A2864" s="4" t="s">
        <v>9</v>
      </c>
      <c r="B2864" s="4"/>
      <c r="C2864" s="4" t="s">
        <v>52</v>
      </c>
      <c r="D2864" s="4"/>
      <c r="E2864" s="1">
        <v>43796</v>
      </c>
      <c r="F2864" s="1">
        <v>1075</v>
      </c>
      <c r="G2864" s="1">
        <v>0</v>
      </c>
      <c r="H2864" s="1">
        <v>319</v>
      </c>
      <c r="I2864" s="1">
        <v>0</v>
      </c>
    </row>
    <row r="2865" spans="1:9" ht="23.25">
      <c r="A2865" s="4" t="s">
        <v>10</v>
      </c>
      <c r="B2865" s="4"/>
      <c r="C2865" s="4" t="s">
        <v>52</v>
      </c>
      <c r="D2865" s="4"/>
      <c r="E2865" s="1">
        <v>0</v>
      </c>
      <c r="F2865" s="1">
        <v>0</v>
      </c>
      <c r="G2865" s="1">
        <v>0</v>
      </c>
      <c r="H2865" s="1">
        <v>0</v>
      </c>
      <c r="I2865" s="1">
        <v>0</v>
      </c>
    </row>
    <row r="2866" spans="1:9" ht="23.25">
      <c r="A2866" s="4" t="s">
        <v>11</v>
      </c>
      <c r="B2866" s="4"/>
      <c r="C2866" s="4" t="s">
        <v>52</v>
      </c>
      <c r="D2866" s="4"/>
      <c r="E2866" s="1">
        <v>0</v>
      </c>
      <c r="F2866" s="1">
        <v>0</v>
      </c>
      <c r="G2866" s="1">
        <v>0</v>
      </c>
      <c r="H2866" s="1">
        <v>0</v>
      </c>
      <c r="I2866" s="1">
        <v>0</v>
      </c>
    </row>
    <row r="2867" spans="1:9" ht="23.25">
      <c r="A2867" s="4" t="s">
        <v>12</v>
      </c>
      <c r="B2867" s="4"/>
      <c r="C2867" s="4" t="s">
        <v>52</v>
      </c>
      <c r="D2867" s="4"/>
      <c r="E2867" s="1">
        <v>0</v>
      </c>
      <c r="F2867" s="1">
        <v>0</v>
      </c>
      <c r="G2867" s="1">
        <v>0</v>
      </c>
      <c r="H2867" s="1">
        <v>0</v>
      </c>
      <c r="I2867" s="1">
        <v>0</v>
      </c>
    </row>
    <row r="2868" spans="1:9" ht="23.25">
      <c r="A2868" s="4" t="s">
        <v>13</v>
      </c>
      <c r="B2868" s="4"/>
      <c r="C2868" s="4" t="s">
        <v>52</v>
      </c>
      <c r="D2868" s="4"/>
      <c r="E2868" s="1">
        <v>0</v>
      </c>
      <c r="F2868" s="1">
        <v>0</v>
      </c>
      <c r="G2868" s="1">
        <v>0</v>
      </c>
      <c r="H2868" s="1">
        <v>0</v>
      </c>
      <c r="I2868" s="1">
        <v>0</v>
      </c>
    </row>
    <row r="2869" spans="1:9" ht="23.25">
      <c r="A2869" s="4" t="s">
        <v>14</v>
      </c>
      <c r="B2869" s="4"/>
      <c r="C2869" s="4" t="s">
        <v>52</v>
      </c>
      <c r="D2869" s="4"/>
      <c r="E2869" s="1">
        <v>0</v>
      </c>
      <c r="F2869" s="1">
        <v>0</v>
      </c>
      <c r="G2869" s="1">
        <v>0</v>
      </c>
      <c r="H2869" s="1">
        <v>0</v>
      </c>
      <c r="I2869" s="1">
        <v>0</v>
      </c>
    </row>
    <row r="2870" spans="1:9" ht="23.25">
      <c r="A2870" s="4" t="s">
        <v>15</v>
      </c>
      <c r="B2870" s="4"/>
      <c r="C2870" s="4" t="s">
        <v>52</v>
      </c>
      <c r="D2870" s="4"/>
      <c r="E2870" s="1">
        <v>0</v>
      </c>
      <c r="F2870" s="1">
        <v>0</v>
      </c>
      <c r="G2870" s="1">
        <v>0</v>
      </c>
      <c r="H2870" s="1">
        <v>0</v>
      </c>
      <c r="I2870" s="1">
        <v>0</v>
      </c>
    </row>
    <row r="2871" spans="1:9" ht="23.25">
      <c r="A2871" s="4" t="s">
        <v>16</v>
      </c>
      <c r="B2871" s="4"/>
      <c r="C2871" s="4" t="s">
        <v>52</v>
      </c>
      <c r="D2871" s="4"/>
      <c r="E2871" s="1">
        <v>0</v>
      </c>
      <c r="F2871" s="1">
        <v>0</v>
      </c>
      <c r="G2871" s="1">
        <v>0</v>
      </c>
      <c r="H2871" s="1">
        <v>0</v>
      </c>
      <c r="I2871" s="1">
        <v>0</v>
      </c>
    </row>
    <row r="2872" spans="1:9" ht="23.25">
      <c r="A2872" s="4" t="s">
        <v>17</v>
      </c>
      <c r="B2872" s="4"/>
      <c r="C2872" s="4" t="s">
        <v>52</v>
      </c>
      <c r="D2872" s="4"/>
      <c r="E2872" s="1">
        <v>345213</v>
      </c>
      <c r="F2872" s="1">
        <v>18180</v>
      </c>
      <c r="G2872" s="1">
        <v>24228</v>
      </c>
      <c r="H2872" s="1">
        <v>1707</v>
      </c>
      <c r="I2872" s="1">
        <v>0</v>
      </c>
    </row>
    <row r="2873" spans="1:9" ht="23.25">
      <c r="A2873" s="4" t="s">
        <v>18</v>
      </c>
      <c r="B2873" s="4"/>
      <c r="C2873" s="4" t="s">
        <v>52</v>
      </c>
      <c r="D2873" s="4"/>
      <c r="E2873" s="1">
        <v>0</v>
      </c>
      <c r="F2873" s="1">
        <v>0</v>
      </c>
      <c r="G2873" s="1">
        <v>0</v>
      </c>
      <c r="H2873" s="1">
        <v>0</v>
      </c>
      <c r="I2873" s="1">
        <v>0</v>
      </c>
    </row>
    <row r="2874" spans="1:9" ht="23.25">
      <c r="A2874" s="4" t="s">
        <v>19</v>
      </c>
      <c r="B2874" s="4"/>
      <c r="C2874" s="4" t="s">
        <v>52</v>
      </c>
      <c r="D2874" s="4"/>
      <c r="E2874" s="1">
        <v>401159406</v>
      </c>
      <c r="F2874" s="1">
        <v>745779</v>
      </c>
      <c r="G2874" s="1">
        <v>0</v>
      </c>
      <c r="H2874" s="1">
        <v>668160</v>
      </c>
      <c r="I2874" s="1">
        <v>331348057</v>
      </c>
    </row>
    <row r="2875" spans="1:9" ht="23.25">
      <c r="A2875" s="4" t="s">
        <v>20</v>
      </c>
      <c r="B2875" s="4"/>
      <c r="C2875" s="4" t="s">
        <v>52</v>
      </c>
      <c r="D2875" s="4"/>
      <c r="E2875" s="1">
        <v>0</v>
      </c>
      <c r="F2875" s="1">
        <v>0</v>
      </c>
      <c r="G2875" s="1">
        <v>0</v>
      </c>
      <c r="H2875" s="1">
        <v>0</v>
      </c>
      <c r="I2875" s="1">
        <v>0</v>
      </c>
    </row>
    <row r="2876" spans="1:9" ht="23.25">
      <c r="A2876" s="4" t="s">
        <v>21</v>
      </c>
      <c r="B2876" s="4"/>
      <c r="C2876" s="4" t="s">
        <v>52</v>
      </c>
      <c r="D2876" s="4"/>
      <c r="E2876" s="1">
        <v>29524</v>
      </c>
      <c r="F2876" s="1">
        <v>653</v>
      </c>
      <c r="G2876" s="1">
        <v>0</v>
      </c>
      <c r="H2876" s="1">
        <v>939</v>
      </c>
      <c r="I2876" s="1">
        <v>0</v>
      </c>
    </row>
    <row r="2877" spans="1:9" ht="23.25">
      <c r="A2877" s="4" t="s">
        <v>22</v>
      </c>
      <c r="B2877" s="4"/>
      <c r="C2877" s="4" t="s">
        <v>52</v>
      </c>
      <c r="D2877" s="4"/>
      <c r="E2877" s="1">
        <v>0</v>
      </c>
      <c r="F2877" s="1">
        <v>0</v>
      </c>
      <c r="G2877" s="1">
        <v>0</v>
      </c>
      <c r="H2877" s="1">
        <v>0</v>
      </c>
      <c r="I2877" s="1">
        <v>0</v>
      </c>
    </row>
    <row r="2878" spans="1:9" ht="23.25">
      <c r="A2878" s="4" t="s">
        <v>23</v>
      </c>
      <c r="B2878" s="4"/>
      <c r="C2878" s="4" t="s">
        <v>52</v>
      </c>
      <c r="D2878" s="4"/>
      <c r="E2878" s="1">
        <v>27541</v>
      </c>
      <c r="F2878" s="1">
        <v>1271</v>
      </c>
      <c r="G2878" s="1">
        <v>781</v>
      </c>
      <c r="H2878" s="1">
        <v>257</v>
      </c>
      <c r="I2878" s="1">
        <v>0</v>
      </c>
    </row>
    <row r="2879" spans="1:9" ht="23.25">
      <c r="A2879" s="4" t="s">
        <v>24</v>
      </c>
      <c r="B2879" s="4"/>
      <c r="C2879" s="4" t="s">
        <v>52</v>
      </c>
      <c r="D2879" s="4"/>
      <c r="E2879" s="1">
        <v>780304</v>
      </c>
      <c r="F2879" s="1">
        <v>19831</v>
      </c>
      <c r="G2879" s="1">
        <v>31292</v>
      </c>
      <c r="H2879" s="1">
        <v>13409</v>
      </c>
      <c r="I2879" s="1">
        <v>0</v>
      </c>
    </row>
    <row r="2880" spans="1:9" ht="23.25">
      <c r="A2880" s="4" t="s">
        <v>25</v>
      </c>
      <c r="B2880" s="4"/>
      <c r="C2880" s="4" t="s">
        <v>52</v>
      </c>
      <c r="D2880" s="4"/>
      <c r="E2880" s="1">
        <v>1455650</v>
      </c>
      <c r="F2880" s="1">
        <v>30734</v>
      </c>
      <c r="G2880" s="1">
        <v>0</v>
      </c>
      <c r="H2880" s="1">
        <v>18877</v>
      </c>
      <c r="I2880" s="1">
        <v>776558</v>
      </c>
    </row>
    <row r="2881" spans="1:9" ht="23.25">
      <c r="A2881" s="4" t="s">
        <v>26</v>
      </c>
      <c r="B2881" s="4"/>
      <c r="C2881" s="4" t="s">
        <v>52</v>
      </c>
      <c r="D2881" s="4"/>
      <c r="E2881" s="1">
        <v>0</v>
      </c>
      <c r="F2881" s="1">
        <v>0</v>
      </c>
      <c r="G2881" s="1">
        <v>0</v>
      </c>
      <c r="H2881" s="1">
        <v>0</v>
      </c>
      <c r="I2881" s="1">
        <v>0</v>
      </c>
    </row>
    <row r="2882" spans="1:9" ht="23.25">
      <c r="A2882" s="4" t="s">
        <v>27</v>
      </c>
      <c r="B2882" s="4"/>
      <c r="C2882" s="4" t="s">
        <v>52</v>
      </c>
      <c r="D2882" s="4"/>
      <c r="E2882" s="1">
        <v>0</v>
      </c>
      <c r="F2882" s="1">
        <v>0</v>
      </c>
      <c r="G2882" s="1">
        <v>0</v>
      </c>
      <c r="H2882" s="1">
        <v>0</v>
      </c>
      <c r="I2882" s="1">
        <v>0</v>
      </c>
    </row>
    <row r="2883" spans="1:9" ht="23.25">
      <c r="A2883" s="4" t="s">
        <v>28</v>
      </c>
      <c r="B2883" s="4"/>
      <c r="C2883" s="4" t="s">
        <v>52</v>
      </c>
      <c r="D2883" s="4"/>
      <c r="E2883" s="1">
        <v>0</v>
      </c>
      <c r="F2883" s="1">
        <v>0</v>
      </c>
      <c r="G2883" s="1">
        <v>0</v>
      </c>
      <c r="H2883" s="1">
        <v>0</v>
      </c>
      <c r="I2883" s="1">
        <v>0</v>
      </c>
    </row>
    <row r="2884" spans="1:9" ht="23.25">
      <c r="A2884" s="4" t="s">
        <v>29</v>
      </c>
      <c r="B2884" s="4"/>
      <c r="C2884" s="4" t="s">
        <v>52</v>
      </c>
      <c r="D2884" s="4"/>
      <c r="E2884" s="1">
        <v>0</v>
      </c>
      <c r="F2884" s="1">
        <v>0</v>
      </c>
      <c r="G2884" s="1">
        <v>0</v>
      </c>
      <c r="H2884" s="1">
        <v>0</v>
      </c>
      <c r="I2884" s="1">
        <v>0</v>
      </c>
    </row>
    <row r="2885" spans="1:9" ht="23.25">
      <c r="A2885" s="4" t="s">
        <v>30</v>
      </c>
      <c r="B2885" s="4"/>
      <c r="C2885" s="4" t="s">
        <v>52</v>
      </c>
      <c r="D2885" s="4"/>
      <c r="E2885" s="1">
        <v>0</v>
      </c>
      <c r="F2885" s="1">
        <v>0</v>
      </c>
      <c r="G2885" s="1">
        <v>0</v>
      </c>
      <c r="H2885" s="1">
        <v>0</v>
      </c>
      <c r="I2885" s="1">
        <v>0</v>
      </c>
    </row>
    <row r="2886" spans="1:9" ht="23.25">
      <c r="A2886" s="4" t="s">
        <v>31</v>
      </c>
      <c r="B2886" s="4"/>
      <c r="C2886" s="4" t="s">
        <v>52</v>
      </c>
      <c r="D2886" s="4"/>
      <c r="E2886" s="1">
        <v>167278</v>
      </c>
      <c r="F2886" s="1">
        <v>5676</v>
      </c>
      <c r="G2886" s="1">
        <v>14146</v>
      </c>
      <c r="H2886" s="1">
        <v>1195</v>
      </c>
      <c r="I2886" s="1">
        <v>16550</v>
      </c>
    </row>
    <row r="2887" spans="1:9" ht="23.25">
      <c r="A2887" s="4" t="s">
        <v>32</v>
      </c>
      <c r="B2887" s="4"/>
      <c r="C2887" s="4" t="s">
        <v>52</v>
      </c>
      <c r="D2887" s="4"/>
      <c r="E2887" s="1">
        <v>766212</v>
      </c>
      <c r="F2887" s="1">
        <v>24115</v>
      </c>
      <c r="G2887" s="1">
        <v>21611</v>
      </c>
      <c r="H2887" s="1">
        <v>6441</v>
      </c>
      <c r="I2887" s="1">
        <v>0</v>
      </c>
    </row>
    <row r="2888" spans="1:9" ht="23.25">
      <c r="A2888" s="4" t="s">
        <v>33</v>
      </c>
      <c r="B2888" s="4"/>
      <c r="C2888" s="4" t="s">
        <v>52</v>
      </c>
      <c r="D2888" s="4"/>
      <c r="E2888" s="1">
        <v>198591</v>
      </c>
      <c r="F2888" s="1">
        <v>6505</v>
      </c>
      <c r="G2888" s="1">
        <v>15107</v>
      </c>
      <c r="H2888" s="1">
        <v>1755</v>
      </c>
      <c r="I2888" s="1">
        <v>0</v>
      </c>
    </row>
    <row r="2889" spans="1:9" ht="23.25">
      <c r="A2889" s="4" t="s">
        <v>34</v>
      </c>
      <c r="B2889" s="4"/>
      <c r="C2889" s="4" t="s">
        <v>52</v>
      </c>
      <c r="D2889" s="4"/>
      <c r="E2889" s="1">
        <v>2817351</v>
      </c>
      <c r="F2889" s="1">
        <v>302609</v>
      </c>
      <c r="G2889" s="1">
        <v>128766</v>
      </c>
      <c r="H2889" s="1">
        <v>59500</v>
      </c>
      <c r="I2889" s="1">
        <v>1943029</v>
      </c>
    </row>
    <row r="2890" spans="1:9" ht="23.25">
      <c r="A2890" s="4" t="s">
        <v>35</v>
      </c>
      <c r="B2890" s="4"/>
      <c r="C2890" s="4" t="s">
        <v>52</v>
      </c>
      <c r="D2890" s="4"/>
      <c r="E2890" s="1">
        <v>0</v>
      </c>
      <c r="F2890" s="1">
        <v>0</v>
      </c>
      <c r="G2890" s="1">
        <v>0</v>
      </c>
      <c r="H2890" s="1">
        <v>0</v>
      </c>
      <c r="I2890" s="1">
        <v>0</v>
      </c>
    </row>
    <row r="2891" spans="1:9" ht="23.25">
      <c r="A2891" s="4" t="s">
        <v>36</v>
      </c>
      <c r="B2891" s="4"/>
      <c r="C2891" s="4" t="s">
        <v>52</v>
      </c>
      <c r="D2891" s="4"/>
      <c r="E2891" s="1">
        <v>110585</v>
      </c>
      <c r="F2891" s="1">
        <v>6566</v>
      </c>
      <c r="G2891" s="1">
        <v>9802</v>
      </c>
      <c r="H2891" s="1">
        <v>1380</v>
      </c>
      <c r="I2891" s="1">
        <v>15910</v>
      </c>
    </row>
    <row r="2892" spans="1:9" ht="23.25">
      <c r="A2892" s="4" t="s">
        <v>37</v>
      </c>
      <c r="B2892" s="4"/>
      <c r="C2892" s="4" t="s">
        <v>52</v>
      </c>
      <c r="D2892" s="4"/>
      <c r="E2892" s="1">
        <v>69372916</v>
      </c>
      <c r="F2892" s="1">
        <v>3243652</v>
      </c>
      <c r="G2892" s="1">
        <v>1884200</v>
      </c>
      <c r="H2892" s="1">
        <v>645147</v>
      </c>
      <c r="I2892" s="1">
        <v>13848998</v>
      </c>
    </row>
    <row r="2893" spans="1:9" ht="23.25">
      <c r="A2893" s="4" t="s">
        <v>38</v>
      </c>
      <c r="B2893" s="4"/>
      <c r="C2893" s="4" t="s">
        <v>52</v>
      </c>
      <c r="D2893" s="4"/>
      <c r="E2893" s="1">
        <v>0</v>
      </c>
      <c r="F2893" s="1">
        <v>0</v>
      </c>
      <c r="G2893" s="1">
        <v>0</v>
      </c>
      <c r="H2893" s="1">
        <v>0</v>
      </c>
      <c r="I2893" s="1">
        <v>0</v>
      </c>
    </row>
    <row r="2894" spans="1:9" ht="23.25">
      <c r="A2894" s="4" t="s">
        <v>39</v>
      </c>
      <c r="B2894" s="4"/>
      <c r="C2894" s="4" t="s">
        <v>52</v>
      </c>
      <c r="D2894" s="4"/>
      <c r="E2894" s="1">
        <v>205258</v>
      </c>
      <c r="F2894" s="1">
        <v>5872</v>
      </c>
      <c r="G2894" s="1">
        <v>7353</v>
      </c>
      <c r="H2894" s="1">
        <v>1326</v>
      </c>
      <c r="I2894" s="1">
        <v>50067</v>
      </c>
    </row>
    <row r="2895" spans="1:9" ht="23.25">
      <c r="A2895" s="4" t="s">
        <v>40</v>
      </c>
      <c r="B2895" s="4"/>
      <c r="C2895" s="4" t="s">
        <v>52</v>
      </c>
      <c r="D2895" s="4"/>
      <c r="E2895" s="1">
        <v>0</v>
      </c>
      <c r="F2895" s="1">
        <v>0</v>
      </c>
      <c r="G2895" s="1">
        <v>0</v>
      </c>
      <c r="H2895" s="1">
        <v>0</v>
      </c>
      <c r="I2895" s="1">
        <v>0</v>
      </c>
    </row>
    <row r="2896" spans="1:9" ht="23.25">
      <c r="A2896" s="4" t="s">
        <v>41</v>
      </c>
      <c r="B2896" s="4"/>
      <c r="C2896" s="4" t="s">
        <v>52</v>
      </c>
      <c r="D2896" s="4"/>
      <c r="E2896" s="1">
        <v>0</v>
      </c>
      <c r="F2896" s="1">
        <v>0</v>
      </c>
      <c r="G2896" s="1">
        <v>0</v>
      </c>
      <c r="H2896" s="1">
        <v>0</v>
      </c>
      <c r="I2896" s="1">
        <v>0</v>
      </c>
    </row>
    <row r="2897" spans="1:9" ht="23.25">
      <c r="A2897" s="4" t="s">
        <v>42</v>
      </c>
      <c r="B2897" s="4"/>
      <c r="C2897" s="4" t="s">
        <v>52</v>
      </c>
      <c r="D2897" s="4"/>
      <c r="E2897" s="1">
        <v>0</v>
      </c>
      <c r="F2897" s="1">
        <v>0</v>
      </c>
      <c r="G2897" s="1">
        <v>0</v>
      </c>
      <c r="H2897" s="1">
        <v>0</v>
      </c>
      <c r="I2897" s="1">
        <v>0</v>
      </c>
    </row>
    <row r="2898" spans="1:9" ht="23.25">
      <c r="A2898" s="4" t="s">
        <v>43</v>
      </c>
      <c r="B2898" s="4"/>
      <c r="C2898" s="4" t="s">
        <v>52</v>
      </c>
      <c r="D2898" s="4"/>
      <c r="E2898" s="1">
        <v>0</v>
      </c>
      <c r="F2898" s="1">
        <v>0</v>
      </c>
      <c r="G2898" s="1">
        <v>0</v>
      </c>
      <c r="H2898" s="1">
        <v>0</v>
      </c>
      <c r="I2898" s="1">
        <v>0</v>
      </c>
    </row>
    <row r="2899" spans="1:9" ht="23.25">
      <c r="A2899" s="4" t="s">
        <v>44</v>
      </c>
      <c r="B2899" s="4"/>
      <c r="C2899" s="4" t="s">
        <v>52</v>
      </c>
      <c r="D2899" s="4"/>
      <c r="E2899" s="1">
        <v>3955667</v>
      </c>
      <c r="F2899" s="1">
        <v>39371</v>
      </c>
      <c r="G2899" s="1">
        <v>91516</v>
      </c>
      <c r="H2899" s="1">
        <v>7223</v>
      </c>
      <c r="I2899" s="1">
        <v>3631787</v>
      </c>
    </row>
    <row r="2900" spans="1:9" ht="23.25">
      <c r="A2900" s="4" t="s">
        <v>45</v>
      </c>
      <c r="B2900" s="4"/>
      <c r="C2900" s="4" t="s">
        <v>52</v>
      </c>
      <c r="D2900" s="4"/>
      <c r="E2900" s="1">
        <v>6837942</v>
      </c>
      <c r="F2900" s="1">
        <v>529171</v>
      </c>
      <c r="G2900" s="1">
        <v>0</v>
      </c>
      <c r="H2900" s="1">
        <v>67103</v>
      </c>
      <c r="I2900" s="1">
        <v>2619461</v>
      </c>
    </row>
    <row r="2901" spans="1:9" ht="23.25">
      <c r="A2901" s="4" t="s">
        <v>46</v>
      </c>
      <c r="B2901" s="4"/>
      <c r="C2901" s="4" t="s">
        <v>52</v>
      </c>
      <c r="D2901" s="4"/>
      <c r="E2901" s="1">
        <v>21105287</v>
      </c>
      <c r="F2901" s="1">
        <v>1528746</v>
      </c>
      <c r="G2901" s="1">
        <v>1528024</v>
      </c>
      <c r="H2901" s="1">
        <v>278490</v>
      </c>
      <c r="I2901" s="1">
        <v>11630201</v>
      </c>
    </row>
    <row r="2902" spans="1:9" ht="23.25">
      <c r="A2902" s="4" t="s">
        <v>47</v>
      </c>
      <c r="B2902" s="4"/>
      <c r="C2902" s="4" t="s">
        <v>52</v>
      </c>
      <c r="D2902" s="4"/>
      <c r="E2902" s="1">
        <v>2953713</v>
      </c>
      <c r="F2902" s="1">
        <v>0</v>
      </c>
      <c r="G2902" s="1">
        <v>0</v>
      </c>
      <c r="H2902" s="1">
        <v>0</v>
      </c>
      <c r="I2902" s="1">
        <v>0</v>
      </c>
    </row>
    <row r="2903" spans="1:9" ht="23.25">
      <c r="A2903" s="4" t="s">
        <v>48</v>
      </c>
      <c r="B2903" s="4"/>
      <c r="C2903" s="4" t="s">
        <v>52</v>
      </c>
      <c r="D2903" s="4"/>
      <c r="E2903" s="1">
        <v>0</v>
      </c>
      <c r="F2903" s="1">
        <v>0</v>
      </c>
      <c r="G2903" s="1">
        <v>0</v>
      </c>
      <c r="H2903" s="1">
        <v>0</v>
      </c>
      <c r="I2903" s="1">
        <v>0</v>
      </c>
    </row>
    <row r="2904" spans="1:9" ht="23.25">
      <c r="A2904" s="4" t="s">
        <v>49</v>
      </c>
      <c r="B2904" s="4"/>
      <c r="C2904" s="4" t="s">
        <v>52</v>
      </c>
      <c r="D2904" s="4"/>
      <c r="E2904" s="1">
        <v>0</v>
      </c>
      <c r="F2904" s="1">
        <v>0</v>
      </c>
      <c r="G2904" s="1">
        <v>0</v>
      </c>
      <c r="H2904" s="1">
        <v>0</v>
      </c>
      <c r="I2904" s="1">
        <v>0</v>
      </c>
    </row>
    <row r="2905" spans="1:9" ht="23.25">
      <c r="A2905" s="4" t="s">
        <v>50</v>
      </c>
      <c r="B2905" s="4"/>
      <c r="C2905" s="4" t="s">
        <v>52</v>
      </c>
      <c r="D2905" s="4"/>
      <c r="E2905" s="1">
        <v>605614</v>
      </c>
      <c r="F2905" s="1">
        <v>49295</v>
      </c>
      <c r="G2905" s="1">
        <v>110564</v>
      </c>
      <c r="H2905" s="1">
        <v>6388</v>
      </c>
      <c r="I2905" s="1">
        <v>0</v>
      </c>
    </row>
    <row r="2906" spans="1:9" ht="23.25">
      <c r="A2906" s="4" t="s">
        <v>51</v>
      </c>
      <c r="B2906" s="4"/>
      <c r="C2906" s="4" t="s">
        <v>52</v>
      </c>
      <c r="D2906" s="4"/>
      <c r="E2906" s="1">
        <v>922507</v>
      </c>
      <c r="F2906" s="1">
        <v>107010</v>
      </c>
      <c r="G2906" s="1">
        <v>105605</v>
      </c>
      <c r="H2906" s="1">
        <v>12943</v>
      </c>
      <c r="I2906" s="1">
        <v>0</v>
      </c>
    </row>
    <row r="2907" spans="1:9" ht="23.25">
      <c r="A2907" s="4" t="s">
        <v>52</v>
      </c>
      <c r="B2907" s="4"/>
      <c r="C2907" s="4" t="s">
        <v>52</v>
      </c>
      <c r="D2907" s="4"/>
      <c r="E2907" s="1">
        <v>452468230</v>
      </c>
      <c r="F2907" s="1">
        <v>2190602</v>
      </c>
      <c r="G2907" s="1">
        <v>3287924</v>
      </c>
      <c r="H2907" s="1">
        <v>364420</v>
      </c>
      <c r="I2907" s="1">
        <v>123767282</v>
      </c>
    </row>
    <row r="2908" spans="1:9" ht="23.25">
      <c r="A2908" s="4" t="s">
        <v>53</v>
      </c>
      <c r="B2908" s="4"/>
      <c r="C2908" s="4" t="s">
        <v>52</v>
      </c>
      <c r="D2908" s="4"/>
      <c r="E2908" s="1">
        <v>200866</v>
      </c>
      <c r="F2908" s="1">
        <v>0</v>
      </c>
      <c r="G2908" s="1">
        <v>0</v>
      </c>
      <c r="H2908" s="1">
        <v>0</v>
      </c>
      <c r="I2908" s="1">
        <v>0</v>
      </c>
    </row>
    <row r="2909" spans="1:9" ht="23.25">
      <c r="A2909" s="4" t="s">
        <v>54</v>
      </c>
      <c r="B2909" s="4"/>
      <c r="C2909" s="4" t="s">
        <v>52</v>
      </c>
      <c r="D2909" s="4"/>
      <c r="E2909" s="1">
        <v>1770619</v>
      </c>
      <c r="F2909" s="1">
        <v>0</v>
      </c>
      <c r="G2909" s="1">
        <v>0</v>
      </c>
      <c r="H2909" s="1">
        <v>0</v>
      </c>
      <c r="I2909" s="1">
        <v>0</v>
      </c>
    </row>
    <row r="2910" spans="1:9" ht="23.25">
      <c r="A2910" s="4" t="s">
        <v>55</v>
      </c>
      <c r="B2910" s="4"/>
      <c r="C2910" s="4" t="s">
        <v>52</v>
      </c>
      <c r="D2910" s="4"/>
      <c r="E2910" s="1">
        <v>0</v>
      </c>
      <c r="F2910" s="1">
        <v>0</v>
      </c>
      <c r="G2910" s="1">
        <v>0</v>
      </c>
      <c r="H2910" s="1">
        <v>0</v>
      </c>
      <c r="I2910" s="1">
        <v>0</v>
      </c>
    </row>
    <row r="2911" spans="1:9" ht="23.25">
      <c r="A2911" s="4" t="s">
        <v>56</v>
      </c>
      <c r="B2911" s="4"/>
      <c r="C2911" s="4" t="s">
        <v>52</v>
      </c>
      <c r="D2911" s="4"/>
      <c r="E2911" s="1">
        <v>0</v>
      </c>
      <c r="F2911" s="1">
        <v>-8869914</v>
      </c>
      <c r="G2911" s="1">
        <v>-7260919</v>
      </c>
      <c r="H2911" s="1">
        <v>0</v>
      </c>
      <c r="I2911" s="1">
        <v>0</v>
      </c>
    </row>
    <row r="2912" spans="1:9" ht="23.25">
      <c r="A2912" s="4" t="s">
        <v>57</v>
      </c>
      <c r="B2912" s="4"/>
      <c r="C2912" s="4" t="s">
        <v>52</v>
      </c>
      <c r="D2912" s="4"/>
      <c r="E2912" s="1">
        <v>1239150</v>
      </c>
      <c r="F2912" s="1">
        <v>0</v>
      </c>
      <c r="G2912" s="1">
        <v>0</v>
      </c>
      <c r="H2912" s="1">
        <v>0</v>
      </c>
      <c r="I2912" s="1">
        <v>0</v>
      </c>
    </row>
    <row r="2913" spans="1:9" ht="23.25">
      <c r="A2913" s="4" t="s">
        <v>58</v>
      </c>
      <c r="B2913" s="4"/>
      <c r="C2913" s="4" t="s">
        <v>52</v>
      </c>
      <c r="D2913" s="4"/>
      <c r="E2913" s="1">
        <v>1253293</v>
      </c>
      <c r="F2913" s="1">
        <v>0</v>
      </c>
      <c r="G2913" s="1">
        <v>0</v>
      </c>
      <c r="H2913" s="1">
        <v>-2158814</v>
      </c>
      <c r="I2913" s="1">
        <v>0</v>
      </c>
    </row>
    <row r="2914" spans="1:9" ht="23.25">
      <c r="A2914" s="4" t="s">
        <v>59</v>
      </c>
      <c r="B2914" s="4"/>
      <c r="C2914" s="4" t="s">
        <v>52</v>
      </c>
      <c r="D2914" s="4"/>
      <c r="E2914" s="1">
        <v>2588782</v>
      </c>
      <c r="F2914" s="1">
        <v>0</v>
      </c>
      <c r="G2914" s="1">
        <v>0</v>
      </c>
      <c r="H2914" s="1">
        <v>0</v>
      </c>
      <c r="I2914" s="1">
        <v>0</v>
      </c>
    </row>
    <row r="2915" spans="1:9" ht="23.25">
      <c r="A2915" s="4" t="s">
        <v>60</v>
      </c>
      <c r="B2915" s="4"/>
      <c r="C2915" s="4" t="s">
        <v>52</v>
      </c>
      <c r="D2915" s="4"/>
      <c r="E2915" s="1">
        <v>60970189</v>
      </c>
      <c r="F2915" s="1">
        <v>0</v>
      </c>
      <c r="G2915" s="1">
        <v>0</v>
      </c>
      <c r="H2915" s="1">
        <v>0</v>
      </c>
      <c r="I2915" s="1">
        <v>0</v>
      </c>
    </row>
    <row r="2916" spans="1:9" ht="23.25">
      <c r="A2916" s="4" t="s">
        <v>61</v>
      </c>
      <c r="B2916" s="4"/>
      <c r="C2916" s="4" t="s">
        <v>52</v>
      </c>
      <c r="D2916" s="4"/>
      <c r="E2916" s="1">
        <v>250482</v>
      </c>
      <c r="F2916" s="1">
        <v>0</v>
      </c>
      <c r="G2916" s="1">
        <v>0</v>
      </c>
      <c r="H2916" s="1">
        <v>0</v>
      </c>
      <c r="I2916" s="1">
        <v>0</v>
      </c>
    </row>
    <row r="2917" spans="1:9" ht="23.25">
      <c r="A2917" s="4" t="s">
        <v>62</v>
      </c>
      <c r="B2917" s="4"/>
      <c r="C2917" s="4" t="s">
        <v>52</v>
      </c>
      <c r="D2917" s="4"/>
      <c r="E2917" s="1">
        <v>10580519</v>
      </c>
      <c r="F2917" s="1">
        <v>0</v>
      </c>
      <c r="G2917" s="1">
        <v>0</v>
      </c>
      <c r="H2917" s="1">
        <v>0</v>
      </c>
      <c r="I2917" s="1">
        <v>0</v>
      </c>
    </row>
    <row r="2918" spans="1:9" ht="23.25">
      <c r="A2918" s="4" t="s">
        <v>63</v>
      </c>
      <c r="B2918" s="4"/>
      <c r="C2918" s="4" t="s">
        <v>52</v>
      </c>
      <c r="D2918" s="4"/>
      <c r="E2918" s="1">
        <v>2987591</v>
      </c>
      <c r="F2918" s="1">
        <v>0</v>
      </c>
      <c r="G2918" s="1">
        <v>0</v>
      </c>
      <c r="H2918" s="1">
        <v>0</v>
      </c>
      <c r="I2918" s="1">
        <v>0</v>
      </c>
    </row>
    <row r="2919" spans="1:9" ht="23.25">
      <c r="A2919" s="4" t="s">
        <v>64</v>
      </c>
      <c r="B2919" s="4"/>
      <c r="C2919" s="4" t="s">
        <v>52</v>
      </c>
      <c r="D2919" s="4"/>
      <c r="E2919" s="1">
        <v>4156006</v>
      </c>
      <c r="F2919" s="1">
        <v>0</v>
      </c>
      <c r="G2919" s="1">
        <v>0</v>
      </c>
      <c r="H2919" s="1">
        <v>0</v>
      </c>
      <c r="I2919" s="1">
        <v>0</v>
      </c>
    </row>
    <row r="2920" spans="1:9" ht="23.25">
      <c r="A2920" s="4" t="s">
        <v>65</v>
      </c>
      <c r="B2920" s="4"/>
      <c r="C2920" s="4" t="s">
        <v>52</v>
      </c>
      <c r="D2920" s="4"/>
      <c r="E2920" s="1">
        <v>1733282</v>
      </c>
      <c r="F2920" s="1">
        <v>0</v>
      </c>
      <c r="G2920" s="1">
        <v>0</v>
      </c>
      <c r="H2920" s="1">
        <v>0</v>
      </c>
      <c r="I2920" s="1">
        <v>203545</v>
      </c>
    </row>
    <row r="2921" spans="1:9" ht="23.25">
      <c r="A2921" s="4" t="s">
        <v>66</v>
      </c>
      <c r="B2921" s="4"/>
      <c r="C2921" s="4" t="s">
        <v>52</v>
      </c>
      <c r="D2921" s="4"/>
      <c r="E2921" s="1">
        <v>1054356045</v>
      </c>
      <c r="F2921" s="1">
        <v>0</v>
      </c>
      <c r="G2921" s="1">
        <v>0</v>
      </c>
      <c r="H2921" s="1">
        <v>0</v>
      </c>
      <c r="I2921" s="1">
        <v>489851445</v>
      </c>
    </row>
    <row r="2922" spans="1:9" ht="23.25">
      <c r="A2922" s="4" t="s">
        <v>67</v>
      </c>
      <c r="B2922" s="4"/>
      <c r="C2922" s="4" t="s">
        <v>52</v>
      </c>
      <c r="D2922" s="4"/>
      <c r="E2922" s="1">
        <v>124771661</v>
      </c>
      <c r="F2922" s="1">
        <v>0</v>
      </c>
      <c r="G2922" s="1">
        <v>0</v>
      </c>
      <c r="H2922" s="1">
        <v>0</v>
      </c>
      <c r="I2922" s="1">
        <v>0</v>
      </c>
    </row>
    <row r="2923" spans="1:9" ht="23.25">
      <c r="A2923" s="4" t="s">
        <v>68</v>
      </c>
      <c r="B2923" s="4"/>
      <c r="C2923" s="4" t="s">
        <v>52</v>
      </c>
      <c r="D2923" s="4"/>
      <c r="E2923" s="1">
        <v>160731710</v>
      </c>
      <c r="F2923" s="1">
        <v>0</v>
      </c>
      <c r="G2923" s="1">
        <v>0</v>
      </c>
      <c r="H2923" s="1">
        <v>0</v>
      </c>
      <c r="I2923" s="1">
        <v>0</v>
      </c>
    </row>
    <row r="2924" spans="1:9" ht="23.25">
      <c r="A2924" s="4" t="s">
        <v>69</v>
      </c>
      <c r="B2924" s="4"/>
      <c r="C2924" s="4" t="s">
        <v>52</v>
      </c>
      <c r="D2924" s="4"/>
      <c r="E2924" s="1">
        <v>167999545</v>
      </c>
      <c r="F2924" s="1">
        <v>0</v>
      </c>
      <c r="G2924" s="1">
        <v>0</v>
      </c>
      <c r="H2924" s="1">
        <v>0</v>
      </c>
      <c r="I2924" s="1">
        <v>0</v>
      </c>
    </row>
    <row r="2925" spans="1:9" ht="23.25">
      <c r="A2925" s="4" t="s">
        <v>70</v>
      </c>
      <c r="B2925" s="4"/>
      <c r="C2925" s="4" t="s">
        <v>52</v>
      </c>
      <c r="D2925" s="4"/>
      <c r="E2925" s="1">
        <v>32533488</v>
      </c>
      <c r="F2925" s="1">
        <v>0</v>
      </c>
      <c r="G2925" s="1">
        <v>0</v>
      </c>
      <c r="H2925" s="1">
        <v>0</v>
      </c>
      <c r="I2925" s="1">
        <v>0</v>
      </c>
    </row>
    <row r="2926" spans="1:9" ht="23.25">
      <c r="A2926" s="4" t="s">
        <v>71</v>
      </c>
      <c r="B2926" s="4"/>
      <c r="C2926" s="4" t="s">
        <v>52</v>
      </c>
      <c r="D2926" s="4"/>
      <c r="E2926" s="1">
        <v>486036404</v>
      </c>
      <c r="F2926" s="1">
        <v>0</v>
      </c>
      <c r="G2926" s="1">
        <v>0</v>
      </c>
      <c r="H2926" s="1">
        <v>0</v>
      </c>
      <c r="I2926" s="1">
        <v>0</v>
      </c>
    </row>
    <row r="2927" spans="1:9" ht="23.25">
      <c r="A2927" s="4" t="s">
        <v>72</v>
      </c>
      <c r="B2927" s="4"/>
      <c r="C2927" s="4" t="s">
        <v>52</v>
      </c>
      <c r="D2927" s="4"/>
      <c r="E2927" s="1">
        <v>1540392449</v>
      </c>
      <c r="F2927" s="1">
        <v>0</v>
      </c>
      <c r="G2927" s="1">
        <v>0</v>
      </c>
      <c r="H2927" s="1">
        <v>0</v>
      </c>
      <c r="I2927" s="1">
        <v>0</v>
      </c>
    </row>
    <row r="2928" spans="1:9" ht="23.25">
      <c r="A2928" s="4" t="s">
        <v>8</v>
      </c>
      <c r="B2928" s="4"/>
      <c r="C2928" s="4" t="s">
        <v>53</v>
      </c>
      <c r="D2928" s="4"/>
      <c r="E2928" s="1">
        <v>0</v>
      </c>
      <c r="F2928" s="1">
        <v>0</v>
      </c>
      <c r="G2928" s="1">
        <v>0</v>
      </c>
      <c r="H2928" s="1">
        <v>0</v>
      </c>
      <c r="I2928" s="1">
        <v>0</v>
      </c>
    </row>
    <row r="2929" spans="1:9" ht="23.25">
      <c r="A2929" s="4" t="s">
        <v>9</v>
      </c>
      <c r="B2929" s="4"/>
      <c r="C2929" s="4" t="s">
        <v>53</v>
      </c>
      <c r="D2929" s="4"/>
      <c r="E2929" s="1">
        <v>0</v>
      </c>
      <c r="F2929" s="1">
        <v>0</v>
      </c>
      <c r="G2929" s="1">
        <v>0</v>
      </c>
      <c r="H2929" s="1">
        <v>0</v>
      </c>
      <c r="I2929" s="1">
        <v>0</v>
      </c>
    </row>
    <row r="2930" spans="1:9" ht="23.25">
      <c r="A2930" s="4" t="s">
        <v>10</v>
      </c>
      <c r="B2930" s="4"/>
      <c r="C2930" s="4" t="s">
        <v>53</v>
      </c>
      <c r="D2930" s="4"/>
      <c r="E2930" s="1">
        <v>0</v>
      </c>
      <c r="F2930" s="1">
        <v>0</v>
      </c>
      <c r="G2930" s="1">
        <v>0</v>
      </c>
      <c r="H2930" s="1">
        <v>0</v>
      </c>
      <c r="I2930" s="1">
        <v>0</v>
      </c>
    </row>
    <row r="2931" spans="1:9" ht="23.25">
      <c r="A2931" s="4" t="s">
        <v>11</v>
      </c>
      <c r="B2931" s="4"/>
      <c r="C2931" s="4" t="s">
        <v>53</v>
      </c>
      <c r="D2931" s="4"/>
      <c r="E2931" s="1">
        <v>0</v>
      </c>
      <c r="F2931" s="1">
        <v>0</v>
      </c>
      <c r="G2931" s="1">
        <v>0</v>
      </c>
      <c r="H2931" s="1">
        <v>0</v>
      </c>
      <c r="I2931" s="1">
        <v>0</v>
      </c>
    </row>
    <row r="2932" spans="1:9" ht="23.25">
      <c r="A2932" s="4" t="s">
        <v>12</v>
      </c>
      <c r="B2932" s="4"/>
      <c r="C2932" s="4" t="s">
        <v>53</v>
      </c>
      <c r="D2932" s="4"/>
      <c r="E2932" s="1">
        <v>0</v>
      </c>
      <c r="F2932" s="1">
        <v>0</v>
      </c>
      <c r="G2932" s="1">
        <v>0</v>
      </c>
      <c r="H2932" s="1">
        <v>0</v>
      </c>
      <c r="I2932" s="1">
        <v>0</v>
      </c>
    </row>
    <row r="2933" spans="1:9" ht="23.25">
      <c r="A2933" s="4" t="s">
        <v>13</v>
      </c>
      <c r="B2933" s="4"/>
      <c r="C2933" s="4" t="s">
        <v>53</v>
      </c>
      <c r="D2933" s="4"/>
      <c r="E2933" s="1">
        <v>0</v>
      </c>
      <c r="F2933" s="1">
        <v>0</v>
      </c>
      <c r="G2933" s="1">
        <v>0</v>
      </c>
      <c r="H2933" s="1">
        <v>0</v>
      </c>
      <c r="I2933" s="1">
        <v>0</v>
      </c>
    </row>
    <row r="2934" spans="1:9" ht="23.25">
      <c r="A2934" s="4" t="s">
        <v>14</v>
      </c>
      <c r="B2934" s="4"/>
      <c r="C2934" s="4" t="s">
        <v>53</v>
      </c>
      <c r="D2934" s="4"/>
      <c r="E2934" s="1">
        <v>0</v>
      </c>
      <c r="F2934" s="1">
        <v>0</v>
      </c>
      <c r="G2934" s="1">
        <v>0</v>
      </c>
      <c r="H2934" s="1">
        <v>0</v>
      </c>
      <c r="I2934" s="1">
        <v>0</v>
      </c>
    </row>
    <row r="2935" spans="1:9" ht="23.25">
      <c r="A2935" s="4" t="s">
        <v>15</v>
      </c>
      <c r="B2935" s="4"/>
      <c r="C2935" s="4" t="s">
        <v>53</v>
      </c>
      <c r="D2935" s="4"/>
      <c r="E2935" s="1">
        <v>0</v>
      </c>
      <c r="F2935" s="1">
        <v>0</v>
      </c>
      <c r="G2935" s="1">
        <v>0</v>
      </c>
      <c r="H2935" s="1">
        <v>0</v>
      </c>
      <c r="I2935" s="1">
        <v>0</v>
      </c>
    </row>
    <row r="2936" spans="1:9" ht="23.25">
      <c r="A2936" s="4" t="s">
        <v>16</v>
      </c>
      <c r="B2936" s="4"/>
      <c r="C2936" s="4" t="s">
        <v>53</v>
      </c>
      <c r="D2936" s="4"/>
      <c r="E2936" s="1">
        <v>0</v>
      </c>
      <c r="F2936" s="1">
        <v>0</v>
      </c>
      <c r="G2936" s="1">
        <v>0</v>
      </c>
      <c r="H2936" s="1">
        <v>0</v>
      </c>
      <c r="I2936" s="1">
        <v>0</v>
      </c>
    </row>
    <row r="2937" spans="1:9" ht="23.25">
      <c r="A2937" s="4" t="s">
        <v>17</v>
      </c>
      <c r="B2937" s="4"/>
      <c r="C2937" s="4" t="s">
        <v>53</v>
      </c>
      <c r="D2937" s="4"/>
      <c r="E2937" s="1">
        <v>0</v>
      </c>
      <c r="F2937" s="1">
        <v>0</v>
      </c>
      <c r="G2937" s="1">
        <v>0</v>
      </c>
      <c r="H2937" s="1">
        <v>0</v>
      </c>
      <c r="I2937" s="1">
        <v>0</v>
      </c>
    </row>
    <row r="2938" spans="1:9" ht="23.25">
      <c r="A2938" s="4" t="s">
        <v>18</v>
      </c>
      <c r="B2938" s="4"/>
      <c r="C2938" s="4" t="s">
        <v>53</v>
      </c>
      <c r="D2938" s="4"/>
      <c r="E2938" s="1">
        <v>0</v>
      </c>
      <c r="F2938" s="1">
        <v>0</v>
      </c>
      <c r="G2938" s="1">
        <v>0</v>
      </c>
      <c r="H2938" s="1">
        <v>0</v>
      </c>
      <c r="I2938" s="1">
        <v>0</v>
      </c>
    </row>
    <row r="2939" spans="1:9" ht="23.25">
      <c r="A2939" s="4" t="s">
        <v>19</v>
      </c>
      <c r="B2939" s="4"/>
      <c r="C2939" s="4" t="s">
        <v>53</v>
      </c>
      <c r="D2939" s="4"/>
      <c r="E2939" s="1">
        <v>0</v>
      </c>
      <c r="F2939" s="1">
        <v>0</v>
      </c>
      <c r="G2939" s="1">
        <v>0</v>
      </c>
      <c r="H2939" s="1">
        <v>0</v>
      </c>
      <c r="I2939" s="1">
        <v>0</v>
      </c>
    </row>
    <row r="2940" spans="1:9" ht="23.25">
      <c r="A2940" s="4" t="s">
        <v>20</v>
      </c>
      <c r="B2940" s="4"/>
      <c r="C2940" s="4" t="s">
        <v>53</v>
      </c>
      <c r="D2940" s="4"/>
      <c r="E2940" s="1">
        <v>0</v>
      </c>
      <c r="F2940" s="1">
        <v>0</v>
      </c>
      <c r="G2940" s="1">
        <v>0</v>
      </c>
      <c r="H2940" s="1">
        <v>0</v>
      </c>
      <c r="I2940" s="1">
        <v>0</v>
      </c>
    </row>
    <row r="2941" spans="1:9" ht="23.25">
      <c r="A2941" s="4" t="s">
        <v>21</v>
      </c>
      <c r="B2941" s="4"/>
      <c r="C2941" s="4" t="s">
        <v>53</v>
      </c>
      <c r="D2941" s="4"/>
      <c r="E2941" s="1">
        <v>45871</v>
      </c>
      <c r="F2941" s="1">
        <v>3609</v>
      </c>
      <c r="G2941" s="1">
        <v>3988</v>
      </c>
      <c r="H2941" s="1">
        <v>884</v>
      </c>
      <c r="I2941" s="1">
        <v>0</v>
      </c>
    </row>
    <row r="2942" spans="1:9" ht="23.25">
      <c r="A2942" s="4" t="s">
        <v>22</v>
      </c>
      <c r="B2942" s="4"/>
      <c r="C2942" s="4" t="s">
        <v>53</v>
      </c>
      <c r="D2942" s="4"/>
      <c r="E2942" s="1">
        <v>0</v>
      </c>
      <c r="F2942" s="1">
        <v>0</v>
      </c>
      <c r="G2942" s="1">
        <v>0</v>
      </c>
      <c r="H2942" s="1">
        <v>0</v>
      </c>
      <c r="I2942" s="1">
        <v>0</v>
      </c>
    </row>
    <row r="2943" spans="1:9" ht="23.25">
      <c r="A2943" s="4" t="s">
        <v>23</v>
      </c>
      <c r="B2943" s="4"/>
      <c r="C2943" s="4" t="s">
        <v>53</v>
      </c>
      <c r="D2943" s="4"/>
      <c r="E2943" s="1">
        <v>0</v>
      </c>
      <c r="F2943" s="1">
        <v>0</v>
      </c>
      <c r="G2943" s="1">
        <v>0</v>
      </c>
      <c r="H2943" s="1">
        <v>0</v>
      </c>
      <c r="I2943" s="1">
        <v>0</v>
      </c>
    </row>
    <row r="2944" spans="1:9" ht="23.25">
      <c r="A2944" s="4" t="s">
        <v>24</v>
      </c>
      <c r="B2944" s="4"/>
      <c r="C2944" s="4" t="s">
        <v>53</v>
      </c>
      <c r="D2944" s="4"/>
      <c r="E2944" s="1">
        <v>0</v>
      </c>
      <c r="F2944" s="1">
        <v>0</v>
      </c>
      <c r="G2944" s="1">
        <v>0</v>
      </c>
      <c r="H2944" s="1">
        <v>0</v>
      </c>
      <c r="I2944" s="1">
        <v>0</v>
      </c>
    </row>
    <row r="2945" spans="1:9" ht="23.25">
      <c r="A2945" s="4" t="s">
        <v>25</v>
      </c>
      <c r="B2945" s="4"/>
      <c r="C2945" s="4" t="s">
        <v>53</v>
      </c>
      <c r="D2945" s="4"/>
      <c r="E2945" s="1">
        <v>0</v>
      </c>
      <c r="F2945" s="1">
        <v>0</v>
      </c>
      <c r="G2945" s="1">
        <v>0</v>
      </c>
      <c r="H2945" s="1">
        <v>0</v>
      </c>
      <c r="I2945" s="1">
        <v>0</v>
      </c>
    </row>
    <row r="2946" spans="1:9" ht="23.25">
      <c r="A2946" s="4" t="s">
        <v>26</v>
      </c>
      <c r="B2946" s="4"/>
      <c r="C2946" s="4" t="s">
        <v>53</v>
      </c>
      <c r="D2946" s="4"/>
      <c r="E2946" s="1">
        <v>0</v>
      </c>
      <c r="F2946" s="1">
        <v>0</v>
      </c>
      <c r="G2946" s="1">
        <v>0</v>
      </c>
      <c r="H2946" s="1">
        <v>0</v>
      </c>
      <c r="I2946" s="1">
        <v>0</v>
      </c>
    </row>
    <row r="2947" spans="1:9" ht="23.25">
      <c r="A2947" s="4" t="s">
        <v>27</v>
      </c>
      <c r="B2947" s="4"/>
      <c r="C2947" s="4" t="s">
        <v>53</v>
      </c>
      <c r="D2947" s="4"/>
      <c r="E2947" s="1">
        <v>0</v>
      </c>
      <c r="F2947" s="1">
        <v>0</v>
      </c>
      <c r="G2947" s="1">
        <v>0</v>
      </c>
      <c r="H2947" s="1">
        <v>0</v>
      </c>
      <c r="I2947" s="1">
        <v>0</v>
      </c>
    </row>
    <row r="2948" spans="1:9" ht="23.25">
      <c r="A2948" s="4" t="s">
        <v>28</v>
      </c>
      <c r="B2948" s="4"/>
      <c r="C2948" s="4" t="s">
        <v>53</v>
      </c>
      <c r="D2948" s="4"/>
      <c r="E2948" s="1">
        <v>0</v>
      </c>
      <c r="F2948" s="1">
        <v>0</v>
      </c>
      <c r="G2948" s="1">
        <v>0</v>
      </c>
      <c r="H2948" s="1">
        <v>0</v>
      </c>
      <c r="I2948" s="1">
        <v>0</v>
      </c>
    </row>
    <row r="2949" spans="1:9" ht="23.25">
      <c r="A2949" s="4" t="s">
        <v>29</v>
      </c>
      <c r="B2949" s="4"/>
      <c r="C2949" s="4" t="s">
        <v>53</v>
      </c>
      <c r="D2949" s="4"/>
      <c r="E2949" s="1">
        <v>0</v>
      </c>
      <c r="F2949" s="1">
        <v>0</v>
      </c>
      <c r="G2949" s="1">
        <v>0</v>
      </c>
      <c r="H2949" s="1">
        <v>0</v>
      </c>
      <c r="I2949" s="1">
        <v>0</v>
      </c>
    </row>
    <row r="2950" spans="1:9" ht="23.25">
      <c r="A2950" s="4" t="s">
        <v>30</v>
      </c>
      <c r="B2950" s="4"/>
      <c r="C2950" s="4" t="s">
        <v>53</v>
      </c>
      <c r="D2950" s="4"/>
      <c r="E2950" s="1">
        <v>0</v>
      </c>
      <c r="F2950" s="1">
        <v>0</v>
      </c>
      <c r="G2950" s="1">
        <v>0</v>
      </c>
      <c r="H2950" s="1">
        <v>0</v>
      </c>
      <c r="I2950" s="1">
        <v>0</v>
      </c>
    </row>
    <row r="2951" spans="1:9" ht="23.25">
      <c r="A2951" s="4" t="s">
        <v>31</v>
      </c>
      <c r="B2951" s="4"/>
      <c r="C2951" s="4" t="s">
        <v>53</v>
      </c>
      <c r="D2951" s="4"/>
      <c r="E2951" s="1">
        <v>18049</v>
      </c>
      <c r="F2951" s="1">
        <v>2856</v>
      </c>
      <c r="G2951" s="1">
        <v>2203</v>
      </c>
      <c r="H2951" s="1">
        <v>243</v>
      </c>
      <c r="I2951" s="1">
        <v>1645</v>
      </c>
    </row>
    <row r="2952" spans="1:9" ht="23.25">
      <c r="A2952" s="4" t="s">
        <v>32</v>
      </c>
      <c r="B2952" s="4"/>
      <c r="C2952" s="4" t="s">
        <v>53</v>
      </c>
      <c r="D2952" s="4"/>
      <c r="E2952" s="1">
        <v>21712</v>
      </c>
      <c r="F2952" s="1">
        <v>1452</v>
      </c>
      <c r="G2952" s="1">
        <v>1456</v>
      </c>
      <c r="H2952" s="1">
        <v>260</v>
      </c>
      <c r="I2952" s="1">
        <v>0</v>
      </c>
    </row>
    <row r="2953" spans="1:9" ht="23.25">
      <c r="A2953" s="4" t="s">
        <v>33</v>
      </c>
      <c r="B2953" s="4"/>
      <c r="C2953" s="4" t="s">
        <v>53</v>
      </c>
      <c r="D2953" s="4"/>
      <c r="E2953" s="1">
        <v>2135</v>
      </c>
      <c r="F2953" s="1">
        <v>98</v>
      </c>
      <c r="G2953" s="1">
        <v>205</v>
      </c>
      <c r="H2953" s="1">
        <v>19</v>
      </c>
      <c r="I2953" s="1">
        <v>0</v>
      </c>
    </row>
    <row r="2954" spans="1:9" ht="23.25">
      <c r="A2954" s="4" t="s">
        <v>34</v>
      </c>
      <c r="B2954" s="4"/>
      <c r="C2954" s="4" t="s">
        <v>53</v>
      </c>
      <c r="D2954" s="4"/>
      <c r="E2954" s="1">
        <v>3536388</v>
      </c>
      <c r="F2954" s="1">
        <v>251499</v>
      </c>
      <c r="G2954" s="1">
        <v>117721</v>
      </c>
      <c r="H2954" s="1">
        <v>68676</v>
      </c>
      <c r="I2954" s="1">
        <v>2656674</v>
      </c>
    </row>
    <row r="2955" spans="1:9" ht="23.25">
      <c r="A2955" s="4" t="s">
        <v>35</v>
      </c>
      <c r="B2955" s="4"/>
      <c r="C2955" s="4" t="s">
        <v>53</v>
      </c>
      <c r="D2955" s="4"/>
      <c r="E2955" s="1">
        <v>0</v>
      </c>
      <c r="F2955" s="1">
        <v>0</v>
      </c>
      <c r="G2955" s="1">
        <v>0</v>
      </c>
      <c r="H2955" s="1">
        <v>0</v>
      </c>
      <c r="I2955" s="1">
        <v>0</v>
      </c>
    </row>
    <row r="2956" spans="1:9" ht="23.25">
      <c r="A2956" s="4" t="s">
        <v>36</v>
      </c>
      <c r="B2956" s="4"/>
      <c r="C2956" s="4" t="s">
        <v>53</v>
      </c>
      <c r="D2956" s="4"/>
      <c r="E2956" s="1">
        <v>11416</v>
      </c>
      <c r="F2956" s="1">
        <v>805</v>
      </c>
      <c r="G2956" s="1">
        <v>1367</v>
      </c>
      <c r="H2956" s="1">
        <v>225</v>
      </c>
      <c r="I2956" s="1">
        <v>7615</v>
      </c>
    </row>
    <row r="2957" spans="1:9" ht="23.25">
      <c r="A2957" s="4" t="s">
        <v>37</v>
      </c>
      <c r="B2957" s="4"/>
      <c r="C2957" s="4" t="s">
        <v>53</v>
      </c>
      <c r="D2957" s="4"/>
      <c r="E2957" s="1">
        <v>457457</v>
      </c>
      <c r="F2957" s="1">
        <v>18971</v>
      </c>
      <c r="G2957" s="1">
        <v>7755</v>
      </c>
      <c r="H2957" s="1">
        <v>4216</v>
      </c>
      <c r="I2957" s="1">
        <v>90419</v>
      </c>
    </row>
    <row r="2958" spans="1:9" ht="23.25">
      <c r="A2958" s="4" t="s">
        <v>38</v>
      </c>
      <c r="B2958" s="4"/>
      <c r="C2958" s="4" t="s">
        <v>53</v>
      </c>
      <c r="D2958" s="4"/>
      <c r="E2958" s="1">
        <v>4145</v>
      </c>
      <c r="F2958" s="1">
        <v>324</v>
      </c>
      <c r="G2958" s="1">
        <v>630</v>
      </c>
      <c r="H2958" s="1">
        <v>112</v>
      </c>
      <c r="I2958" s="1">
        <v>0</v>
      </c>
    </row>
    <row r="2959" spans="1:9" ht="23.25">
      <c r="A2959" s="4" t="s">
        <v>39</v>
      </c>
      <c r="B2959" s="4"/>
      <c r="C2959" s="4" t="s">
        <v>53</v>
      </c>
      <c r="D2959" s="4"/>
      <c r="E2959" s="1">
        <v>635081</v>
      </c>
      <c r="F2959" s="1">
        <v>25088</v>
      </c>
      <c r="G2959" s="1">
        <v>19003</v>
      </c>
      <c r="H2959" s="1">
        <v>4227</v>
      </c>
      <c r="I2959" s="1">
        <v>155981</v>
      </c>
    </row>
    <row r="2960" spans="1:9" ht="23.25">
      <c r="A2960" s="4" t="s">
        <v>40</v>
      </c>
      <c r="B2960" s="4"/>
      <c r="C2960" s="4" t="s">
        <v>53</v>
      </c>
      <c r="D2960" s="4"/>
      <c r="E2960" s="1">
        <v>491784</v>
      </c>
      <c r="F2960" s="1">
        <v>36939</v>
      </c>
      <c r="G2960" s="1">
        <v>36070</v>
      </c>
      <c r="H2960" s="1">
        <v>8770</v>
      </c>
      <c r="I2960" s="1">
        <v>0</v>
      </c>
    </row>
    <row r="2961" spans="1:9" ht="23.25">
      <c r="A2961" s="4" t="s">
        <v>41</v>
      </c>
      <c r="B2961" s="4"/>
      <c r="C2961" s="4" t="s">
        <v>53</v>
      </c>
      <c r="D2961" s="4"/>
      <c r="E2961" s="1">
        <v>0</v>
      </c>
      <c r="F2961" s="1">
        <v>0</v>
      </c>
      <c r="G2961" s="1">
        <v>0</v>
      </c>
      <c r="H2961" s="1">
        <v>0</v>
      </c>
      <c r="I2961" s="1">
        <v>0</v>
      </c>
    </row>
    <row r="2962" spans="1:9" ht="23.25">
      <c r="A2962" s="4" t="s">
        <v>42</v>
      </c>
      <c r="B2962" s="4"/>
      <c r="C2962" s="4" t="s">
        <v>53</v>
      </c>
      <c r="D2962" s="4"/>
      <c r="E2962" s="1">
        <v>9410</v>
      </c>
      <c r="F2962" s="1">
        <v>712</v>
      </c>
      <c r="G2962" s="1">
        <v>772</v>
      </c>
      <c r="H2962" s="1">
        <v>117</v>
      </c>
      <c r="I2962" s="1">
        <v>0</v>
      </c>
    </row>
    <row r="2963" spans="1:9" ht="23.25">
      <c r="A2963" s="4" t="s">
        <v>43</v>
      </c>
      <c r="B2963" s="4"/>
      <c r="C2963" s="4" t="s">
        <v>53</v>
      </c>
      <c r="D2963" s="4"/>
      <c r="E2963" s="1">
        <v>3743</v>
      </c>
      <c r="F2963" s="1">
        <v>167</v>
      </c>
      <c r="G2963" s="1">
        <v>92</v>
      </c>
      <c r="H2963" s="1">
        <v>6</v>
      </c>
      <c r="I2963" s="1">
        <v>2233</v>
      </c>
    </row>
    <row r="2964" spans="1:9" ht="23.25">
      <c r="A2964" s="4" t="s">
        <v>44</v>
      </c>
      <c r="B2964" s="4"/>
      <c r="C2964" s="4" t="s">
        <v>53</v>
      </c>
      <c r="D2964" s="4"/>
      <c r="E2964" s="1">
        <v>94292</v>
      </c>
      <c r="F2964" s="1">
        <v>1622</v>
      </c>
      <c r="G2964" s="1">
        <v>6051</v>
      </c>
      <c r="H2964" s="1">
        <v>231</v>
      </c>
      <c r="I2964" s="1">
        <v>78878</v>
      </c>
    </row>
    <row r="2965" spans="1:9" ht="23.25">
      <c r="A2965" s="4" t="s">
        <v>45</v>
      </c>
      <c r="B2965" s="4"/>
      <c r="C2965" s="4" t="s">
        <v>53</v>
      </c>
      <c r="D2965" s="4"/>
      <c r="E2965" s="1">
        <v>40066</v>
      </c>
      <c r="F2965" s="1">
        <v>3224</v>
      </c>
      <c r="G2965" s="1">
        <v>0</v>
      </c>
      <c r="H2965" s="1">
        <v>455</v>
      </c>
      <c r="I2965" s="1">
        <v>0</v>
      </c>
    </row>
    <row r="2966" spans="1:9" ht="23.25">
      <c r="A2966" s="4" t="s">
        <v>46</v>
      </c>
      <c r="B2966" s="4"/>
      <c r="C2966" s="4" t="s">
        <v>53</v>
      </c>
      <c r="D2966" s="4"/>
      <c r="E2966" s="1">
        <v>59838</v>
      </c>
      <c r="F2966" s="1">
        <v>3700</v>
      </c>
      <c r="G2966" s="1">
        <v>5137</v>
      </c>
      <c r="H2966" s="1">
        <v>675</v>
      </c>
      <c r="I2966" s="1">
        <v>0</v>
      </c>
    </row>
    <row r="2967" spans="1:9" ht="23.25">
      <c r="A2967" s="4" t="s">
        <v>47</v>
      </c>
      <c r="B2967" s="4"/>
      <c r="C2967" s="4" t="s">
        <v>53</v>
      </c>
      <c r="D2967" s="4"/>
      <c r="E2967" s="1">
        <v>78856</v>
      </c>
      <c r="F2967" s="1">
        <v>615</v>
      </c>
      <c r="G2967" s="1">
        <v>0</v>
      </c>
      <c r="H2967" s="1">
        <v>60</v>
      </c>
      <c r="I2967" s="1">
        <v>0</v>
      </c>
    </row>
    <row r="2968" spans="1:9" ht="23.25">
      <c r="A2968" s="4" t="s">
        <v>48</v>
      </c>
      <c r="B2968" s="4"/>
      <c r="C2968" s="4" t="s">
        <v>53</v>
      </c>
      <c r="D2968" s="4"/>
      <c r="E2968" s="1">
        <v>0</v>
      </c>
      <c r="F2968" s="1">
        <v>0</v>
      </c>
      <c r="G2968" s="1">
        <v>0</v>
      </c>
      <c r="H2968" s="1">
        <v>0</v>
      </c>
      <c r="I2968" s="1">
        <v>0</v>
      </c>
    </row>
    <row r="2969" spans="1:9" ht="23.25">
      <c r="A2969" s="4" t="s">
        <v>49</v>
      </c>
      <c r="B2969" s="4"/>
      <c r="C2969" s="4" t="s">
        <v>53</v>
      </c>
      <c r="D2969" s="4"/>
      <c r="E2969" s="1">
        <v>0</v>
      </c>
      <c r="F2969" s="1">
        <v>0</v>
      </c>
      <c r="G2969" s="1">
        <v>0</v>
      </c>
      <c r="H2969" s="1">
        <v>0</v>
      </c>
      <c r="I2969" s="1">
        <v>0</v>
      </c>
    </row>
    <row r="2970" spans="1:9" ht="23.25">
      <c r="A2970" s="4" t="s">
        <v>50</v>
      </c>
      <c r="B2970" s="4"/>
      <c r="C2970" s="4" t="s">
        <v>53</v>
      </c>
      <c r="D2970" s="4"/>
      <c r="E2970" s="1">
        <v>0</v>
      </c>
      <c r="F2970" s="1">
        <v>0</v>
      </c>
      <c r="G2970" s="1">
        <v>0</v>
      </c>
      <c r="H2970" s="1">
        <v>0</v>
      </c>
      <c r="I2970" s="1">
        <v>0</v>
      </c>
    </row>
    <row r="2971" spans="1:9" ht="23.25">
      <c r="A2971" s="4" t="s">
        <v>51</v>
      </c>
      <c r="B2971" s="4"/>
      <c r="C2971" s="4" t="s">
        <v>53</v>
      </c>
      <c r="D2971" s="4"/>
      <c r="E2971" s="1">
        <v>296447</v>
      </c>
      <c r="F2971" s="1">
        <v>10962</v>
      </c>
      <c r="G2971" s="1">
        <v>16652</v>
      </c>
      <c r="H2971" s="1">
        <v>2013</v>
      </c>
      <c r="I2971" s="1">
        <v>128333</v>
      </c>
    </row>
    <row r="2972" spans="1:9" ht="23.25">
      <c r="A2972" s="4" t="s">
        <v>52</v>
      </c>
      <c r="B2972" s="4"/>
      <c r="C2972" s="4" t="s">
        <v>53</v>
      </c>
      <c r="D2972" s="4"/>
      <c r="E2972" s="1">
        <v>8191830</v>
      </c>
      <c r="F2972" s="1">
        <v>0</v>
      </c>
      <c r="G2972" s="1">
        <v>0</v>
      </c>
      <c r="H2972" s="1">
        <v>0</v>
      </c>
      <c r="I2972" s="1">
        <v>0</v>
      </c>
    </row>
    <row r="2973" spans="1:9" ht="23.25">
      <c r="A2973" s="4" t="s">
        <v>53</v>
      </c>
      <c r="B2973" s="4"/>
      <c r="C2973" s="4" t="s">
        <v>53</v>
      </c>
      <c r="D2973" s="4"/>
      <c r="E2973" s="1">
        <v>2240731</v>
      </c>
      <c r="F2973" s="1">
        <v>0</v>
      </c>
      <c r="G2973" s="1">
        <v>0</v>
      </c>
      <c r="H2973" s="1">
        <v>0</v>
      </c>
      <c r="I2973" s="1">
        <v>0</v>
      </c>
    </row>
    <row r="2974" spans="1:9" ht="23.25">
      <c r="A2974" s="4" t="s">
        <v>54</v>
      </c>
      <c r="B2974" s="4"/>
      <c r="C2974" s="4" t="s">
        <v>53</v>
      </c>
      <c r="D2974" s="4"/>
      <c r="E2974" s="1">
        <v>0</v>
      </c>
      <c r="F2974" s="1">
        <v>0</v>
      </c>
      <c r="G2974" s="1">
        <v>0</v>
      </c>
      <c r="H2974" s="1">
        <v>0</v>
      </c>
      <c r="I2974" s="1">
        <v>0</v>
      </c>
    </row>
    <row r="2975" spans="1:9" ht="23.25">
      <c r="A2975" s="4" t="s">
        <v>55</v>
      </c>
      <c r="B2975" s="4"/>
      <c r="C2975" s="4" t="s">
        <v>53</v>
      </c>
      <c r="D2975" s="4"/>
      <c r="E2975" s="1">
        <v>0</v>
      </c>
      <c r="F2975" s="1">
        <v>0</v>
      </c>
      <c r="G2975" s="1">
        <v>0</v>
      </c>
      <c r="H2975" s="1">
        <v>0</v>
      </c>
      <c r="I2975" s="1">
        <v>0</v>
      </c>
    </row>
    <row r="2976" spans="1:9" ht="23.25">
      <c r="A2976" s="4" t="s">
        <v>56</v>
      </c>
      <c r="B2976" s="4"/>
      <c r="C2976" s="4" t="s">
        <v>53</v>
      </c>
      <c r="D2976" s="4"/>
      <c r="E2976" s="1">
        <v>0</v>
      </c>
      <c r="F2976" s="1">
        <v>-362643</v>
      </c>
      <c r="G2976" s="1">
        <v>-219102</v>
      </c>
      <c r="H2976" s="1">
        <v>0</v>
      </c>
      <c r="I2976" s="1">
        <v>0</v>
      </c>
    </row>
    <row r="2977" spans="1:9" ht="23.25">
      <c r="A2977" s="4" t="s">
        <v>57</v>
      </c>
      <c r="B2977" s="4"/>
      <c r="C2977" s="4" t="s">
        <v>53</v>
      </c>
      <c r="D2977" s="4"/>
      <c r="E2977" s="1">
        <v>41242</v>
      </c>
      <c r="F2977" s="1">
        <v>0</v>
      </c>
      <c r="G2977" s="1">
        <v>0</v>
      </c>
      <c r="H2977" s="1">
        <v>0</v>
      </c>
      <c r="I2977" s="1">
        <v>0</v>
      </c>
    </row>
    <row r="2978" spans="1:9" ht="23.25">
      <c r="A2978" s="4" t="s">
        <v>58</v>
      </c>
      <c r="B2978" s="4"/>
      <c r="C2978" s="4" t="s">
        <v>53</v>
      </c>
      <c r="D2978" s="4"/>
      <c r="E2978" s="1">
        <v>11795</v>
      </c>
      <c r="F2978" s="1">
        <v>0</v>
      </c>
      <c r="G2978" s="1">
        <v>0</v>
      </c>
      <c r="H2978" s="1">
        <v>-91189</v>
      </c>
      <c r="I2978" s="1">
        <v>0</v>
      </c>
    </row>
    <row r="2979" spans="1:9" ht="23.25">
      <c r="A2979" s="4" t="s">
        <v>59</v>
      </c>
      <c r="B2979" s="4"/>
      <c r="C2979" s="4" t="s">
        <v>53</v>
      </c>
      <c r="D2979" s="4"/>
      <c r="E2979" s="1">
        <v>4574</v>
      </c>
      <c r="F2979" s="1">
        <v>0</v>
      </c>
      <c r="G2979" s="1">
        <v>0</v>
      </c>
      <c r="H2979" s="1">
        <v>0</v>
      </c>
      <c r="I2979" s="1">
        <v>0</v>
      </c>
    </row>
    <row r="2980" spans="1:9" ht="23.25">
      <c r="A2980" s="4" t="s">
        <v>60</v>
      </c>
      <c r="B2980" s="4"/>
      <c r="C2980" s="4" t="s">
        <v>53</v>
      </c>
      <c r="D2980" s="4"/>
      <c r="E2980" s="1">
        <v>4895112</v>
      </c>
      <c r="F2980" s="1">
        <v>0</v>
      </c>
      <c r="G2980" s="1">
        <v>0</v>
      </c>
      <c r="H2980" s="1">
        <v>0</v>
      </c>
      <c r="I2980" s="1">
        <v>0</v>
      </c>
    </row>
    <row r="2981" spans="1:9" ht="23.25">
      <c r="A2981" s="4" t="s">
        <v>61</v>
      </c>
      <c r="B2981" s="4"/>
      <c r="C2981" s="4" t="s">
        <v>53</v>
      </c>
      <c r="D2981" s="4"/>
      <c r="E2981" s="1">
        <v>2524</v>
      </c>
      <c r="F2981" s="1">
        <v>0</v>
      </c>
      <c r="G2981" s="1">
        <v>0</v>
      </c>
      <c r="H2981" s="1">
        <v>0</v>
      </c>
      <c r="I2981" s="1">
        <v>0</v>
      </c>
    </row>
    <row r="2982" spans="1:9" ht="23.25">
      <c r="A2982" s="4" t="s">
        <v>62</v>
      </c>
      <c r="B2982" s="4"/>
      <c r="C2982" s="4" t="s">
        <v>53</v>
      </c>
      <c r="D2982" s="4"/>
      <c r="E2982" s="1">
        <v>1425035</v>
      </c>
      <c r="F2982" s="1">
        <v>0</v>
      </c>
      <c r="G2982" s="1">
        <v>0</v>
      </c>
      <c r="H2982" s="1">
        <v>0</v>
      </c>
      <c r="I2982" s="1">
        <v>0</v>
      </c>
    </row>
    <row r="2983" spans="1:9" ht="23.25">
      <c r="A2983" s="4" t="s">
        <v>63</v>
      </c>
      <c r="B2983" s="4"/>
      <c r="C2983" s="4" t="s">
        <v>53</v>
      </c>
      <c r="D2983" s="4"/>
      <c r="E2983" s="1">
        <v>220223</v>
      </c>
      <c r="F2983" s="1">
        <v>0</v>
      </c>
      <c r="G2983" s="1">
        <v>0</v>
      </c>
      <c r="H2983" s="1">
        <v>0</v>
      </c>
      <c r="I2983" s="1">
        <v>0</v>
      </c>
    </row>
    <row r="2984" spans="1:9" ht="23.25">
      <c r="A2984" s="4" t="s">
        <v>64</v>
      </c>
      <c r="B2984" s="4"/>
      <c r="C2984" s="4" t="s">
        <v>53</v>
      </c>
      <c r="D2984" s="4"/>
      <c r="E2984" s="1">
        <v>793616</v>
      </c>
      <c r="F2984" s="1">
        <v>0</v>
      </c>
      <c r="G2984" s="1">
        <v>0</v>
      </c>
      <c r="H2984" s="1">
        <v>0</v>
      </c>
      <c r="I2984" s="1">
        <v>0</v>
      </c>
    </row>
    <row r="2985" spans="1:9" ht="23.25">
      <c r="A2985" s="4" t="s">
        <v>65</v>
      </c>
      <c r="B2985" s="4"/>
      <c r="C2985" s="4" t="s">
        <v>53</v>
      </c>
      <c r="D2985" s="4"/>
      <c r="E2985" s="1">
        <v>906464</v>
      </c>
      <c r="F2985" s="1">
        <v>0</v>
      </c>
      <c r="G2985" s="1">
        <v>0</v>
      </c>
      <c r="H2985" s="1">
        <v>0</v>
      </c>
      <c r="I2985" s="1">
        <v>90426</v>
      </c>
    </row>
    <row r="2986" spans="1:9" ht="23.25">
      <c r="A2986" s="4" t="s">
        <v>66</v>
      </c>
      <c r="B2986" s="4"/>
      <c r="C2986" s="4" t="s">
        <v>53</v>
      </c>
      <c r="D2986" s="4"/>
      <c r="E2986" s="1">
        <v>24539836</v>
      </c>
      <c r="F2986" s="1">
        <v>0</v>
      </c>
      <c r="G2986" s="1">
        <v>0</v>
      </c>
      <c r="H2986" s="1">
        <v>0</v>
      </c>
      <c r="I2986" s="1">
        <v>3212204</v>
      </c>
    </row>
    <row r="2987" spans="1:9" ht="23.25">
      <c r="A2987" s="4" t="s">
        <v>67</v>
      </c>
      <c r="B2987" s="4"/>
      <c r="C2987" s="4" t="s">
        <v>53</v>
      </c>
      <c r="D2987" s="4"/>
      <c r="E2987" s="1">
        <v>12984883</v>
      </c>
      <c r="F2987" s="1">
        <v>0</v>
      </c>
      <c r="G2987" s="1">
        <v>0</v>
      </c>
      <c r="H2987" s="1">
        <v>0</v>
      </c>
      <c r="I2987" s="1">
        <v>0</v>
      </c>
    </row>
    <row r="2988" spans="1:9" ht="23.25">
      <c r="A2988" s="4" t="s">
        <v>68</v>
      </c>
      <c r="B2988" s="4"/>
      <c r="C2988" s="4" t="s">
        <v>53</v>
      </c>
      <c r="D2988" s="4"/>
      <c r="E2988" s="1">
        <v>15125897</v>
      </c>
      <c r="F2988" s="1">
        <v>0</v>
      </c>
      <c r="G2988" s="1">
        <v>0</v>
      </c>
      <c r="H2988" s="1">
        <v>0</v>
      </c>
      <c r="I2988" s="1">
        <v>0</v>
      </c>
    </row>
    <row r="2989" spans="1:9" ht="23.25">
      <c r="A2989" s="4" t="s">
        <v>69</v>
      </c>
      <c r="B2989" s="4"/>
      <c r="C2989" s="4" t="s">
        <v>53</v>
      </c>
      <c r="D2989" s="4"/>
      <c r="E2989" s="1">
        <v>16099776</v>
      </c>
      <c r="F2989" s="1">
        <v>0</v>
      </c>
      <c r="G2989" s="1">
        <v>0</v>
      </c>
      <c r="H2989" s="1">
        <v>0</v>
      </c>
      <c r="I2989" s="1">
        <v>0</v>
      </c>
    </row>
    <row r="2990" spans="1:9" ht="23.25">
      <c r="A2990" s="4" t="s">
        <v>70</v>
      </c>
      <c r="B2990" s="4"/>
      <c r="C2990" s="4" t="s">
        <v>53</v>
      </c>
      <c r="D2990" s="4"/>
      <c r="E2990" s="1">
        <v>2513142</v>
      </c>
      <c r="F2990" s="1">
        <v>0</v>
      </c>
      <c r="G2990" s="1">
        <v>0</v>
      </c>
      <c r="H2990" s="1">
        <v>0</v>
      </c>
      <c r="I2990" s="1">
        <v>0</v>
      </c>
    </row>
    <row r="2991" spans="1:9" ht="23.25">
      <c r="A2991" s="4" t="s">
        <v>71</v>
      </c>
      <c r="B2991" s="4"/>
      <c r="C2991" s="4" t="s">
        <v>53</v>
      </c>
      <c r="D2991" s="4"/>
      <c r="E2991" s="1">
        <v>46723698</v>
      </c>
      <c r="F2991" s="1">
        <v>0</v>
      </c>
      <c r="G2991" s="1">
        <v>0</v>
      </c>
      <c r="H2991" s="1">
        <v>0</v>
      </c>
      <c r="I2991" s="1">
        <v>0</v>
      </c>
    </row>
    <row r="2992" spans="1:9" ht="23.25">
      <c r="A2992" s="4" t="s">
        <v>72</v>
      </c>
      <c r="B2992" s="4"/>
      <c r="C2992" s="4" t="s">
        <v>53</v>
      </c>
      <c r="D2992" s="4"/>
      <c r="E2992" s="1">
        <v>71263534</v>
      </c>
      <c r="F2992" s="1">
        <v>0</v>
      </c>
      <c r="G2992" s="1">
        <v>0</v>
      </c>
      <c r="H2992" s="1">
        <v>0</v>
      </c>
      <c r="I2992" s="1">
        <v>0</v>
      </c>
    </row>
    <row r="2993" spans="1:9" ht="23.25">
      <c r="A2993" s="4" t="s">
        <v>8</v>
      </c>
      <c r="B2993" s="4"/>
      <c r="C2993" s="4" t="s">
        <v>54</v>
      </c>
      <c r="D2993" s="4"/>
      <c r="E2993" s="1">
        <v>0</v>
      </c>
      <c r="F2993" s="1">
        <v>0</v>
      </c>
      <c r="G2993" s="1">
        <v>0</v>
      </c>
      <c r="H2993" s="1">
        <v>0</v>
      </c>
      <c r="I2993" s="1">
        <v>0</v>
      </c>
    </row>
    <row r="2994" spans="1:9" ht="23.25">
      <c r="A2994" s="4" t="s">
        <v>9</v>
      </c>
      <c r="B2994" s="4"/>
      <c r="C2994" s="4" t="s">
        <v>54</v>
      </c>
      <c r="D2994" s="4"/>
      <c r="E2994" s="1">
        <v>0</v>
      </c>
      <c r="F2994" s="1">
        <v>0</v>
      </c>
      <c r="G2994" s="1">
        <v>0</v>
      </c>
      <c r="H2994" s="1">
        <v>0</v>
      </c>
      <c r="I2994" s="1">
        <v>0</v>
      </c>
    </row>
    <row r="2995" spans="1:9" ht="23.25">
      <c r="A2995" s="4" t="s">
        <v>10</v>
      </c>
      <c r="B2995" s="4"/>
      <c r="C2995" s="4" t="s">
        <v>54</v>
      </c>
      <c r="D2995" s="4"/>
      <c r="E2995" s="1">
        <v>0</v>
      </c>
      <c r="F2995" s="1">
        <v>0</v>
      </c>
      <c r="G2995" s="1">
        <v>0</v>
      </c>
      <c r="H2995" s="1">
        <v>0</v>
      </c>
      <c r="I2995" s="1">
        <v>0</v>
      </c>
    </row>
    <row r="2996" spans="1:9" ht="23.25">
      <c r="A2996" s="4" t="s">
        <v>11</v>
      </c>
      <c r="B2996" s="4"/>
      <c r="C2996" s="4" t="s">
        <v>54</v>
      </c>
      <c r="D2996" s="4"/>
      <c r="E2996" s="1">
        <v>0</v>
      </c>
      <c r="F2996" s="1">
        <v>0</v>
      </c>
      <c r="G2996" s="1">
        <v>0</v>
      </c>
      <c r="H2996" s="1">
        <v>0</v>
      </c>
      <c r="I2996" s="1">
        <v>0</v>
      </c>
    </row>
    <row r="2997" spans="1:9" ht="23.25">
      <c r="A2997" s="4" t="s">
        <v>12</v>
      </c>
      <c r="B2997" s="4"/>
      <c r="C2997" s="4" t="s">
        <v>54</v>
      </c>
      <c r="D2997" s="4"/>
      <c r="E2997" s="1">
        <v>0</v>
      </c>
      <c r="F2997" s="1">
        <v>0</v>
      </c>
      <c r="G2997" s="1">
        <v>0</v>
      </c>
      <c r="H2997" s="1">
        <v>0</v>
      </c>
      <c r="I2997" s="1">
        <v>0</v>
      </c>
    </row>
    <row r="2998" spans="1:9" ht="23.25">
      <c r="A2998" s="4" t="s">
        <v>13</v>
      </c>
      <c r="B2998" s="4"/>
      <c r="C2998" s="4" t="s">
        <v>54</v>
      </c>
      <c r="D2998" s="4"/>
      <c r="E2998" s="1">
        <v>0</v>
      </c>
      <c r="F2998" s="1">
        <v>0</v>
      </c>
      <c r="G2998" s="1">
        <v>0</v>
      </c>
      <c r="H2998" s="1">
        <v>0</v>
      </c>
      <c r="I2998" s="1">
        <v>0</v>
      </c>
    </row>
    <row r="2999" spans="1:9" ht="23.25">
      <c r="A2999" s="4" t="s">
        <v>14</v>
      </c>
      <c r="B2999" s="4"/>
      <c r="C2999" s="4" t="s">
        <v>54</v>
      </c>
      <c r="D2999" s="4"/>
      <c r="E2999" s="1">
        <v>0</v>
      </c>
      <c r="F2999" s="1">
        <v>0</v>
      </c>
      <c r="G2999" s="1">
        <v>0</v>
      </c>
      <c r="H2999" s="1">
        <v>0</v>
      </c>
      <c r="I2999" s="1">
        <v>0</v>
      </c>
    </row>
    <row r="3000" spans="1:9" ht="23.25">
      <c r="A3000" s="4" t="s">
        <v>15</v>
      </c>
      <c r="B3000" s="4"/>
      <c r="C3000" s="4" t="s">
        <v>54</v>
      </c>
      <c r="D3000" s="4"/>
      <c r="E3000" s="1">
        <v>33565</v>
      </c>
      <c r="F3000" s="1">
        <v>5660</v>
      </c>
      <c r="G3000" s="1">
        <v>0</v>
      </c>
      <c r="H3000" s="1">
        <v>863</v>
      </c>
      <c r="I3000" s="1">
        <v>3562</v>
      </c>
    </row>
    <row r="3001" spans="1:9" ht="23.25">
      <c r="A3001" s="4" t="s">
        <v>16</v>
      </c>
      <c r="B3001" s="4"/>
      <c r="C3001" s="4" t="s">
        <v>54</v>
      </c>
      <c r="D3001" s="4"/>
      <c r="E3001" s="1">
        <v>0</v>
      </c>
      <c r="F3001" s="1">
        <v>0</v>
      </c>
      <c r="G3001" s="1">
        <v>0</v>
      </c>
      <c r="H3001" s="1">
        <v>0</v>
      </c>
      <c r="I3001" s="1">
        <v>0</v>
      </c>
    </row>
    <row r="3002" spans="1:9" ht="23.25">
      <c r="A3002" s="4" t="s">
        <v>17</v>
      </c>
      <c r="B3002" s="4"/>
      <c r="C3002" s="4" t="s">
        <v>54</v>
      </c>
      <c r="D3002" s="4"/>
      <c r="E3002" s="1">
        <v>1147176</v>
      </c>
      <c r="F3002" s="1">
        <v>101475</v>
      </c>
      <c r="G3002" s="1">
        <v>0</v>
      </c>
      <c r="H3002" s="1">
        <v>14178</v>
      </c>
      <c r="I3002" s="1">
        <v>0</v>
      </c>
    </row>
    <row r="3003" spans="1:9" ht="23.25">
      <c r="A3003" s="4" t="s">
        <v>18</v>
      </c>
      <c r="B3003" s="4"/>
      <c r="C3003" s="4" t="s">
        <v>54</v>
      </c>
      <c r="D3003" s="4"/>
      <c r="E3003" s="1">
        <v>0</v>
      </c>
      <c r="F3003" s="1">
        <v>0</v>
      </c>
      <c r="G3003" s="1">
        <v>0</v>
      </c>
      <c r="H3003" s="1">
        <v>0</v>
      </c>
      <c r="I3003" s="1">
        <v>0</v>
      </c>
    </row>
    <row r="3004" spans="1:9" ht="23.25">
      <c r="A3004" s="4" t="s">
        <v>19</v>
      </c>
      <c r="B3004" s="4"/>
      <c r="C3004" s="4" t="s">
        <v>54</v>
      </c>
      <c r="D3004" s="4"/>
      <c r="E3004" s="1">
        <v>0</v>
      </c>
      <c r="F3004" s="1">
        <v>0</v>
      </c>
      <c r="G3004" s="1">
        <v>0</v>
      </c>
      <c r="H3004" s="1">
        <v>0</v>
      </c>
      <c r="I3004" s="1">
        <v>0</v>
      </c>
    </row>
    <row r="3005" spans="1:9" ht="23.25">
      <c r="A3005" s="4" t="s">
        <v>20</v>
      </c>
      <c r="B3005" s="4"/>
      <c r="C3005" s="4" t="s">
        <v>54</v>
      </c>
      <c r="D3005" s="4"/>
      <c r="E3005" s="1">
        <v>0</v>
      </c>
      <c r="F3005" s="1">
        <v>0</v>
      </c>
      <c r="G3005" s="1">
        <v>0</v>
      </c>
      <c r="H3005" s="1">
        <v>0</v>
      </c>
      <c r="I3005" s="1">
        <v>0</v>
      </c>
    </row>
    <row r="3006" spans="1:9" ht="23.25">
      <c r="A3006" s="4" t="s">
        <v>21</v>
      </c>
      <c r="B3006" s="4"/>
      <c r="C3006" s="4" t="s">
        <v>54</v>
      </c>
      <c r="D3006" s="4"/>
      <c r="E3006" s="1">
        <v>28088563</v>
      </c>
      <c r="F3006" s="1">
        <v>1477861</v>
      </c>
      <c r="G3006" s="1">
        <v>714055</v>
      </c>
      <c r="H3006" s="1">
        <v>3775695</v>
      </c>
      <c r="I3006" s="1">
        <v>240037</v>
      </c>
    </row>
    <row r="3007" spans="1:9" ht="23.25">
      <c r="A3007" s="4" t="s">
        <v>22</v>
      </c>
      <c r="B3007" s="4"/>
      <c r="C3007" s="4" t="s">
        <v>54</v>
      </c>
      <c r="D3007" s="4"/>
      <c r="E3007" s="1">
        <v>0</v>
      </c>
      <c r="F3007" s="1">
        <v>0</v>
      </c>
      <c r="G3007" s="1">
        <v>0</v>
      </c>
      <c r="H3007" s="1">
        <v>0</v>
      </c>
      <c r="I3007" s="1">
        <v>0</v>
      </c>
    </row>
    <row r="3008" spans="1:9" ht="23.25">
      <c r="A3008" s="4" t="s">
        <v>23</v>
      </c>
      <c r="B3008" s="4"/>
      <c r="C3008" s="4" t="s">
        <v>54</v>
      </c>
      <c r="D3008" s="4"/>
      <c r="E3008" s="1">
        <v>0</v>
      </c>
      <c r="F3008" s="1">
        <v>0</v>
      </c>
      <c r="G3008" s="1">
        <v>0</v>
      </c>
      <c r="H3008" s="1">
        <v>0</v>
      </c>
      <c r="I3008" s="1">
        <v>0</v>
      </c>
    </row>
    <row r="3009" spans="1:9" ht="23.25">
      <c r="A3009" s="4" t="s">
        <v>24</v>
      </c>
      <c r="B3009" s="4"/>
      <c r="C3009" s="4" t="s">
        <v>54</v>
      </c>
      <c r="D3009" s="4"/>
      <c r="E3009" s="1">
        <v>0</v>
      </c>
      <c r="F3009" s="1">
        <v>0</v>
      </c>
      <c r="G3009" s="1">
        <v>0</v>
      </c>
      <c r="H3009" s="1">
        <v>0</v>
      </c>
      <c r="I3009" s="1">
        <v>0</v>
      </c>
    </row>
    <row r="3010" spans="1:9" ht="23.25">
      <c r="A3010" s="4" t="s">
        <v>25</v>
      </c>
      <c r="B3010" s="4"/>
      <c r="C3010" s="4" t="s">
        <v>54</v>
      </c>
      <c r="D3010" s="4"/>
      <c r="E3010" s="1">
        <v>0</v>
      </c>
      <c r="F3010" s="1">
        <v>0</v>
      </c>
      <c r="G3010" s="1">
        <v>0</v>
      </c>
      <c r="H3010" s="1">
        <v>0</v>
      </c>
      <c r="I3010" s="1">
        <v>0</v>
      </c>
    </row>
    <row r="3011" spans="1:9" ht="23.25">
      <c r="A3011" s="4" t="s">
        <v>26</v>
      </c>
      <c r="B3011" s="4"/>
      <c r="C3011" s="4" t="s">
        <v>54</v>
      </c>
      <c r="D3011" s="4"/>
      <c r="E3011" s="1">
        <v>0</v>
      </c>
      <c r="F3011" s="1">
        <v>0</v>
      </c>
      <c r="G3011" s="1">
        <v>0</v>
      </c>
      <c r="H3011" s="1">
        <v>0</v>
      </c>
      <c r="I3011" s="1">
        <v>0</v>
      </c>
    </row>
    <row r="3012" spans="1:9" ht="23.25">
      <c r="A3012" s="4" t="s">
        <v>27</v>
      </c>
      <c r="B3012" s="4"/>
      <c r="C3012" s="4" t="s">
        <v>54</v>
      </c>
      <c r="D3012" s="4"/>
      <c r="E3012" s="1">
        <v>0</v>
      </c>
      <c r="F3012" s="1">
        <v>0</v>
      </c>
      <c r="G3012" s="1">
        <v>0</v>
      </c>
      <c r="H3012" s="1">
        <v>0</v>
      </c>
      <c r="I3012" s="1">
        <v>0</v>
      </c>
    </row>
    <row r="3013" spans="1:9" ht="23.25">
      <c r="A3013" s="4" t="s">
        <v>28</v>
      </c>
      <c r="B3013" s="4"/>
      <c r="C3013" s="4" t="s">
        <v>54</v>
      </c>
      <c r="D3013" s="4"/>
      <c r="E3013" s="1">
        <v>0</v>
      </c>
      <c r="F3013" s="1">
        <v>0</v>
      </c>
      <c r="G3013" s="1">
        <v>0</v>
      </c>
      <c r="H3013" s="1">
        <v>0</v>
      </c>
      <c r="I3013" s="1">
        <v>0</v>
      </c>
    </row>
    <row r="3014" spans="1:9" ht="23.25">
      <c r="A3014" s="4" t="s">
        <v>29</v>
      </c>
      <c r="B3014" s="4"/>
      <c r="C3014" s="4" t="s">
        <v>54</v>
      </c>
      <c r="D3014" s="4"/>
      <c r="E3014" s="1">
        <v>0</v>
      </c>
      <c r="F3014" s="1">
        <v>0</v>
      </c>
      <c r="G3014" s="1">
        <v>0</v>
      </c>
      <c r="H3014" s="1">
        <v>0</v>
      </c>
      <c r="I3014" s="1">
        <v>0</v>
      </c>
    </row>
    <row r="3015" spans="1:9" ht="23.25">
      <c r="A3015" s="4" t="s">
        <v>30</v>
      </c>
      <c r="B3015" s="4"/>
      <c r="C3015" s="4" t="s">
        <v>54</v>
      </c>
      <c r="D3015" s="4"/>
      <c r="E3015" s="1">
        <v>27543</v>
      </c>
      <c r="F3015" s="1">
        <v>4126</v>
      </c>
      <c r="G3015" s="1">
        <v>2106</v>
      </c>
      <c r="H3015" s="1">
        <v>460</v>
      </c>
      <c r="I3015" s="1">
        <v>0</v>
      </c>
    </row>
    <row r="3016" spans="1:9" ht="23.25">
      <c r="A3016" s="4" t="s">
        <v>31</v>
      </c>
      <c r="B3016" s="4"/>
      <c r="C3016" s="4" t="s">
        <v>54</v>
      </c>
      <c r="D3016" s="4"/>
      <c r="E3016" s="1">
        <v>384967</v>
      </c>
      <c r="F3016" s="1">
        <v>17875</v>
      </c>
      <c r="G3016" s="1">
        <v>42377</v>
      </c>
      <c r="H3016" s="1">
        <v>3349</v>
      </c>
      <c r="I3016" s="1">
        <v>182969</v>
      </c>
    </row>
    <row r="3017" spans="1:9" ht="23.25">
      <c r="A3017" s="4" t="s">
        <v>32</v>
      </c>
      <c r="B3017" s="4"/>
      <c r="C3017" s="4" t="s">
        <v>54</v>
      </c>
      <c r="D3017" s="4"/>
      <c r="E3017" s="1">
        <v>564438</v>
      </c>
      <c r="F3017" s="1">
        <v>16806</v>
      </c>
      <c r="G3017" s="1">
        <v>16226</v>
      </c>
      <c r="H3017" s="1">
        <v>7485</v>
      </c>
      <c r="I3017" s="1">
        <v>286297</v>
      </c>
    </row>
    <row r="3018" spans="1:9" ht="23.25">
      <c r="A3018" s="4" t="s">
        <v>33</v>
      </c>
      <c r="B3018" s="4"/>
      <c r="C3018" s="4" t="s">
        <v>54</v>
      </c>
      <c r="D3018" s="4"/>
      <c r="E3018" s="1">
        <v>22317</v>
      </c>
      <c r="F3018" s="1">
        <v>791</v>
      </c>
      <c r="G3018" s="1">
        <v>1731</v>
      </c>
      <c r="H3018" s="1">
        <v>200</v>
      </c>
      <c r="I3018" s="1">
        <v>0</v>
      </c>
    </row>
    <row r="3019" spans="1:9" ht="23.25">
      <c r="A3019" s="4" t="s">
        <v>34</v>
      </c>
      <c r="B3019" s="4"/>
      <c r="C3019" s="4" t="s">
        <v>54</v>
      </c>
      <c r="D3019" s="4"/>
      <c r="E3019" s="1">
        <v>216022</v>
      </c>
      <c r="F3019" s="1">
        <v>15136</v>
      </c>
      <c r="G3019" s="1">
        <v>7193</v>
      </c>
      <c r="H3019" s="1">
        <v>4195</v>
      </c>
      <c r="I3019" s="1">
        <v>138992</v>
      </c>
    </row>
    <row r="3020" spans="1:9" ht="23.25">
      <c r="A3020" s="4" t="s">
        <v>35</v>
      </c>
      <c r="B3020" s="4"/>
      <c r="C3020" s="4" t="s">
        <v>54</v>
      </c>
      <c r="D3020" s="4"/>
      <c r="E3020" s="1">
        <v>3821</v>
      </c>
      <c r="F3020" s="1">
        <v>261</v>
      </c>
      <c r="G3020" s="1">
        <v>276</v>
      </c>
      <c r="H3020" s="1">
        <v>137</v>
      </c>
      <c r="I3020" s="1">
        <v>0</v>
      </c>
    </row>
    <row r="3021" spans="1:9" ht="23.25">
      <c r="A3021" s="4" t="s">
        <v>36</v>
      </c>
      <c r="B3021" s="4"/>
      <c r="C3021" s="4" t="s">
        <v>54</v>
      </c>
      <c r="D3021" s="4"/>
      <c r="E3021" s="1">
        <v>17028630</v>
      </c>
      <c r="F3021" s="1">
        <v>1725878</v>
      </c>
      <c r="G3021" s="1">
        <v>2197132</v>
      </c>
      <c r="H3021" s="1">
        <v>133058</v>
      </c>
      <c r="I3021" s="1">
        <v>6579682</v>
      </c>
    </row>
    <row r="3022" spans="1:9" ht="23.25">
      <c r="A3022" s="4" t="s">
        <v>37</v>
      </c>
      <c r="B3022" s="4"/>
      <c r="C3022" s="4" t="s">
        <v>54</v>
      </c>
      <c r="D3022" s="4"/>
      <c r="E3022" s="1">
        <v>5331439</v>
      </c>
      <c r="F3022" s="1">
        <v>361916</v>
      </c>
      <c r="G3022" s="1">
        <v>347093</v>
      </c>
      <c r="H3022" s="1">
        <v>51717</v>
      </c>
      <c r="I3022" s="1">
        <v>941557</v>
      </c>
    </row>
    <row r="3023" spans="1:9" ht="23.25">
      <c r="A3023" s="4" t="s">
        <v>38</v>
      </c>
      <c r="B3023" s="4"/>
      <c r="C3023" s="4" t="s">
        <v>54</v>
      </c>
      <c r="D3023" s="4"/>
      <c r="E3023" s="1">
        <v>6273564</v>
      </c>
      <c r="F3023" s="1">
        <v>476912</v>
      </c>
      <c r="G3023" s="1">
        <v>686327</v>
      </c>
      <c r="H3023" s="1">
        <v>158791</v>
      </c>
      <c r="I3023" s="1">
        <v>4375653</v>
      </c>
    </row>
    <row r="3024" spans="1:9" ht="23.25">
      <c r="A3024" s="4" t="s">
        <v>39</v>
      </c>
      <c r="B3024" s="4"/>
      <c r="C3024" s="4" t="s">
        <v>54</v>
      </c>
      <c r="D3024" s="4"/>
      <c r="E3024" s="1">
        <v>6935494</v>
      </c>
      <c r="F3024" s="1">
        <v>159987</v>
      </c>
      <c r="G3024" s="1">
        <v>274102</v>
      </c>
      <c r="H3024" s="1">
        <v>48785</v>
      </c>
      <c r="I3024" s="1">
        <v>3338938</v>
      </c>
    </row>
    <row r="3025" spans="1:9" ht="23.25">
      <c r="A3025" s="4" t="s">
        <v>40</v>
      </c>
      <c r="B3025" s="4"/>
      <c r="C3025" s="4" t="s">
        <v>54</v>
      </c>
      <c r="D3025" s="4"/>
      <c r="E3025" s="1">
        <v>94814538</v>
      </c>
      <c r="F3025" s="1">
        <v>5222925</v>
      </c>
      <c r="G3025" s="1">
        <v>4274696</v>
      </c>
      <c r="H3025" s="1">
        <v>1550145</v>
      </c>
      <c r="I3025" s="1">
        <v>0</v>
      </c>
    </row>
    <row r="3026" spans="1:9" ht="23.25">
      <c r="A3026" s="4" t="s">
        <v>41</v>
      </c>
      <c r="B3026" s="4"/>
      <c r="C3026" s="4" t="s">
        <v>54</v>
      </c>
      <c r="D3026" s="4"/>
      <c r="E3026" s="1">
        <v>83819882</v>
      </c>
      <c r="F3026" s="1">
        <v>5393558</v>
      </c>
      <c r="G3026" s="1">
        <v>4524232</v>
      </c>
      <c r="H3026" s="1">
        <v>1111234</v>
      </c>
      <c r="I3026" s="1">
        <v>26593430</v>
      </c>
    </row>
    <row r="3027" spans="1:9" ht="23.25">
      <c r="A3027" s="4" t="s">
        <v>42</v>
      </c>
      <c r="B3027" s="4"/>
      <c r="C3027" s="4" t="s">
        <v>54</v>
      </c>
      <c r="D3027" s="4"/>
      <c r="E3027" s="1">
        <v>44575286</v>
      </c>
      <c r="F3027" s="1">
        <v>1845006</v>
      </c>
      <c r="G3027" s="1">
        <v>2105437</v>
      </c>
      <c r="H3027" s="1">
        <v>456892</v>
      </c>
      <c r="I3027" s="1">
        <v>37433329</v>
      </c>
    </row>
    <row r="3028" spans="1:9" ht="23.25">
      <c r="A3028" s="4" t="s">
        <v>43</v>
      </c>
      <c r="B3028" s="4"/>
      <c r="C3028" s="4" t="s">
        <v>54</v>
      </c>
      <c r="D3028" s="4"/>
      <c r="E3028" s="1">
        <v>4751527</v>
      </c>
      <c r="F3028" s="1">
        <v>113315</v>
      </c>
      <c r="G3028" s="1">
        <v>48559</v>
      </c>
      <c r="H3028" s="1">
        <v>6144</v>
      </c>
      <c r="I3028" s="1">
        <v>3552392</v>
      </c>
    </row>
    <row r="3029" spans="1:9" ht="23.25">
      <c r="A3029" s="4" t="s">
        <v>44</v>
      </c>
      <c r="B3029" s="4"/>
      <c r="C3029" s="4" t="s">
        <v>54</v>
      </c>
      <c r="D3029" s="4"/>
      <c r="E3029" s="1">
        <v>54231039</v>
      </c>
      <c r="F3029" s="1">
        <v>1657301</v>
      </c>
      <c r="G3029" s="1">
        <v>2770308</v>
      </c>
      <c r="H3029" s="1">
        <v>146054</v>
      </c>
      <c r="I3029" s="1">
        <v>34318122</v>
      </c>
    </row>
    <row r="3030" spans="1:9" ht="23.25">
      <c r="A3030" s="4" t="s">
        <v>45</v>
      </c>
      <c r="B3030" s="4"/>
      <c r="C3030" s="4" t="s">
        <v>54</v>
      </c>
      <c r="D3030" s="4"/>
      <c r="E3030" s="1">
        <v>2366132</v>
      </c>
      <c r="F3030" s="1">
        <v>161410</v>
      </c>
      <c r="G3030" s="1">
        <v>0</v>
      </c>
      <c r="H3030" s="1">
        <v>37849</v>
      </c>
      <c r="I3030" s="1">
        <v>766942</v>
      </c>
    </row>
    <row r="3031" spans="1:9" ht="23.25">
      <c r="A3031" s="4" t="s">
        <v>46</v>
      </c>
      <c r="B3031" s="4"/>
      <c r="C3031" s="4" t="s">
        <v>54</v>
      </c>
      <c r="D3031" s="4"/>
      <c r="E3031" s="1">
        <v>44503623</v>
      </c>
      <c r="F3031" s="1">
        <v>2057506</v>
      </c>
      <c r="G3031" s="1">
        <v>2674089</v>
      </c>
      <c r="H3031" s="1">
        <v>191075</v>
      </c>
      <c r="I3031" s="1">
        <v>26746531</v>
      </c>
    </row>
    <row r="3032" spans="1:9" ht="23.25">
      <c r="A3032" s="4" t="s">
        <v>47</v>
      </c>
      <c r="B3032" s="4"/>
      <c r="C3032" s="4" t="s">
        <v>54</v>
      </c>
      <c r="D3032" s="4"/>
      <c r="E3032" s="1">
        <v>1605610</v>
      </c>
      <c r="F3032" s="1">
        <v>0</v>
      </c>
      <c r="G3032" s="1">
        <v>0</v>
      </c>
      <c r="H3032" s="1">
        <v>0</v>
      </c>
      <c r="I3032" s="1">
        <v>0</v>
      </c>
    </row>
    <row r="3033" spans="1:9" ht="23.25">
      <c r="A3033" s="4" t="s">
        <v>48</v>
      </c>
      <c r="B3033" s="4"/>
      <c r="C3033" s="4" t="s">
        <v>54</v>
      </c>
      <c r="D3033" s="4"/>
      <c r="E3033" s="1">
        <v>0</v>
      </c>
      <c r="F3033" s="1">
        <v>0</v>
      </c>
      <c r="G3033" s="1">
        <v>0</v>
      </c>
      <c r="H3033" s="1">
        <v>0</v>
      </c>
      <c r="I3033" s="1">
        <v>0</v>
      </c>
    </row>
    <row r="3034" spans="1:9" ht="23.25">
      <c r="A3034" s="4" t="s">
        <v>49</v>
      </c>
      <c r="B3034" s="4"/>
      <c r="C3034" s="4" t="s">
        <v>54</v>
      </c>
      <c r="D3034" s="4"/>
      <c r="E3034" s="1">
        <v>0</v>
      </c>
      <c r="F3034" s="1">
        <v>0</v>
      </c>
      <c r="G3034" s="1">
        <v>0</v>
      </c>
      <c r="H3034" s="1">
        <v>0</v>
      </c>
      <c r="I3034" s="1">
        <v>0</v>
      </c>
    </row>
    <row r="3035" spans="1:9" ht="23.25">
      <c r="A3035" s="4" t="s">
        <v>50</v>
      </c>
      <c r="B3035" s="4"/>
      <c r="C3035" s="4" t="s">
        <v>54</v>
      </c>
      <c r="D3035" s="4"/>
      <c r="E3035" s="1">
        <v>11483325</v>
      </c>
      <c r="F3035" s="1">
        <v>1411444</v>
      </c>
      <c r="G3035" s="1">
        <v>1865099</v>
      </c>
      <c r="H3035" s="1">
        <v>108819</v>
      </c>
      <c r="I3035" s="1">
        <v>1186318</v>
      </c>
    </row>
    <row r="3036" spans="1:9" ht="23.25">
      <c r="A3036" s="4" t="s">
        <v>51</v>
      </c>
      <c r="B3036" s="4"/>
      <c r="C3036" s="4" t="s">
        <v>54</v>
      </c>
      <c r="D3036" s="4"/>
      <c r="E3036" s="1">
        <v>361820</v>
      </c>
      <c r="F3036" s="1">
        <v>40133</v>
      </c>
      <c r="G3036" s="1">
        <v>62897</v>
      </c>
      <c r="H3036" s="1">
        <v>3042</v>
      </c>
      <c r="I3036" s="1">
        <v>91312</v>
      </c>
    </row>
    <row r="3037" spans="1:9" ht="23.25">
      <c r="A3037" s="4" t="s">
        <v>52</v>
      </c>
      <c r="B3037" s="4"/>
      <c r="C3037" s="4" t="s">
        <v>54</v>
      </c>
      <c r="D3037" s="4"/>
      <c r="E3037" s="1">
        <v>5841657</v>
      </c>
      <c r="F3037" s="1">
        <v>1051</v>
      </c>
      <c r="G3037" s="1">
        <v>1591</v>
      </c>
      <c r="H3037" s="1">
        <v>193</v>
      </c>
      <c r="I3037" s="1">
        <v>0</v>
      </c>
    </row>
    <row r="3038" spans="1:9" ht="23.25">
      <c r="A3038" s="4" t="s">
        <v>53</v>
      </c>
      <c r="B3038" s="4"/>
      <c r="C3038" s="4" t="s">
        <v>54</v>
      </c>
      <c r="D3038" s="4"/>
      <c r="E3038" s="1">
        <v>281073</v>
      </c>
      <c r="F3038" s="1">
        <v>0</v>
      </c>
      <c r="G3038" s="1">
        <v>0</v>
      </c>
      <c r="H3038" s="1">
        <v>0</v>
      </c>
      <c r="I3038" s="1">
        <v>0</v>
      </c>
    </row>
    <row r="3039" spans="1:9" ht="23.25">
      <c r="A3039" s="4" t="s">
        <v>54</v>
      </c>
      <c r="B3039" s="4"/>
      <c r="C3039" s="4" t="s">
        <v>54</v>
      </c>
      <c r="D3039" s="4"/>
      <c r="E3039" s="1">
        <v>173721</v>
      </c>
      <c r="F3039" s="1">
        <v>0</v>
      </c>
      <c r="G3039" s="1">
        <v>0</v>
      </c>
      <c r="H3039" s="1">
        <v>0</v>
      </c>
      <c r="I3039" s="1">
        <v>0</v>
      </c>
    </row>
    <row r="3040" spans="1:9" ht="23.25">
      <c r="A3040" s="4" t="s">
        <v>55</v>
      </c>
      <c r="B3040" s="4"/>
      <c r="C3040" s="4" t="s">
        <v>54</v>
      </c>
      <c r="D3040" s="4"/>
      <c r="E3040" s="1">
        <v>0</v>
      </c>
      <c r="F3040" s="1">
        <v>0</v>
      </c>
      <c r="G3040" s="1">
        <v>0</v>
      </c>
      <c r="H3040" s="1">
        <v>0</v>
      </c>
      <c r="I3040" s="1">
        <v>0</v>
      </c>
    </row>
    <row r="3041" spans="1:9" ht="23.25">
      <c r="A3041" s="4" t="s">
        <v>56</v>
      </c>
      <c r="B3041" s="4"/>
      <c r="C3041" s="4" t="s">
        <v>54</v>
      </c>
      <c r="D3041" s="4"/>
      <c r="E3041" s="1">
        <v>0</v>
      </c>
      <c r="F3041" s="1">
        <v>-22268333</v>
      </c>
      <c r="G3041" s="1">
        <v>-22615526</v>
      </c>
      <c r="H3041" s="1">
        <v>0</v>
      </c>
      <c r="I3041" s="1">
        <v>0</v>
      </c>
    </row>
    <row r="3042" spans="1:9" ht="23.25">
      <c r="A3042" s="4" t="s">
        <v>57</v>
      </c>
      <c r="B3042" s="4"/>
      <c r="C3042" s="4" t="s">
        <v>54</v>
      </c>
      <c r="D3042" s="4"/>
      <c r="E3042" s="1">
        <v>1983099</v>
      </c>
      <c r="F3042" s="1">
        <v>0</v>
      </c>
      <c r="G3042" s="1">
        <v>0</v>
      </c>
      <c r="H3042" s="1">
        <v>0</v>
      </c>
      <c r="I3042" s="1">
        <v>0</v>
      </c>
    </row>
    <row r="3043" spans="1:9" ht="23.25">
      <c r="A3043" s="4" t="s">
        <v>58</v>
      </c>
      <c r="B3043" s="4"/>
      <c r="C3043" s="4" t="s">
        <v>54</v>
      </c>
      <c r="D3043" s="4"/>
      <c r="E3043" s="1">
        <v>16263255</v>
      </c>
      <c r="F3043" s="1">
        <v>0</v>
      </c>
      <c r="G3043" s="1">
        <v>0</v>
      </c>
      <c r="H3043" s="1">
        <v>-7810360</v>
      </c>
      <c r="I3043" s="1">
        <v>0</v>
      </c>
    </row>
    <row r="3044" spans="1:9" ht="23.25">
      <c r="A3044" s="4" t="s">
        <v>59</v>
      </c>
      <c r="B3044" s="4"/>
      <c r="C3044" s="4" t="s">
        <v>54</v>
      </c>
      <c r="D3044" s="4"/>
      <c r="E3044" s="1">
        <v>313231</v>
      </c>
      <c r="F3044" s="1">
        <v>0</v>
      </c>
      <c r="G3044" s="1">
        <v>0</v>
      </c>
      <c r="H3044" s="1">
        <v>0</v>
      </c>
      <c r="I3044" s="1">
        <v>0</v>
      </c>
    </row>
    <row r="3045" spans="1:9" ht="23.25">
      <c r="A3045" s="4" t="s">
        <v>60</v>
      </c>
      <c r="B3045" s="4"/>
      <c r="C3045" s="4" t="s">
        <v>54</v>
      </c>
      <c r="D3045" s="4"/>
      <c r="E3045" s="1">
        <v>9952551</v>
      </c>
      <c r="F3045" s="1">
        <v>0</v>
      </c>
      <c r="G3045" s="1">
        <v>0</v>
      </c>
      <c r="H3045" s="1">
        <v>0</v>
      </c>
      <c r="I3045" s="1">
        <v>0</v>
      </c>
    </row>
    <row r="3046" spans="1:9" ht="23.25">
      <c r="A3046" s="4" t="s">
        <v>61</v>
      </c>
      <c r="B3046" s="4"/>
      <c r="C3046" s="4" t="s">
        <v>54</v>
      </c>
      <c r="D3046" s="4"/>
      <c r="E3046" s="1">
        <v>518289</v>
      </c>
      <c r="F3046" s="1">
        <v>0</v>
      </c>
      <c r="G3046" s="1">
        <v>0</v>
      </c>
      <c r="H3046" s="1">
        <v>0</v>
      </c>
      <c r="I3046" s="1">
        <v>0</v>
      </c>
    </row>
    <row r="3047" spans="1:9" ht="23.25">
      <c r="A3047" s="4" t="s">
        <v>62</v>
      </c>
      <c r="B3047" s="4"/>
      <c r="C3047" s="4" t="s">
        <v>54</v>
      </c>
      <c r="D3047" s="4"/>
      <c r="E3047" s="1">
        <v>28780189</v>
      </c>
      <c r="F3047" s="1">
        <v>0</v>
      </c>
      <c r="G3047" s="1">
        <v>0</v>
      </c>
      <c r="H3047" s="1">
        <v>0</v>
      </c>
      <c r="I3047" s="1">
        <v>0</v>
      </c>
    </row>
    <row r="3048" spans="1:9" ht="23.25">
      <c r="A3048" s="4" t="s">
        <v>63</v>
      </c>
      <c r="B3048" s="4"/>
      <c r="C3048" s="4" t="s">
        <v>54</v>
      </c>
      <c r="D3048" s="4"/>
      <c r="E3048" s="1">
        <v>248032</v>
      </c>
      <c r="F3048" s="1">
        <v>0</v>
      </c>
      <c r="G3048" s="1">
        <v>0</v>
      </c>
      <c r="H3048" s="1">
        <v>0</v>
      </c>
      <c r="I3048" s="1">
        <v>0</v>
      </c>
    </row>
    <row r="3049" spans="1:9" ht="23.25">
      <c r="A3049" s="4" t="s">
        <v>64</v>
      </c>
      <c r="B3049" s="4"/>
      <c r="C3049" s="4" t="s">
        <v>54</v>
      </c>
      <c r="D3049" s="4"/>
      <c r="E3049" s="1">
        <v>509028</v>
      </c>
      <c r="F3049" s="1">
        <v>0</v>
      </c>
      <c r="G3049" s="1">
        <v>0</v>
      </c>
      <c r="H3049" s="1">
        <v>0</v>
      </c>
      <c r="I3049" s="1">
        <v>0</v>
      </c>
    </row>
    <row r="3050" spans="1:9" ht="23.25">
      <c r="A3050" s="4" t="s">
        <v>65</v>
      </c>
      <c r="B3050" s="4"/>
      <c r="C3050" s="4" t="s">
        <v>54</v>
      </c>
      <c r="D3050" s="4"/>
      <c r="E3050" s="1">
        <v>550130</v>
      </c>
      <c r="F3050" s="1">
        <v>0</v>
      </c>
      <c r="G3050" s="1">
        <v>0</v>
      </c>
      <c r="H3050" s="1">
        <v>0</v>
      </c>
      <c r="I3050" s="1">
        <v>61099</v>
      </c>
    </row>
    <row r="3051" spans="1:9" ht="23.25">
      <c r="A3051" s="4" t="s">
        <v>66</v>
      </c>
      <c r="B3051" s="4"/>
      <c r="C3051" s="4" t="s">
        <v>54</v>
      </c>
      <c r="D3051" s="4"/>
      <c r="E3051" s="1">
        <v>473984576</v>
      </c>
      <c r="F3051" s="1">
        <v>0</v>
      </c>
      <c r="G3051" s="1">
        <v>0</v>
      </c>
      <c r="H3051" s="1">
        <v>0</v>
      </c>
      <c r="I3051" s="1">
        <v>146837162</v>
      </c>
    </row>
    <row r="3052" spans="1:9" ht="23.25">
      <c r="A3052" s="4" t="s">
        <v>67</v>
      </c>
      <c r="B3052" s="4"/>
      <c r="C3052" s="4" t="s">
        <v>54</v>
      </c>
      <c r="D3052" s="4"/>
      <c r="E3052" s="1">
        <v>41787909</v>
      </c>
      <c r="F3052" s="1">
        <v>0</v>
      </c>
      <c r="G3052" s="1">
        <v>0</v>
      </c>
      <c r="H3052" s="1">
        <v>0</v>
      </c>
      <c r="I3052" s="1">
        <v>0</v>
      </c>
    </row>
    <row r="3053" spans="1:9" ht="23.25">
      <c r="A3053" s="4" t="s">
        <v>68</v>
      </c>
      <c r="B3053" s="4"/>
      <c r="C3053" s="4" t="s">
        <v>54</v>
      </c>
      <c r="D3053" s="4"/>
      <c r="E3053" s="1">
        <v>53817134</v>
      </c>
      <c r="F3053" s="1">
        <v>0</v>
      </c>
      <c r="G3053" s="1">
        <v>0</v>
      </c>
      <c r="H3053" s="1">
        <v>0</v>
      </c>
      <c r="I3053" s="1">
        <v>0</v>
      </c>
    </row>
    <row r="3054" spans="1:9" ht="23.25">
      <c r="A3054" s="4" t="s">
        <v>69</v>
      </c>
      <c r="B3054" s="4"/>
      <c r="C3054" s="4" t="s">
        <v>54</v>
      </c>
      <c r="D3054" s="4"/>
      <c r="E3054" s="1">
        <v>34180226</v>
      </c>
      <c r="F3054" s="1">
        <v>0</v>
      </c>
      <c r="G3054" s="1">
        <v>0</v>
      </c>
      <c r="H3054" s="1">
        <v>0</v>
      </c>
      <c r="I3054" s="1">
        <v>0</v>
      </c>
    </row>
    <row r="3055" spans="1:9" ht="23.25">
      <c r="A3055" s="4" t="s">
        <v>70</v>
      </c>
      <c r="B3055" s="4"/>
      <c r="C3055" s="4" t="s">
        <v>54</v>
      </c>
      <c r="D3055" s="4"/>
      <c r="E3055" s="1">
        <v>8943455</v>
      </c>
      <c r="F3055" s="1">
        <v>0</v>
      </c>
      <c r="G3055" s="1">
        <v>0</v>
      </c>
      <c r="H3055" s="1">
        <v>0</v>
      </c>
      <c r="I3055" s="1">
        <v>0</v>
      </c>
    </row>
    <row r="3056" spans="1:9" ht="23.25">
      <c r="A3056" s="4" t="s">
        <v>71</v>
      </c>
      <c r="B3056" s="4"/>
      <c r="C3056" s="4" t="s">
        <v>54</v>
      </c>
      <c r="D3056" s="4"/>
      <c r="E3056" s="1">
        <v>138728724</v>
      </c>
      <c r="F3056" s="1">
        <v>0</v>
      </c>
      <c r="G3056" s="1">
        <v>0</v>
      </c>
      <c r="H3056" s="1">
        <v>0</v>
      </c>
      <c r="I3056" s="1">
        <v>0</v>
      </c>
    </row>
    <row r="3057" spans="1:9" ht="23.25">
      <c r="A3057" s="4" t="s">
        <v>72</v>
      </c>
      <c r="B3057" s="4"/>
      <c r="C3057" s="4" t="s">
        <v>54</v>
      </c>
      <c r="D3057" s="4"/>
      <c r="E3057" s="1">
        <v>612713300</v>
      </c>
      <c r="F3057" s="1">
        <v>0</v>
      </c>
      <c r="G3057" s="1">
        <v>0</v>
      </c>
      <c r="H3057" s="1">
        <v>0</v>
      </c>
      <c r="I3057" s="1">
        <v>0</v>
      </c>
    </row>
    <row r="3058" spans="1:9" ht="23.25">
      <c r="A3058" s="4" t="s">
        <v>8</v>
      </c>
      <c r="B3058" s="4"/>
      <c r="C3058" s="4" t="s">
        <v>55</v>
      </c>
      <c r="D3058" s="4"/>
      <c r="E3058" s="1">
        <v>0</v>
      </c>
      <c r="F3058" s="1">
        <v>0</v>
      </c>
      <c r="G3058" s="1">
        <v>0</v>
      </c>
      <c r="H3058" s="1">
        <v>0</v>
      </c>
      <c r="I3058" s="1">
        <v>0</v>
      </c>
    </row>
    <row r="3059" spans="1:9" ht="23.25">
      <c r="A3059" s="4" t="s">
        <v>9</v>
      </c>
      <c r="B3059" s="4"/>
      <c r="C3059" s="4" t="s">
        <v>55</v>
      </c>
      <c r="D3059" s="4"/>
      <c r="E3059" s="1">
        <v>0</v>
      </c>
      <c r="F3059" s="1">
        <v>0</v>
      </c>
      <c r="G3059" s="1">
        <v>0</v>
      </c>
      <c r="H3059" s="1">
        <v>0</v>
      </c>
      <c r="I3059" s="1">
        <v>0</v>
      </c>
    </row>
    <row r="3060" spans="1:9" ht="23.25">
      <c r="A3060" s="4" t="s">
        <v>10</v>
      </c>
      <c r="B3060" s="4"/>
      <c r="C3060" s="4" t="s">
        <v>55</v>
      </c>
      <c r="D3060" s="4"/>
      <c r="E3060" s="1">
        <v>0</v>
      </c>
      <c r="F3060" s="1">
        <v>0</v>
      </c>
      <c r="G3060" s="1">
        <v>0</v>
      </c>
      <c r="H3060" s="1">
        <v>0</v>
      </c>
      <c r="I3060" s="1">
        <v>0</v>
      </c>
    </row>
    <row r="3061" spans="1:9" ht="23.25">
      <c r="A3061" s="4" t="s">
        <v>11</v>
      </c>
      <c r="B3061" s="4"/>
      <c r="C3061" s="4" t="s">
        <v>55</v>
      </c>
      <c r="D3061" s="4"/>
      <c r="E3061" s="1">
        <v>0</v>
      </c>
      <c r="F3061" s="1">
        <v>0</v>
      </c>
      <c r="G3061" s="1">
        <v>0</v>
      </c>
      <c r="H3061" s="1">
        <v>0</v>
      </c>
      <c r="I3061" s="1">
        <v>0</v>
      </c>
    </row>
    <row r="3062" spans="1:9" ht="23.25">
      <c r="A3062" s="4" t="s">
        <v>12</v>
      </c>
      <c r="B3062" s="4"/>
      <c r="C3062" s="4" t="s">
        <v>55</v>
      </c>
      <c r="D3062" s="4"/>
      <c r="E3062" s="1">
        <v>0</v>
      </c>
      <c r="F3062" s="1">
        <v>0</v>
      </c>
      <c r="G3062" s="1">
        <v>0</v>
      </c>
      <c r="H3062" s="1">
        <v>0</v>
      </c>
      <c r="I3062" s="1">
        <v>0</v>
      </c>
    </row>
    <row r="3063" spans="1:9" ht="23.25">
      <c r="A3063" s="4" t="s">
        <v>13</v>
      </c>
      <c r="B3063" s="4"/>
      <c r="C3063" s="4" t="s">
        <v>55</v>
      </c>
      <c r="D3063" s="4"/>
      <c r="E3063" s="1">
        <v>0</v>
      </c>
      <c r="F3063" s="1">
        <v>0</v>
      </c>
      <c r="G3063" s="1">
        <v>0</v>
      </c>
      <c r="H3063" s="1">
        <v>0</v>
      </c>
      <c r="I3063" s="1">
        <v>0</v>
      </c>
    </row>
    <row r="3064" spans="1:9" ht="23.25">
      <c r="A3064" s="4" t="s">
        <v>14</v>
      </c>
      <c r="B3064" s="4"/>
      <c r="C3064" s="4" t="s">
        <v>55</v>
      </c>
      <c r="D3064" s="4"/>
      <c r="E3064" s="1">
        <v>0</v>
      </c>
      <c r="F3064" s="1">
        <v>0</v>
      </c>
      <c r="G3064" s="1">
        <v>0</v>
      </c>
      <c r="H3064" s="1">
        <v>0</v>
      </c>
      <c r="I3064" s="1">
        <v>0</v>
      </c>
    </row>
    <row r="3065" spans="1:9" ht="23.25">
      <c r="A3065" s="4" t="s">
        <v>15</v>
      </c>
      <c r="B3065" s="4"/>
      <c r="C3065" s="4" t="s">
        <v>55</v>
      </c>
      <c r="D3065" s="4"/>
      <c r="E3065" s="1">
        <v>1353797</v>
      </c>
      <c r="F3065" s="1">
        <v>345011</v>
      </c>
      <c r="G3065" s="1">
        <v>0</v>
      </c>
      <c r="H3065" s="1">
        <v>40896</v>
      </c>
      <c r="I3065" s="1">
        <v>188287</v>
      </c>
    </row>
    <row r="3066" spans="1:9" ht="23.25">
      <c r="A3066" s="4" t="s">
        <v>16</v>
      </c>
      <c r="B3066" s="4"/>
      <c r="C3066" s="4" t="s">
        <v>55</v>
      </c>
      <c r="D3066" s="4"/>
      <c r="E3066" s="1">
        <v>0</v>
      </c>
      <c r="F3066" s="1">
        <v>0</v>
      </c>
      <c r="G3066" s="1">
        <v>0</v>
      </c>
      <c r="H3066" s="1">
        <v>0</v>
      </c>
      <c r="I3066" s="1">
        <v>0</v>
      </c>
    </row>
    <row r="3067" spans="1:9" ht="23.25">
      <c r="A3067" s="4" t="s">
        <v>17</v>
      </c>
      <c r="B3067" s="4"/>
      <c r="C3067" s="4" t="s">
        <v>55</v>
      </c>
      <c r="D3067" s="4"/>
      <c r="E3067" s="1">
        <v>359353</v>
      </c>
      <c r="F3067" s="1">
        <v>35588</v>
      </c>
      <c r="G3067" s="1">
        <v>0</v>
      </c>
      <c r="H3067" s="1">
        <v>6917</v>
      </c>
      <c r="I3067" s="1">
        <v>0</v>
      </c>
    </row>
    <row r="3068" spans="1:9" ht="23.25">
      <c r="A3068" s="4" t="s">
        <v>18</v>
      </c>
      <c r="B3068" s="4"/>
      <c r="C3068" s="4" t="s">
        <v>55</v>
      </c>
      <c r="D3068" s="4"/>
      <c r="E3068" s="1">
        <v>0</v>
      </c>
      <c r="F3068" s="1">
        <v>0</v>
      </c>
      <c r="G3068" s="1">
        <v>0</v>
      </c>
      <c r="H3068" s="1">
        <v>0</v>
      </c>
      <c r="I3068" s="1">
        <v>0</v>
      </c>
    </row>
    <row r="3069" spans="1:9" ht="23.25">
      <c r="A3069" s="4" t="s">
        <v>19</v>
      </c>
      <c r="B3069" s="4"/>
      <c r="C3069" s="4" t="s">
        <v>55</v>
      </c>
      <c r="D3069" s="4"/>
      <c r="E3069" s="1">
        <v>0</v>
      </c>
      <c r="F3069" s="1">
        <v>0</v>
      </c>
      <c r="G3069" s="1">
        <v>0</v>
      </c>
      <c r="H3069" s="1">
        <v>0</v>
      </c>
      <c r="I3069" s="1">
        <v>0</v>
      </c>
    </row>
    <row r="3070" spans="1:9" ht="23.25">
      <c r="A3070" s="4" t="s">
        <v>20</v>
      </c>
      <c r="B3070" s="4"/>
      <c r="C3070" s="4" t="s">
        <v>55</v>
      </c>
      <c r="D3070" s="4"/>
      <c r="E3070" s="1">
        <v>0</v>
      </c>
      <c r="F3070" s="1">
        <v>0</v>
      </c>
      <c r="G3070" s="1">
        <v>0</v>
      </c>
      <c r="H3070" s="1">
        <v>0</v>
      </c>
      <c r="I3070" s="1">
        <v>0</v>
      </c>
    </row>
    <row r="3071" spans="1:9" ht="23.25">
      <c r="A3071" s="4" t="s">
        <v>21</v>
      </c>
      <c r="B3071" s="4"/>
      <c r="C3071" s="4" t="s">
        <v>55</v>
      </c>
      <c r="D3071" s="4"/>
      <c r="E3071" s="1">
        <v>68865876</v>
      </c>
      <c r="F3071" s="1">
        <v>3477172</v>
      </c>
      <c r="G3071" s="1">
        <v>762779</v>
      </c>
      <c r="H3071" s="1">
        <v>11495611</v>
      </c>
      <c r="I3071" s="1">
        <v>1004333</v>
      </c>
    </row>
    <row r="3072" spans="1:9" ht="23.25">
      <c r="A3072" s="4" t="s">
        <v>22</v>
      </c>
      <c r="B3072" s="4"/>
      <c r="C3072" s="4" t="s">
        <v>55</v>
      </c>
      <c r="D3072" s="4"/>
      <c r="E3072" s="1">
        <v>0</v>
      </c>
      <c r="F3072" s="1">
        <v>0</v>
      </c>
      <c r="G3072" s="1">
        <v>0</v>
      </c>
      <c r="H3072" s="1">
        <v>0</v>
      </c>
      <c r="I3072" s="1">
        <v>0</v>
      </c>
    </row>
    <row r="3073" spans="1:9" ht="23.25">
      <c r="A3073" s="4" t="s">
        <v>23</v>
      </c>
      <c r="B3073" s="4"/>
      <c r="C3073" s="4" t="s">
        <v>55</v>
      </c>
      <c r="D3073" s="4"/>
      <c r="E3073" s="1">
        <v>0</v>
      </c>
      <c r="F3073" s="1">
        <v>0</v>
      </c>
      <c r="G3073" s="1">
        <v>0</v>
      </c>
      <c r="H3073" s="1">
        <v>0</v>
      </c>
      <c r="I3073" s="1">
        <v>0</v>
      </c>
    </row>
    <row r="3074" spans="1:9" ht="23.25">
      <c r="A3074" s="4" t="s">
        <v>24</v>
      </c>
      <c r="B3074" s="4"/>
      <c r="C3074" s="4" t="s">
        <v>55</v>
      </c>
      <c r="D3074" s="4"/>
      <c r="E3074" s="1">
        <v>0</v>
      </c>
      <c r="F3074" s="1">
        <v>0</v>
      </c>
      <c r="G3074" s="1">
        <v>0</v>
      </c>
      <c r="H3074" s="1">
        <v>0</v>
      </c>
      <c r="I3074" s="1">
        <v>0</v>
      </c>
    </row>
    <row r="3075" spans="1:9" ht="23.25">
      <c r="A3075" s="4" t="s">
        <v>25</v>
      </c>
      <c r="B3075" s="4"/>
      <c r="C3075" s="4" t="s">
        <v>55</v>
      </c>
      <c r="D3075" s="4"/>
      <c r="E3075" s="1">
        <v>0</v>
      </c>
      <c r="F3075" s="1">
        <v>0</v>
      </c>
      <c r="G3075" s="1">
        <v>0</v>
      </c>
      <c r="H3075" s="1">
        <v>0</v>
      </c>
      <c r="I3075" s="1">
        <v>0</v>
      </c>
    </row>
    <row r="3076" spans="1:9" ht="23.25">
      <c r="A3076" s="4" t="s">
        <v>26</v>
      </c>
      <c r="B3076" s="4"/>
      <c r="C3076" s="4" t="s">
        <v>55</v>
      </c>
      <c r="D3076" s="4"/>
      <c r="E3076" s="1">
        <v>0</v>
      </c>
      <c r="F3076" s="1">
        <v>0</v>
      </c>
      <c r="G3076" s="1">
        <v>0</v>
      </c>
      <c r="H3076" s="1">
        <v>0</v>
      </c>
      <c r="I3076" s="1">
        <v>0</v>
      </c>
    </row>
    <row r="3077" spans="1:9" ht="23.25">
      <c r="A3077" s="4" t="s">
        <v>27</v>
      </c>
      <c r="B3077" s="4"/>
      <c r="C3077" s="4" t="s">
        <v>55</v>
      </c>
      <c r="D3077" s="4"/>
      <c r="E3077" s="1">
        <v>0</v>
      </c>
      <c r="F3077" s="1">
        <v>0</v>
      </c>
      <c r="G3077" s="1">
        <v>0</v>
      </c>
      <c r="H3077" s="1">
        <v>0</v>
      </c>
      <c r="I3077" s="1">
        <v>0</v>
      </c>
    </row>
    <row r="3078" spans="1:9" ht="23.25">
      <c r="A3078" s="4" t="s">
        <v>28</v>
      </c>
      <c r="B3078" s="4"/>
      <c r="C3078" s="4" t="s">
        <v>55</v>
      </c>
      <c r="D3078" s="4"/>
      <c r="E3078" s="1">
        <v>0</v>
      </c>
      <c r="F3078" s="1">
        <v>0</v>
      </c>
      <c r="G3078" s="1">
        <v>0</v>
      </c>
      <c r="H3078" s="1">
        <v>0</v>
      </c>
      <c r="I3078" s="1">
        <v>0</v>
      </c>
    </row>
    <row r="3079" spans="1:9" ht="23.25">
      <c r="A3079" s="4" t="s">
        <v>29</v>
      </c>
      <c r="B3079" s="4"/>
      <c r="C3079" s="4" t="s">
        <v>55</v>
      </c>
      <c r="D3079" s="4"/>
      <c r="E3079" s="1">
        <v>0</v>
      </c>
      <c r="F3079" s="1">
        <v>0</v>
      </c>
      <c r="G3079" s="1">
        <v>0</v>
      </c>
      <c r="H3079" s="1">
        <v>0</v>
      </c>
      <c r="I3079" s="1">
        <v>0</v>
      </c>
    </row>
    <row r="3080" spans="1:9" ht="23.25">
      <c r="A3080" s="4" t="s">
        <v>30</v>
      </c>
      <c r="B3080" s="4"/>
      <c r="C3080" s="4" t="s">
        <v>55</v>
      </c>
      <c r="D3080" s="4"/>
      <c r="E3080" s="1">
        <v>0</v>
      </c>
      <c r="F3080" s="1">
        <v>0</v>
      </c>
      <c r="G3080" s="1">
        <v>0</v>
      </c>
      <c r="H3080" s="1">
        <v>0</v>
      </c>
      <c r="I3080" s="1">
        <v>0</v>
      </c>
    </row>
    <row r="3081" spans="1:9" ht="23.25">
      <c r="A3081" s="4" t="s">
        <v>31</v>
      </c>
      <c r="B3081" s="4"/>
      <c r="C3081" s="4" t="s">
        <v>55</v>
      </c>
      <c r="D3081" s="4"/>
      <c r="E3081" s="1">
        <v>0</v>
      </c>
      <c r="F3081" s="1">
        <v>0</v>
      </c>
      <c r="G3081" s="1">
        <v>0</v>
      </c>
      <c r="H3081" s="1">
        <v>0</v>
      </c>
      <c r="I3081" s="1">
        <v>0</v>
      </c>
    </row>
    <row r="3082" spans="1:9" ht="23.25">
      <c r="A3082" s="4" t="s">
        <v>32</v>
      </c>
      <c r="B3082" s="4"/>
      <c r="C3082" s="4" t="s">
        <v>55</v>
      </c>
      <c r="D3082" s="4"/>
      <c r="E3082" s="1">
        <v>211685</v>
      </c>
      <c r="F3082" s="1">
        <v>9570</v>
      </c>
      <c r="G3082" s="1">
        <v>5830</v>
      </c>
      <c r="H3082" s="1">
        <v>1791</v>
      </c>
      <c r="I3082" s="1">
        <v>0</v>
      </c>
    </row>
    <row r="3083" spans="1:9" ht="23.25">
      <c r="A3083" s="4" t="s">
        <v>33</v>
      </c>
      <c r="B3083" s="4"/>
      <c r="C3083" s="4" t="s">
        <v>55</v>
      </c>
      <c r="D3083" s="4"/>
      <c r="E3083" s="1">
        <v>78877</v>
      </c>
      <c r="F3083" s="1">
        <v>4622</v>
      </c>
      <c r="G3083" s="1">
        <v>9991</v>
      </c>
      <c r="H3083" s="1">
        <v>806</v>
      </c>
      <c r="I3083" s="1">
        <v>0</v>
      </c>
    </row>
    <row r="3084" spans="1:9" ht="23.25">
      <c r="A3084" s="4" t="s">
        <v>34</v>
      </c>
      <c r="B3084" s="4"/>
      <c r="C3084" s="4" t="s">
        <v>55</v>
      </c>
      <c r="D3084" s="4"/>
      <c r="E3084" s="1">
        <v>1008551</v>
      </c>
      <c r="F3084" s="1">
        <v>83421</v>
      </c>
      <c r="G3084" s="1">
        <v>35115</v>
      </c>
      <c r="H3084" s="1">
        <v>19406</v>
      </c>
      <c r="I3084" s="1">
        <v>547786</v>
      </c>
    </row>
    <row r="3085" spans="1:9" ht="23.25">
      <c r="A3085" s="4" t="s">
        <v>35</v>
      </c>
      <c r="B3085" s="4"/>
      <c r="C3085" s="4" t="s">
        <v>55</v>
      </c>
      <c r="D3085" s="4"/>
      <c r="E3085" s="1">
        <v>412199</v>
      </c>
      <c r="F3085" s="1">
        <v>51383</v>
      </c>
      <c r="G3085" s="1">
        <v>65203</v>
      </c>
      <c r="H3085" s="1">
        <v>16647</v>
      </c>
      <c r="I3085" s="1">
        <v>0</v>
      </c>
    </row>
    <row r="3086" spans="1:9" ht="23.25">
      <c r="A3086" s="4" t="s">
        <v>36</v>
      </c>
      <c r="B3086" s="4"/>
      <c r="C3086" s="4" t="s">
        <v>55</v>
      </c>
      <c r="D3086" s="4"/>
      <c r="E3086" s="1">
        <v>4049439</v>
      </c>
      <c r="F3086" s="1">
        <v>674897</v>
      </c>
      <c r="G3086" s="1">
        <v>497497</v>
      </c>
      <c r="H3086" s="1">
        <v>45477</v>
      </c>
      <c r="I3086" s="1">
        <v>64437</v>
      </c>
    </row>
    <row r="3087" spans="1:9" ht="23.25">
      <c r="A3087" s="4" t="s">
        <v>37</v>
      </c>
      <c r="B3087" s="4"/>
      <c r="C3087" s="4" t="s">
        <v>55</v>
      </c>
      <c r="D3087" s="4"/>
      <c r="E3087" s="1">
        <v>28920433</v>
      </c>
      <c r="F3087" s="1">
        <v>3338079</v>
      </c>
      <c r="G3087" s="1">
        <v>3410188</v>
      </c>
      <c r="H3087" s="1">
        <v>398522</v>
      </c>
      <c r="I3087" s="1">
        <v>3946634</v>
      </c>
    </row>
    <row r="3088" spans="1:9" ht="23.25">
      <c r="A3088" s="4" t="s">
        <v>38</v>
      </c>
      <c r="B3088" s="4"/>
      <c r="C3088" s="4" t="s">
        <v>55</v>
      </c>
      <c r="D3088" s="4"/>
      <c r="E3088" s="1">
        <v>30603</v>
      </c>
      <c r="F3088" s="1">
        <v>2777</v>
      </c>
      <c r="G3088" s="1">
        <v>2923</v>
      </c>
      <c r="H3088" s="1">
        <v>887</v>
      </c>
      <c r="I3088" s="1">
        <v>0</v>
      </c>
    </row>
    <row r="3089" spans="1:9" ht="23.25">
      <c r="A3089" s="4" t="s">
        <v>39</v>
      </c>
      <c r="B3089" s="4"/>
      <c r="C3089" s="4" t="s">
        <v>55</v>
      </c>
      <c r="D3089" s="4"/>
      <c r="E3089" s="1">
        <v>1505056</v>
      </c>
      <c r="F3089" s="1">
        <v>92104</v>
      </c>
      <c r="G3089" s="1">
        <v>103879</v>
      </c>
      <c r="H3089" s="1">
        <v>11894</v>
      </c>
      <c r="I3089" s="1">
        <v>384657</v>
      </c>
    </row>
    <row r="3090" spans="1:9" ht="23.25">
      <c r="A3090" s="4" t="s">
        <v>40</v>
      </c>
      <c r="B3090" s="4"/>
      <c r="C3090" s="4" t="s">
        <v>55</v>
      </c>
      <c r="D3090" s="4"/>
      <c r="E3090" s="1">
        <v>114196130</v>
      </c>
      <c r="F3090" s="1">
        <v>6709513</v>
      </c>
      <c r="G3090" s="1">
        <v>5806566</v>
      </c>
      <c r="H3090" s="1">
        <v>1713353</v>
      </c>
      <c r="I3090" s="1">
        <v>2043760</v>
      </c>
    </row>
    <row r="3091" spans="1:9" ht="23.25">
      <c r="A3091" s="4" t="s">
        <v>41</v>
      </c>
      <c r="B3091" s="4"/>
      <c r="C3091" s="4" t="s">
        <v>55</v>
      </c>
      <c r="D3091" s="4"/>
      <c r="E3091" s="1">
        <v>11059261</v>
      </c>
      <c r="F3091" s="1">
        <v>474135</v>
      </c>
      <c r="G3091" s="1">
        <v>536409</v>
      </c>
      <c r="H3091" s="1">
        <v>125993</v>
      </c>
      <c r="I3091" s="1">
        <v>3307367</v>
      </c>
    </row>
    <row r="3092" spans="1:9" ht="23.25">
      <c r="A3092" s="4" t="s">
        <v>42</v>
      </c>
      <c r="B3092" s="4"/>
      <c r="C3092" s="4" t="s">
        <v>55</v>
      </c>
      <c r="D3092" s="4"/>
      <c r="E3092" s="1">
        <v>66756222</v>
      </c>
      <c r="F3092" s="1">
        <v>5133953</v>
      </c>
      <c r="G3092" s="1">
        <v>2848795</v>
      </c>
      <c r="H3092" s="1">
        <v>717550</v>
      </c>
      <c r="I3092" s="1">
        <v>52759473</v>
      </c>
    </row>
    <row r="3093" spans="1:9" ht="23.25">
      <c r="A3093" s="4" t="s">
        <v>43</v>
      </c>
      <c r="B3093" s="4"/>
      <c r="C3093" s="4" t="s">
        <v>55</v>
      </c>
      <c r="D3093" s="4"/>
      <c r="E3093" s="1">
        <v>10930074</v>
      </c>
      <c r="F3093" s="1">
        <v>554378</v>
      </c>
      <c r="G3093" s="1">
        <v>238088</v>
      </c>
      <c r="H3093" s="1">
        <v>16319</v>
      </c>
      <c r="I3093" s="1">
        <v>7342050</v>
      </c>
    </row>
    <row r="3094" spans="1:9" ht="23.25">
      <c r="A3094" s="4" t="s">
        <v>44</v>
      </c>
      <c r="B3094" s="4"/>
      <c r="C3094" s="4" t="s">
        <v>55</v>
      </c>
      <c r="D3094" s="4"/>
      <c r="E3094" s="1">
        <v>22975086</v>
      </c>
      <c r="F3094" s="1">
        <v>376375</v>
      </c>
      <c r="G3094" s="1">
        <v>710715</v>
      </c>
      <c r="H3094" s="1">
        <v>60501</v>
      </c>
      <c r="I3094" s="1">
        <v>17547174</v>
      </c>
    </row>
    <row r="3095" spans="1:9" ht="23.25">
      <c r="A3095" s="4" t="s">
        <v>45</v>
      </c>
      <c r="B3095" s="4"/>
      <c r="C3095" s="4" t="s">
        <v>55</v>
      </c>
      <c r="D3095" s="4"/>
      <c r="E3095" s="1">
        <v>6585453</v>
      </c>
      <c r="F3095" s="1">
        <v>279305</v>
      </c>
      <c r="G3095" s="1">
        <v>0</v>
      </c>
      <c r="H3095" s="1">
        <v>70950</v>
      </c>
      <c r="I3095" s="1">
        <v>3183482</v>
      </c>
    </row>
    <row r="3096" spans="1:9" ht="23.25">
      <c r="A3096" s="4" t="s">
        <v>46</v>
      </c>
      <c r="B3096" s="4"/>
      <c r="C3096" s="4" t="s">
        <v>55</v>
      </c>
      <c r="D3096" s="4"/>
      <c r="E3096" s="1">
        <v>43917782</v>
      </c>
      <c r="F3096" s="1">
        <v>2620071</v>
      </c>
      <c r="G3096" s="1">
        <v>2526457</v>
      </c>
      <c r="H3096" s="1">
        <v>213310</v>
      </c>
      <c r="I3096" s="1">
        <v>22900874</v>
      </c>
    </row>
    <row r="3097" spans="1:9" ht="23.25">
      <c r="A3097" s="4" t="s">
        <v>47</v>
      </c>
      <c r="B3097" s="4"/>
      <c r="C3097" s="4" t="s">
        <v>55</v>
      </c>
      <c r="D3097" s="4"/>
      <c r="E3097" s="1">
        <v>3061678</v>
      </c>
      <c r="F3097" s="1">
        <v>0</v>
      </c>
      <c r="G3097" s="1">
        <v>0</v>
      </c>
      <c r="H3097" s="1">
        <v>0</v>
      </c>
      <c r="I3097" s="1">
        <v>0</v>
      </c>
    </row>
    <row r="3098" spans="1:9" ht="23.25">
      <c r="A3098" s="4" t="s">
        <v>48</v>
      </c>
      <c r="B3098" s="4"/>
      <c r="C3098" s="4" t="s">
        <v>55</v>
      </c>
      <c r="D3098" s="4"/>
      <c r="E3098" s="1">
        <v>0</v>
      </c>
      <c r="F3098" s="1">
        <v>0</v>
      </c>
      <c r="G3098" s="1">
        <v>0</v>
      </c>
      <c r="H3098" s="1">
        <v>0</v>
      </c>
      <c r="I3098" s="1">
        <v>0</v>
      </c>
    </row>
    <row r="3099" spans="1:9" ht="23.25">
      <c r="A3099" s="4" t="s">
        <v>49</v>
      </c>
      <c r="B3099" s="4"/>
      <c r="C3099" s="4" t="s">
        <v>55</v>
      </c>
      <c r="D3099" s="4"/>
      <c r="E3099" s="1">
        <v>0</v>
      </c>
      <c r="F3099" s="1">
        <v>0</v>
      </c>
      <c r="G3099" s="1">
        <v>0</v>
      </c>
      <c r="H3099" s="1">
        <v>0</v>
      </c>
      <c r="I3099" s="1">
        <v>0</v>
      </c>
    </row>
    <row r="3100" spans="1:9" ht="23.25">
      <c r="A3100" s="4" t="s">
        <v>50</v>
      </c>
      <c r="B3100" s="4"/>
      <c r="C3100" s="4" t="s">
        <v>55</v>
      </c>
      <c r="D3100" s="4"/>
      <c r="E3100" s="1">
        <v>5979014</v>
      </c>
      <c r="F3100" s="1">
        <v>1061553</v>
      </c>
      <c r="G3100" s="1">
        <v>1065335</v>
      </c>
      <c r="H3100" s="1">
        <v>60461</v>
      </c>
      <c r="I3100" s="1">
        <v>0</v>
      </c>
    </row>
    <row r="3101" spans="1:9" ht="23.25">
      <c r="A3101" s="4" t="s">
        <v>51</v>
      </c>
      <c r="B3101" s="4"/>
      <c r="C3101" s="4" t="s">
        <v>55</v>
      </c>
      <c r="D3101" s="4"/>
      <c r="E3101" s="1">
        <v>1608341</v>
      </c>
      <c r="F3101" s="1">
        <v>160411</v>
      </c>
      <c r="G3101" s="1">
        <v>194824</v>
      </c>
      <c r="H3101" s="1">
        <v>19464</v>
      </c>
      <c r="I3101" s="1">
        <v>21508</v>
      </c>
    </row>
    <row r="3102" spans="1:9" ht="23.25">
      <c r="A3102" s="4" t="s">
        <v>52</v>
      </c>
      <c r="B3102" s="4"/>
      <c r="C3102" s="4" t="s">
        <v>55</v>
      </c>
      <c r="D3102" s="4"/>
      <c r="E3102" s="1">
        <v>953730</v>
      </c>
      <c r="F3102" s="1">
        <v>902</v>
      </c>
      <c r="G3102" s="1">
        <v>1414</v>
      </c>
      <c r="H3102" s="1">
        <v>168</v>
      </c>
      <c r="I3102" s="1">
        <v>0</v>
      </c>
    </row>
    <row r="3103" spans="1:9" ht="23.25">
      <c r="A3103" s="4" t="s">
        <v>53</v>
      </c>
      <c r="B3103" s="4"/>
      <c r="C3103" s="4" t="s">
        <v>55</v>
      </c>
      <c r="D3103" s="4"/>
      <c r="E3103" s="1">
        <v>59024</v>
      </c>
      <c r="F3103" s="1">
        <v>0</v>
      </c>
      <c r="G3103" s="1">
        <v>0</v>
      </c>
      <c r="H3103" s="1">
        <v>0</v>
      </c>
      <c r="I3103" s="1">
        <v>0</v>
      </c>
    </row>
    <row r="3104" spans="1:9" ht="23.25">
      <c r="A3104" s="4" t="s">
        <v>54</v>
      </c>
      <c r="B3104" s="4"/>
      <c r="C3104" s="4" t="s">
        <v>55</v>
      </c>
      <c r="D3104" s="4"/>
      <c r="E3104" s="1">
        <v>234655</v>
      </c>
      <c r="F3104" s="1">
        <v>0</v>
      </c>
      <c r="G3104" s="1">
        <v>0</v>
      </c>
      <c r="H3104" s="1">
        <v>0</v>
      </c>
      <c r="I3104" s="1">
        <v>0</v>
      </c>
    </row>
    <row r="3105" spans="1:9" ht="23.25">
      <c r="A3105" s="4" t="s">
        <v>55</v>
      </c>
      <c r="B3105" s="4"/>
      <c r="C3105" s="4" t="s">
        <v>55</v>
      </c>
      <c r="D3105" s="4"/>
      <c r="E3105" s="1">
        <v>0</v>
      </c>
      <c r="F3105" s="1">
        <v>0</v>
      </c>
      <c r="G3105" s="1">
        <v>0</v>
      </c>
      <c r="H3105" s="1">
        <v>0</v>
      </c>
      <c r="I3105" s="1">
        <v>0</v>
      </c>
    </row>
    <row r="3106" spans="1:9" ht="23.25">
      <c r="A3106" s="4" t="s">
        <v>56</v>
      </c>
      <c r="B3106" s="4"/>
      <c r="C3106" s="4" t="s">
        <v>55</v>
      </c>
      <c r="D3106" s="4"/>
      <c r="E3106" s="1">
        <v>0</v>
      </c>
      <c r="F3106" s="1">
        <v>-25485220</v>
      </c>
      <c r="G3106" s="1">
        <v>-18822008</v>
      </c>
      <c r="H3106" s="1">
        <v>0</v>
      </c>
      <c r="I3106" s="1">
        <v>0</v>
      </c>
    </row>
    <row r="3107" spans="1:9" ht="23.25">
      <c r="A3107" s="4" t="s">
        <v>57</v>
      </c>
      <c r="B3107" s="4"/>
      <c r="C3107" s="4" t="s">
        <v>55</v>
      </c>
      <c r="D3107" s="4"/>
      <c r="E3107" s="1">
        <v>2020220</v>
      </c>
      <c r="F3107" s="1">
        <v>0</v>
      </c>
      <c r="G3107" s="1">
        <v>0</v>
      </c>
      <c r="H3107" s="1">
        <v>0</v>
      </c>
      <c r="I3107" s="1">
        <v>0</v>
      </c>
    </row>
    <row r="3108" spans="1:9" ht="23.25">
      <c r="A3108" s="4" t="s">
        <v>58</v>
      </c>
      <c r="B3108" s="4"/>
      <c r="C3108" s="4" t="s">
        <v>55</v>
      </c>
      <c r="D3108" s="4"/>
      <c r="E3108" s="1">
        <v>31982932</v>
      </c>
      <c r="F3108" s="1">
        <v>0</v>
      </c>
      <c r="G3108" s="1">
        <v>0</v>
      </c>
      <c r="H3108" s="1">
        <v>-15036923</v>
      </c>
      <c r="I3108" s="1">
        <v>0</v>
      </c>
    </row>
    <row r="3109" spans="1:9" ht="23.25">
      <c r="A3109" s="4" t="s">
        <v>59</v>
      </c>
      <c r="B3109" s="4"/>
      <c r="C3109" s="4" t="s">
        <v>55</v>
      </c>
      <c r="D3109" s="4"/>
      <c r="E3109" s="1">
        <v>341899</v>
      </c>
      <c r="F3109" s="1">
        <v>0</v>
      </c>
      <c r="G3109" s="1">
        <v>0</v>
      </c>
      <c r="H3109" s="1">
        <v>0</v>
      </c>
      <c r="I3109" s="1">
        <v>0</v>
      </c>
    </row>
    <row r="3110" spans="1:9" ht="23.25">
      <c r="A3110" s="4" t="s">
        <v>60</v>
      </c>
      <c r="B3110" s="4"/>
      <c r="C3110" s="4" t="s">
        <v>55</v>
      </c>
      <c r="D3110" s="4"/>
      <c r="E3110" s="1">
        <v>12583890</v>
      </c>
      <c r="F3110" s="1">
        <v>0</v>
      </c>
      <c r="G3110" s="1">
        <v>0</v>
      </c>
      <c r="H3110" s="1">
        <v>0</v>
      </c>
      <c r="I3110" s="1">
        <v>0</v>
      </c>
    </row>
    <row r="3111" spans="1:9" ht="23.25">
      <c r="A3111" s="4" t="s">
        <v>61</v>
      </c>
      <c r="B3111" s="4"/>
      <c r="C3111" s="4" t="s">
        <v>55</v>
      </c>
      <c r="D3111" s="4"/>
      <c r="E3111" s="1">
        <v>262562</v>
      </c>
      <c r="F3111" s="1">
        <v>0</v>
      </c>
      <c r="G3111" s="1">
        <v>0</v>
      </c>
      <c r="H3111" s="1">
        <v>0</v>
      </c>
      <c r="I3111" s="1">
        <v>0</v>
      </c>
    </row>
    <row r="3112" spans="1:9" ht="23.25">
      <c r="A3112" s="4" t="s">
        <v>62</v>
      </c>
      <c r="B3112" s="4"/>
      <c r="C3112" s="4" t="s">
        <v>55</v>
      </c>
      <c r="D3112" s="4"/>
      <c r="E3112" s="1">
        <v>26881004</v>
      </c>
      <c r="F3112" s="1">
        <v>0</v>
      </c>
      <c r="G3112" s="1">
        <v>0</v>
      </c>
      <c r="H3112" s="1">
        <v>0</v>
      </c>
      <c r="I3112" s="1">
        <v>0</v>
      </c>
    </row>
    <row r="3113" spans="1:9" ht="23.25">
      <c r="A3113" s="4" t="s">
        <v>63</v>
      </c>
      <c r="B3113" s="4"/>
      <c r="C3113" s="4" t="s">
        <v>55</v>
      </c>
      <c r="D3113" s="4"/>
      <c r="E3113" s="1">
        <v>99671</v>
      </c>
      <c r="F3113" s="1">
        <v>0</v>
      </c>
      <c r="G3113" s="1">
        <v>0</v>
      </c>
      <c r="H3113" s="1">
        <v>0</v>
      </c>
      <c r="I3113" s="1">
        <v>0</v>
      </c>
    </row>
    <row r="3114" spans="1:9" ht="23.25">
      <c r="A3114" s="4" t="s">
        <v>64</v>
      </c>
      <c r="B3114" s="4"/>
      <c r="C3114" s="4" t="s">
        <v>55</v>
      </c>
      <c r="D3114" s="4"/>
      <c r="E3114" s="1">
        <v>246268</v>
      </c>
      <c r="F3114" s="1">
        <v>0</v>
      </c>
      <c r="G3114" s="1">
        <v>0</v>
      </c>
      <c r="H3114" s="1">
        <v>0</v>
      </c>
      <c r="I3114" s="1">
        <v>0</v>
      </c>
    </row>
    <row r="3115" spans="1:9" ht="23.25">
      <c r="A3115" s="4" t="s">
        <v>65</v>
      </c>
      <c r="B3115" s="4"/>
      <c r="C3115" s="4" t="s">
        <v>55</v>
      </c>
      <c r="D3115" s="4"/>
      <c r="E3115" s="1">
        <v>1740717</v>
      </c>
      <c r="F3115" s="1">
        <v>0</v>
      </c>
      <c r="G3115" s="1">
        <v>0</v>
      </c>
      <c r="H3115" s="1">
        <v>0</v>
      </c>
      <c r="I3115" s="1">
        <v>176672</v>
      </c>
    </row>
    <row r="3116" spans="1:9" ht="23.25">
      <c r="A3116" s="4" t="s">
        <v>66</v>
      </c>
      <c r="B3116" s="4"/>
      <c r="C3116" s="4" t="s">
        <v>55</v>
      </c>
      <c r="D3116" s="4"/>
      <c r="E3116" s="1">
        <v>471271482</v>
      </c>
      <c r="F3116" s="1">
        <v>0</v>
      </c>
      <c r="G3116" s="1">
        <v>0</v>
      </c>
      <c r="H3116" s="1">
        <v>0</v>
      </c>
      <c r="I3116" s="1">
        <v>115418494</v>
      </c>
    </row>
    <row r="3117" spans="1:9" ht="23.25">
      <c r="A3117" s="4" t="s">
        <v>67</v>
      </c>
      <c r="B3117" s="4"/>
      <c r="C3117" s="4" t="s">
        <v>55</v>
      </c>
      <c r="D3117" s="4"/>
      <c r="E3117" s="1">
        <v>92574143</v>
      </c>
      <c r="F3117" s="1">
        <v>0</v>
      </c>
      <c r="G3117" s="1">
        <v>0</v>
      </c>
      <c r="H3117" s="1">
        <v>0</v>
      </c>
      <c r="I3117" s="1">
        <v>0</v>
      </c>
    </row>
    <row r="3118" spans="1:9" ht="23.25">
      <c r="A3118" s="4" t="s">
        <v>68</v>
      </c>
      <c r="B3118" s="4"/>
      <c r="C3118" s="4" t="s">
        <v>55</v>
      </c>
      <c r="D3118" s="4"/>
      <c r="E3118" s="1">
        <v>117461623</v>
      </c>
      <c r="F3118" s="1">
        <v>0</v>
      </c>
      <c r="G3118" s="1">
        <v>0</v>
      </c>
      <c r="H3118" s="1">
        <v>0</v>
      </c>
      <c r="I3118" s="1">
        <v>0</v>
      </c>
    </row>
    <row r="3119" spans="1:9" ht="23.25">
      <c r="A3119" s="4" t="s">
        <v>69</v>
      </c>
      <c r="B3119" s="4"/>
      <c r="C3119" s="4" t="s">
        <v>55</v>
      </c>
      <c r="D3119" s="4"/>
      <c r="E3119" s="1">
        <v>65629867</v>
      </c>
      <c r="F3119" s="1">
        <v>0</v>
      </c>
      <c r="G3119" s="1">
        <v>0</v>
      </c>
      <c r="H3119" s="1">
        <v>0</v>
      </c>
      <c r="I3119" s="1">
        <v>0</v>
      </c>
    </row>
    <row r="3120" spans="1:9" ht="23.25">
      <c r="A3120" s="4" t="s">
        <v>70</v>
      </c>
      <c r="B3120" s="4"/>
      <c r="C3120" s="4" t="s">
        <v>55</v>
      </c>
      <c r="D3120" s="4"/>
      <c r="E3120" s="1">
        <v>11176160</v>
      </c>
      <c r="F3120" s="1">
        <v>0</v>
      </c>
      <c r="G3120" s="1">
        <v>0</v>
      </c>
      <c r="H3120" s="1">
        <v>0</v>
      </c>
      <c r="I3120" s="1">
        <v>0</v>
      </c>
    </row>
    <row r="3121" spans="1:9" ht="23.25">
      <c r="A3121" s="4" t="s">
        <v>71</v>
      </c>
      <c r="B3121" s="4"/>
      <c r="C3121" s="4" t="s">
        <v>55</v>
      </c>
      <c r="D3121" s="4"/>
      <c r="E3121" s="1">
        <v>286841793</v>
      </c>
      <c r="F3121" s="1">
        <v>0</v>
      </c>
      <c r="G3121" s="1">
        <v>0</v>
      </c>
      <c r="H3121" s="1">
        <v>0</v>
      </c>
      <c r="I3121" s="1">
        <v>0</v>
      </c>
    </row>
    <row r="3122" spans="1:9" ht="23.25">
      <c r="A3122" s="4" t="s">
        <v>72</v>
      </c>
      <c r="B3122" s="4"/>
      <c r="C3122" s="4" t="s">
        <v>55</v>
      </c>
      <c r="D3122" s="4"/>
      <c r="E3122" s="1">
        <v>758113275</v>
      </c>
      <c r="F3122" s="1">
        <v>0</v>
      </c>
      <c r="G3122" s="1">
        <v>0</v>
      </c>
      <c r="H3122" s="1">
        <v>0</v>
      </c>
      <c r="I3122" s="1">
        <v>0</v>
      </c>
    </row>
    <row r="3123" spans="1:9" ht="23.25">
      <c r="A3123" s="4" t="s">
        <v>8</v>
      </c>
      <c r="B3123" s="4"/>
      <c r="C3123" s="4" t="s">
        <v>56</v>
      </c>
      <c r="D3123" s="4"/>
      <c r="E3123" s="1">
        <v>0</v>
      </c>
      <c r="F3123" s="1">
        <v>0</v>
      </c>
      <c r="G3123" s="1">
        <v>0</v>
      </c>
      <c r="H3123" s="1">
        <v>0</v>
      </c>
      <c r="I3123" s="1">
        <v>0</v>
      </c>
    </row>
    <row r="3124" spans="1:9" ht="23.25">
      <c r="A3124" s="4" t="s">
        <v>9</v>
      </c>
      <c r="B3124" s="4"/>
      <c r="C3124" s="4" t="s">
        <v>56</v>
      </c>
      <c r="D3124" s="4"/>
      <c r="E3124" s="1">
        <v>0</v>
      </c>
      <c r="F3124" s="1">
        <v>0</v>
      </c>
      <c r="G3124" s="1">
        <v>0</v>
      </c>
      <c r="H3124" s="1">
        <v>0</v>
      </c>
      <c r="I3124" s="1">
        <v>0</v>
      </c>
    </row>
    <row r="3125" spans="1:9" ht="23.25">
      <c r="A3125" s="4" t="s">
        <v>10</v>
      </c>
      <c r="B3125" s="4"/>
      <c r="C3125" s="4" t="s">
        <v>56</v>
      </c>
      <c r="D3125" s="4"/>
      <c r="E3125" s="1">
        <v>0</v>
      </c>
      <c r="F3125" s="1">
        <v>0</v>
      </c>
      <c r="G3125" s="1">
        <v>0</v>
      </c>
      <c r="H3125" s="1">
        <v>0</v>
      </c>
      <c r="I3125" s="1">
        <v>0</v>
      </c>
    </row>
    <row r="3126" spans="1:9" ht="23.25">
      <c r="A3126" s="4" t="s">
        <v>11</v>
      </c>
      <c r="B3126" s="4"/>
      <c r="C3126" s="4" t="s">
        <v>56</v>
      </c>
      <c r="D3126" s="4"/>
      <c r="E3126" s="1">
        <v>0</v>
      </c>
      <c r="F3126" s="1">
        <v>0</v>
      </c>
      <c r="G3126" s="1">
        <v>0</v>
      </c>
      <c r="H3126" s="1">
        <v>0</v>
      </c>
      <c r="I3126" s="1">
        <v>0</v>
      </c>
    </row>
    <row r="3127" spans="1:9" ht="23.25">
      <c r="A3127" s="4" t="s">
        <v>12</v>
      </c>
      <c r="B3127" s="4"/>
      <c r="C3127" s="4" t="s">
        <v>56</v>
      </c>
      <c r="D3127" s="4"/>
      <c r="E3127" s="1">
        <v>0</v>
      </c>
      <c r="F3127" s="1">
        <v>0</v>
      </c>
      <c r="G3127" s="1">
        <v>0</v>
      </c>
      <c r="H3127" s="1">
        <v>0</v>
      </c>
      <c r="I3127" s="1">
        <v>0</v>
      </c>
    </row>
    <row r="3128" spans="1:9" ht="23.25">
      <c r="A3128" s="4" t="s">
        <v>13</v>
      </c>
      <c r="B3128" s="4"/>
      <c r="C3128" s="4" t="s">
        <v>56</v>
      </c>
      <c r="D3128" s="4"/>
      <c r="E3128" s="1">
        <v>0</v>
      </c>
      <c r="F3128" s="1">
        <v>0</v>
      </c>
      <c r="G3128" s="1">
        <v>0</v>
      </c>
      <c r="H3128" s="1">
        <v>0</v>
      </c>
      <c r="I3128" s="1">
        <v>0</v>
      </c>
    </row>
    <row r="3129" spans="1:9" ht="23.25">
      <c r="A3129" s="4" t="s">
        <v>14</v>
      </c>
      <c r="B3129" s="4"/>
      <c r="C3129" s="4" t="s">
        <v>56</v>
      </c>
      <c r="D3129" s="4"/>
      <c r="E3129" s="1">
        <v>0</v>
      </c>
      <c r="F3129" s="1">
        <v>0</v>
      </c>
      <c r="G3129" s="1">
        <v>0</v>
      </c>
      <c r="H3129" s="1">
        <v>0</v>
      </c>
      <c r="I3129" s="1">
        <v>0</v>
      </c>
    </row>
    <row r="3130" spans="1:9" ht="23.25">
      <c r="A3130" s="4" t="s">
        <v>15</v>
      </c>
      <c r="B3130" s="4"/>
      <c r="C3130" s="4" t="s">
        <v>56</v>
      </c>
      <c r="D3130" s="4"/>
      <c r="E3130" s="1">
        <v>0</v>
      </c>
      <c r="F3130" s="1">
        <v>0</v>
      </c>
      <c r="G3130" s="1">
        <v>0</v>
      </c>
      <c r="H3130" s="1">
        <v>0</v>
      </c>
      <c r="I3130" s="1">
        <v>0</v>
      </c>
    </row>
    <row r="3131" spans="1:9" ht="23.25">
      <c r="A3131" s="4" t="s">
        <v>16</v>
      </c>
      <c r="B3131" s="4"/>
      <c r="C3131" s="4" t="s">
        <v>56</v>
      </c>
      <c r="D3131" s="4"/>
      <c r="E3131" s="1">
        <v>0</v>
      </c>
      <c r="F3131" s="1">
        <v>0</v>
      </c>
      <c r="G3131" s="1">
        <v>0</v>
      </c>
      <c r="H3131" s="1">
        <v>0</v>
      </c>
      <c r="I3131" s="1">
        <v>0</v>
      </c>
    </row>
    <row r="3132" spans="1:9" ht="23.25">
      <c r="A3132" s="4" t="s">
        <v>17</v>
      </c>
      <c r="B3132" s="4"/>
      <c r="C3132" s="4" t="s">
        <v>56</v>
      </c>
      <c r="D3132" s="4"/>
      <c r="E3132" s="1">
        <v>0</v>
      </c>
      <c r="F3132" s="1">
        <v>0</v>
      </c>
      <c r="G3132" s="1">
        <v>0</v>
      </c>
      <c r="H3132" s="1">
        <v>0</v>
      </c>
      <c r="I3132" s="1">
        <v>0</v>
      </c>
    </row>
    <row r="3133" spans="1:9" ht="23.25">
      <c r="A3133" s="4" t="s">
        <v>18</v>
      </c>
      <c r="B3133" s="4"/>
      <c r="C3133" s="4" t="s">
        <v>56</v>
      </c>
      <c r="D3133" s="4"/>
      <c r="E3133" s="1">
        <v>0</v>
      </c>
      <c r="F3133" s="1">
        <v>0</v>
      </c>
      <c r="G3133" s="1">
        <v>0</v>
      </c>
      <c r="H3133" s="1">
        <v>0</v>
      </c>
      <c r="I3133" s="1">
        <v>0</v>
      </c>
    </row>
    <row r="3134" spans="1:9" ht="23.25">
      <c r="A3134" s="4" t="s">
        <v>19</v>
      </c>
      <c r="B3134" s="4"/>
      <c r="C3134" s="4" t="s">
        <v>56</v>
      </c>
      <c r="D3134" s="4"/>
      <c r="E3134" s="1">
        <v>0</v>
      </c>
      <c r="F3134" s="1">
        <v>0</v>
      </c>
      <c r="G3134" s="1">
        <v>0</v>
      </c>
      <c r="H3134" s="1">
        <v>0</v>
      </c>
      <c r="I3134" s="1">
        <v>0</v>
      </c>
    </row>
    <row r="3135" spans="1:9" ht="23.25">
      <c r="A3135" s="4" t="s">
        <v>20</v>
      </c>
      <c r="B3135" s="4"/>
      <c r="C3135" s="4" t="s">
        <v>56</v>
      </c>
      <c r="D3135" s="4"/>
      <c r="E3135" s="1">
        <v>0</v>
      </c>
      <c r="F3135" s="1">
        <v>0</v>
      </c>
      <c r="G3135" s="1">
        <v>0</v>
      </c>
      <c r="H3135" s="1">
        <v>0</v>
      </c>
      <c r="I3135" s="1">
        <v>0</v>
      </c>
    </row>
    <row r="3136" spans="1:9" ht="23.25">
      <c r="A3136" s="4" t="s">
        <v>21</v>
      </c>
      <c r="B3136" s="4"/>
      <c r="C3136" s="4" t="s">
        <v>56</v>
      </c>
      <c r="D3136" s="4"/>
      <c r="E3136" s="1">
        <v>0</v>
      </c>
      <c r="F3136" s="1">
        <v>0</v>
      </c>
      <c r="G3136" s="1">
        <v>0</v>
      </c>
      <c r="H3136" s="1">
        <v>0</v>
      </c>
      <c r="I3136" s="1">
        <v>0</v>
      </c>
    </row>
    <row r="3137" spans="1:9" ht="23.25">
      <c r="A3137" s="4" t="s">
        <v>22</v>
      </c>
      <c r="B3137" s="4"/>
      <c r="C3137" s="4" t="s">
        <v>56</v>
      </c>
      <c r="D3137" s="4"/>
      <c r="E3137" s="1">
        <v>0</v>
      </c>
      <c r="F3137" s="1">
        <v>0</v>
      </c>
      <c r="G3137" s="1">
        <v>0</v>
      </c>
      <c r="H3137" s="1">
        <v>0</v>
      </c>
      <c r="I3137" s="1">
        <v>0</v>
      </c>
    </row>
    <row r="3138" spans="1:9" ht="23.25">
      <c r="A3138" s="4" t="s">
        <v>23</v>
      </c>
      <c r="B3138" s="4"/>
      <c r="C3138" s="4" t="s">
        <v>56</v>
      </c>
      <c r="D3138" s="4"/>
      <c r="E3138" s="1">
        <v>0</v>
      </c>
      <c r="F3138" s="1">
        <v>0</v>
      </c>
      <c r="G3138" s="1">
        <v>0</v>
      </c>
      <c r="H3138" s="1">
        <v>0</v>
      </c>
      <c r="I3138" s="1">
        <v>0</v>
      </c>
    </row>
    <row r="3139" spans="1:9" ht="23.25">
      <c r="A3139" s="4" t="s">
        <v>24</v>
      </c>
      <c r="B3139" s="4"/>
      <c r="C3139" s="4" t="s">
        <v>56</v>
      </c>
      <c r="D3139" s="4"/>
      <c r="E3139" s="1">
        <v>0</v>
      </c>
      <c r="F3139" s="1">
        <v>0</v>
      </c>
      <c r="G3139" s="1">
        <v>0</v>
      </c>
      <c r="H3139" s="1">
        <v>0</v>
      </c>
      <c r="I3139" s="1">
        <v>0</v>
      </c>
    </row>
    <row r="3140" spans="1:9" ht="23.25">
      <c r="A3140" s="4" t="s">
        <v>25</v>
      </c>
      <c r="B3140" s="4"/>
      <c r="C3140" s="4" t="s">
        <v>56</v>
      </c>
      <c r="D3140" s="4"/>
      <c r="E3140" s="1">
        <v>0</v>
      </c>
      <c r="F3140" s="1">
        <v>0</v>
      </c>
      <c r="G3140" s="1">
        <v>0</v>
      </c>
      <c r="H3140" s="1">
        <v>0</v>
      </c>
      <c r="I3140" s="1">
        <v>0</v>
      </c>
    </row>
    <row r="3141" spans="1:9" ht="23.25">
      <c r="A3141" s="4" t="s">
        <v>26</v>
      </c>
      <c r="B3141" s="4"/>
      <c r="C3141" s="4" t="s">
        <v>56</v>
      </c>
      <c r="D3141" s="4"/>
      <c r="E3141" s="1">
        <v>1393036</v>
      </c>
      <c r="F3141" s="1">
        <v>124686</v>
      </c>
      <c r="G3141" s="1">
        <v>97142</v>
      </c>
      <c r="H3141" s="1">
        <v>31688</v>
      </c>
      <c r="I3141" s="1">
        <v>0</v>
      </c>
    </row>
    <row r="3142" spans="1:9" ht="23.25">
      <c r="A3142" s="4" t="s">
        <v>27</v>
      </c>
      <c r="B3142" s="4"/>
      <c r="C3142" s="4" t="s">
        <v>56</v>
      </c>
      <c r="D3142" s="4"/>
      <c r="E3142" s="1">
        <v>0</v>
      </c>
      <c r="F3142" s="1">
        <v>0</v>
      </c>
      <c r="G3142" s="1">
        <v>0</v>
      </c>
      <c r="H3142" s="1">
        <v>0</v>
      </c>
      <c r="I3142" s="1">
        <v>0</v>
      </c>
    </row>
    <row r="3143" spans="1:9" ht="23.25">
      <c r="A3143" s="4" t="s">
        <v>28</v>
      </c>
      <c r="B3143" s="4"/>
      <c r="C3143" s="4" t="s">
        <v>56</v>
      </c>
      <c r="D3143" s="4"/>
      <c r="E3143" s="1">
        <v>1130237</v>
      </c>
      <c r="F3143" s="1">
        <v>94481</v>
      </c>
      <c r="G3143" s="1">
        <v>228433</v>
      </c>
      <c r="H3143" s="1">
        <v>29631</v>
      </c>
      <c r="I3143" s="1">
        <v>0</v>
      </c>
    </row>
    <row r="3144" spans="1:9" ht="23.25">
      <c r="A3144" s="4" t="s">
        <v>29</v>
      </c>
      <c r="B3144" s="4"/>
      <c r="C3144" s="4" t="s">
        <v>56</v>
      </c>
      <c r="D3144" s="4"/>
      <c r="E3144" s="1">
        <v>0</v>
      </c>
      <c r="F3144" s="1">
        <v>0</v>
      </c>
      <c r="G3144" s="1">
        <v>0</v>
      </c>
      <c r="H3144" s="1">
        <v>0</v>
      </c>
      <c r="I3144" s="1">
        <v>0</v>
      </c>
    </row>
    <row r="3145" spans="1:9" ht="23.25">
      <c r="A3145" s="4" t="s">
        <v>30</v>
      </c>
      <c r="B3145" s="4"/>
      <c r="C3145" s="4" t="s">
        <v>56</v>
      </c>
      <c r="D3145" s="4"/>
      <c r="E3145" s="1">
        <v>655087</v>
      </c>
      <c r="F3145" s="1">
        <v>5267</v>
      </c>
      <c r="G3145" s="1">
        <v>20258</v>
      </c>
      <c r="H3145" s="1">
        <v>1656</v>
      </c>
      <c r="I3145" s="1">
        <v>0</v>
      </c>
    </row>
    <row r="3146" spans="1:9" ht="23.25">
      <c r="A3146" s="4" t="s">
        <v>31</v>
      </c>
      <c r="B3146" s="4"/>
      <c r="C3146" s="4" t="s">
        <v>56</v>
      </c>
      <c r="D3146" s="4"/>
      <c r="E3146" s="1">
        <v>6684650</v>
      </c>
      <c r="F3146" s="1">
        <v>350028</v>
      </c>
      <c r="G3146" s="1">
        <v>542755</v>
      </c>
      <c r="H3146" s="1">
        <v>34410</v>
      </c>
      <c r="I3146" s="1">
        <v>0</v>
      </c>
    </row>
    <row r="3147" spans="1:9" ht="23.25">
      <c r="A3147" s="4" t="s">
        <v>32</v>
      </c>
      <c r="B3147" s="4"/>
      <c r="C3147" s="4" t="s">
        <v>56</v>
      </c>
      <c r="D3147" s="4"/>
      <c r="E3147" s="1">
        <v>13316692</v>
      </c>
      <c r="F3147" s="1">
        <v>903795</v>
      </c>
      <c r="G3147" s="1">
        <v>735992</v>
      </c>
      <c r="H3147" s="1">
        <v>143393</v>
      </c>
      <c r="I3147" s="1">
        <v>898951</v>
      </c>
    </row>
    <row r="3148" spans="1:9" ht="23.25">
      <c r="A3148" s="4" t="s">
        <v>33</v>
      </c>
      <c r="B3148" s="4"/>
      <c r="C3148" s="4" t="s">
        <v>56</v>
      </c>
      <c r="D3148" s="4"/>
      <c r="E3148" s="1">
        <v>8912283</v>
      </c>
      <c r="F3148" s="1">
        <v>259923</v>
      </c>
      <c r="G3148" s="1">
        <v>468552</v>
      </c>
      <c r="H3148" s="1">
        <v>68407</v>
      </c>
      <c r="I3148" s="1">
        <v>5133258</v>
      </c>
    </row>
    <row r="3149" spans="1:9" ht="23.25">
      <c r="A3149" s="4" t="s">
        <v>34</v>
      </c>
      <c r="B3149" s="4"/>
      <c r="C3149" s="4" t="s">
        <v>56</v>
      </c>
      <c r="D3149" s="4"/>
      <c r="E3149" s="1">
        <v>0</v>
      </c>
      <c r="F3149" s="1">
        <v>0</v>
      </c>
      <c r="G3149" s="1">
        <v>0</v>
      </c>
      <c r="H3149" s="1">
        <v>0</v>
      </c>
      <c r="I3149" s="1">
        <v>0</v>
      </c>
    </row>
    <row r="3150" spans="1:9" ht="23.25">
      <c r="A3150" s="4" t="s">
        <v>35</v>
      </c>
      <c r="B3150" s="4"/>
      <c r="C3150" s="4" t="s">
        <v>56</v>
      </c>
      <c r="D3150" s="4"/>
      <c r="E3150" s="1">
        <v>0</v>
      </c>
      <c r="F3150" s="1">
        <v>0</v>
      </c>
      <c r="G3150" s="1">
        <v>0</v>
      </c>
      <c r="H3150" s="1">
        <v>0</v>
      </c>
      <c r="I3150" s="1">
        <v>0</v>
      </c>
    </row>
    <row r="3151" spans="1:9" ht="23.25">
      <c r="A3151" s="4" t="s">
        <v>36</v>
      </c>
      <c r="B3151" s="4"/>
      <c r="C3151" s="4" t="s">
        <v>56</v>
      </c>
      <c r="D3151" s="4"/>
      <c r="E3151" s="1">
        <v>3486367</v>
      </c>
      <c r="F3151" s="1">
        <v>298194</v>
      </c>
      <c r="G3151" s="1">
        <v>304700</v>
      </c>
      <c r="H3151" s="1">
        <v>52863</v>
      </c>
      <c r="I3151" s="1">
        <v>1130876</v>
      </c>
    </row>
    <row r="3152" spans="1:9" ht="23.25">
      <c r="A3152" s="4" t="s">
        <v>37</v>
      </c>
      <c r="B3152" s="4"/>
      <c r="C3152" s="4" t="s">
        <v>56</v>
      </c>
      <c r="D3152" s="4"/>
      <c r="E3152" s="1">
        <v>31081527</v>
      </c>
      <c r="F3152" s="1">
        <v>1622266</v>
      </c>
      <c r="G3152" s="1">
        <v>1626453</v>
      </c>
      <c r="H3152" s="1">
        <v>286606</v>
      </c>
      <c r="I3152" s="1">
        <v>5974930</v>
      </c>
    </row>
    <row r="3153" spans="1:9" ht="23.25">
      <c r="A3153" s="4" t="s">
        <v>38</v>
      </c>
      <c r="B3153" s="4"/>
      <c r="C3153" s="4" t="s">
        <v>56</v>
      </c>
      <c r="D3153" s="4"/>
      <c r="E3153" s="1">
        <v>409057</v>
      </c>
      <c r="F3153" s="1">
        <v>28238</v>
      </c>
      <c r="G3153" s="1">
        <v>50067</v>
      </c>
      <c r="H3153" s="1">
        <v>9792</v>
      </c>
      <c r="I3153" s="1">
        <v>0</v>
      </c>
    </row>
    <row r="3154" spans="1:9" ht="23.25">
      <c r="A3154" s="4" t="s">
        <v>39</v>
      </c>
      <c r="B3154" s="4"/>
      <c r="C3154" s="4" t="s">
        <v>56</v>
      </c>
      <c r="D3154" s="4"/>
      <c r="E3154" s="1">
        <v>55468079</v>
      </c>
      <c r="F3154" s="1">
        <v>1714285</v>
      </c>
      <c r="G3154" s="1">
        <v>2415603</v>
      </c>
      <c r="H3154" s="1">
        <v>390126</v>
      </c>
      <c r="I3154" s="1">
        <v>18798883</v>
      </c>
    </row>
    <row r="3155" spans="1:9" ht="23.25">
      <c r="A3155" s="4" t="s">
        <v>40</v>
      </c>
      <c r="B3155" s="4"/>
      <c r="C3155" s="4" t="s">
        <v>56</v>
      </c>
      <c r="D3155" s="4"/>
      <c r="E3155" s="1">
        <v>0</v>
      </c>
      <c r="F3155" s="1">
        <v>0</v>
      </c>
      <c r="G3155" s="1">
        <v>0</v>
      </c>
      <c r="H3155" s="1">
        <v>0</v>
      </c>
      <c r="I3155" s="1">
        <v>0</v>
      </c>
    </row>
    <row r="3156" spans="1:9" ht="23.25">
      <c r="A3156" s="4" t="s">
        <v>41</v>
      </c>
      <c r="B3156" s="4"/>
      <c r="C3156" s="4" t="s">
        <v>56</v>
      </c>
      <c r="D3156" s="4"/>
      <c r="E3156" s="1">
        <v>931176</v>
      </c>
      <c r="F3156" s="1">
        <v>72998</v>
      </c>
      <c r="G3156" s="1">
        <v>71030</v>
      </c>
      <c r="H3156" s="1">
        <v>9736</v>
      </c>
      <c r="I3156" s="1">
        <v>0</v>
      </c>
    </row>
    <row r="3157" spans="1:9" ht="23.25">
      <c r="A3157" s="4" t="s">
        <v>42</v>
      </c>
      <c r="B3157" s="4"/>
      <c r="C3157" s="4" t="s">
        <v>56</v>
      </c>
      <c r="D3157" s="4"/>
      <c r="E3157" s="1">
        <v>95538</v>
      </c>
      <c r="F3157" s="1">
        <v>4186</v>
      </c>
      <c r="G3157" s="1">
        <v>11073</v>
      </c>
      <c r="H3157" s="1">
        <v>1332</v>
      </c>
      <c r="I3157" s="1">
        <v>26075</v>
      </c>
    </row>
    <row r="3158" spans="1:9" ht="23.25">
      <c r="A3158" s="4" t="s">
        <v>43</v>
      </c>
      <c r="B3158" s="4"/>
      <c r="C3158" s="4" t="s">
        <v>56</v>
      </c>
      <c r="D3158" s="4"/>
      <c r="E3158" s="1">
        <v>0</v>
      </c>
      <c r="F3158" s="1">
        <v>0</v>
      </c>
      <c r="G3158" s="1">
        <v>0</v>
      </c>
      <c r="H3158" s="1">
        <v>0</v>
      </c>
      <c r="I3158" s="1">
        <v>0</v>
      </c>
    </row>
    <row r="3159" spans="1:9" ht="23.25">
      <c r="A3159" s="4" t="s">
        <v>44</v>
      </c>
      <c r="B3159" s="4"/>
      <c r="C3159" s="4" t="s">
        <v>56</v>
      </c>
      <c r="D3159" s="4"/>
      <c r="E3159" s="1">
        <v>1146899</v>
      </c>
      <c r="F3159" s="1">
        <v>26280</v>
      </c>
      <c r="G3159" s="1">
        <v>55624</v>
      </c>
      <c r="H3159" s="1">
        <v>4685</v>
      </c>
      <c r="I3159" s="1">
        <v>622180</v>
      </c>
    </row>
    <row r="3160" spans="1:9" ht="23.25">
      <c r="A3160" s="4" t="s">
        <v>45</v>
      </c>
      <c r="B3160" s="4"/>
      <c r="C3160" s="4" t="s">
        <v>56</v>
      </c>
      <c r="D3160" s="4"/>
      <c r="E3160" s="1">
        <v>17715</v>
      </c>
      <c r="F3160" s="1">
        <v>1418</v>
      </c>
      <c r="G3160" s="1">
        <v>0</v>
      </c>
      <c r="H3160" s="1">
        <v>201</v>
      </c>
      <c r="I3160" s="1">
        <v>0</v>
      </c>
    </row>
    <row r="3161" spans="1:9" ht="23.25">
      <c r="A3161" s="4" t="s">
        <v>46</v>
      </c>
      <c r="B3161" s="4"/>
      <c r="C3161" s="4" t="s">
        <v>56</v>
      </c>
      <c r="D3161" s="4"/>
      <c r="E3161" s="1">
        <v>11783869</v>
      </c>
      <c r="F3161" s="1">
        <v>383753</v>
      </c>
      <c r="G3161" s="1">
        <v>754761</v>
      </c>
      <c r="H3161" s="1">
        <v>88847</v>
      </c>
      <c r="I3161" s="1">
        <v>2107967</v>
      </c>
    </row>
    <row r="3162" spans="1:9" ht="23.25">
      <c r="A3162" s="4" t="s">
        <v>47</v>
      </c>
      <c r="B3162" s="4"/>
      <c r="C3162" s="4" t="s">
        <v>56</v>
      </c>
      <c r="D3162" s="4"/>
      <c r="E3162" s="1">
        <v>20799109</v>
      </c>
      <c r="F3162" s="1">
        <v>99838</v>
      </c>
      <c r="G3162" s="1">
        <v>216156</v>
      </c>
      <c r="H3162" s="1">
        <v>12981</v>
      </c>
      <c r="I3162" s="1">
        <v>0</v>
      </c>
    </row>
    <row r="3163" spans="1:9" ht="23.25">
      <c r="A3163" s="4" t="s">
        <v>48</v>
      </c>
      <c r="B3163" s="4"/>
      <c r="C3163" s="4" t="s">
        <v>56</v>
      </c>
      <c r="D3163" s="4"/>
      <c r="E3163" s="1">
        <v>0</v>
      </c>
      <c r="F3163" s="1">
        <v>0</v>
      </c>
      <c r="G3163" s="1">
        <v>0</v>
      </c>
      <c r="H3163" s="1">
        <v>0</v>
      </c>
      <c r="I3163" s="1">
        <v>0</v>
      </c>
    </row>
    <row r="3164" spans="1:9" ht="23.25">
      <c r="A3164" s="4" t="s">
        <v>49</v>
      </c>
      <c r="B3164" s="4"/>
      <c r="C3164" s="4" t="s">
        <v>56</v>
      </c>
      <c r="D3164" s="4"/>
      <c r="E3164" s="1">
        <v>1367232</v>
      </c>
      <c r="F3164" s="1">
        <v>40088</v>
      </c>
      <c r="G3164" s="1">
        <v>102605</v>
      </c>
      <c r="H3164" s="1">
        <v>8266</v>
      </c>
      <c r="I3164" s="1">
        <v>0</v>
      </c>
    </row>
    <row r="3165" spans="1:9" ht="23.25">
      <c r="A3165" s="4" t="s">
        <v>50</v>
      </c>
      <c r="B3165" s="4"/>
      <c r="C3165" s="4" t="s">
        <v>56</v>
      </c>
      <c r="D3165" s="4"/>
      <c r="E3165" s="1">
        <v>4225478</v>
      </c>
      <c r="F3165" s="1">
        <v>540054</v>
      </c>
      <c r="G3165" s="1">
        <v>535930</v>
      </c>
      <c r="H3165" s="1">
        <v>37039</v>
      </c>
      <c r="I3165" s="1">
        <v>0</v>
      </c>
    </row>
    <row r="3166" spans="1:9" ht="23.25">
      <c r="A3166" s="4" t="s">
        <v>51</v>
      </c>
      <c r="B3166" s="4"/>
      <c r="C3166" s="4" t="s">
        <v>56</v>
      </c>
      <c r="D3166" s="4"/>
      <c r="E3166" s="1">
        <v>3307461</v>
      </c>
      <c r="F3166" s="1">
        <v>269291</v>
      </c>
      <c r="G3166" s="1">
        <v>398677</v>
      </c>
      <c r="H3166" s="1">
        <v>35508</v>
      </c>
      <c r="I3166" s="1">
        <v>10614</v>
      </c>
    </row>
    <row r="3167" spans="1:9" ht="23.25">
      <c r="A3167" s="4" t="s">
        <v>52</v>
      </c>
      <c r="B3167" s="4"/>
      <c r="C3167" s="4" t="s">
        <v>56</v>
      </c>
      <c r="D3167" s="4"/>
      <c r="E3167" s="1">
        <v>65534715</v>
      </c>
      <c r="F3167" s="1">
        <v>3849</v>
      </c>
      <c r="G3167" s="1">
        <v>6610</v>
      </c>
      <c r="H3167" s="1">
        <v>710</v>
      </c>
      <c r="I3167" s="1">
        <v>0</v>
      </c>
    </row>
    <row r="3168" spans="1:9" ht="23.25">
      <c r="A3168" s="4" t="s">
        <v>53</v>
      </c>
      <c r="B3168" s="4"/>
      <c r="C3168" s="4" t="s">
        <v>56</v>
      </c>
      <c r="D3168" s="4"/>
      <c r="E3168" s="1">
        <v>2663435</v>
      </c>
      <c r="F3168" s="1">
        <v>0</v>
      </c>
      <c r="G3168" s="1">
        <v>0</v>
      </c>
      <c r="H3168" s="1">
        <v>0</v>
      </c>
      <c r="I3168" s="1">
        <v>0</v>
      </c>
    </row>
    <row r="3169" spans="1:9" ht="23.25">
      <c r="A3169" s="4" t="s">
        <v>54</v>
      </c>
      <c r="B3169" s="4"/>
      <c r="C3169" s="4" t="s">
        <v>56</v>
      </c>
      <c r="D3169" s="4"/>
      <c r="E3169" s="1">
        <v>3434818</v>
      </c>
      <c r="F3169" s="1">
        <v>0</v>
      </c>
      <c r="G3169" s="1">
        <v>0</v>
      </c>
      <c r="H3169" s="1">
        <v>0</v>
      </c>
      <c r="I3169" s="1">
        <v>0</v>
      </c>
    </row>
    <row r="3170" spans="1:9" ht="23.25">
      <c r="A3170" s="4" t="s">
        <v>55</v>
      </c>
      <c r="B3170" s="4"/>
      <c r="C3170" s="4" t="s">
        <v>56</v>
      </c>
      <c r="D3170" s="4"/>
      <c r="E3170" s="1">
        <v>0</v>
      </c>
      <c r="F3170" s="1">
        <v>0</v>
      </c>
      <c r="G3170" s="1">
        <v>0</v>
      </c>
      <c r="H3170" s="1">
        <v>0</v>
      </c>
      <c r="I3170" s="1">
        <v>0</v>
      </c>
    </row>
    <row r="3171" spans="1:9" ht="23.25">
      <c r="A3171" s="4" t="s">
        <v>56</v>
      </c>
      <c r="B3171" s="4"/>
      <c r="C3171" s="4" t="s">
        <v>56</v>
      </c>
      <c r="D3171" s="4"/>
      <c r="E3171" s="1">
        <v>0</v>
      </c>
      <c r="F3171" s="1">
        <v>-6842918</v>
      </c>
      <c r="G3171" s="1">
        <v>-8642421</v>
      </c>
      <c r="H3171" s="1">
        <v>0</v>
      </c>
      <c r="I3171" s="1">
        <v>0</v>
      </c>
    </row>
    <row r="3172" spans="1:9" ht="23.25">
      <c r="A3172" s="4" t="s">
        <v>57</v>
      </c>
      <c r="B3172" s="4"/>
      <c r="C3172" s="4" t="s">
        <v>56</v>
      </c>
      <c r="D3172" s="4"/>
      <c r="E3172" s="1">
        <v>22961164</v>
      </c>
      <c r="F3172" s="1">
        <v>0</v>
      </c>
      <c r="G3172" s="1">
        <v>0</v>
      </c>
      <c r="H3172" s="1">
        <v>0</v>
      </c>
      <c r="I3172" s="1">
        <v>0</v>
      </c>
    </row>
    <row r="3173" spans="1:9" ht="23.25">
      <c r="A3173" s="4" t="s">
        <v>58</v>
      </c>
      <c r="B3173" s="4"/>
      <c r="C3173" s="4" t="s">
        <v>56</v>
      </c>
      <c r="D3173" s="4"/>
      <c r="E3173" s="1">
        <v>148059984</v>
      </c>
      <c r="F3173" s="1">
        <v>0</v>
      </c>
      <c r="G3173" s="1">
        <v>0</v>
      </c>
      <c r="H3173" s="1">
        <v>-1247877</v>
      </c>
      <c r="I3173" s="1">
        <v>0</v>
      </c>
    </row>
    <row r="3174" spans="1:9" ht="23.25">
      <c r="A3174" s="4" t="s">
        <v>59</v>
      </c>
      <c r="B3174" s="4"/>
      <c r="C3174" s="4" t="s">
        <v>56</v>
      </c>
      <c r="D3174" s="4"/>
      <c r="E3174" s="1">
        <v>76910974</v>
      </c>
      <c r="F3174" s="1">
        <v>0</v>
      </c>
      <c r="G3174" s="1">
        <v>0</v>
      </c>
      <c r="H3174" s="1">
        <v>0</v>
      </c>
      <c r="I3174" s="1">
        <v>0</v>
      </c>
    </row>
    <row r="3175" spans="1:9" ht="23.25">
      <c r="A3175" s="4" t="s">
        <v>60</v>
      </c>
      <c r="B3175" s="4"/>
      <c r="C3175" s="4" t="s">
        <v>56</v>
      </c>
      <c r="D3175" s="4"/>
      <c r="E3175" s="1">
        <v>211980182</v>
      </c>
      <c r="F3175" s="1">
        <v>0</v>
      </c>
      <c r="G3175" s="1">
        <v>0</v>
      </c>
      <c r="H3175" s="1">
        <v>0</v>
      </c>
      <c r="I3175" s="1">
        <v>9871750</v>
      </c>
    </row>
    <row r="3176" spans="1:9" ht="23.25">
      <c r="A3176" s="4" t="s">
        <v>61</v>
      </c>
      <c r="B3176" s="4"/>
      <c r="C3176" s="4" t="s">
        <v>56</v>
      </c>
      <c r="D3176" s="4"/>
      <c r="E3176" s="1">
        <v>25534483</v>
      </c>
      <c r="F3176" s="1">
        <v>0</v>
      </c>
      <c r="G3176" s="1">
        <v>0</v>
      </c>
      <c r="H3176" s="1">
        <v>0</v>
      </c>
      <c r="I3176" s="1">
        <v>0</v>
      </c>
    </row>
    <row r="3177" spans="1:9" ht="23.25">
      <c r="A3177" s="4" t="s">
        <v>62</v>
      </c>
      <c r="B3177" s="4"/>
      <c r="C3177" s="4" t="s">
        <v>56</v>
      </c>
      <c r="D3177" s="4"/>
      <c r="E3177" s="1">
        <v>121751930</v>
      </c>
      <c r="F3177" s="1">
        <v>0</v>
      </c>
      <c r="G3177" s="1">
        <v>0</v>
      </c>
      <c r="H3177" s="1">
        <v>0</v>
      </c>
      <c r="I3177" s="1">
        <v>30041740</v>
      </c>
    </row>
    <row r="3178" spans="1:9" ht="23.25">
      <c r="A3178" s="4" t="s">
        <v>63</v>
      </c>
      <c r="B3178" s="4"/>
      <c r="C3178" s="4" t="s">
        <v>56</v>
      </c>
      <c r="D3178" s="4"/>
      <c r="E3178" s="1">
        <v>1628316</v>
      </c>
      <c r="F3178" s="1">
        <v>0</v>
      </c>
      <c r="G3178" s="1">
        <v>0</v>
      </c>
      <c r="H3178" s="1">
        <v>0</v>
      </c>
      <c r="I3178" s="1">
        <v>0</v>
      </c>
    </row>
    <row r="3179" spans="1:9" ht="23.25">
      <c r="A3179" s="4" t="s">
        <v>64</v>
      </c>
      <c r="B3179" s="4"/>
      <c r="C3179" s="4" t="s">
        <v>56</v>
      </c>
      <c r="D3179" s="4"/>
      <c r="E3179" s="1">
        <v>10431087</v>
      </c>
      <c r="F3179" s="1">
        <v>0</v>
      </c>
      <c r="G3179" s="1">
        <v>0</v>
      </c>
      <c r="H3179" s="1">
        <v>0</v>
      </c>
      <c r="I3179" s="1">
        <v>0</v>
      </c>
    </row>
    <row r="3180" spans="1:9" ht="23.25">
      <c r="A3180" s="4" t="s">
        <v>65</v>
      </c>
      <c r="B3180" s="4"/>
      <c r="C3180" s="4" t="s">
        <v>56</v>
      </c>
      <c r="D3180" s="4"/>
      <c r="E3180" s="1">
        <v>28160918</v>
      </c>
      <c r="F3180" s="1">
        <v>0</v>
      </c>
      <c r="G3180" s="1">
        <v>0</v>
      </c>
      <c r="H3180" s="1">
        <v>0</v>
      </c>
      <c r="I3180" s="1">
        <v>2325542</v>
      </c>
    </row>
    <row r="3181" spans="1:9" ht="23.25">
      <c r="A3181" s="4" t="s">
        <v>66</v>
      </c>
      <c r="B3181" s="4"/>
      <c r="C3181" s="4" t="s">
        <v>56</v>
      </c>
      <c r="D3181" s="4"/>
      <c r="E3181" s="1">
        <v>885263498</v>
      </c>
      <c r="F3181" s="1">
        <v>0</v>
      </c>
      <c r="G3181" s="1">
        <v>0</v>
      </c>
      <c r="H3181" s="1">
        <v>0</v>
      </c>
      <c r="I3181" s="1">
        <v>76942766</v>
      </c>
    </row>
    <row r="3182" spans="1:9" ht="23.25">
      <c r="A3182" s="4" t="s">
        <v>67</v>
      </c>
      <c r="B3182" s="4"/>
      <c r="C3182" s="4" t="s">
        <v>56</v>
      </c>
      <c r="D3182" s="4"/>
      <c r="E3182" s="1">
        <v>647824586</v>
      </c>
      <c r="F3182" s="1">
        <v>0</v>
      </c>
      <c r="G3182" s="1">
        <v>0</v>
      </c>
      <c r="H3182" s="1">
        <v>0</v>
      </c>
      <c r="I3182" s="1">
        <v>0</v>
      </c>
    </row>
    <row r="3183" spans="1:9" ht="23.25">
      <c r="A3183" s="4" t="s">
        <v>68</v>
      </c>
      <c r="B3183" s="4"/>
      <c r="C3183" s="4" t="s">
        <v>56</v>
      </c>
      <c r="D3183" s="4"/>
      <c r="E3183" s="1">
        <v>1316903123</v>
      </c>
      <c r="F3183" s="1">
        <v>0</v>
      </c>
      <c r="G3183" s="1">
        <v>0</v>
      </c>
      <c r="H3183" s="1">
        <v>0</v>
      </c>
      <c r="I3183" s="1">
        <v>0</v>
      </c>
    </row>
    <row r="3184" spans="1:9" ht="23.25">
      <c r="A3184" s="4" t="s">
        <v>69</v>
      </c>
      <c r="B3184" s="4"/>
      <c r="C3184" s="4" t="s">
        <v>56</v>
      </c>
      <c r="D3184" s="4"/>
      <c r="E3184" s="1">
        <v>351052090</v>
      </c>
      <c r="F3184" s="1">
        <v>0</v>
      </c>
      <c r="G3184" s="1">
        <v>0</v>
      </c>
      <c r="H3184" s="1">
        <v>0</v>
      </c>
      <c r="I3184" s="1">
        <v>0</v>
      </c>
    </row>
    <row r="3185" spans="1:9" ht="23.25">
      <c r="A3185" s="4" t="s">
        <v>70</v>
      </c>
      <c r="B3185" s="4"/>
      <c r="C3185" s="4" t="s">
        <v>56</v>
      </c>
      <c r="D3185" s="4"/>
      <c r="E3185" s="1">
        <v>85282953</v>
      </c>
      <c r="F3185" s="1">
        <v>0</v>
      </c>
      <c r="G3185" s="1">
        <v>0</v>
      </c>
      <c r="H3185" s="1">
        <v>0</v>
      </c>
      <c r="I3185" s="1">
        <v>0</v>
      </c>
    </row>
    <row r="3186" spans="1:9" ht="23.25">
      <c r="A3186" s="4" t="s">
        <v>71</v>
      </c>
      <c r="B3186" s="4"/>
      <c r="C3186" s="4" t="s">
        <v>56</v>
      </c>
      <c r="D3186" s="4"/>
      <c r="E3186" s="1">
        <v>2401062752</v>
      </c>
      <c r="F3186" s="1">
        <v>0</v>
      </c>
      <c r="G3186" s="1">
        <v>0</v>
      </c>
      <c r="H3186" s="1">
        <v>0</v>
      </c>
      <c r="I3186" s="1">
        <v>0</v>
      </c>
    </row>
    <row r="3187" spans="1:9" ht="23.25">
      <c r="A3187" s="4" t="s">
        <v>72</v>
      </c>
      <c r="B3187" s="4"/>
      <c r="C3187" s="4" t="s">
        <v>56</v>
      </c>
      <c r="D3187" s="4"/>
      <c r="E3187" s="1">
        <v>3286326250</v>
      </c>
      <c r="F3187" s="1">
        <v>0</v>
      </c>
      <c r="G3187" s="1">
        <v>0</v>
      </c>
      <c r="H3187" s="1">
        <v>0</v>
      </c>
      <c r="I3187" s="1">
        <v>0</v>
      </c>
    </row>
    <row r="3188" spans="1:9" ht="23.25">
      <c r="A3188" s="4" t="s">
        <v>8</v>
      </c>
      <c r="B3188" s="4"/>
      <c r="C3188" s="4" t="s">
        <v>57</v>
      </c>
      <c r="D3188" s="4"/>
      <c r="E3188" s="1">
        <v>0</v>
      </c>
      <c r="F3188" s="1">
        <v>0</v>
      </c>
      <c r="G3188" s="1">
        <v>0</v>
      </c>
      <c r="H3188" s="1">
        <v>0</v>
      </c>
      <c r="I3188" s="1">
        <v>0</v>
      </c>
    </row>
    <row r="3189" spans="1:9" ht="23.25">
      <c r="A3189" s="4" t="s">
        <v>9</v>
      </c>
      <c r="B3189" s="4"/>
      <c r="C3189" s="4" t="s">
        <v>57</v>
      </c>
      <c r="D3189" s="4"/>
      <c r="E3189" s="1">
        <v>619506</v>
      </c>
      <c r="F3189" s="1">
        <v>40235</v>
      </c>
      <c r="G3189" s="1">
        <v>42656</v>
      </c>
      <c r="H3189" s="1">
        <v>4966</v>
      </c>
      <c r="I3189" s="1">
        <v>0</v>
      </c>
    </row>
    <row r="3190" spans="1:9" ht="23.25">
      <c r="A3190" s="4" t="s">
        <v>10</v>
      </c>
      <c r="B3190" s="4"/>
      <c r="C3190" s="4" t="s">
        <v>57</v>
      </c>
      <c r="D3190" s="4"/>
      <c r="E3190" s="1">
        <v>596998</v>
      </c>
      <c r="F3190" s="1">
        <v>4735</v>
      </c>
      <c r="G3190" s="1">
        <v>7287</v>
      </c>
      <c r="H3190" s="1">
        <v>3833</v>
      </c>
      <c r="I3190" s="1">
        <v>0</v>
      </c>
    </row>
    <row r="3191" spans="1:9" ht="23.25">
      <c r="A3191" s="4" t="s">
        <v>11</v>
      </c>
      <c r="B3191" s="4"/>
      <c r="C3191" s="4" t="s">
        <v>57</v>
      </c>
      <c r="D3191" s="4"/>
      <c r="E3191" s="1">
        <v>7520510</v>
      </c>
      <c r="F3191" s="1">
        <v>162568</v>
      </c>
      <c r="G3191" s="1">
        <v>192969</v>
      </c>
      <c r="H3191" s="1">
        <v>13893</v>
      </c>
      <c r="I3191" s="1">
        <v>7044839</v>
      </c>
    </row>
    <row r="3192" spans="1:9" ht="23.25">
      <c r="A3192" s="4" t="s">
        <v>12</v>
      </c>
      <c r="B3192" s="4"/>
      <c r="C3192" s="4" t="s">
        <v>57</v>
      </c>
      <c r="D3192" s="4"/>
      <c r="E3192" s="1">
        <v>105084676</v>
      </c>
      <c r="F3192" s="1">
        <v>7563482</v>
      </c>
      <c r="G3192" s="1">
        <v>12822281</v>
      </c>
      <c r="H3192" s="1">
        <v>1619582</v>
      </c>
      <c r="I3192" s="1">
        <v>6728266</v>
      </c>
    </row>
    <row r="3193" spans="1:9" ht="23.25">
      <c r="A3193" s="4" t="s">
        <v>13</v>
      </c>
      <c r="B3193" s="4"/>
      <c r="C3193" s="4" t="s">
        <v>57</v>
      </c>
      <c r="D3193" s="4"/>
      <c r="E3193" s="1">
        <v>0</v>
      </c>
      <c r="F3193" s="1">
        <v>0</v>
      </c>
      <c r="G3193" s="1">
        <v>0</v>
      </c>
      <c r="H3193" s="1">
        <v>0</v>
      </c>
      <c r="I3193" s="1">
        <v>0</v>
      </c>
    </row>
    <row r="3194" spans="1:9" ht="23.25">
      <c r="A3194" s="4" t="s">
        <v>14</v>
      </c>
      <c r="B3194" s="4"/>
      <c r="C3194" s="4" t="s">
        <v>57</v>
      </c>
      <c r="D3194" s="4"/>
      <c r="E3194" s="1">
        <v>0</v>
      </c>
      <c r="F3194" s="1">
        <v>0</v>
      </c>
      <c r="G3194" s="1">
        <v>0</v>
      </c>
      <c r="H3194" s="1">
        <v>0</v>
      </c>
      <c r="I3194" s="1">
        <v>0</v>
      </c>
    </row>
    <row r="3195" spans="1:9" ht="23.25">
      <c r="A3195" s="4" t="s">
        <v>15</v>
      </c>
      <c r="B3195" s="4"/>
      <c r="C3195" s="4" t="s">
        <v>57</v>
      </c>
      <c r="D3195" s="4"/>
      <c r="E3195" s="1">
        <v>2046837</v>
      </c>
      <c r="F3195" s="1">
        <v>207297</v>
      </c>
      <c r="G3195" s="1">
        <v>147832</v>
      </c>
      <c r="H3195" s="1">
        <v>23875</v>
      </c>
      <c r="I3195" s="1">
        <v>757003</v>
      </c>
    </row>
    <row r="3196" spans="1:9" ht="23.25">
      <c r="A3196" s="4" t="s">
        <v>16</v>
      </c>
      <c r="B3196" s="4"/>
      <c r="C3196" s="4" t="s">
        <v>57</v>
      </c>
      <c r="D3196" s="4"/>
      <c r="E3196" s="1">
        <v>7016546</v>
      </c>
      <c r="F3196" s="1">
        <v>147143</v>
      </c>
      <c r="G3196" s="1">
        <v>375184</v>
      </c>
      <c r="H3196" s="1">
        <v>51379</v>
      </c>
      <c r="I3196" s="1">
        <v>0</v>
      </c>
    </row>
    <row r="3197" spans="1:9" ht="23.25">
      <c r="A3197" s="4" t="s">
        <v>17</v>
      </c>
      <c r="B3197" s="4"/>
      <c r="C3197" s="4" t="s">
        <v>57</v>
      </c>
      <c r="D3197" s="4"/>
      <c r="E3197" s="1">
        <v>1066145</v>
      </c>
      <c r="F3197" s="1">
        <v>97825</v>
      </c>
      <c r="G3197" s="1">
        <v>104954</v>
      </c>
      <c r="H3197" s="1">
        <v>20242</v>
      </c>
      <c r="I3197" s="1">
        <v>398125</v>
      </c>
    </row>
    <row r="3198" spans="1:9" ht="23.25">
      <c r="A3198" s="4" t="s">
        <v>18</v>
      </c>
      <c r="B3198" s="4"/>
      <c r="C3198" s="4" t="s">
        <v>57</v>
      </c>
      <c r="D3198" s="4"/>
      <c r="E3198" s="1">
        <v>53290815</v>
      </c>
      <c r="F3198" s="1">
        <v>6585920</v>
      </c>
      <c r="G3198" s="1">
        <v>5751289</v>
      </c>
      <c r="H3198" s="1">
        <v>964744</v>
      </c>
      <c r="I3198" s="1">
        <v>1526175</v>
      </c>
    </row>
    <row r="3199" spans="1:9" ht="23.25">
      <c r="A3199" s="4" t="s">
        <v>19</v>
      </c>
      <c r="B3199" s="4"/>
      <c r="C3199" s="4" t="s">
        <v>57</v>
      </c>
      <c r="D3199" s="4"/>
      <c r="E3199" s="1">
        <v>0</v>
      </c>
      <c r="F3199" s="1">
        <v>0</v>
      </c>
      <c r="G3199" s="1">
        <v>0</v>
      </c>
      <c r="H3199" s="1">
        <v>0</v>
      </c>
      <c r="I3199" s="1">
        <v>0</v>
      </c>
    </row>
    <row r="3200" spans="1:9" ht="23.25">
      <c r="A3200" s="4" t="s">
        <v>20</v>
      </c>
      <c r="B3200" s="4"/>
      <c r="C3200" s="4" t="s">
        <v>57</v>
      </c>
      <c r="D3200" s="4"/>
      <c r="E3200" s="1">
        <v>0</v>
      </c>
      <c r="F3200" s="1">
        <v>0</v>
      </c>
      <c r="G3200" s="1">
        <v>0</v>
      </c>
      <c r="H3200" s="1">
        <v>0</v>
      </c>
      <c r="I3200" s="1">
        <v>0</v>
      </c>
    </row>
    <row r="3201" spans="1:9" ht="23.25">
      <c r="A3201" s="4" t="s">
        <v>21</v>
      </c>
      <c r="B3201" s="4"/>
      <c r="C3201" s="4" t="s">
        <v>57</v>
      </c>
      <c r="D3201" s="4"/>
      <c r="E3201" s="1">
        <v>0</v>
      </c>
      <c r="F3201" s="1">
        <v>0</v>
      </c>
      <c r="G3201" s="1">
        <v>0</v>
      </c>
      <c r="H3201" s="1">
        <v>0</v>
      </c>
      <c r="I3201" s="1">
        <v>0</v>
      </c>
    </row>
    <row r="3202" spans="1:9" ht="23.25">
      <c r="A3202" s="4" t="s">
        <v>22</v>
      </c>
      <c r="B3202" s="4"/>
      <c r="C3202" s="4" t="s">
        <v>57</v>
      </c>
      <c r="D3202" s="4"/>
      <c r="E3202" s="1">
        <v>133562274</v>
      </c>
      <c r="F3202" s="1">
        <v>3605387</v>
      </c>
      <c r="G3202" s="1">
        <v>5526355</v>
      </c>
      <c r="H3202" s="1">
        <v>378760</v>
      </c>
      <c r="I3202" s="1">
        <v>139893</v>
      </c>
    </row>
    <row r="3203" spans="1:9" ht="23.25">
      <c r="A3203" s="4" t="s">
        <v>23</v>
      </c>
      <c r="B3203" s="4"/>
      <c r="C3203" s="4" t="s">
        <v>57</v>
      </c>
      <c r="D3203" s="4"/>
      <c r="E3203" s="1">
        <v>86056422</v>
      </c>
      <c r="F3203" s="1">
        <v>2197213</v>
      </c>
      <c r="G3203" s="1">
        <v>3955620</v>
      </c>
      <c r="H3203" s="1">
        <v>676727</v>
      </c>
      <c r="I3203" s="1">
        <v>47936693</v>
      </c>
    </row>
    <row r="3204" spans="1:9" ht="23.25">
      <c r="A3204" s="4" t="s">
        <v>24</v>
      </c>
      <c r="B3204" s="4"/>
      <c r="C3204" s="4" t="s">
        <v>57</v>
      </c>
      <c r="D3204" s="4"/>
      <c r="E3204" s="1">
        <v>42963246</v>
      </c>
      <c r="F3204" s="1">
        <v>800198</v>
      </c>
      <c r="G3204" s="1">
        <v>2025934</v>
      </c>
      <c r="H3204" s="1">
        <v>701958</v>
      </c>
      <c r="I3204" s="1">
        <v>3402518</v>
      </c>
    </row>
    <row r="3205" spans="1:9" ht="23.25">
      <c r="A3205" s="4" t="s">
        <v>25</v>
      </c>
      <c r="B3205" s="4"/>
      <c r="C3205" s="4" t="s">
        <v>57</v>
      </c>
      <c r="D3205" s="4"/>
      <c r="E3205" s="1">
        <v>7812133</v>
      </c>
      <c r="F3205" s="1">
        <v>202971</v>
      </c>
      <c r="G3205" s="1">
        <v>290429</v>
      </c>
      <c r="H3205" s="1">
        <v>114008</v>
      </c>
      <c r="I3205" s="1">
        <v>366211</v>
      </c>
    </row>
    <row r="3206" spans="1:9" ht="23.25">
      <c r="A3206" s="4" t="s">
        <v>26</v>
      </c>
      <c r="B3206" s="4"/>
      <c r="C3206" s="4" t="s">
        <v>57</v>
      </c>
      <c r="D3206" s="4"/>
      <c r="E3206" s="1">
        <v>72410884</v>
      </c>
      <c r="F3206" s="1">
        <v>3160087</v>
      </c>
      <c r="G3206" s="1">
        <v>5428290</v>
      </c>
      <c r="H3206" s="1">
        <v>1112426</v>
      </c>
      <c r="I3206" s="1">
        <v>24303569</v>
      </c>
    </row>
    <row r="3207" spans="1:9" ht="23.25">
      <c r="A3207" s="4" t="s">
        <v>27</v>
      </c>
      <c r="B3207" s="4"/>
      <c r="C3207" s="4" t="s">
        <v>57</v>
      </c>
      <c r="D3207" s="4"/>
      <c r="E3207" s="1">
        <v>0</v>
      </c>
      <c r="F3207" s="1">
        <v>0</v>
      </c>
      <c r="G3207" s="1">
        <v>0</v>
      </c>
      <c r="H3207" s="1">
        <v>0</v>
      </c>
      <c r="I3207" s="1">
        <v>0</v>
      </c>
    </row>
    <row r="3208" spans="1:9" ht="23.25">
      <c r="A3208" s="4" t="s">
        <v>28</v>
      </c>
      <c r="B3208" s="4"/>
      <c r="C3208" s="4" t="s">
        <v>57</v>
      </c>
      <c r="D3208" s="4"/>
      <c r="E3208" s="1">
        <v>156133462</v>
      </c>
      <c r="F3208" s="1">
        <v>11565094</v>
      </c>
      <c r="G3208" s="1">
        <v>6672859</v>
      </c>
      <c r="H3208" s="1">
        <v>2188505</v>
      </c>
      <c r="I3208" s="1">
        <v>8075648</v>
      </c>
    </row>
    <row r="3209" spans="1:9" ht="23.25">
      <c r="A3209" s="4" t="s">
        <v>29</v>
      </c>
      <c r="B3209" s="4"/>
      <c r="C3209" s="4" t="s">
        <v>57</v>
      </c>
      <c r="D3209" s="4"/>
      <c r="E3209" s="1">
        <v>2036182</v>
      </c>
      <c r="F3209" s="1">
        <v>212475</v>
      </c>
      <c r="G3209" s="1">
        <v>242393</v>
      </c>
      <c r="H3209" s="1">
        <v>17992</v>
      </c>
      <c r="I3209" s="1">
        <v>0</v>
      </c>
    </row>
    <row r="3210" spans="1:9" ht="23.25">
      <c r="A3210" s="4" t="s">
        <v>30</v>
      </c>
      <c r="B3210" s="4"/>
      <c r="C3210" s="4" t="s">
        <v>57</v>
      </c>
      <c r="D3210" s="4"/>
      <c r="E3210" s="1">
        <v>91077</v>
      </c>
      <c r="F3210" s="1">
        <v>19063</v>
      </c>
      <c r="G3210" s="1">
        <v>15216</v>
      </c>
      <c r="H3210" s="1">
        <v>2068</v>
      </c>
      <c r="I3210" s="1">
        <v>0</v>
      </c>
    </row>
    <row r="3211" spans="1:9" ht="23.25">
      <c r="A3211" s="4" t="s">
        <v>31</v>
      </c>
      <c r="B3211" s="4"/>
      <c r="C3211" s="4" t="s">
        <v>57</v>
      </c>
      <c r="D3211" s="4"/>
      <c r="E3211" s="1">
        <v>3092631</v>
      </c>
      <c r="F3211" s="1">
        <v>242980</v>
      </c>
      <c r="G3211" s="1">
        <v>404912</v>
      </c>
      <c r="H3211" s="1">
        <v>16900</v>
      </c>
      <c r="I3211" s="1">
        <v>542985</v>
      </c>
    </row>
    <row r="3212" spans="1:9" ht="23.25">
      <c r="A3212" s="4" t="s">
        <v>32</v>
      </c>
      <c r="B3212" s="4"/>
      <c r="C3212" s="4" t="s">
        <v>57</v>
      </c>
      <c r="D3212" s="4"/>
      <c r="E3212" s="1">
        <v>2963225</v>
      </c>
      <c r="F3212" s="1">
        <v>44180</v>
      </c>
      <c r="G3212" s="1">
        <v>40520</v>
      </c>
      <c r="H3212" s="1">
        <v>22554</v>
      </c>
      <c r="I3212" s="1">
        <v>359706</v>
      </c>
    </row>
    <row r="3213" spans="1:9" ht="23.25">
      <c r="A3213" s="4" t="s">
        <v>33</v>
      </c>
      <c r="B3213" s="4"/>
      <c r="C3213" s="4" t="s">
        <v>57</v>
      </c>
      <c r="D3213" s="4"/>
      <c r="E3213" s="1">
        <v>243474</v>
      </c>
      <c r="F3213" s="1">
        <v>9110</v>
      </c>
      <c r="G3213" s="1">
        <v>21047</v>
      </c>
      <c r="H3213" s="1">
        <v>2226</v>
      </c>
      <c r="I3213" s="1">
        <v>0</v>
      </c>
    </row>
    <row r="3214" spans="1:9" ht="23.25">
      <c r="A3214" s="4" t="s">
        <v>34</v>
      </c>
      <c r="B3214" s="4"/>
      <c r="C3214" s="4" t="s">
        <v>57</v>
      </c>
      <c r="D3214" s="4"/>
      <c r="E3214" s="1">
        <v>0</v>
      </c>
      <c r="F3214" s="1">
        <v>0</v>
      </c>
      <c r="G3214" s="1">
        <v>0</v>
      </c>
      <c r="H3214" s="1">
        <v>0</v>
      </c>
      <c r="I3214" s="1">
        <v>0</v>
      </c>
    </row>
    <row r="3215" spans="1:9" ht="23.25">
      <c r="A3215" s="4" t="s">
        <v>35</v>
      </c>
      <c r="B3215" s="4"/>
      <c r="C3215" s="4" t="s">
        <v>57</v>
      </c>
      <c r="D3215" s="4"/>
      <c r="E3215" s="1">
        <v>0</v>
      </c>
      <c r="F3215" s="1">
        <v>0</v>
      </c>
      <c r="G3215" s="1">
        <v>0</v>
      </c>
      <c r="H3215" s="1">
        <v>0</v>
      </c>
      <c r="I3215" s="1">
        <v>0</v>
      </c>
    </row>
    <row r="3216" spans="1:9" ht="23.25">
      <c r="A3216" s="4" t="s">
        <v>36</v>
      </c>
      <c r="B3216" s="4"/>
      <c r="C3216" s="4" t="s">
        <v>57</v>
      </c>
      <c r="D3216" s="4"/>
      <c r="E3216" s="1">
        <v>9117684</v>
      </c>
      <c r="F3216" s="1">
        <v>273505</v>
      </c>
      <c r="G3216" s="1">
        <v>463715</v>
      </c>
      <c r="H3216" s="1">
        <v>121138</v>
      </c>
      <c r="I3216" s="1">
        <v>953243</v>
      </c>
    </row>
    <row r="3217" spans="1:9" ht="23.25">
      <c r="A3217" s="4" t="s">
        <v>37</v>
      </c>
      <c r="B3217" s="4"/>
      <c r="C3217" s="4" t="s">
        <v>57</v>
      </c>
      <c r="D3217" s="4"/>
      <c r="E3217" s="1">
        <v>17697254</v>
      </c>
      <c r="F3217" s="1">
        <v>1768728</v>
      </c>
      <c r="G3217" s="1">
        <v>1924728</v>
      </c>
      <c r="H3217" s="1">
        <v>158961</v>
      </c>
      <c r="I3217" s="1">
        <v>2936976</v>
      </c>
    </row>
    <row r="3218" spans="1:9" ht="23.25">
      <c r="A3218" s="4" t="s">
        <v>38</v>
      </c>
      <c r="B3218" s="4"/>
      <c r="C3218" s="4" t="s">
        <v>57</v>
      </c>
      <c r="D3218" s="4"/>
      <c r="E3218" s="1">
        <v>42366</v>
      </c>
      <c r="F3218" s="1">
        <v>1715</v>
      </c>
      <c r="G3218" s="1">
        <v>6670</v>
      </c>
      <c r="H3218" s="1">
        <v>960</v>
      </c>
      <c r="I3218" s="1">
        <v>0</v>
      </c>
    </row>
    <row r="3219" spans="1:9" ht="23.25">
      <c r="A3219" s="4" t="s">
        <v>39</v>
      </c>
      <c r="B3219" s="4"/>
      <c r="C3219" s="4" t="s">
        <v>57</v>
      </c>
      <c r="D3219" s="4"/>
      <c r="E3219" s="1">
        <v>9134654</v>
      </c>
      <c r="F3219" s="1">
        <v>410385</v>
      </c>
      <c r="G3219" s="1">
        <v>917623</v>
      </c>
      <c r="H3219" s="1">
        <v>82206</v>
      </c>
      <c r="I3219" s="1">
        <v>2382692</v>
      </c>
    </row>
    <row r="3220" spans="1:9" ht="23.25">
      <c r="A3220" s="4" t="s">
        <v>40</v>
      </c>
      <c r="B3220" s="4"/>
      <c r="C3220" s="4" t="s">
        <v>57</v>
      </c>
      <c r="D3220" s="4"/>
      <c r="E3220" s="1">
        <v>0</v>
      </c>
      <c r="F3220" s="1">
        <v>0</v>
      </c>
      <c r="G3220" s="1">
        <v>0</v>
      </c>
      <c r="H3220" s="1">
        <v>0</v>
      </c>
      <c r="I3220" s="1">
        <v>0</v>
      </c>
    </row>
    <row r="3221" spans="1:9" ht="23.25">
      <c r="A3221" s="4" t="s">
        <v>41</v>
      </c>
      <c r="B3221" s="4"/>
      <c r="C3221" s="4" t="s">
        <v>57</v>
      </c>
      <c r="D3221" s="4"/>
      <c r="E3221" s="1">
        <v>1634971</v>
      </c>
      <c r="F3221" s="1">
        <v>82943</v>
      </c>
      <c r="G3221" s="1">
        <v>92105</v>
      </c>
      <c r="H3221" s="1">
        <v>19283</v>
      </c>
      <c r="I3221" s="1">
        <v>330334</v>
      </c>
    </row>
    <row r="3222" spans="1:9" ht="23.25">
      <c r="A3222" s="4" t="s">
        <v>42</v>
      </c>
      <c r="B3222" s="4"/>
      <c r="C3222" s="4" t="s">
        <v>57</v>
      </c>
      <c r="D3222" s="4"/>
      <c r="E3222" s="1">
        <v>0</v>
      </c>
      <c r="F3222" s="1">
        <v>0</v>
      </c>
      <c r="G3222" s="1">
        <v>0</v>
      </c>
      <c r="H3222" s="1">
        <v>0</v>
      </c>
      <c r="I3222" s="1">
        <v>0</v>
      </c>
    </row>
    <row r="3223" spans="1:9" ht="23.25">
      <c r="A3223" s="4" t="s">
        <v>43</v>
      </c>
      <c r="B3223" s="4"/>
      <c r="C3223" s="4" t="s">
        <v>57</v>
      </c>
      <c r="D3223" s="4"/>
      <c r="E3223" s="1">
        <v>0</v>
      </c>
      <c r="F3223" s="1">
        <v>0</v>
      </c>
      <c r="G3223" s="1">
        <v>0</v>
      </c>
      <c r="H3223" s="1">
        <v>0</v>
      </c>
      <c r="I3223" s="1">
        <v>0</v>
      </c>
    </row>
    <row r="3224" spans="1:9" ht="23.25">
      <c r="A3224" s="4" t="s">
        <v>44</v>
      </c>
      <c r="B3224" s="4"/>
      <c r="C3224" s="4" t="s">
        <v>57</v>
      </c>
      <c r="D3224" s="4"/>
      <c r="E3224" s="1">
        <v>1948812</v>
      </c>
      <c r="F3224" s="1">
        <v>48837</v>
      </c>
      <c r="G3224" s="1">
        <v>118285</v>
      </c>
      <c r="H3224" s="1">
        <v>6873</v>
      </c>
      <c r="I3224" s="1">
        <v>1434442</v>
      </c>
    </row>
    <row r="3225" spans="1:9" ht="23.25">
      <c r="A3225" s="4" t="s">
        <v>45</v>
      </c>
      <c r="B3225" s="4"/>
      <c r="C3225" s="4" t="s">
        <v>57</v>
      </c>
      <c r="D3225" s="4"/>
      <c r="E3225" s="1">
        <v>381699</v>
      </c>
      <c r="F3225" s="1">
        <v>19508</v>
      </c>
      <c r="G3225" s="1">
        <v>0</v>
      </c>
      <c r="H3225" s="1">
        <v>3990</v>
      </c>
      <c r="I3225" s="1">
        <v>0</v>
      </c>
    </row>
    <row r="3226" spans="1:9" ht="23.25">
      <c r="A3226" s="4" t="s">
        <v>46</v>
      </c>
      <c r="B3226" s="4"/>
      <c r="C3226" s="4" t="s">
        <v>57</v>
      </c>
      <c r="D3226" s="4"/>
      <c r="E3226" s="1">
        <v>8621476</v>
      </c>
      <c r="F3226" s="1">
        <v>230995</v>
      </c>
      <c r="G3226" s="1">
        <v>268099</v>
      </c>
      <c r="H3226" s="1">
        <v>50955</v>
      </c>
      <c r="I3226" s="1">
        <v>5350651</v>
      </c>
    </row>
    <row r="3227" spans="1:9" ht="23.25">
      <c r="A3227" s="4" t="s">
        <v>47</v>
      </c>
      <c r="B3227" s="4"/>
      <c r="C3227" s="4" t="s">
        <v>57</v>
      </c>
      <c r="D3227" s="4"/>
      <c r="E3227" s="1">
        <v>1521243</v>
      </c>
      <c r="F3227" s="1">
        <v>0</v>
      </c>
      <c r="G3227" s="1">
        <v>0</v>
      </c>
      <c r="H3227" s="1">
        <v>0</v>
      </c>
      <c r="I3227" s="1">
        <v>0</v>
      </c>
    </row>
    <row r="3228" spans="1:9" ht="23.25">
      <c r="A3228" s="4" t="s">
        <v>48</v>
      </c>
      <c r="B3228" s="4"/>
      <c r="C3228" s="4" t="s">
        <v>57</v>
      </c>
      <c r="D3228" s="4"/>
      <c r="E3228" s="1">
        <v>0</v>
      </c>
      <c r="F3228" s="1">
        <v>0</v>
      </c>
      <c r="G3228" s="1">
        <v>0</v>
      </c>
      <c r="H3228" s="1">
        <v>0</v>
      </c>
      <c r="I3228" s="1">
        <v>0</v>
      </c>
    </row>
    <row r="3229" spans="1:9" ht="23.25">
      <c r="A3229" s="4" t="s">
        <v>49</v>
      </c>
      <c r="B3229" s="4"/>
      <c r="C3229" s="4" t="s">
        <v>57</v>
      </c>
      <c r="D3229" s="4"/>
      <c r="E3229" s="1">
        <v>0</v>
      </c>
      <c r="F3229" s="1">
        <v>0</v>
      </c>
      <c r="G3229" s="1">
        <v>0</v>
      </c>
      <c r="H3229" s="1">
        <v>0</v>
      </c>
      <c r="I3229" s="1">
        <v>0</v>
      </c>
    </row>
    <row r="3230" spans="1:9" ht="23.25">
      <c r="A3230" s="4" t="s">
        <v>50</v>
      </c>
      <c r="B3230" s="4"/>
      <c r="C3230" s="4" t="s">
        <v>57</v>
      </c>
      <c r="D3230" s="4"/>
      <c r="E3230" s="1">
        <v>242955</v>
      </c>
      <c r="F3230" s="1">
        <v>16621</v>
      </c>
      <c r="G3230" s="1">
        <v>22749</v>
      </c>
      <c r="H3230" s="1">
        <v>2516</v>
      </c>
      <c r="I3230" s="1">
        <v>0</v>
      </c>
    </row>
    <row r="3231" spans="1:9" ht="23.25">
      <c r="A3231" s="4" t="s">
        <v>51</v>
      </c>
      <c r="B3231" s="4"/>
      <c r="C3231" s="4" t="s">
        <v>57</v>
      </c>
      <c r="D3231" s="4"/>
      <c r="E3231" s="1">
        <v>1664735</v>
      </c>
      <c r="F3231" s="1">
        <v>89924</v>
      </c>
      <c r="G3231" s="1">
        <v>79498</v>
      </c>
      <c r="H3231" s="1">
        <v>14671</v>
      </c>
      <c r="I3231" s="1">
        <v>453765</v>
      </c>
    </row>
    <row r="3232" spans="1:9" ht="23.25">
      <c r="A3232" s="4" t="s">
        <v>52</v>
      </c>
      <c r="B3232" s="4"/>
      <c r="C3232" s="4" t="s">
        <v>57</v>
      </c>
      <c r="D3232" s="4"/>
      <c r="E3232" s="1">
        <v>72031617</v>
      </c>
      <c r="F3232" s="1">
        <v>220036</v>
      </c>
      <c r="G3232" s="1">
        <v>309234</v>
      </c>
      <c r="H3232" s="1">
        <v>93283</v>
      </c>
      <c r="I3232" s="1">
        <v>0</v>
      </c>
    </row>
    <row r="3233" spans="1:9" ht="23.25">
      <c r="A3233" s="4" t="s">
        <v>53</v>
      </c>
      <c r="B3233" s="4"/>
      <c r="C3233" s="4" t="s">
        <v>57</v>
      </c>
      <c r="D3233" s="4"/>
      <c r="E3233" s="1">
        <v>2605395</v>
      </c>
      <c r="F3233" s="1">
        <v>0</v>
      </c>
      <c r="G3233" s="1">
        <v>0</v>
      </c>
      <c r="H3233" s="1">
        <v>0</v>
      </c>
      <c r="I3233" s="1">
        <v>0</v>
      </c>
    </row>
    <row r="3234" spans="1:9" ht="23.25">
      <c r="A3234" s="4" t="s">
        <v>54</v>
      </c>
      <c r="B3234" s="4"/>
      <c r="C3234" s="4" t="s">
        <v>57</v>
      </c>
      <c r="D3234" s="4"/>
      <c r="E3234" s="1">
        <v>2375560</v>
      </c>
      <c r="F3234" s="1">
        <v>0</v>
      </c>
      <c r="G3234" s="1">
        <v>0</v>
      </c>
      <c r="H3234" s="1">
        <v>0</v>
      </c>
      <c r="I3234" s="1">
        <v>0</v>
      </c>
    </row>
    <row r="3235" spans="1:9" ht="23.25">
      <c r="A3235" s="4" t="s">
        <v>55</v>
      </c>
      <c r="B3235" s="4"/>
      <c r="C3235" s="4" t="s">
        <v>57</v>
      </c>
      <c r="D3235" s="4"/>
      <c r="E3235" s="1">
        <v>0</v>
      </c>
      <c r="F3235" s="1">
        <v>0</v>
      </c>
      <c r="G3235" s="1">
        <v>0</v>
      </c>
      <c r="H3235" s="1">
        <v>0</v>
      </c>
      <c r="I3235" s="1">
        <v>0</v>
      </c>
    </row>
    <row r="3236" spans="1:9" ht="23.25">
      <c r="A3236" s="4" t="s">
        <v>56</v>
      </c>
      <c r="B3236" s="4"/>
      <c r="C3236" s="4" t="s">
        <v>57</v>
      </c>
      <c r="D3236" s="4"/>
      <c r="E3236" s="1">
        <v>0</v>
      </c>
      <c r="F3236" s="1">
        <v>-40031160</v>
      </c>
      <c r="G3236" s="1">
        <v>-48270733</v>
      </c>
      <c r="H3236" s="1">
        <v>0</v>
      </c>
      <c r="I3236" s="1">
        <v>0</v>
      </c>
    </row>
    <row r="3237" spans="1:9" ht="23.25">
      <c r="A3237" s="4" t="s">
        <v>57</v>
      </c>
      <c r="B3237" s="4"/>
      <c r="C3237" s="4" t="s">
        <v>57</v>
      </c>
      <c r="D3237" s="4"/>
      <c r="E3237" s="1">
        <v>5121675</v>
      </c>
      <c r="F3237" s="1">
        <v>0</v>
      </c>
      <c r="G3237" s="1">
        <v>0</v>
      </c>
      <c r="H3237" s="1">
        <v>0</v>
      </c>
      <c r="I3237" s="1">
        <v>0</v>
      </c>
    </row>
    <row r="3238" spans="1:9" ht="23.25">
      <c r="A3238" s="4" t="s">
        <v>58</v>
      </c>
      <c r="B3238" s="4"/>
      <c r="C3238" s="4" t="s">
        <v>57</v>
      </c>
      <c r="D3238" s="4"/>
      <c r="E3238" s="1">
        <v>1599032</v>
      </c>
      <c r="F3238" s="1">
        <v>0</v>
      </c>
      <c r="G3238" s="1">
        <v>0</v>
      </c>
      <c r="H3238" s="1">
        <v>-8491474</v>
      </c>
      <c r="I3238" s="1">
        <v>0</v>
      </c>
    </row>
    <row r="3239" spans="1:9" ht="23.25">
      <c r="A3239" s="4" t="s">
        <v>59</v>
      </c>
      <c r="B3239" s="4"/>
      <c r="C3239" s="4" t="s">
        <v>57</v>
      </c>
      <c r="D3239" s="4"/>
      <c r="E3239" s="1">
        <v>4502438</v>
      </c>
      <c r="F3239" s="1">
        <v>0</v>
      </c>
      <c r="G3239" s="1">
        <v>0</v>
      </c>
      <c r="H3239" s="1">
        <v>0</v>
      </c>
      <c r="I3239" s="1">
        <v>0</v>
      </c>
    </row>
    <row r="3240" spans="1:9" ht="23.25">
      <c r="A3240" s="4" t="s">
        <v>60</v>
      </c>
      <c r="B3240" s="4"/>
      <c r="C3240" s="4" t="s">
        <v>57</v>
      </c>
      <c r="D3240" s="4"/>
      <c r="E3240" s="1">
        <v>14812191</v>
      </c>
      <c r="F3240" s="1">
        <v>0</v>
      </c>
      <c r="G3240" s="1">
        <v>0</v>
      </c>
      <c r="H3240" s="1">
        <v>0</v>
      </c>
      <c r="I3240" s="1">
        <v>0</v>
      </c>
    </row>
    <row r="3241" spans="1:9" ht="23.25">
      <c r="A3241" s="4" t="s">
        <v>61</v>
      </c>
      <c r="B3241" s="4"/>
      <c r="C3241" s="4" t="s">
        <v>57</v>
      </c>
      <c r="D3241" s="4"/>
      <c r="E3241" s="1">
        <v>7302124</v>
      </c>
      <c r="F3241" s="1">
        <v>0</v>
      </c>
      <c r="G3241" s="1">
        <v>0</v>
      </c>
      <c r="H3241" s="1">
        <v>0</v>
      </c>
      <c r="I3241" s="1">
        <v>0</v>
      </c>
    </row>
    <row r="3242" spans="1:9" ht="23.25">
      <c r="A3242" s="4" t="s">
        <v>62</v>
      </c>
      <c r="B3242" s="4"/>
      <c r="C3242" s="4" t="s">
        <v>57</v>
      </c>
      <c r="D3242" s="4"/>
      <c r="E3242" s="1">
        <v>20537023</v>
      </c>
      <c r="F3242" s="1">
        <v>0</v>
      </c>
      <c r="G3242" s="1">
        <v>0</v>
      </c>
      <c r="H3242" s="1">
        <v>0</v>
      </c>
      <c r="I3242" s="1">
        <v>0</v>
      </c>
    </row>
    <row r="3243" spans="1:9" ht="23.25">
      <c r="A3243" s="4" t="s">
        <v>63</v>
      </c>
      <c r="B3243" s="4"/>
      <c r="C3243" s="4" t="s">
        <v>57</v>
      </c>
      <c r="D3243" s="4"/>
      <c r="E3243" s="1">
        <v>2075687</v>
      </c>
      <c r="F3243" s="1">
        <v>0</v>
      </c>
      <c r="G3243" s="1">
        <v>0</v>
      </c>
      <c r="H3243" s="1">
        <v>0</v>
      </c>
      <c r="I3243" s="1">
        <v>0</v>
      </c>
    </row>
    <row r="3244" spans="1:9" ht="23.25">
      <c r="A3244" s="4" t="s">
        <v>64</v>
      </c>
      <c r="B3244" s="4"/>
      <c r="C3244" s="4" t="s">
        <v>57</v>
      </c>
      <c r="D3244" s="4"/>
      <c r="E3244" s="1">
        <v>3970159</v>
      </c>
      <c r="F3244" s="1">
        <v>0</v>
      </c>
      <c r="G3244" s="1">
        <v>0</v>
      </c>
      <c r="H3244" s="1">
        <v>0</v>
      </c>
      <c r="I3244" s="1">
        <v>0</v>
      </c>
    </row>
    <row r="3245" spans="1:9" ht="23.25">
      <c r="A3245" s="4" t="s">
        <v>65</v>
      </c>
      <c r="B3245" s="4"/>
      <c r="C3245" s="4" t="s">
        <v>57</v>
      </c>
      <c r="D3245" s="4"/>
      <c r="E3245" s="1">
        <v>2217831</v>
      </c>
      <c r="F3245" s="1">
        <v>0</v>
      </c>
      <c r="G3245" s="1">
        <v>0</v>
      </c>
      <c r="H3245" s="1">
        <v>0</v>
      </c>
      <c r="I3245" s="1">
        <v>257780</v>
      </c>
    </row>
    <row r="3246" spans="1:9" ht="23.25">
      <c r="A3246" s="4" t="s">
        <v>66</v>
      </c>
      <c r="B3246" s="4"/>
      <c r="C3246" s="4" t="s">
        <v>57</v>
      </c>
      <c r="D3246" s="4"/>
      <c r="E3246" s="1">
        <v>875765624</v>
      </c>
      <c r="F3246" s="1">
        <v>0</v>
      </c>
      <c r="G3246" s="1">
        <v>0</v>
      </c>
      <c r="H3246" s="1">
        <v>0</v>
      </c>
      <c r="I3246" s="1">
        <v>115681514</v>
      </c>
    </row>
    <row r="3247" spans="1:9" ht="23.25">
      <c r="A3247" s="4" t="s">
        <v>67</v>
      </c>
      <c r="B3247" s="4"/>
      <c r="C3247" s="4" t="s">
        <v>57</v>
      </c>
      <c r="D3247" s="4"/>
      <c r="E3247" s="1">
        <v>127021412</v>
      </c>
      <c r="F3247" s="1">
        <v>0</v>
      </c>
      <c r="G3247" s="1">
        <v>0</v>
      </c>
      <c r="H3247" s="1">
        <v>0</v>
      </c>
      <c r="I3247" s="1">
        <v>0</v>
      </c>
    </row>
    <row r="3248" spans="1:9" ht="23.25">
      <c r="A3248" s="4" t="s">
        <v>68</v>
      </c>
      <c r="B3248" s="4"/>
      <c r="C3248" s="4" t="s">
        <v>57</v>
      </c>
      <c r="D3248" s="4"/>
      <c r="E3248" s="1">
        <v>151103069</v>
      </c>
      <c r="F3248" s="1">
        <v>0</v>
      </c>
      <c r="G3248" s="1">
        <v>0</v>
      </c>
      <c r="H3248" s="1">
        <v>0</v>
      </c>
      <c r="I3248" s="1">
        <v>0</v>
      </c>
    </row>
    <row r="3249" spans="1:9" ht="23.25">
      <c r="A3249" s="4" t="s">
        <v>69</v>
      </c>
      <c r="B3249" s="4"/>
      <c r="C3249" s="4" t="s">
        <v>57</v>
      </c>
      <c r="D3249" s="4"/>
      <c r="E3249" s="1">
        <v>99217482</v>
      </c>
      <c r="F3249" s="1">
        <v>0</v>
      </c>
      <c r="G3249" s="1">
        <v>0</v>
      </c>
      <c r="H3249" s="1">
        <v>0</v>
      </c>
      <c r="I3249" s="1">
        <v>0</v>
      </c>
    </row>
    <row r="3250" spans="1:9" ht="23.25">
      <c r="A3250" s="4" t="s">
        <v>70</v>
      </c>
      <c r="B3250" s="4"/>
      <c r="C3250" s="4" t="s">
        <v>57</v>
      </c>
      <c r="D3250" s="4"/>
      <c r="E3250" s="1">
        <v>39525716</v>
      </c>
      <c r="F3250" s="1">
        <v>0</v>
      </c>
      <c r="G3250" s="1">
        <v>0</v>
      </c>
      <c r="H3250" s="1">
        <v>0</v>
      </c>
      <c r="I3250" s="1">
        <v>0</v>
      </c>
    </row>
    <row r="3251" spans="1:9" ht="23.25">
      <c r="A3251" s="4" t="s">
        <v>71</v>
      </c>
      <c r="B3251" s="4"/>
      <c r="C3251" s="4" t="s">
        <v>57</v>
      </c>
      <c r="D3251" s="4"/>
      <c r="E3251" s="1">
        <v>416867679</v>
      </c>
      <c r="F3251" s="1">
        <v>0</v>
      </c>
      <c r="G3251" s="1">
        <v>0</v>
      </c>
      <c r="H3251" s="1">
        <v>0</v>
      </c>
      <c r="I3251" s="1">
        <v>0</v>
      </c>
    </row>
    <row r="3252" spans="1:9" ht="23.25">
      <c r="A3252" s="4" t="s">
        <v>72</v>
      </c>
      <c r="B3252" s="4"/>
      <c r="C3252" s="4" t="s">
        <v>57</v>
      </c>
      <c r="D3252" s="4"/>
      <c r="E3252" s="1">
        <v>1292633303</v>
      </c>
      <c r="F3252" s="1">
        <v>0</v>
      </c>
      <c r="G3252" s="1">
        <v>0</v>
      </c>
      <c r="H3252" s="1">
        <v>0</v>
      </c>
      <c r="I3252" s="1">
        <v>0</v>
      </c>
    </row>
    <row r="3253" spans="1:9" ht="23.25">
      <c r="A3253" s="4" t="s">
        <v>8</v>
      </c>
      <c r="B3253" s="4"/>
      <c r="C3253" s="4" t="s">
        <v>58</v>
      </c>
      <c r="D3253" s="4"/>
      <c r="E3253" s="1">
        <v>0</v>
      </c>
      <c r="F3253" s="1">
        <v>0</v>
      </c>
      <c r="G3253" s="1">
        <v>0</v>
      </c>
      <c r="H3253" s="1">
        <v>0</v>
      </c>
      <c r="I3253" s="1">
        <v>0</v>
      </c>
    </row>
    <row r="3254" spans="1:9" ht="23.25">
      <c r="A3254" s="4" t="s">
        <v>9</v>
      </c>
      <c r="B3254" s="4"/>
      <c r="C3254" s="4" t="s">
        <v>58</v>
      </c>
      <c r="D3254" s="4"/>
      <c r="E3254" s="1">
        <v>0</v>
      </c>
      <c r="F3254" s="1">
        <v>0</v>
      </c>
      <c r="G3254" s="1">
        <v>0</v>
      </c>
      <c r="H3254" s="1">
        <v>0</v>
      </c>
      <c r="I3254" s="1">
        <v>0</v>
      </c>
    </row>
    <row r="3255" spans="1:9" ht="23.25">
      <c r="A3255" s="4" t="s">
        <v>10</v>
      </c>
      <c r="B3255" s="4"/>
      <c r="C3255" s="4" t="s">
        <v>58</v>
      </c>
      <c r="D3255" s="4"/>
      <c r="E3255" s="1">
        <v>0</v>
      </c>
      <c r="F3255" s="1">
        <v>0</v>
      </c>
      <c r="G3255" s="1">
        <v>0</v>
      </c>
      <c r="H3255" s="1">
        <v>0</v>
      </c>
      <c r="I3255" s="1">
        <v>0</v>
      </c>
    </row>
    <row r="3256" spans="1:9" ht="23.25">
      <c r="A3256" s="4" t="s">
        <v>11</v>
      </c>
      <c r="B3256" s="4"/>
      <c r="C3256" s="4" t="s">
        <v>58</v>
      </c>
      <c r="D3256" s="4"/>
      <c r="E3256" s="1">
        <v>0</v>
      </c>
      <c r="F3256" s="1">
        <v>0</v>
      </c>
      <c r="G3256" s="1">
        <v>0</v>
      </c>
      <c r="H3256" s="1">
        <v>0</v>
      </c>
      <c r="I3256" s="1">
        <v>0</v>
      </c>
    </row>
    <row r="3257" spans="1:9" ht="23.25">
      <c r="A3257" s="4" t="s">
        <v>12</v>
      </c>
      <c r="B3257" s="4"/>
      <c r="C3257" s="4" t="s">
        <v>58</v>
      </c>
      <c r="D3257" s="4"/>
      <c r="E3257" s="1">
        <v>36428</v>
      </c>
      <c r="F3257" s="1">
        <v>504</v>
      </c>
      <c r="G3257" s="1">
        <v>1108</v>
      </c>
      <c r="H3257" s="1">
        <v>177</v>
      </c>
      <c r="I3257" s="1">
        <v>0</v>
      </c>
    </row>
    <row r="3258" spans="1:9" ht="23.25">
      <c r="A3258" s="4" t="s">
        <v>13</v>
      </c>
      <c r="B3258" s="4"/>
      <c r="C3258" s="4" t="s">
        <v>58</v>
      </c>
      <c r="D3258" s="4"/>
      <c r="E3258" s="1">
        <v>0</v>
      </c>
      <c r="F3258" s="1">
        <v>0</v>
      </c>
      <c r="G3258" s="1">
        <v>0</v>
      </c>
      <c r="H3258" s="1">
        <v>0</v>
      </c>
      <c r="I3258" s="1">
        <v>0</v>
      </c>
    </row>
    <row r="3259" spans="1:9" ht="23.25">
      <c r="A3259" s="4" t="s">
        <v>14</v>
      </c>
      <c r="B3259" s="4"/>
      <c r="C3259" s="4" t="s">
        <v>58</v>
      </c>
      <c r="D3259" s="4"/>
      <c r="E3259" s="1">
        <v>0</v>
      </c>
      <c r="F3259" s="1">
        <v>0</v>
      </c>
      <c r="G3259" s="1">
        <v>0</v>
      </c>
      <c r="H3259" s="1">
        <v>0</v>
      </c>
      <c r="I3259" s="1">
        <v>0</v>
      </c>
    </row>
    <row r="3260" spans="1:9" ht="23.25">
      <c r="A3260" s="4" t="s">
        <v>15</v>
      </c>
      <c r="B3260" s="4"/>
      <c r="C3260" s="4" t="s">
        <v>58</v>
      </c>
      <c r="D3260" s="4"/>
      <c r="E3260" s="1">
        <v>0</v>
      </c>
      <c r="F3260" s="1">
        <v>0</v>
      </c>
      <c r="G3260" s="1">
        <v>0</v>
      </c>
      <c r="H3260" s="1">
        <v>0</v>
      </c>
      <c r="I3260" s="1">
        <v>0</v>
      </c>
    </row>
    <row r="3261" spans="1:9" ht="23.25">
      <c r="A3261" s="4" t="s">
        <v>16</v>
      </c>
      <c r="B3261" s="4"/>
      <c r="C3261" s="4" t="s">
        <v>58</v>
      </c>
      <c r="D3261" s="4"/>
      <c r="E3261" s="1">
        <v>0</v>
      </c>
      <c r="F3261" s="1">
        <v>0</v>
      </c>
      <c r="G3261" s="1">
        <v>0</v>
      </c>
      <c r="H3261" s="1">
        <v>0</v>
      </c>
      <c r="I3261" s="1">
        <v>0</v>
      </c>
    </row>
    <row r="3262" spans="1:9" ht="23.25">
      <c r="A3262" s="4" t="s">
        <v>17</v>
      </c>
      <c r="B3262" s="4"/>
      <c r="C3262" s="4" t="s">
        <v>58</v>
      </c>
      <c r="D3262" s="4"/>
      <c r="E3262" s="1">
        <v>0</v>
      </c>
      <c r="F3262" s="1">
        <v>0</v>
      </c>
      <c r="G3262" s="1">
        <v>0</v>
      </c>
      <c r="H3262" s="1">
        <v>0</v>
      </c>
      <c r="I3262" s="1">
        <v>0</v>
      </c>
    </row>
    <row r="3263" spans="1:9" ht="23.25">
      <c r="A3263" s="4" t="s">
        <v>18</v>
      </c>
      <c r="B3263" s="4"/>
      <c r="C3263" s="4" t="s">
        <v>58</v>
      </c>
      <c r="D3263" s="4"/>
      <c r="E3263" s="1">
        <v>0</v>
      </c>
      <c r="F3263" s="1">
        <v>0</v>
      </c>
      <c r="G3263" s="1">
        <v>0</v>
      </c>
      <c r="H3263" s="1">
        <v>0</v>
      </c>
      <c r="I3263" s="1">
        <v>0</v>
      </c>
    </row>
    <row r="3264" spans="1:9" ht="23.25">
      <c r="A3264" s="4" t="s">
        <v>19</v>
      </c>
      <c r="B3264" s="4"/>
      <c r="C3264" s="4" t="s">
        <v>58</v>
      </c>
      <c r="D3264" s="4"/>
      <c r="E3264" s="1">
        <v>0</v>
      </c>
      <c r="F3264" s="1">
        <v>0</v>
      </c>
      <c r="G3264" s="1">
        <v>0</v>
      </c>
      <c r="H3264" s="1">
        <v>0</v>
      </c>
      <c r="I3264" s="1">
        <v>0</v>
      </c>
    </row>
    <row r="3265" spans="1:9" ht="23.25">
      <c r="A3265" s="4" t="s">
        <v>20</v>
      </c>
      <c r="B3265" s="4"/>
      <c r="C3265" s="4" t="s">
        <v>58</v>
      </c>
      <c r="D3265" s="4"/>
      <c r="E3265" s="1">
        <v>0</v>
      </c>
      <c r="F3265" s="1">
        <v>0</v>
      </c>
      <c r="G3265" s="1">
        <v>0</v>
      </c>
      <c r="H3265" s="1">
        <v>0</v>
      </c>
      <c r="I3265" s="1">
        <v>0</v>
      </c>
    </row>
    <row r="3266" spans="1:9" ht="23.25">
      <c r="A3266" s="4" t="s">
        <v>21</v>
      </c>
      <c r="B3266" s="4"/>
      <c r="C3266" s="4" t="s">
        <v>58</v>
      </c>
      <c r="D3266" s="4"/>
      <c r="E3266" s="1">
        <v>17372</v>
      </c>
      <c r="F3266" s="1">
        <v>786</v>
      </c>
      <c r="G3266" s="1">
        <v>0</v>
      </c>
      <c r="H3266" s="1">
        <v>2497</v>
      </c>
      <c r="I3266" s="1">
        <v>0</v>
      </c>
    </row>
    <row r="3267" spans="1:9" ht="23.25">
      <c r="A3267" s="4" t="s">
        <v>22</v>
      </c>
      <c r="B3267" s="4"/>
      <c r="C3267" s="4" t="s">
        <v>58</v>
      </c>
      <c r="D3267" s="4"/>
      <c r="E3267" s="1">
        <v>0</v>
      </c>
      <c r="F3267" s="1">
        <v>0</v>
      </c>
      <c r="G3267" s="1">
        <v>0</v>
      </c>
      <c r="H3267" s="1">
        <v>0</v>
      </c>
      <c r="I3267" s="1">
        <v>0</v>
      </c>
    </row>
    <row r="3268" spans="1:9" ht="23.25">
      <c r="A3268" s="4" t="s">
        <v>23</v>
      </c>
      <c r="B3268" s="4"/>
      <c r="C3268" s="4" t="s">
        <v>58</v>
      </c>
      <c r="D3268" s="4"/>
      <c r="E3268" s="1">
        <v>24106</v>
      </c>
      <c r="F3268" s="1">
        <v>868</v>
      </c>
      <c r="G3268" s="1">
        <v>853</v>
      </c>
      <c r="H3268" s="1">
        <v>310</v>
      </c>
      <c r="I3268" s="1">
        <v>0</v>
      </c>
    </row>
    <row r="3269" spans="1:9" ht="23.25">
      <c r="A3269" s="4" t="s">
        <v>24</v>
      </c>
      <c r="B3269" s="4"/>
      <c r="C3269" s="4" t="s">
        <v>58</v>
      </c>
      <c r="D3269" s="4"/>
      <c r="E3269" s="1">
        <v>0</v>
      </c>
      <c r="F3269" s="1">
        <v>0</v>
      </c>
      <c r="G3269" s="1">
        <v>0</v>
      </c>
      <c r="H3269" s="1">
        <v>0</v>
      </c>
      <c r="I3269" s="1">
        <v>0</v>
      </c>
    </row>
    <row r="3270" spans="1:9" ht="23.25">
      <c r="A3270" s="4" t="s">
        <v>25</v>
      </c>
      <c r="B3270" s="4"/>
      <c r="C3270" s="4" t="s">
        <v>58</v>
      </c>
      <c r="D3270" s="4"/>
      <c r="E3270" s="1">
        <v>9794</v>
      </c>
      <c r="F3270" s="1">
        <v>352</v>
      </c>
      <c r="G3270" s="1">
        <v>321</v>
      </c>
      <c r="H3270" s="1">
        <v>164</v>
      </c>
      <c r="I3270" s="1">
        <v>0</v>
      </c>
    </row>
    <row r="3271" spans="1:9" ht="23.25">
      <c r="A3271" s="4" t="s">
        <v>26</v>
      </c>
      <c r="B3271" s="4"/>
      <c r="C3271" s="4" t="s">
        <v>58</v>
      </c>
      <c r="D3271" s="4"/>
      <c r="E3271" s="1">
        <v>469978</v>
      </c>
      <c r="F3271" s="1">
        <v>13961</v>
      </c>
      <c r="G3271" s="1">
        <v>33399</v>
      </c>
      <c r="H3271" s="1">
        <v>4664</v>
      </c>
      <c r="I3271" s="1">
        <v>0</v>
      </c>
    </row>
    <row r="3272" spans="1:9" ht="23.25">
      <c r="A3272" s="4" t="s">
        <v>27</v>
      </c>
      <c r="B3272" s="4"/>
      <c r="C3272" s="4" t="s">
        <v>58</v>
      </c>
      <c r="D3272" s="4"/>
      <c r="E3272" s="1">
        <v>0</v>
      </c>
      <c r="F3272" s="1">
        <v>0</v>
      </c>
      <c r="G3272" s="1">
        <v>0</v>
      </c>
      <c r="H3272" s="1">
        <v>0</v>
      </c>
      <c r="I3272" s="1">
        <v>0</v>
      </c>
    </row>
    <row r="3273" spans="1:9" ht="23.25">
      <c r="A3273" s="4" t="s">
        <v>28</v>
      </c>
      <c r="B3273" s="4"/>
      <c r="C3273" s="4" t="s">
        <v>58</v>
      </c>
      <c r="D3273" s="4"/>
      <c r="E3273" s="1">
        <v>560196</v>
      </c>
      <c r="F3273" s="1">
        <v>39675</v>
      </c>
      <c r="G3273" s="1">
        <v>68594</v>
      </c>
      <c r="H3273" s="1">
        <v>12567</v>
      </c>
      <c r="I3273" s="1">
        <v>0</v>
      </c>
    </row>
    <row r="3274" spans="1:9" ht="23.25">
      <c r="A3274" s="4" t="s">
        <v>29</v>
      </c>
      <c r="B3274" s="4"/>
      <c r="C3274" s="4" t="s">
        <v>58</v>
      </c>
      <c r="D3274" s="4"/>
      <c r="E3274" s="1">
        <v>0</v>
      </c>
      <c r="F3274" s="1">
        <v>0</v>
      </c>
      <c r="G3274" s="1">
        <v>0</v>
      </c>
      <c r="H3274" s="1">
        <v>0</v>
      </c>
      <c r="I3274" s="1">
        <v>0</v>
      </c>
    </row>
    <row r="3275" spans="1:9" ht="23.25">
      <c r="A3275" s="4" t="s">
        <v>30</v>
      </c>
      <c r="B3275" s="4"/>
      <c r="C3275" s="4" t="s">
        <v>58</v>
      </c>
      <c r="D3275" s="4"/>
      <c r="E3275" s="1">
        <v>0</v>
      </c>
      <c r="F3275" s="1">
        <v>0</v>
      </c>
      <c r="G3275" s="1">
        <v>0</v>
      </c>
      <c r="H3275" s="1">
        <v>0</v>
      </c>
      <c r="I3275" s="1">
        <v>0</v>
      </c>
    </row>
    <row r="3276" spans="1:9" ht="23.25">
      <c r="A3276" s="4" t="s">
        <v>31</v>
      </c>
      <c r="B3276" s="4"/>
      <c r="C3276" s="4" t="s">
        <v>58</v>
      </c>
      <c r="D3276" s="4"/>
      <c r="E3276" s="1">
        <v>876772</v>
      </c>
      <c r="F3276" s="1">
        <v>74927</v>
      </c>
      <c r="G3276" s="1">
        <v>89561</v>
      </c>
      <c r="H3276" s="1">
        <v>5629</v>
      </c>
      <c r="I3276" s="1">
        <v>92963</v>
      </c>
    </row>
    <row r="3277" spans="1:9" ht="23.25">
      <c r="A3277" s="4" t="s">
        <v>32</v>
      </c>
      <c r="B3277" s="4"/>
      <c r="C3277" s="4" t="s">
        <v>58</v>
      </c>
      <c r="D3277" s="4"/>
      <c r="E3277" s="1">
        <v>3130690</v>
      </c>
      <c r="F3277" s="1">
        <v>126053</v>
      </c>
      <c r="G3277" s="1">
        <v>102544</v>
      </c>
      <c r="H3277" s="1">
        <v>32910</v>
      </c>
      <c r="I3277" s="1">
        <v>425270</v>
      </c>
    </row>
    <row r="3278" spans="1:9" ht="23.25">
      <c r="A3278" s="4" t="s">
        <v>33</v>
      </c>
      <c r="B3278" s="4"/>
      <c r="C3278" s="4" t="s">
        <v>58</v>
      </c>
      <c r="D3278" s="4"/>
      <c r="E3278" s="1">
        <v>559167</v>
      </c>
      <c r="F3278" s="1">
        <v>41208</v>
      </c>
      <c r="G3278" s="1">
        <v>85891</v>
      </c>
      <c r="H3278" s="1">
        <v>6429</v>
      </c>
      <c r="I3278" s="1">
        <v>0</v>
      </c>
    </row>
    <row r="3279" spans="1:9" ht="23.25">
      <c r="A3279" s="4" t="s">
        <v>34</v>
      </c>
      <c r="B3279" s="4"/>
      <c r="C3279" s="4" t="s">
        <v>58</v>
      </c>
      <c r="D3279" s="4"/>
      <c r="E3279" s="1">
        <v>79812</v>
      </c>
      <c r="F3279" s="1">
        <v>9907</v>
      </c>
      <c r="G3279" s="1">
        <v>2719</v>
      </c>
      <c r="H3279" s="1">
        <v>1554</v>
      </c>
      <c r="I3279" s="1">
        <v>43014</v>
      </c>
    </row>
    <row r="3280" spans="1:9" ht="23.25">
      <c r="A3280" s="4" t="s">
        <v>35</v>
      </c>
      <c r="B3280" s="4"/>
      <c r="C3280" s="4" t="s">
        <v>58</v>
      </c>
      <c r="D3280" s="4"/>
      <c r="E3280" s="1">
        <v>0</v>
      </c>
      <c r="F3280" s="1">
        <v>0</v>
      </c>
      <c r="G3280" s="1">
        <v>0</v>
      </c>
      <c r="H3280" s="1">
        <v>0</v>
      </c>
      <c r="I3280" s="1">
        <v>0</v>
      </c>
    </row>
    <row r="3281" spans="1:9" ht="23.25">
      <c r="A3281" s="4" t="s">
        <v>36</v>
      </c>
      <c r="B3281" s="4"/>
      <c r="C3281" s="4" t="s">
        <v>58</v>
      </c>
      <c r="D3281" s="4"/>
      <c r="E3281" s="1">
        <v>1742914</v>
      </c>
      <c r="F3281" s="1">
        <v>122100</v>
      </c>
      <c r="G3281" s="1">
        <v>156089</v>
      </c>
      <c r="H3281" s="1">
        <v>19482</v>
      </c>
      <c r="I3281" s="1">
        <v>155919</v>
      </c>
    </row>
    <row r="3282" spans="1:9" ht="23.25">
      <c r="A3282" s="4" t="s">
        <v>37</v>
      </c>
      <c r="B3282" s="4"/>
      <c r="C3282" s="4" t="s">
        <v>58</v>
      </c>
      <c r="D3282" s="4"/>
      <c r="E3282" s="1">
        <v>257749541</v>
      </c>
      <c r="F3282" s="1">
        <v>12395122</v>
      </c>
      <c r="G3282" s="1">
        <v>13427149</v>
      </c>
      <c r="H3282" s="1">
        <v>2170237</v>
      </c>
      <c r="I3282" s="1">
        <v>47221288</v>
      </c>
    </row>
    <row r="3283" spans="1:9" ht="23.25">
      <c r="A3283" s="4" t="s">
        <v>38</v>
      </c>
      <c r="B3283" s="4"/>
      <c r="C3283" s="4" t="s">
        <v>58</v>
      </c>
      <c r="D3283" s="4"/>
      <c r="E3283" s="1">
        <v>10447151</v>
      </c>
      <c r="F3283" s="1">
        <v>863733</v>
      </c>
      <c r="G3283" s="1">
        <v>945565</v>
      </c>
      <c r="H3283" s="1">
        <v>127307</v>
      </c>
      <c r="I3283" s="1">
        <v>0</v>
      </c>
    </row>
    <row r="3284" spans="1:9" ht="23.25">
      <c r="A3284" s="4" t="s">
        <v>39</v>
      </c>
      <c r="B3284" s="4"/>
      <c r="C3284" s="4" t="s">
        <v>58</v>
      </c>
      <c r="D3284" s="4"/>
      <c r="E3284" s="1">
        <v>2382804</v>
      </c>
      <c r="F3284" s="1">
        <v>64175</v>
      </c>
      <c r="G3284" s="1">
        <v>69783</v>
      </c>
      <c r="H3284" s="1">
        <v>16045</v>
      </c>
      <c r="I3284" s="1">
        <v>582369</v>
      </c>
    </row>
    <row r="3285" spans="1:9" ht="23.25">
      <c r="A3285" s="4" t="s">
        <v>40</v>
      </c>
      <c r="B3285" s="4"/>
      <c r="C3285" s="4" t="s">
        <v>58</v>
      </c>
      <c r="D3285" s="4"/>
      <c r="E3285" s="1">
        <v>0</v>
      </c>
      <c r="F3285" s="1">
        <v>0</v>
      </c>
      <c r="G3285" s="1">
        <v>0</v>
      </c>
      <c r="H3285" s="1">
        <v>0</v>
      </c>
      <c r="I3285" s="1">
        <v>0</v>
      </c>
    </row>
    <row r="3286" spans="1:9" ht="23.25">
      <c r="A3286" s="4" t="s">
        <v>41</v>
      </c>
      <c r="B3286" s="4"/>
      <c r="C3286" s="4" t="s">
        <v>58</v>
      </c>
      <c r="D3286" s="4"/>
      <c r="E3286" s="1">
        <v>660</v>
      </c>
      <c r="F3286" s="1">
        <v>48</v>
      </c>
      <c r="G3286" s="1">
        <v>51</v>
      </c>
      <c r="H3286" s="1">
        <v>8</v>
      </c>
      <c r="I3286" s="1">
        <v>0</v>
      </c>
    </row>
    <row r="3287" spans="1:9" ht="23.25">
      <c r="A3287" s="4" t="s">
        <v>42</v>
      </c>
      <c r="B3287" s="4"/>
      <c r="C3287" s="4" t="s">
        <v>58</v>
      </c>
      <c r="D3287" s="4"/>
      <c r="E3287" s="1">
        <v>643573</v>
      </c>
      <c r="F3287" s="1">
        <v>26614</v>
      </c>
      <c r="G3287" s="1">
        <v>45216</v>
      </c>
      <c r="H3287" s="1">
        <v>8324</v>
      </c>
      <c r="I3287" s="1">
        <v>169166</v>
      </c>
    </row>
    <row r="3288" spans="1:9" ht="23.25">
      <c r="A3288" s="4" t="s">
        <v>43</v>
      </c>
      <c r="B3288" s="4"/>
      <c r="C3288" s="4" t="s">
        <v>58</v>
      </c>
      <c r="D3288" s="4"/>
      <c r="E3288" s="1">
        <v>0</v>
      </c>
      <c r="F3288" s="1">
        <v>0</v>
      </c>
      <c r="G3288" s="1">
        <v>0</v>
      </c>
      <c r="H3288" s="1">
        <v>0</v>
      </c>
      <c r="I3288" s="1">
        <v>0</v>
      </c>
    </row>
    <row r="3289" spans="1:9" ht="23.25">
      <c r="A3289" s="4" t="s">
        <v>44</v>
      </c>
      <c r="B3289" s="4"/>
      <c r="C3289" s="4" t="s">
        <v>58</v>
      </c>
      <c r="D3289" s="4"/>
      <c r="E3289" s="1">
        <v>4011713</v>
      </c>
      <c r="F3289" s="1">
        <v>48441</v>
      </c>
      <c r="G3289" s="1">
        <v>134025</v>
      </c>
      <c r="H3289" s="1">
        <v>8495</v>
      </c>
      <c r="I3289" s="1">
        <v>2757218</v>
      </c>
    </row>
    <row r="3290" spans="1:9" ht="23.25">
      <c r="A3290" s="4" t="s">
        <v>45</v>
      </c>
      <c r="B3290" s="4"/>
      <c r="C3290" s="4" t="s">
        <v>58</v>
      </c>
      <c r="D3290" s="4"/>
      <c r="E3290" s="1">
        <v>3190566</v>
      </c>
      <c r="F3290" s="1">
        <v>235939</v>
      </c>
      <c r="G3290" s="1">
        <v>0</v>
      </c>
      <c r="H3290" s="1">
        <v>34036</v>
      </c>
      <c r="I3290" s="1">
        <v>40089</v>
      </c>
    </row>
    <row r="3291" spans="1:9" ht="23.25">
      <c r="A3291" s="4" t="s">
        <v>46</v>
      </c>
      <c r="B3291" s="4"/>
      <c r="C3291" s="4" t="s">
        <v>58</v>
      </c>
      <c r="D3291" s="4"/>
      <c r="E3291" s="1">
        <v>2883208</v>
      </c>
      <c r="F3291" s="1">
        <v>164663</v>
      </c>
      <c r="G3291" s="1">
        <v>138636</v>
      </c>
      <c r="H3291" s="1">
        <v>17343</v>
      </c>
      <c r="I3291" s="1">
        <v>335599</v>
      </c>
    </row>
    <row r="3292" spans="1:9" ht="23.25">
      <c r="A3292" s="4" t="s">
        <v>47</v>
      </c>
      <c r="B3292" s="4"/>
      <c r="C3292" s="4" t="s">
        <v>58</v>
      </c>
      <c r="D3292" s="4"/>
      <c r="E3292" s="1">
        <v>150650315</v>
      </c>
      <c r="F3292" s="1">
        <v>1230863</v>
      </c>
      <c r="G3292" s="1">
        <v>857886</v>
      </c>
      <c r="H3292" s="1">
        <v>50497</v>
      </c>
      <c r="I3292" s="1">
        <v>0</v>
      </c>
    </row>
    <row r="3293" spans="1:9" ht="23.25">
      <c r="A3293" s="4" t="s">
        <v>48</v>
      </c>
      <c r="B3293" s="4"/>
      <c r="C3293" s="4" t="s">
        <v>58</v>
      </c>
      <c r="D3293" s="4"/>
      <c r="E3293" s="1">
        <v>16207608</v>
      </c>
      <c r="F3293" s="1">
        <v>799038</v>
      </c>
      <c r="G3293" s="1">
        <v>0</v>
      </c>
      <c r="H3293" s="1">
        <v>285231</v>
      </c>
      <c r="I3293" s="1">
        <v>3882409</v>
      </c>
    </row>
    <row r="3294" spans="1:9" ht="23.25">
      <c r="A3294" s="4" t="s">
        <v>49</v>
      </c>
      <c r="B3294" s="4"/>
      <c r="C3294" s="4" t="s">
        <v>58</v>
      </c>
      <c r="D3294" s="4"/>
      <c r="E3294" s="1">
        <v>0</v>
      </c>
      <c r="F3294" s="1">
        <v>0</v>
      </c>
      <c r="G3294" s="1">
        <v>0</v>
      </c>
      <c r="H3294" s="1">
        <v>0</v>
      </c>
      <c r="I3294" s="1">
        <v>0</v>
      </c>
    </row>
    <row r="3295" spans="1:9" ht="23.25">
      <c r="A3295" s="4" t="s">
        <v>50</v>
      </c>
      <c r="B3295" s="4"/>
      <c r="C3295" s="4" t="s">
        <v>58</v>
      </c>
      <c r="D3295" s="4"/>
      <c r="E3295" s="1">
        <v>4198818</v>
      </c>
      <c r="F3295" s="1">
        <v>316282</v>
      </c>
      <c r="G3295" s="1">
        <v>216765</v>
      </c>
      <c r="H3295" s="1">
        <v>31804</v>
      </c>
      <c r="I3295" s="1">
        <v>0</v>
      </c>
    </row>
    <row r="3296" spans="1:9" ht="23.25">
      <c r="A3296" s="4" t="s">
        <v>51</v>
      </c>
      <c r="B3296" s="4"/>
      <c r="C3296" s="4" t="s">
        <v>58</v>
      </c>
      <c r="D3296" s="4"/>
      <c r="E3296" s="1">
        <v>1370862</v>
      </c>
      <c r="F3296" s="1">
        <v>98482</v>
      </c>
      <c r="G3296" s="1">
        <v>92306</v>
      </c>
      <c r="H3296" s="1">
        <v>15937</v>
      </c>
      <c r="I3296" s="1">
        <v>337</v>
      </c>
    </row>
    <row r="3297" spans="1:9" ht="23.25">
      <c r="A3297" s="4" t="s">
        <v>52</v>
      </c>
      <c r="B3297" s="4"/>
      <c r="C3297" s="4" t="s">
        <v>58</v>
      </c>
      <c r="D3297" s="4"/>
      <c r="E3297" s="1">
        <v>109690959</v>
      </c>
      <c r="F3297" s="1">
        <v>938394</v>
      </c>
      <c r="G3297" s="1">
        <v>1382344</v>
      </c>
      <c r="H3297" s="1">
        <v>255163</v>
      </c>
      <c r="I3297" s="1">
        <v>0</v>
      </c>
    </row>
    <row r="3298" spans="1:9" ht="23.25">
      <c r="A3298" s="4" t="s">
        <v>53</v>
      </c>
      <c r="B3298" s="4"/>
      <c r="C3298" s="4" t="s">
        <v>58</v>
      </c>
      <c r="D3298" s="4"/>
      <c r="E3298" s="1">
        <v>429229</v>
      </c>
      <c r="F3298" s="1">
        <v>0</v>
      </c>
      <c r="G3298" s="1">
        <v>0</v>
      </c>
      <c r="H3298" s="1">
        <v>0</v>
      </c>
      <c r="I3298" s="1">
        <v>0</v>
      </c>
    </row>
    <row r="3299" spans="1:9" ht="23.25">
      <c r="A3299" s="4" t="s">
        <v>54</v>
      </c>
      <c r="B3299" s="4"/>
      <c r="C3299" s="4" t="s">
        <v>58</v>
      </c>
      <c r="D3299" s="4"/>
      <c r="E3299" s="1">
        <v>586004</v>
      </c>
      <c r="F3299" s="1">
        <v>0</v>
      </c>
      <c r="G3299" s="1">
        <v>0</v>
      </c>
      <c r="H3299" s="1">
        <v>0</v>
      </c>
      <c r="I3299" s="1">
        <v>0</v>
      </c>
    </row>
    <row r="3300" spans="1:9" ht="23.25">
      <c r="A3300" s="4" t="s">
        <v>55</v>
      </c>
      <c r="B3300" s="4"/>
      <c r="C3300" s="4" t="s">
        <v>58</v>
      </c>
      <c r="D3300" s="4"/>
      <c r="E3300" s="1">
        <v>0</v>
      </c>
      <c r="F3300" s="1">
        <v>0</v>
      </c>
      <c r="G3300" s="1">
        <v>0</v>
      </c>
      <c r="H3300" s="1">
        <v>0</v>
      </c>
      <c r="I3300" s="1">
        <v>0</v>
      </c>
    </row>
    <row r="3301" spans="1:9" ht="23.25">
      <c r="A3301" s="4" t="s">
        <v>56</v>
      </c>
      <c r="B3301" s="4"/>
      <c r="C3301" s="4" t="s">
        <v>58</v>
      </c>
      <c r="D3301" s="4"/>
      <c r="E3301" s="1">
        <v>0</v>
      </c>
      <c r="F3301" s="1">
        <v>-17612135</v>
      </c>
      <c r="G3301" s="1">
        <v>-17850805</v>
      </c>
      <c r="H3301" s="1">
        <v>0</v>
      </c>
      <c r="I3301" s="1">
        <v>0</v>
      </c>
    </row>
    <row r="3302" spans="1:9" ht="23.25">
      <c r="A3302" s="4" t="s">
        <v>57</v>
      </c>
      <c r="B3302" s="4"/>
      <c r="C3302" s="4" t="s">
        <v>58</v>
      </c>
      <c r="D3302" s="4"/>
      <c r="E3302" s="1">
        <v>6020784</v>
      </c>
      <c r="F3302" s="1">
        <v>0</v>
      </c>
      <c r="G3302" s="1">
        <v>0</v>
      </c>
      <c r="H3302" s="1">
        <v>0</v>
      </c>
      <c r="I3302" s="1">
        <v>0</v>
      </c>
    </row>
    <row r="3303" spans="1:9" ht="23.25">
      <c r="A3303" s="4" t="s">
        <v>58</v>
      </c>
      <c r="B3303" s="4"/>
      <c r="C3303" s="4" t="s">
        <v>58</v>
      </c>
      <c r="D3303" s="4"/>
      <c r="E3303" s="1">
        <v>104631682</v>
      </c>
      <c r="F3303" s="1">
        <v>0</v>
      </c>
      <c r="G3303" s="1">
        <v>0</v>
      </c>
      <c r="H3303" s="1">
        <v>-3106810</v>
      </c>
      <c r="I3303" s="1">
        <v>42071811</v>
      </c>
    </row>
    <row r="3304" spans="1:9" ht="23.25">
      <c r="A3304" s="4" t="s">
        <v>59</v>
      </c>
      <c r="B3304" s="4"/>
      <c r="C3304" s="4" t="s">
        <v>58</v>
      </c>
      <c r="D3304" s="4"/>
      <c r="E3304" s="1">
        <v>3436299</v>
      </c>
      <c r="F3304" s="1">
        <v>0</v>
      </c>
      <c r="G3304" s="1">
        <v>0</v>
      </c>
      <c r="H3304" s="1">
        <v>0</v>
      </c>
      <c r="I3304" s="1">
        <v>0</v>
      </c>
    </row>
    <row r="3305" spans="1:9" ht="23.25">
      <c r="A3305" s="4" t="s">
        <v>60</v>
      </c>
      <c r="B3305" s="4"/>
      <c r="C3305" s="4" t="s">
        <v>58</v>
      </c>
      <c r="D3305" s="4"/>
      <c r="E3305" s="1">
        <v>43200474</v>
      </c>
      <c r="F3305" s="1">
        <v>0</v>
      </c>
      <c r="G3305" s="1">
        <v>0</v>
      </c>
      <c r="H3305" s="1">
        <v>0</v>
      </c>
      <c r="I3305" s="1">
        <v>1622319</v>
      </c>
    </row>
    <row r="3306" spans="1:9" ht="23.25">
      <c r="A3306" s="4" t="s">
        <v>61</v>
      </c>
      <c r="B3306" s="4"/>
      <c r="C3306" s="4" t="s">
        <v>58</v>
      </c>
      <c r="D3306" s="4"/>
      <c r="E3306" s="1">
        <v>3731209</v>
      </c>
      <c r="F3306" s="1">
        <v>0</v>
      </c>
      <c r="G3306" s="1">
        <v>0</v>
      </c>
      <c r="H3306" s="1">
        <v>0</v>
      </c>
      <c r="I3306" s="1">
        <v>0</v>
      </c>
    </row>
    <row r="3307" spans="1:9" ht="23.25">
      <c r="A3307" s="4" t="s">
        <v>62</v>
      </c>
      <c r="B3307" s="4"/>
      <c r="C3307" s="4" t="s">
        <v>58</v>
      </c>
      <c r="D3307" s="4"/>
      <c r="E3307" s="1">
        <v>72991027</v>
      </c>
      <c r="F3307" s="1">
        <v>0</v>
      </c>
      <c r="G3307" s="1">
        <v>0</v>
      </c>
      <c r="H3307" s="1">
        <v>0</v>
      </c>
      <c r="I3307" s="1">
        <v>15274667</v>
      </c>
    </row>
    <row r="3308" spans="1:9" ht="23.25">
      <c r="A3308" s="4" t="s">
        <v>63</v>
      </c>
      <c r="B3308" s="4"/>
      <c r="C3308" s="4" t="s">
        <v>58</v>
      </c>
      <c r="D3308" s="4"/>
      <c r="E3308" s="1">
        <v>663908</v>
      </c>
      <c r="F3308" s="1">
        <v>0</v>
      </c>
      <c r="G3308" s="1">
        <v>0</v>
      </c>
      <c r="H3308" s="1">
        <v>0</v>
      </c>
      <c r="I3308" s="1">
        <v>0</v>
      </c>
    </row>
    <row r="3309" spans="1:9" ht="23.25">
      <c r="A3309" s="4" t="s">
        <v>64</v>
      </c>
      <c r="B3309" s="4"/>
      <c r="C3309" s="4" t="s">
        <v>58</v>
      </c>
      <c r="D3309" s="4"/>
      <c r="E3309" s="1">
        <v>3125205</v>
      </c>
      <c r="F3309" s="1">
        <v>0</v>
      </c>
      <c r="G3309" s="1">
        <v>0</v>
      </c>
      <c r="H3309" s="1">
        <v>0</v>
      </c>
      <c r="I3309" s="1">
        <v>0</v>
      </c>
    </row>
    <row r="3310" spans="1:9" ht="23.25">
      <c r="A3310" s="4" t="s">
        <v>65</v>
      </c>
      <c r="B3310" s="4"/>
      <c r="C3310" s="4" t="s">
        <v>58</v>
      </c>
      <c r="D3310" s="4"/>
      <c r="E3310" s="1">
        <v>4653024</v>
      </c>
      <c r="F3310" s="1">
        <v>0</v>
      </c>
      <c r="G3310" s="1">
        <v>0</v>
      </c>
      <c r="H3310" s="1">
        <v>0</v>
      </c>
      <c r="I3310" s="1">
        <v>461444</v>
      </c>
    </row>
    <row r="3311" spans="1:9" ht="23.25">
      <c r="A3311" s="4" t="s">
        <v>66</v>
      </c>
      <c r="B3311" s="4"/>
      <c r="C3311" s="4" t="s">
        <v>58</v>
      </c>
      <c r="D3311" s="4"/>
      <c r="E3311" s="1">
        <v>814403852</v>
      </c>
      <c r="F3311" s="1">
        <v>0</v>
      </c>
      <c r="G3311" s="1">
        <v>0</v>
      </c>
      <c r="H3311" s="1">
        <v>0</v>
      </c>
      <c r="I3311" s="1">
        <v>115135882</v>
      </c>
    </row>
    <row r="3312" spans="1:9" ht="23.25">
      <c r="A3312" s="4" t="s">
        <v>67</v>
      </c>
      <c r="B3312" s="4"/>
      <c r="C3312" s="4" t="s">
        <v>58</v>
      </c>
      <c r="D3312" s="4"/>
      <c r="E3312" s="1">
        <v>112659098</v>
      </c>
      <c r="F3312" s="1">
        <v>0</v>
      </c>
      <c r="G3312" s="1">
        <v>0</v>
      </c>
      <c r="H3312" s="1">
        <v>0</v>
      </c>
      <c r="I3312" s="1">
        <v>0</v>
      </c>
    </row>
    <row r="3313" spans="1:9" ht="23.25">
      <c r="A3313" s="4" t="s">
        <v>68</v>
      </c>
      <c r="B3313" s="4"/>
      <c r="C3313" s="4" t="s">
        <v>58</v>
      </c>
      <c r="D3313" s="4"/>
      <c r="E3313" s="1">
        <v>137626748</v>
      </c>
      <c r="F3313" s="1">
        <v>0</v>
      </c>
      <c r="G3313" s="1">
        <v>0</v>
      </c>
      <c r="H3313" s="1">
        <v>0</v>
      </c>
      <c r="I3313" s="1">
        <v>0</v>
      </c>
    </row>
    <row r="3314" spans="1:9" ht="23.25">
      <c r="A3314" s="4" t="s">
        <v>69</v>
      </c>
      <c r="B3314" s="4"/>
      <c r="C3314" s="4" t="s">
        <v>58</v>
      </c>
      <c r="D3314" s="4"/>
      <c r="E3314" s="1">
        <v>117734997</v>
      </c>
      <c r="F3314" s="1">
        <v>0</v>
      </c>
      <c r="G3314" s="1">
        <v>0</v>
      </c>
      <c r="H3314" s="1">
        <v>0</v>
      </c>
      <c r="I3314" s="1">
        <v>0</v>
      </c>
    </row>
    <row r="3315" spans="1:9" ht="23.25">
      <c r="A3315" s="4" t="s">
        <v>70</v>
      </c>
      <c r="B3315" s="4"/>
      <c r="C3315" s="4" t="s">
        <v>58</v>
      </c>
      <c r="D3315" s="4"/>
      <c r="E3315" s="1">
        <v>25199552</v>
      </c>
      <c r="F3315" s="1">
        <v>0</v>
      </c>
      <c r="G3315" s="1">
        <v>0</v>
      </c>
      <c r="H3315" s="1">
        <v>0</v>
      </c>
      <c r="I3315" s="1">
        <v>0</v>
      </c>
    </row>
    <row r="3316" spans="1:9" ht="23.25">
      <c r="A3316" s="4" t="s">
        <v>71</v>
      </c>
      <c r="B3316" s="4"/>
      <c r="C3316" s="4" t="s">
        <v>58</v>
      </c>
      <c r="D3316" s="4"/>
      <c r="E3316" s="1">
        <v>393220395</v>
      </c>
      <c r="F3316" s="1">
        <v>0</v>
      </c>
      <c r="G3316" s="1">
        <v>0</v>
      </c>
      <c r="H3316" s="1">
        <v>0</v>
      </c>
      <c r="I3316" s="1">
        <v>0</v>
      </c>
    </row>
    <row r="3317" spans="1:9" ht="23.25">
      <c r="A3317" s="4" t="s">
        <v>72</v>
      </c>
      <c r="B3317" s="4"/>
      <c r="C3317" s="4" t="s">
        <v>58</v>
      </c>
      <c r="D3317" s="4"/>
      <c r="E3317" s="1">
        <v>1207624247</v>
      </c>
      <c r="F3317" s="1">
        <v>0</v>
      </c>
      <c r="G3317" s="1">
        <v>0</v>
      </c>
      <c r="H3317" s="1">
        <v>0</v>
      </c>
      <c r="I3317" s="1">
        <v>0</v>
      </c>
    </row>
    <row r="3318" spans="1:9" ht="23.25">
      <c r="A3318" s="4" t="s">
        <v>8</v>
      </c>
      <c r="B3318" s="4"/>
      <c r="C3318" s="4" t="s">
        <v>59</v>
      </c>
      <c r="D3318" s="4"/>
      <c r="E3318" s="1">
        <v>0</v>
      </c>
      <c r="F3318" s="1">
        <v>0</v>
      </c>
      <c r="G3318" s="1">
        <v>0</v>
      </c>
      <c r="H3318" s="1">
        <v>0</v>
      </c>
      <c r="I3318" s="1">
        <v>0</v>
      </c>
    </row>
    <row r="3319" spans="1:9" ht="23.25">
      <c r="A3319" s="4" t="s">
        <v>9</v>
      </c>
      <c r="B3319" s="4"/>
      <c r="C3319" s="4" t="s">
        <v>59</v>
      </c>
      <c r="D3319" s="4"/>
      <c r="E3319" s="1">
        <v>0</v>
      </c>
      <c r="F3319" s="1">
        <v>0</v>
      </c>
      <c r="G3319" s="1">
        <v>0</v>
      </c>
      <c r="H3319" s="1">
        <v>0</v>
      </c>
      <c r="I3319" s="1">
        <v>0</v>
      </c>
    </row>
    <row r="3320" spans="1:9" ht="23.25">
      <c r="A3320" s="4" t="s">
        <v>10</v>
      </c>
      <c r="B3320" s="4"/>
      <c r="C3320" s="4" t="s">
        <v>59</v>
      </c>
      <c r="D3320" s="4"/>
      <c r="E3320" s="1">
        <v>0</v>
      </c>
      <c r="F3320" s="1">
        <v>0</v>
      </c>
      <c r="G3320" s="1">
        <v>0</v>
      </c>
      <c r="H3320" s="1">
        <v>0</v>
      </c>
      <c r="I3320" s="1">
        <v>0</v>
      </c>
    </row>
    <row r="3321" spans="1:9" ht="23.25">
      <c r="A3321" s="4" t="s">
        <v>11</v>
      </c>
      <c r="B3321" s="4"/>
      <c r="C3321" s="4" t="s">
        <v>59</v>
      </c>
      <c r="D3321" s="4"/>
      <c r="E3321" s="1">
        <v>0</v>
      </c>
      <c r="F3321" s="1">
        <v>0</v>
      </c>
      <c r="G3321" s="1">
        <v>0</v>
      </c>
      <c r="H3321" s="1">
        <v>0</v>
      </c>
      <c r="I3321" s="1">
        <v>0</v>
      </c>
    </row>
    <row r="3322" spans="1:9" ht="23.25">
      <c r="A3322" s="4" t="s">
        <v>12</v>
      </c>
      <c r="B3322" s="4"/>
      <c r="C3322" s="4" t="s">
        <v>59</v>
      </c>
      <c r="D3322" s="4"/>
      <c r="E3322" s="1">
        <v>0</v>
      </c>
      <c r="F3322" s="1">
        <v>0</v>
      </c>
      <c r="G3322" s="1">
        <v>0</v>
      </c>
      <c r="H3322" s="1">
        <v>0</v>
      </c>
      <c r="I3322" s="1">
        <v>0</v>
      </c>
    </row>
    <row r="3323" spans="1:9" ht="23.25">
      <c r="A3323" s="4" t="s">
        <v>13</v>
      </c>
      <c r="B3323" s="4"/>
      <c r="C3323" s="4" t="s">
        <v>59</v>
      </c>
      <c r="D3323" s="4"/>
      <c r="E3323" s="1">
        <v>0</v>
      </c>
      <c r="F3323" s="1">
        <v>0</v>
      </c>
      <c r="G3323" s="1">
        <v>0</v>
      </c>
      <c r="H3323" s="1">
        <v>0</v>
      </c>
      <c r="I3323" s="1">
        <v>0</v>
      </c>
    </row>
    <row r="3324" spans="1:9" ht="23.25">
      <c r="A3324" s="4" t="s">
        <v>14</v>
      </c>
      <c r="B3324" s="4"/>
      <c r="C3324" s="4" t="s">
        <v>59</v>
      </c>
      <c r="D3324" s="4"/>
      <c r="E3324" s="1">
        <v>0</v>
      </c>
      <c r="F3324" s="1">
        <v>0</v>
      </c>
      <c r="G3324" s="1">
        <v>0</v>
      </c>
      <c r="H3324" s="1">
        <v>0</v>
      </c>
      <c r="I3324" s="1">
        <v>0</v>
      </c>
    </row>
    <row r="3325" spans="1:9" ht="23.25">
      <c r="A3325" s="4" t="s">
        <v>15</v>
      </c>
      <c r="B3325" s="4"/>
      <c r="C3325" s="4" t="s">
        <v>59</v>
      </c>
      <c r="D3325" s="4"/>
      <c r="E3325" s="1">
        <v>0</v>
      </c>
      <c r="F3325" s="1">
        <v>0</v>
      </c>
      <c r="G3325" s="1">
        <v>0</v>
      </c>
      <c r="H3325" s="1">
        <v>0</v>
      </c>
      <c r="I3325" s="1">
        <v>0</v>
      </c>
    </row>
    <row r="3326" spans="1:9" ht="23.25">
      <c r="A3326" s="4" t="s">
        <v>16</v>
      </c>
      <c r="B3326" s="4"/>
      <c r="C3326" s="4" t="s">
        <v>59</v>
      </c>
      <c r="D3326" s="4"/>
      <c r="E3326" s="1">
        <v>0</v>
      </c>
      <c r="F3326" s="1">
        <v>0</v>
      </c>
      <c r="G3326" s="1">
        <v>0</v>
      </c>
      <c r="H3326" s="1">
        <v>0</v>
      </c>
      <c r="I3326" s="1">
        <v>0</v>
      </c>
    </row>
    <row r="3327" spans="1:9" ht="23.25">
      <c r="A3327" s="4" t="s">
        <v>17</v>
      </c>
      <c r="B3327" s="4"/>
      <c r="C3327" s="4" t="s">
        <v>59</v>
      </c>
      <c r="D3327" s="4"/>
      <c r="E3327" s="1">
        <v>0</v>
      </c>
      <c r="F3327" s="1">
        <v>0</v>
      </c>
      <c r="G3327" s="1">
        <v>0</v>
      </c>
      <c r="H3327" s="1">
        <v>0</v>
      </c>
      <c r="I3327" s="1">
        <v>0</v>
      </c>
    </row>
    <row r="3328" spans="1:9" ht="23.25">
      <c r="A3328" s="4" t="s">
        <v>18</v>
      </c>
      <c r="B3328" s="4"/>
      <c r="C3328" s="4" t="s">
        <v>59</v>
      </c>
      <c r="D3328" s="4"/>
      <c r="E3328" s="1">
        <v>0</v>
      </c>
      <c r="F3328" s="1">
        <v>0</v>
      </c>
      <c r="G3328" s="1">
        <v>0</v>
      </c>
      <c r="H3328" s="1">
        <v>0</v>
      </c>
      <c r="I3328" s="1">
        <v>0</v>
      </c>
    </row>
    <row r="3329" spans="1:9" ht="23.25">
      <c r="A3329" s="4" t="s">
        <v>19</v>
      </c>
      <c r="B3329" s="4"/>
      <c r="C3329" s="4" t="s">
        <v>59</v>
      </c>
      <c r="D3329" s="4"/>
      <c r="E3329" s="1">
        <v>0</v>
      </c>
      <c r="F3329" s="1">
        <v>0</v>
      </c>
      <c r="G3329" s="1">
        <v>0</v>
      </c>
      <c r="H3329" s="1">
        <v>0</v>
      </c>
      <c r="I3329" s="1">
        <v>0</v>
      </c>
    </row>
    <row r="3330" spans="1:9" ht="23.25">
      <c r="A3330" s="4" t="s">
        <v>20</v>
      </c>
      <c r="B3330" s="4"/>
      <c r="C3330" s="4" t="s">
        <v>59</v>
      </c>
      <c r="D3330" s="4"/>
      <c r="E3330" s="1">
        <v>0</v>
      </c>
      <c r="F3330" s="1">
        <v>0</v>
      </c>
      <c r="G3330" s="1">
        <v>0</v>
      </c>
      <c r="H3330" s="1">
        <v>0</v>
      </c>
      <c r="I3330" s="1">
        <v>0</v>
      </c>
    </row>
    <row r="3331" spans="1:9" ht="23.25">
      <c r="A3331" s="4" t="s">
        <v>21</v>
      </c>
      <c r="B3331" s="4"/>
      <c r="C3331" s="4" t="s">
        <v>59</v>
      </c>
      <c r="D3331" s="4"/>
      <c r="E3331" s="1">
        <v>0</v>
      </c>
      <c r="F3331" s="1">
        <v>0</v>
      </c>
      <c r="G3331" s="1">
        <v>0</v>
      </c>
      <c r="H3331" s="1">
        <v>0</v>
      </c>
      <c r="I3331" s="1">
        <v>0</v>
      </c>
    </row>
    <row r="3332" spans="1:9" ht="23.25">
      <c r="A3332" s="4" t="s">
        <v>22</v>
      </c>
      <c r="B3332" s="4"/>
      <c r="C3332" s="4" t="s">
        <v>59</v>
      </c>
      <c r="D3332" s="4"/>
      <c r="E3332" s="1">
        <v>0</v>
      </c>
      <c r="F3332" s="1">
        <v>0</v>
      </c>
      <c r="G3332" s="1">
        <v>0</v>
      </c>
      <c r="H3332" s="1">
        <v>0</v>
      </c>
      <c r="I3332" s="1">
        <v>0</v>
      </c>
    </row>
    <row r="3333" spans="1:9" ht="23.25">
      <c r="A3333" s="4" t="s">
        <v>23</v>
      </c>
      <c r="B3333" s="4"/>
      <c r="C3333" s="4" t="s">
        <v>59</v>
      </c>
      <c r="D3333" s="4"/>
      <c r="E3333" s="1">
        <v>0</v>
      </c>
      <c r="F3333" s="1">
        <v>0</v>
      </c>
      <c r="G3333" s="1">
        <v>0</v>
      </c>
      <c r="H3333" s="1">
        <v>0</v>
      </c>
      <c r="I3333" s="1">
        <v>0</v>
      </c>
    </row>
    <row r="3334" spans="1:9" ht="23.25">
      <c r="A3334" s="4" t="s">
        <v>24</v>
      </c>
      <c r="B3334" s="4"/>
      <c r="C3334" s="4" t="s">
        <v>59</v>
      </c>
      <c r="D3334" s="4"/>
      <c r="E3334" s="1">
        <v>0</v>
      </c>
      <c r="F3334" s="1">
        <v>0</v>
      </c>
      <c r="G3334" s="1">
        <v>0</v>
      </c>
      <c r="H3334" s="1">
        <v>0</v>
      </c>
      <c r="I3334" s="1">
        <v>0</v>
      </c>
    </row>
    <row r="3335" spans="1:9" ht="23.25">
      <c r="A3335" s="4" t="s">
        <v>25</v>
      </c>
      <c r="B3335" s="4"/>
      <c r="C3335" s="4" t="s">
        <v>59</v>
      </c>
      <c r="D3335" s="4"/>
      <c r="E3335" s="1">
        <v>0</v>
      </c>
      <c r="F3335" s="1">
        <v>0</v>
      </c>
      <c r="G3335" s="1">
        <v>0</v>
      </c>
      <c r="H3335" s="1">
        <v>0</v>
      </c>
      <c r="I3335" s="1">
        <v>0</v>
      </c>
    </row>
    <row r="3336" spans="1:9" ht="23.25">
      <c r="A3336" s="4" t="s">
        <v>26</v>
      </c>
      <c r="B3336" s="4"/>
      <c r="C3336" s="4" t="s">
        <v>59</v>
      </c>
      <c r="D3336" s="4"/>
      <c r="E3336" s="1">
        <v>0</v>
      </c>
      <c r="F3336" s="1">
        <v>0</v>
      </c>
      <c r="G3336" s="1">
        <v>0</v>
      </c>
      <c r="H3336" s="1">
        <v>0</v>
      </c>
      <c r="I3336" s="1">
        <v>0</v>
      </c>
    </row>
    <row r="3337" spans="1:9" ht="23.25">
      <c r="A3337" s="4" t="s">
        <v>27</v>
      </c>
      <c r="B3337" s="4"/>
      <c r="C3337" s="4" t="s">
        <v>59</v>
      </c>
      <c r="D3337" s="4"/>
      <c r="E3337" s="1">
        <v>0</v>
      </c>
      <c r="F3337" s="1">
        <v>0</v>
      </c>
      <c r="G3337" s="1">
        <v>0</v>
      </c>
      <c r="H3337" s="1">
        <v>0</v>
      </c>
      <c r="I3337" s="1">
        <v>0</v>
      </c>
    </row>
    <row r="3338" spans="1:9" ht="23.25">
      <c r="A3338" s="4" t="s">
        <v>28</v>
      </c>
      <c r="B3338" s="4"/>
      <c r="C3338" s="4" t="s">
        <v>59</v>
      </c>
      <c r="D3338" s="4"/>
      <c r="E3338" s="1">
        <v>0</v>
      </c>
      <c r="F3338" s="1">
        <v>0</v>
      </c>
      <c r="G3338" s="1">
        <v>0</v>
      </c>
      <c r="H3338" s="1">
        <v>0</v>
      </c>
      <c r="I3338" s="1">
        <v>0</v>
      </c>
    </row>
    <row r="3339" spans="1:9" ht="23.25">
      <c r="A3339" s="4" t="s">
        <v>29</v>
      </c>
      <c r="B3339" s="4"/>
      <c r="C3339" s="4" t="s">
        <v>59</v>
      </c>
      <c r="D3339" s="4"/>
      <c r="E3339" s="1">
        <v>0</v>
      </c>
      <c r="F3339" s="1">
        <v>0</v>
      </c>
      <c r="G3339" s="1">
        <v>0</v>
      </c>
      <c r="H3339" s="1">
        <v>0</v>
      </c>
      <c r="I3339" s="1">
        <v>0</v>
      </c>
    </row>
    <row r="3340" spans="1:9" ht="23.25">
      <c r="A3340" s="4" t="s">
        <v>30</v>
      </c>
      <c r="B3340" s="4"/>
      <c r="C3340" s="4" t="s">
        <v>59</v>
      </c>
      <c r="D3340" s="4"/>
      <c r="E3340" s="1">
        <v>0</v>
      </c>
      <c r="F3340" s="1">
        <v>0</v>
      </c>
      <c r="G3340" s="1">
        <v>0</v>
      </c>
      <c r="H3340" s="1">
        <v>0</v>
      </c>
      <c r="I3340" s="1">
        <v>0</v>
      </c>
    </row>
    <row r="3341" spans="1:9" ht="23.25">
      <c r="A3341" s="4" t="s">
        <v>31</v>
      </c>
      <c r="B3341" s="4"/>
      <c r="C3341" s="4" t="s">
        <v>59</v>
      </c>
      <c r="D3341" s="4"/>
      <c r="E3341" s="1">
        <v>21329</v>
      </c>
      <c r="F3341" s="1">
        <v>2913</v>
      </c>
      <c r="G3341" s="1">
        <v>3581</v>
      </c>
      <c r="H3341" s="1">
        <v>105</v>
      </c>
      <c r="I3341" s="1">
        <v>0</v>
      </c>
    </row>
    <row r="3342" spans="1:9" ht="23.25">
      <c r="A3342" s="4" t="s">
        <v>32</v>
      </c>
      <c r="B3342" s="4"/>
      <c r="C3342" s="4" t="s">
        <v>59</v>
      </c>
      <c r="D3342" s="4"/>
      <c r="E3342" s="1">
        <v>5088301</v>
      </c>
      <c r="F3342" s="1">
        <v>29352</v>
      </c>
      <c r="G3342" s="1">
        <v>25726</v>
      </c>
      <c r="H3342" s="1">
        <v>35257</v>
      </c>
      <c r="I3342" s="1">
        <v>1517881</v>
      </c>
    </row>
    <row r="3343" spans="1:9" ht="23.25">
      <c r="A3343" s="4" t="s">
        <v>33</v>
      </c>
      <c r="B3343" s="4"/>
      <c r="C3343" s="4" t="s">
        <v>59</v>
      </c>
      <c r="D3343" s="4"/>
      <c r="E3343" s="1">
        <v>1652900</v>
      </c>
      <c r="F3343" s="1">
        <v>104707</v>
      </c>
      <c r="G3343" s="1">
        <v>169920</v>
      </c>
      <c r="H3343" s="1">
        <v>12913</v>
      </c>
      <c r="I3343" s="1">
        <v>441838</v>
      </c>
    </row>
    <row r="3344" spans="1:9" ht="23.25">
      <c r="A3344" s="4" t="s">
        <v>34</v>
      </c>
      <c r="B3344" s="4"/>
      <c r="C3344" s="4" t="s">
        <v>59</v>
      </c>
      <c r="D3344" s="4"/>
      <c r="E3344" s="1">
        <v>0</v>
      </c>
      <c r="F3344" s="1">
        <v>0</v>
      </c>
      <c r="G3344" s="1">
        <v>0</v>
      </c>
      <c r="H3344" s="1">
        <v>0</v>
      </c>
      <c r="I3344" s="1">
        <v>0</v>
      </c>
    </row>
    <row r="3345" spans="1:9" ht="23.25">
      <c r="A3345" s="4" t="s">
        <v>35</v>
      </c>
      <c r="B3345" s="4"/>
      <c r="C3345" s="4" t="s">
        <v>59</v>
      </c>
      <c r="D3345" s="4"/>
      <c r="E3345" s="1">
        <v>0</v>
      </c>
      <c r="F3345" s="1">
        <v>0</v>
      </c>
      <c r="G3345" s="1">
        <v>0</v>
      </c>
      <c r="H3345" s="1">
        <v>0</v>
      </c>
      <c r="I3345" s="1">
        <v>0</v>
      </c>
    </row>
    <row r="3346" spans="1:9" ht="23.25">
      <c r="A3346" s="4" t="s">
        <v>36</v>
      </c>
      <c r="B3346" s="4"/>
      <c r="C3346" s="4" t="s">
        <v>59</v>
      </c>
      <c r="D3346" s="4"/>
      <c r="E3346" s="1">
        <v>852545</v>
      </c>
      <c r="F3346" s="1">
        <v>48326</v>
      </c>
      <c r="G3346" s="1">
        <v>34617</v>
      </c>
      <c r="H3346" s="1">
        <v>9998</v>
      </c>
      <c r="I3346" s="1">
        <v>727455</v>
      </c>
    </row>
    <row r="3347" spans="1:9" ht="23.25">
      <c r="A3347" s="4" t="s">
        <v>37</v>
      </c>
      <c r="B3347" s="4"/>
      <c r="C3347" s="4" t="s">
        <v>59</v>
      </c>
      <c r="D3347" s="4"/>
      <c r="E3347" s="1">
        <v>9523739</v>
      </c>
      <c r="F3347" s="1">
        <v>414819</v>
      </c>
      <c r="G3347" s="1">
        <v>456014</v>
      </c>
      <c r="H3347" s="1">
        <v>74590</v>
      </c>
      <c r="I3347" s="1">
        <v>1849372</v>
      </c>
    </row>
    <row r="3348" spans="1:9" ht="23.25">
      <c r="A3348" s="4" t="s">
        <v>38</v>
      </c>
      <c r="B3348" s="4"/>
      <c r="C3348" s="4" t="s">
        <v>59</v>
      </c>
      <c r="D3348" s="4"/>
      <c r="E3348" s="1">
        <v>0</v>
      </c>
      <c r="F3348" s="1">
        <v>0</v>
      </c>
      <c r="G3348" s="1">
        <v>0</v>
      </c>
      <c r="H3348" s="1">
        <v>0</v>
      </c>
      <c r="I3348" s="1">
        <v>0</v>
      </c>
    </row>
    <row r="3349" spans="1:9" ht="23.25">
      <c r="A3349" s="4" t="s">
        <v>39</v>
      </c>
      <c r="B3349" s="4"/>
      <c r="C3349" s="4" t="s">
        <v>59</v>
      </c>
      <c r="D3349" s="4"/>
      <c r="E3349" s="1">
        <v>766362</v>
      </c>
      <c r="F3349" s="1">
        <v>20862</v>
      </c>
      <c r="G3349" s="1">
        <v>28621</v>
      </c>
      <c r="H3349" s="1">
        <v>5491</v>
      </c>
      <c r="I3349" s="1">
        <v>188339</v>
      </c>
    </row>
    <row r="3350" spans="1:9" ht="23.25">
      <c r="A3350" s="4" t="s">
        <v>40</v>
      </c>
      <c r="B3350" s="4"/>
      <c r="C3350" s="4" t="s">
        <v>59</v>
      </c>
      <c r="D3350" s="4"/>
      <c r="E3350" s="1">
        <v>0</v>
      </c>
      <c r="F3350" s="1">
        <v>0</v>
      </c>
      <c r="G3350" s="1">
        <v>0</v>
      </c>
      <c r="H3350" s="1">
        <v>0</v>
      </c>
      <c r="I3350" s="1">
        <v>0</v>
      </c>
    </row>
    <row r="3351" spans="1:9" ht="23.25">
      <c r="A3351" s="4" t="s">
        <v>41</v>
      </c>
      <c r="B3351" s="4"/>
      <c r="C3351" s="4" t="s">
        <v>59</v>
      </c>
      <c r="D3351" s="4"/>
      <c r="E3351" s="1">
        <v>0</v>
      </c>
      <c r="F3351" s="1">
        <v>0</v>
      </c>
      <c r="G3351" s="1">
        <v>0</v>
      </c>
      <c r="H3351" s="1">
        <v>0</v>
      </c>
      <c r="I3351" s="1">
        <v>0</v>
      </c>
    </row>
    <row r="3352" spans="1:9" ht="23.25">
      <c r="A3352" s="4" t="s">
        <v>42</v>
      </c>
      <c r="B3352" s="4"/>
      <c r="C3352" s="4" t="s">
        <v>59</v>
      </c>
      <c r="D3352" s="4"/>
      <c r="E3352" s="1">
        <v>0</v>
      </c>
      <c r="F3352" s="1">
        <v>0</v>
      </c>
      <c r="G3352" s="1">
        <v>0</v>
      </c>
      <c r="H3352" s="1">
        <v>0</v>
      </c>
      <c r="I3352" s="1">
        <v>0</v>
      </c>
    </row>
    <row r="3353" spans="1:9" ht="23.25">
      <c r="A3353" s="4" t="s">
        <v>43</v>
      </c>
      <c r="B3353" s="4"/>
      <c r="C3353" s="4" t="s">
        <v>59</v>
      </c>
      <c r="D3353" s="4"/>
      <c r="E3353" s="1">
        <v>0</v>
      </c>
      <c r="F3353" s="1">
        <v>0</v>
      </c>
      <c r="G3353" s="1">
        <v>0</v>
      </c>
      <c r="H3353" s="1">
        <v>0</v>
      </c>
      <c r="I3353" s="1">
        <v>0</v>
      </c>
    </row>
    <row r="3354" spans="1:9" ht="23.25">
      <c r="A3354" s="4" t="s">
        <v>44</v>
      </c>
      <c r="B3354" s="4"/>
      <c r="C3354" s="4" t="s">
        <v>59</v>
      </c>
      <c r="D3354" s="4"/>
      <c r="E3354" s="1">
        <v>11129</v>
      </c>
      <c r="F3354" s="1">
        <v>289</v>
      </c>
      <c r="G3354" s="1">
        <v>496</v>
      </c>
      <c r="H3354" s="1">
        <v>38</v>
      </c>
      <c r="I3354" s="1">
        <v>4970</v>
      </c>
    </row>
    <row r="3355" spans="1:9" ht="23.25">
      <c r="A3355" s="4" t="s">
        <v>45</v>
      </c>
      <c r="B3355" s="4"/>
      <c r="C3355" s="4" t="s">
        <v>59</v>
      </c>
      <c r="D3355" s="4"/>
      <c r="E3355" s="1">
        <v>0</v>
      </c>
      <c r="F3355" s="1">
        <v>0</v>
      </c>
      <c r="G3355" s="1">
        <v>0</v>
      </c>
      <c r="H3355" s="1">
        <v>0</v>
      </c>
      <c r="I3355" s="1">
        <v>0</v>
      </c>
    </row>
    <row r="3356" spans="1:9" ht="23.25">
      <c r="A3356" s="4" t="s">
        <v>46</v>
      </c>
      <c r="B3356" s="4"/>
      <c r="C3356" s="4" t="s">
        <v>59</v>
      </c>
      <c r="D3356" s="4"/>
      <c r="E3356" s="1">
        <v>16985763</v>
      </c>
      <c r="F3356" s="1">
        <v>706907</v>
      </c>
      <c r="G3356" s="1">
        <v>1414350</v>
      </c>
      <c r="H3356" s="1">
        <v>175292</v>
      </c>
      <c r="I3356" s="1">
        <v>7099749</v>
      </c>
    </row>
    <row r="3357" spans="1:9" ht="23.25">
      <c r="A3357" s="4" t="s">
        <v>47</v>
      </c>
      <c r="B3357" s="4"/>
      <c r="C3357" s="4" t="s">
        <v>59</v>
      </c>
      <c r="D3357" s="4"/>
      <c r="E3357" s="1">
        <v>2449300</v>
      </c>
      <c r="F3357" s="1">
        <v>0</v>
      </c>
      <c r="G3357" s="1">
        <v>0</v>
      </c>
      <c r="H3357" s="1">
        <v>0</v>
      </c>
      <c r="I3357" s="1">
        <v>0</v>
      </c>
    </row>
    <row r="3358" spans="1:9" ht="23.25">
      <c r="A3358" s="4" t="s">
        <v>48</v>
      </c>
      <c r="B3358" s="4"/>
      <c r="C3358" s="4" t="s">
        <v>59</v>
      </c>
      <c r="D3358" s="4"/>
      <c r="E3358" s="1">
        <v>0</v>
      </c>
      <c r="F3358" s="1">
        <v>0</v>
      </c>
      <c r="G3358" s="1">
        <v>0</v>
      </c>
      <c r="H3358" s="1">
        <v>0</v>
      </c>
      <c r="I3358" s="1">
        <v>0</v>
      </c>
    </row>
    <row r="3359" spans="1:9" ht="23.25">
      <c r="A3359" s="4" t="s">
        <v>49</v>
      </c>
      <c r="B3359" s="4"/>
      <c r="C3359" s="4" t="s">
        <v>59</v>
      </c>
      <c r="D3359" s="4"/>
      <c r="E3359" s="1">
        <v>0</v>
      </c>
      <c r="F3359" s="1">
        <v>0</v>
      </c>
      <c r="G3359" s="1">
        <v>0</v>
      </c>
      <c r="H3359" s="1">
        <v>0</v>
      </c>
      <c r="I3359" s="1">
        <v>0</v>
      </c>
    </row>
    <row r="3360" spans="1:9" ht="23.25">
      <c r="A3360" s="4" t="s">
        <v>50</v>
      </c>
      <c r="B3360" s="4"/>
      <c r="C3360" s="4" t="s">
        <v>59</v>
      </c>
      <c r="D3360" s="4"/>
      <c r="E3360" s="1">
        <v>0</v>
      </c>
      <c r="F3360" s="1">
        <v>0</v>
      </c>
      <c r="G3360" s="1">
        <v>0</v>
      </c>
      <c r="H3360" s="1">
        <v>0</v>
      </c>
      <c r="I3360" s="1">
        <v>0</v>
      </c>
    </row>
    <row r="3361" spans="1:9" ht="23.25">
      <c r="A3361" s="4" t="s">
        <v>51</v>
      </c>
      <c r="B3361" s="4"/>
      <c r="C3361" s="4" t="s">
        <v>59</v>
      </c>
      <c r="D3361" s="4"/>
      <c r="E3361" s="1">
        <v>1207059</v>
      </c>
      <c r="F3361" s="1">
        <v>69850</v>
      </c>
      <c r="G3361" s="1">
        <v>66680</v>
      </c>
      <c r="H3361" s="1">
        <v>12112</v>
      </c>
      <c r="I3361" s="1">
        <v>56732</v>
      </c>
    </row>
    <row r="3362" spans="1:9" ht="23.25">
      <c r="A3362" s="4" t="s">
        <v>52</v>
      </c>
      <c r="B3362" s="4"/>
      <c r="C3362" s="4" t="s">
        <v>59</v>
      </c>
      <c r="D3362" s="4"/>
      <c r="E3362" s="1">
        <v>15917648</v>
      </c>
      <c r="F3362" s="1">
        <v>5717</v>
      </c>
      <c r="G3362" s="1">
        <v>9826</v>
      </c>
      <c r="H3362" s="1">
        <v>1229</v>
      </c>
      <c r="I3362" s="1">
        <v>0</v>
      </c>
    </row>
    <row r="3363" spans="1:9" ht="23.25">
      <c r="A3363" s="4" t="s">
        <v>53</v>
      </c>
      <c r="B3363" s="4"/>
      <c r="C3363" s="4" t="s">
        <v>59</v>
      </c>
      <c r="D3363" s="4"/>
      <c r="E3363" s="1">
        <v>394416</v>
      </c>
      <c r="F3363" s="1">
        <v>0</v>
      </c>
      <c r="G3363" s="1">
        <v>0</v>
      </c>
      <c r="H3363" s="1">
        <v>0</v>
      </c>
      <c r="I3363" s="1">
        <v>0</v>
      </c>
    </row>
    <row r="3364" spans="1:9" ht="23.25">
      <c r="A3364" s="4" t="s">
        <v>54</v>
      </c>
      <c r="B3364" s="4"/>
      <c r="C3364" s="4" t="s">
        <v>59</v>
      </c>
      <c r="D3364" s="4"/>
      <c r="E3364" s="1">
        <v>29513</v>
      </c>
      <c r="F3364" s="1">
        <v>0</v>
      </c>
      <c r="G3364" s="1">
        <v>0</v>
      </c>
      <c r="H3364" s="1">
        <v>0</v>
      </c>
      <c r="I3364" s="1">
        <v>0</v>
      </c>
    </row>
    <row r="3365" spans="1:9" ht="23.25">
      <c r="A3365" s="4" t="s">
        <v>55</v>
      </c>
      <c r="B3365" s="4"/>
      <c r="C3365" s="4" t="s">
        <v>59</v>
      </c>
      <c r="D3365" s="4"/>
      <c r="E3365" s="1">
        <v>0</v>
      </c>
      <c r="F3365" s="1">
        <v>0</v>
      </c>
      <c r="G3365" s="1">
        <v>0</v>
      </c>
      <c r="H3365" s="1">
        <v>0</v>
      </c>
      <c r="I3365" s="1">
        <v>0</v>
      </c>
    </row>
    <row r="3366" spans="1:9" ht="23.25">
      <c r="A3366" s="4" t="s">
        <v>56</v>
      </c>
      <c r="B3366" s="4"/>
      <c r="C3366" s="4" t="s">
        <v>59</v>
      </c>
      <c r="D3366" s="4"/>
      <c r="E3366" s="1">
        <v>0</v>
      </c>
      <c r="F3366" s="1">
        <v>-1403742</v>
      </c>
      <c r="G3366" s="1">
        <v>-2209831</v>
      </c>
      <c r="H3366" s="1">
        <v>0</v>
      </c>
      <c r="I3366" s="1">
        <v>0</v>
      </c>
    </row>
    <row r="3367" spans="1:9" ht="23.25">
      <c r="A3367" s="4" t="s">
        <v>57</v>
      </c>
      <c r="B3367" s="4"/>
      <c r="C3367" s="4" t="s">
        <v>59</v>
      </c>
      <c r="D3367" s="4"/>
      <c r="E3367" s="1">
        <v>84419</v>
      </c>
      <c r="F3367" s="1">
        <v>0</v>
      </c>
      <c r="G3367" s="1">
        <v>0</v>
      </c>
      <c r="H3367" s="1">
        <v>0</v>
      </c>
      <c r="I3367" s="1">
        <v>0</v>
      </c>
    </row>
    <row r="3368" spans="1:9" ht="23.25">
      <c r="A3368" s="4" t="s">
        <v>58</v>
      </c>
      <c r="B3368" s="4"/>
      <c r="C3368" s="4" t="s">
        <v>59</v>
      </c>
      <c r="D3368" s="4"/>
      <c r="E3368" s="1">
        <v>8636065</v>
      </c>
      <c r="F3368" s="1">
        <v>0</v>
      </c>
      <c r="G3368" s="1">
        <v>0</v>
      </c>
      <c r="H3368" s="1">
        <v>-327025</v>
      </c>
      <c r="I3368" s="1">
        <v>0</v>
      </c>
    </row>
    <row r="3369" spans="1:9" ht="23.25">
      <c r="A3369" s="4" t="s">
        <v>59</v>
      </c>
      <c r="B3369" s="4"/>
      <c r="C3369" s="4" t="s">
        <v>59</v>
      </c>
      <c r="D3369" s="4"/>
      <c r="E3369" s="1">
        <v>88266053</v>
      </c>
      <c r="F3369" s="1">
        <v>0</v>
      </c>
      <c r="G3369" s="1">
        <v>0</v>
      </c>
      <c r="H3369" s="1">
        <v>0</v>
      </c>
      <c r="I3369" s="1">
        <v>0</v>
      </c>
    </row>
    <row r="3370" spans="1:9" ht="23.25">
      <c r="A3370" s="4" t="s">
        <v>60</v>
      </c>
      <c r="B3370" s="4"/>
      <c r="C3370" s="4" t="s">
        <v>59</v>
      </c>
      <c r="D3370" s="4"/>
      <c r="E3370" s="1">
        <v>33197173</v>
      </c>
      <c r="F3370" s="1">
        <v>0</v>
      </c>
      <c r="G3370" s="1">
        <v>0</v>
      </c>
      <c r="H3370" s="1">
        <v>0</v>
      </c>
      <c r="I3370" s="1">
        <v>392026</v>
      </c>
    </row>
    <row r="3371" spans="1:9" ht="23.25">
      <c r="A3371" s="4" t="s">
        <v>61</v>
      </c>
      <c r="B3371" s="4"/>
      <c r="C3371" s="4" t="s">
        <v>59</v>
      </c>
      <c r="D3371" s="4"/>
      <c r="E3371" s="1">
        <v>3326505</v>
      </c>
      <c r="F3371" s="1">
        <v>0</v>
      </c>
      <c r="G3371" s="1">
        <v>0</v>
      </c>
      <c r="H3371" s="1">
        <v>0</v>
      </c>
      <c r="I3371" s="1">
        <v>0</v>
      </c>
    </row>
    <row r="3372" spans="1:9" ht="23.25">
      <c r="A3372" s="4" t="s">
        <v>62</v>
      </c>
      <c r="B3372" s="4"/>
      <c r="C3372" s="4" t="s">
        <v>59</v>
      </c>
      <c r="D3372" s="4"/>
      <c r="E3372" s="1">
        <v>26355917</v>
      </c>
      <c r="F3372" s="1">
        <v>0</v>
      </c>
      <c r="G3372" s="1">
        <v>0</v>
      </c>
      <c r="H3372" s="1">
        <v>0</v>
      </c>
      <c r="I3372" s="1">
        <v>8505700</v>
      </c>
    </row>
    <row r="3373" spans="1:9" ht="23.25">
      <c r="A3373" s="4" t="s">
        <v>63</v>
      </c>
      <c r="B3373" s="4"/>
      <c r="C3373" s="4" t="s">
        <v>59</v>
      </c>
      <c r="D3373" s="4"/>
      <c r="E3373" s="1">
        <v>30746</v>
      </c>
      <c r="F3373" s="1">
        <v>0</v>
      </c>
      <c r="G3373" s="1">
        <v>0</v>
      </c>
      <c r="H3373" s="1">
        <v>0</v>
      </c>
      <c r="I3373" s="1">
        <v>0</v>
      </c>
    </row>
    <row r="3374" spans="1:9" ht="23.25">
      <c r="A3374" s="4" t="s">
        <v>64</v>
      </c>
      <c r="B3374" s="4"/>
      <c r="C3374" s="4" t="s">
        <v>59</v>
      </c>
      <c r="D3374" s="4"/>
      <c r="E3374" s="1">
        <v>3794437</v>
      </c>
      <c r="F3374" s="1">
        <v>0</v>
      </c>
      <c r="G3374" s="1">
        <v>0</v>
      </c>
      <c r="H3374" s="1">
        <v>0</v>
      </c>
      <c r="I3374" s="1">
        <v>0</v>
      </c>
    </row>
    <row r="3375" spans="1:9" ht="23.25">
      <c r="A3375" s="4" t="s">
        <v>65</v>
      </c>
      <c r="B3375" s="4"/>
      <c r="C3375" s="4" t="s">
        <v>59</v>
      </c>
      <c r="D3375" s="4"/>
      <c r="E3375" s="1">
        <v>1434453</v>
      </c>
      <c r="F3375" s="1">
        <v>0</v>
      </c>
      <c r="G3375" s="1">
        <v>0</v>
      </c>
      <c r="H3375" s="1">
        <v>0</v>
      </c>
      <c r="I3375" s="1">
        <v>164252</v>
      </c>
    </row>
    <row r="3376" spans="1:9" ht="23.25">
      <c r="A3376" s="4" t="s">
        <v>66</v>
      </c>
      <c r="B3376" s="4"/>
      <c r="C3376" s="4" t="s">
        <v>59</v>
      </c>
      <c r="D3376" s="4"/>
      <c r="E3376" s="1">
        <v>220025772</v>
      </c>
      <c r="F3376" s="1">
        <v>0</v>
      </c>
      <c r="G3376" s="1">
        <v>0</v>
      </c>
      <c r="H3376" s="1">
        <v>0</v>
      </c>
      <c r="I3376" s="1">
        <v>20948314</v>
      </c>
    </row>
    <row r="3377" spans="1:9" ht="23.25">
      <c r="A3377" s="4" t="s">
        <v>67</v>
      </c>
      <c r="B3377" s="4"/>
      <c r="C3377" s="4" t="s">
        <v>59</v>
      </c>
      <c r="D3377" s="4"/>
      <c r="E3377" s="1">
        <v>111491741</v>
      </c>
      <c r="F3377" s="1">
        <v>0</v>
      </c>
      <c r="G3377" s="1">
        <v>0</v>
      </c>
      <c r="H3377" s="1">
        <v>0</v>
      </c>
      <c r="I3377" s="1">
        <v>0</v>
      </c>
    </row>
    <row r="3378" spans="1:9" ht="23.25">
      <c r="A3378" s="4" t="s">
        <v>68</v>
      </c>
      <c r="B3378" s="4"/>
      <c r="C3378" s="4" t="s">
        <v>59</v>
      </c>
      <c r="D3378" s="4"/>
      <c r="E3378" s="1">
        <v>134587008</v>
      </c>
      <c r="F3378" s="1">
        <v>0</v>
      </c>
      <c r="G3378" s="1">
        <v>0</v>
      </c>
      <c r="H3378" s="1">
        <v>0</v>
      </c>
      <c r="I3378" s="1">
        <v>0</v>
      </c>
    </row>
    <row r="3379" spans="1:9" ht="23.25">
      <c r="A3379" s="4" t="s">
        <v>69</v>
      </c>
      <c r="B3379" s="4"/>
      <c r="C3379" s="4" t="s">
        <v>59</v>
      </c>
      <c r="D3379" s="4"/>
      <c r="E3379" s="1">
        <v>105107866</v>
      </c>
      <c r="F3379" s="1">
        <v>0</v>
      </c>
      <c r="G3379" s="1">
        <v>0</v>
      </c>
      <c r="H3379" s="1">
        <v>0</v>
      </c>
      <c r="I3379" s="1">
        <v>0</v>
      </c>
    </row>
    <row r="3380" spans="1:9" ht="23.25">
      <c r="A3380" s="4" t="s">
        <v>70</v>
      </c>
      <c r="B3380" s="4"/>
      <c r="C3380" s="4" t="s">
        <v>59</v>
      </c>
      <c r="D3380" s="4"/>
      <c r="E3380" s="1">
        <v>12593641</v>
      </c>
      <c r="F3380" s="1">
        <v>0</v>
      </c>
      <c r="G3380" s="1">
        <v>0</v>
      </c>
      <c r="H3380" s="1">
        <v>0</v>
      </c>
      <c r="I3380" s="1">
        <v>0</v>
      </c>
    </row>
    <row r="3381" spans="1:9" ht="23.25">
      <c r="A3381" s="4" t="s">
        <v>71</v>
      </c>
      <c r="B3381" s="4"/>
      <c r="C3381" s="4" t="s">
        <v>59</v>
      </c>
      <c r="D3381" s="4"/>
      <c r="E3381" s="1">
        <v>363780256</v>
      </c>
      <c r="F3381" s="1">
        <v>0</v>
      </c>
      <c r="G3381" s="1">
        <v>0</v>
      </c>
      <c r="H3381" s="1">
        <v>0</v>
      </c>
      <c r="I3381" s="1">
        <v>0</v>
      </c>
    </row>
    <row r="3382" spans="1:9" ht="23.25">
      <c r="A3382" s="4" t="s">
        <v>72</v>
      </c>
      <c r="B3382" s="4"/>
      <c r="C3382" s="4" t="s">
        <v>59</v>
      </c>
      <c r="D3382" s="4"/>
      <c r="E3382" s="1">
        <v>583806028</v>
      </c>
      <c r="F3382" s="1">
        <v>0</v>
      </c>
      <c r="G3382" s="1">
        <v>0</v>
      </c>
      <c r="H3382" s="1">
        <v>0</v>
      </c>
      <c r="I3382" s="1">
        <v>0</v>
      </c>
    </row>
    <row r="3383" spans="1:9" ht="23.25">
      <c r="A3383" s="4" t="s">
        <v>8</v>
      </c>
      <c r="B3383" s="4"/>
      <c r="C3383" s="4" t="s">
        <v>60</v>
      </c>
      <c r="D3383" s="4"/>
      <c r="E3383" s="1">
        <v>0</v>
      </c>
      <c r="F3383" s="1">
        <v>0</v>
      </c>
      <c r="G3383" s="1">
        <v>0</v>
      </c>
      <c r="H3383" s="1">
        <v>0</v>
      </c>
      <c r="I3383" s="1">
        <v>0</v>
      </c>
    </row>
    <row r="3384" spans="1:9" ht="23.25">
      <c r="A3384" s="4" t="s">
        <v>9</v>
      </c>
      <c r="B3384" s="4"/>
      <c r="C3384" s="4" t="s">
        <v>60</v>
      </c>
      <c r="D3384" s="4"/>
      <c r="E3384" s="1">
        <v>0</v>
      </c>
      <c r="F3384" s="1">
        <v>0</v>
      </c>
      <c r="G3384" s="1">
        <v>0</v>
      </c>
      <c r="H3384" s="1">
        <v>0</v>
      </c>
      <c r="I3384" s="1">
        <v>0</v>
      </c>
    </row>
    <row r="3385" spans="1:9" ht="23.25">
      <c r="A3385" s="4" t="s">
        <v>10</v>
      </c>
      <c r="B3385" s="4"/>
      <c r="C3385" s="4" t="s">
        <v>60</v>
      </c>
      <c r="D3385" s="4"/>
      <c r="E3385" s="1">
        <v>0</v>
      </c>
      <c r="F3385" s="1">
        <v>0</v>
      </c>
      <c r="G3385" s="1">
        <v>0</v>
      </c>
      <c r="H3385" s="1">
        <v>0</v>
      </c>
      <c r="I3385" s="1">
        <v>0</v>
      </c>
    </row>
    <row r="3386" spans="1:9" ht="23.25">
      <c r="A3386" s="4" t="s">
        <v>11</v>
      </c>
      <c r="B3386" s="4"/>
      <c r="C3386" s="4" t="s">
        <v>60</v>
      </c>
      <c r="D3386" s="4"/>
      <c r="E3386" s="1">
        <v>0</v>
      </c>
      <c r="F3386" s="1">
        <v>0</v>
      </c>
      <c r="G3386" s="1">
        <v>0</v>
      </c>
      <c r="H3386" s="1">
        <v>0</v>
      </c>
      <c r="I3386" s="1">
        <v>0</v>
      </c>
    </row>
    <row r="3387" spans="1:9" ht="23.25">
      <c r="A3387" s="4" t="s">
        <v>12</v>
      </c>
      <c r="B3387" s="4"/>
      <c r="C3387" s="4" t="s">
        <v>60</v>
      </c>
      <c r="D3387" s="4"/>
      <c r="E3387" s="1">
        <v>0</v>
      </c>
      <c r="F3387" s="1">
        <v>0</v>
      </c>
      <c r="G3387" s="1">
        <v>0</v>
      </c>
      <c r="H3387" s="1">
        <v>0</v>
      </c>
      <c r="I3387" s="1">
        <v>0</v>
      </c>
    </row>
    <row r="3388" spans="1:9" ht="23.25">
      <c r="A3388" s="4" t="s">
        <v>13</v>
      </c>
      <c r="B3388" s="4"/>
      <c r="C3388" s="4" t="s">
        <v>60</v>
      </c>
      <c r="D3388" s="4"/>
      <c r="E3388" s="1">
        <v>0</v>
      </c>
      <c r="F3388" s="1">
        <v>0</v>
      </c>
      <c r="G3388" s="1">
        <v>0</v>
      </c>
      <c r="H3388" s="1">
        <v>0</v>
      </c>
      <c r="I3388" s="1">
        <v>0</v>
      </c>
    </row>
    <row r="3389" spans="1:9" ht="23.25">
      <c r="A3389" s="4" t="s">
        <v>14</v>
      </c>
      <c r="B3389" s="4"/>
      <c r="C3389" s="4" t="s">
        <v>60</v>
      </c>
      <c r="D3389" s="4"/>
      <c r="E3389" s="1">
        <v>0</v>
      </c>
      <c r="F3389" s="1">
        <v>0</v>
      </c>
      <c r="G3389" s="1">
        <v>0</v>
      </c>
      <c r="H3389" s="1">
        <v>0</v>
      </c>
      <c r="I3389" s="1">
        <v>0</v>
      </c>
    </row>
    <row r="3390" spans="1:9" ht="23.25">
      <c r="A3390" s="4" t="s">
        <v>15</v>
      </c>
      <c r="B3390" s="4"/>
      <c r="C3390" s="4" t="s">
        <v>60</v>
      </c>
      <c r="D3390" s="4"/>
      <c r="E3390" s="1">
        <v>0</v>
      </c>
      <c r="F3390" s="1">
        <v>0</v>
      </c>
      <c r="G3390" s="1">
        <v>0</v>
      </c>
      <c r="H3390" s="1">
        <v>0</v>
      </c>
      <c r="I3390" s="1">
        <v>0</v>
      </c>
    </row>
    <row r="3391" spans="1:9" ht="23.25">
      <c r="A3391" s="4" t="s">
        <v>16</v>
      </c>
      <c r="B3391" s="4"/>
      <c r="C3391" s="4" t="s">
        <v>60</v>
      </c>
      <c r="D3391" s="4"/>
      <c r="E3391" s="1">
        <v>0</v>
      </c>
      <c r="F3391" s="1">
        <v>0</v>
      </c>
      <c r="G3391" s="1">
        <v>0</v>
      </c>
      <c r="H3391" s="1">
        <v>0</v>
      </c>
      <c r="I3391" s="1">
        <v>0</v>
      </c>
    </row>
    <row r="3392" spans="1:9" ht="23.25">
      <c r="A3392" s="4" t="s">
        <v>17</v>
      </c>
      <c r="B3392" s="4"/>
      <c r="C3392" s="4" t="s">
        <v>60</v>
      </c>
      <c r="D3392" s="4"/>
      <c r="E3392" s="1">
        <v>0</v>
      </c>
      <c r="F3392" s="1">
        <v>0</v>
      </c>
      <c r="G3392" s="1">
        <v>0</v>
      </c>
      <c r="H3392" s="1">
        <v>0</v>
      </c>
      <c r="I3392" s="1">
        <v>0</v>
      </c>
    </row>
    <row r="3393" spans="1:9" ht="23.25">
      <c r="A3393" s="4" t="s">
        <v>18</v>
      </c>
      <c r="B3393" s="4"/>
      <c r="C3393" s="4" t="s">
        <v>60</v>
      </c>
      <c r="D3393" s="4"/>
      <c r="E3393" s="1">
        <v>0</v>
      </c>
      <c r="F3393" s="1">
        <v>0</v>
      </c>
      <c r="G3393" s="1">
        <v>0</v>
      </c>
      <c r="H3393" s="1">
        <v>0</v>
      </c>
      <c r="I3393" s="1">
        <v>0</v>
      </c>
    </row>
    <row r="3394" spans="1:9" ht="23.25">
      <c r="A3394" s="4" t="s">
        <v>19</v>
      </c>
      <c r="B3394" s="4"/>
      <c r="C3394" s="4" t="s">
        <v>60</v>
      </c>
      <c r="D3394" s="4"/>
      <c r="E3394" s="1">
        <v>0</v>
      </c>
      <c r="F3394" s="1">
        <v>0</v>
      </c>
      <c r="G3394" s="1">
        <v>0</v>
      </c>
      <c r="H3394" s="1">
        <v>0</v>
      </c>
      <c r="I3394" s="1">
        <v>0</v>
      </c>
    </row>
    <row r="3395" spans="1:9" ht="23.25">
      <c r="A3395" s="4" t="s">
        <v>20</v>
      </c>
      <c r="B3395" s="4"/>
      <c r="C3395" s="4" t="s">
        <v>60</v>
      </c>
      <c r="D3395" s="4"/>
      <c r="E3395" s="1">
        <v>0</v>
      </c>
      <c r="F3395" s="1">
        <v>0</v>
      </c>
      <c r="G3395" s="1">
        <v>0</v>
      </c>
      <c r="H3395" s="1">
        <v>0</v>
      </c>
      <c r="I3395" s="1">
        <v>0</v>
      </c>
    </row>
    <row r="3396" spans="1:9" ht="23.25">
      <c r="A3396" s="4" t="s">
        <v>21</v>
      </c>
      <c r="B3396" s="4"/>
      <c r="C3396" s="4" t="s">
        <v>60</v>
      </c>
      <c r="D3396" s="4"/>
      <c r="E3396" s="1">
        <v>0</v>
      </c>
      <c r="F3396" s="1">
        <v>0</v>
      </c>
      <c r="G3396" s="1">
        <v>0</v>
      </c>
      <c r="H3396" s="1">
        <v>0</v>
      </c>
      <c r="I3396" s="1">
        <v>0</v>
      </c>
    </row>
    <row r="3397" spans="1:9" ht="23.25">
      <c r="A3397" s="4" t="s">
        <v>22</v>
      </c>
      <c r="B3397" s="4"/>
      <c r="C3397" s="4" t="s">
        <v>60</v>
      </c>
      <c r="D3397" s="4"/>
      <c r="E3397" s="1">
        <v>0</v>
      </c>
      <c r="F3397" s="1">
        <v>0</v>
      </c>
      <c r="G3397" s="1">
        <v>0</v>
      </c>
      <c r="H3397" s="1">
        <v>0</v>
      </c>
      <c r="I3397" s="1">
        <v>0</v>
      </c>
    </row>
    <row r="3398" spans="1:9" ht="23.25">
      <c r="A3398" s="4" t="s">
        <v>23</v>
      </c>
      <c r="B3398" s="4"/>
      <c r="C3398" s="4" t="s">
        <v>60</v>
      </c>
      <c r="D3398" s="4"/>
      <c r="E3398" s="1">
        <v>0</v>
      </c>
      <c r="F3398" s="1">
        <v>0</v>
      </c>
      <c r="G3398" s="1">
        <v>0</v>
      </c>
      <c r="H3398" s="1">
        <v>0</v>
      </c>
      <c r="I3398" s="1">
        <v>0</v>
      </c>
    </row>
    <row r="3399" spans="1:9" ht="23.25">
      <c r="A3399" s="4" t="s">
        <v>24</v>
      </c>
      <c r="B3399" s="4"/>
      <c r="C3399" s="4" t="s">
        <v>60</v>
      </c>
      <c r="D3399" s="4"/>
      <c r="E3399" s="1">
        <v>0</v>
      </c>
      <c r="F3399" s="1">
        <v>0</v>
      </c>
      <c r="G3399" s="1">
        <v>0</v>
      </c>
      <c r="H3399" s="1">
        <v>0</v>
      </c>
      <c r="I3399" s="1">
        <v>0</v>
      </c>
    </row>
    <row r="3400" spans="1:9" ht="23.25">
      <c r="A3400" s="4" t="s">
        <v>25</v>
      </c>
      <c r="B3400" s="4"/>
      <c r="C3400" s="4" t="s">
        <v>60</v>
      </c>
      <c r="D3400" s="4"/>
      <c r="E3400" s="1">
        <v>0</v>
      </c>
      <c r="F3400" s="1">
        <v>0</v>
      </c>
      <c r="G3400" s="1">
        <v>0</v>
      </c>
      <c r="H3400" s="1">
        <v>0</v>
      </c>
      <c r="I3400" s="1">
        <v>0</v>
      </c>
    </row>
    <row r="3401" spans="1:9" ht="23.25">
      <c r="A3401" s="4" t="s">
        <v>26</v>
      </c>
      <c r="B3401" s="4"/>
      <c r="C3401" s="4" t="s">
        <v>60</v>
      </c>
      <c r="D3401" s="4"/>
      <c r="E3401" s="1">
        <v>45883</v>
      </c>
      <c r="F3401" s="1">
        <v>1117</v>
      </c>
      <c r="G3401" s="1">
        <v>121</v>
      </c>
      <c r="H3401" s="1">
        <v>283</v>
      </c>
      <c r="I3401" s="1">
        <v>0</v>
      </c>
    </row>
    <row r="3402" spans="1:9" ht="23.25">
      <c r="A3402" s="4" t="s">
        <v>27</v>
      </c>
      <c r="B3402" s="4"/>
      <c r="C3402" s="4" t="s">
        <v>60</v>
      </c>
      <c r="D3402" s="4"/>
      <c r="E3402" s="1">
        <v>0</v>
      </c>
      <c r="F3402" s="1">
        <v>0</v>
      </c>
      <c r="G3402" s="1">
        <v>0</v>
      </c>
      <c r="H3402" s="1">
        <v>0</v>
      </c>
      <c r="I3402" s="1">
        <v>0</v>
      </c>
    </row>
    <row r="3403" spans="1:9" ht="23.25">
      <c r="A3403" s="4" t="s">
        <v>28</v>
      </c>
      <c r="B3403" s="4"/>
      <c r="C3403" s="4" t="s">
        <v>60</v>
      </c>
      <c r="D3403" s="4"/>
      <c r="E3403" s="1">
        <v>641370</v>
      </c>
      <c r="F3403" s="1">
        <v>64739</v>
      </c>
      <c r="G3403" s="1">
        <v>128111</v>
      </c>
      <c r="H3403" s="1">
        <v>18026</v>
      </c>
      <c r="I3403" s="1">
        <v>0</v>
      </c>
    </row>
    <row r="3404" spans="1:9" ht="23.25">
      <c r="A3404" s="4" t="s">
        <v>29</v>
      </c>
      <c r="B3404" s="4"/>
      <c r="C3404" s="4" t="s">
        <v>60</v>
      </c>
      <c r="D3404" s="4"/>
      <c r="E3404" s="1">
        <v>0</v>
      </c>
      <c r="F3404" s="1">
        <v>0</v>
      </c>
      <c r="G3404" s="1">
        <v>0</v>
      </c>
      <c r="H3404" s="1">
        <v>0</v>
      </c>
      <c r="I3404" s="1">
        <v>0</v>
      </c>
    </row>
    <row r="3405" spans="1:9" ht="23.25">
      <c r="A3405" s="4" t="s">
        <v>30</v>
      </c>
      <c r="B3405" s="4"/>
      <c r="C3405" s="4" t="s">
        <v>60</v>
      </c>
      <c r="D3405" s="4"/>
      <c r="E3405" s="1">
        <v>0</v>
      </c>
      <c r="F3405" s="1">
        <v>0</v>
      </c>
      <c r="G3405" s="1">
        <v>0</v>
      </c>
      <c r="H3405" s="1">
        <v>0</v>
      </c>
      <c r="I3405" s="1">
        <v>0</v>
      </c>
    </row>
    <row r="3406" spans="1:9" ht="23.25">
      <c r="A3406" s="4" t="s">
        <v>31</v>
      </c>
      <c r="B3406" s="4"/>
      <c r="C3406" s="4" t="s">
        <v>60</v>
      </c>
      <c r="D3406" s="4"/>
      <c r="E3406" s="1">
        <v>3845884</v>
      </c>
      <c r="F3406" s="1">
        <v>184491</v>
      </c>
      <c r="G3406" s="1">
        <v>401933</v>
      </c>
      <c r="H3406" s="1">
        <v>20815</v>
      </c>
      <c r="I3406" s="1">
        <v>221831</v>
      </c>
    </row>
    <row r="3407" spans="1:9" ht="23.25">
      <c r="A3407" s="4" t="s">
        <v>32</v>
      </c>
      <c r="B3407" s="4"/>
      <c r="C3407" s="4" t="s">
        <v>60</v>
      </c>
      <c r="D3407" s="4"/>
      <c r="E3407" s="1">
        <v>22524152</v>
      </c>
      <c r="F3407" s="1">
        <v>2812554</v>
      </c>
      <c r="G3407" s="1">
        <v>1341458</v>
      </c>
      <c r="H3407" s="1">
        <v>390135</v>
      </c>
      <c r="I3407" s="1">
        <v>1363093</v>
      </c>
    </row>
    <row r="3408" spans="1:9" ht="23.25">
      <c r="A3408" s="4" t="s">
        <v>33</v>
      </c>
      <c r="B3408" s="4"/>
      <c r="C3408" s="4" t="s">
        <v>60</v>
      </c>
      <c r="D3408" s="4"/>
      <c r="E3408" s="1">
        <v>2257386</v>
      </c>
      <c r="F3408" s="1">
        <v>235463</v>
      </c>
      <c r="G3408" s="1">
        <v>311843</v>
      </c>
      <c r="H3408" s="1">
        <v>18762</v>
      </c>
      <c r="I3408" s="1">
        <v>622320</v>
      </c>
    </row>
    <row r="3409" spans="1:9" ht="23.25">
      <c r="A3409" s="4" t="s">
        <v>34</v>
      </c>
      <c r="B3409" s="4"/>
      <c r="C3409" s="4" t="s">
        <v>60</v>
      </c>
      <c r="D3409" s="4"/>
      <c r="E3409" s="1">
        <v>0</v>
      </c>
      <c r="F3409" s="1">
        <v>0</v>
      </c>
      <c r="G3409" s="1">
        <v>0</v>
      </c>
      <c r="H3409" s="1">
        <v>0</v>
      </c>
      <c r="I3409" s="1">
        <v>0</v>
      </c>
    </row>
    <row r="3410" spans="1:9" ht="23.25">
      <c r="A3410" s="4" t="s">
        <v>35</v>
      </c>
      <c r="B3410" s="4"/>
      <c r="C3410" s="4" t="s">
        <v>60</v>
      </c>
      <c r="D3410" s="4"/>
      <c r="E3410" s="1">
        <v>0</v>
      </c>
      <c r="F3410" s="1">
        <v>0</v>
      </c>
      <c r="G3410" s="1">
        <v>0</v>
      </c>
      <c r="H3410" s="1">
        <v>0</v>
      </c>
      <c r="I3410" s="1">
        <v>0</v>
      </c>
    </row>
    <row r="3411" spans="1:9" ht="23.25">
      <c r="A3411" s="4" t="s">
        <v>36</v>
      </c>
      <c r="B3411" s="4"/>
      <c r="C3411" s="4" t="s">
        <v>60</v>
      </c>
      <c r="D3411" s="4"/>
      <c r="E3411" s="1">
        <v>4124120</v>
      </c>
      <c r="F3411" s="1">
        <v>617152</v>
      </c>
      <c r="G3411" s="1">
        <v>597723</v>
      </c>
      <c r="H3411" s="1">
        <v>68593</v>
      </c>
      <c r="I3411" s="1">
        <v>1667315</v>
      </c>
    </row>
    <row r="3412" spans="1:9" ht="23.25">
      <c r="A3412" s="4" t="s">
        <v>37</v>
      </c>
      <c r="B3412" s="4"/>
      <c r="C3412" s="4" t="s">
        <v>60</v>
      </c>
      <c r="D3412" s="4"/>
      <c r="E3412" s="1">
        <v>10698530</v>
      </c>
      <c r="F3412" s="1">
        <v>680505</v>
      </c>
      <c r="G3412" s="1">
        <v>693922</v>
      </c>
      <c r="H3412" s="1">
        <v>107635</v>
      </c>
      <c r="I3412" s="1">
        <v>1940596</v>
      </c>
    </row>
    <row r="3413" spans="1:9" ht="23.25">
      <c r="A3413" s="4" t="s">
        <v>38</v>
      </c>
      <c r="B3413" s="4"/>
      <c r="C3413" s="4" t="s">
        <v>60</v>
      </c>
      <c r="D3413" s="4"/>
      <c r="E3413" s="1">
        <v>24893</v>
      </c>
      <c r="F3413" s="1">
        <v>1578</v>
      </c>
      <c r="G3413" s="1">
        <v>2314</v>
      </c>
      <c r="H3413" s="1">
        <v>638</v>
      </c>
      <c r="I3413" s="1">
        <v>0</v>
      </c>
    </row>
    <row r="3414" spans="1:9" ht="23.25">
      <c r="A3414" s="4" t="s">
        <v>39</v>
      </c>
      <c r="B3414" s="4"/>
      <c r="C3414" s="4" t="s">
        <v>60</v>
      </c>
      <c r="D3414" s="4"/>
      <c r="E3414" s="1">
        <v>991106</v>
      </c>
      <c r="F3414" s="1">
        <v>21336</v>
      </c>
      <c r="G3414" s="1">
        <v>19646</v>
      </c>
      <c r="H3414" s="1">
        <v>6674</v>
      </c>
      <c r="I3414" s="1">
        <v>241032</v>
      </c>
    </row>
    <row r="3415" spans="1:9" ht="23.25">
      <c r="A3415" s="4" t="s">
        <v>40</v>
      </c>
      <c r="B3415" s="4"/>
      <c r="C3415" s="4" t="s">
        <v>60</v>
      </c>
      <c r="D3415" s="4"/>
      <c r="E3415" s="1">
        <v>0</v>
      </c>
      <c r="F3415" s="1">
        <v>0</v>
      </c>
      <c r="G3415" s="1">
        <v>0</v>
      </c>
      <c r="H3415" s="1">
        <v>0</v>
      </c>
      <c r="I3415" s="1">
        <v>0</v>
      </c>
    </row>
    <row r="3416" spans="1:9" ht="23.25">
      <c r="A3416" s="4" t="s">
        <v>41</v>
      </c>
      <c r="B3416" s="4"/>
      <c r="C3416" s="4" t="s">
        <v>60</v>
      </c>
      <c r="D3416" s="4"/>
      <c r="E3416" s="1">
        <v>0</v>
      </c>
      <c r="F3416" s="1">
        <v>0</v>
      </c>
      <c r="G3416" s="1">
        <v>0</v>
      </c>
      <c r="H3416" s="1">
        <v>0</v>
      </c>
      <c r="I3416" s="1">
        <v>0</v>
      </c>
    </row>
    <row r="3417" spans="1:9" ht="23.25">
      <c r="A3417" s="4" t="s">
        <v>42</v>
      </c>
      <c r="B3417" s="4"/>
      <c r="C3417" s="4" t="s">
        <v>60</v>
      </c>
      <c r="D3417" s="4"/>
      <c r="E3417" s="1">
        <v>0</v>
      </c>
      <c r="F3417" s="1">
        <v>0</v>
      </c>
      <c r="G3417" s="1">
        <v>0</v>
      </c>
      <c r="H3417" s="1">
        <v>0</v>
      </c>
      <c r="I3417" s="1">
        <v>0</v>
      </c>
    </row>
    <row r="3418" spans="1:9" ht="23.25">
      <c r="A3418" s="4" t="s">
        <v>43</v>
      </c>
      <c r="B3418" s="4"/>
      <c r="C3418" s="4" t="s">
        <v>60</v>
      </c>
      <c r="D3418" s="4"/>
      <c r="E3418" s="1">
        <v>0</v>
      </c>
      <c r="F3418" s="1">
        <v>0</v>
      </c>
      <c r="G3418" s="1">
        <v>0</v>
      </c>
      <c r="H3418" s="1">
        <v>0</v>
      </c>
      <c r="I3418" s="1">
        <v>0</v>
      </c>
    </row>
    <row r="3419" spans="1:9" ht="23.25">
      <c r="A3419" s="4" t="s">
        <v>44</v>
      </c>
      <c r="B3419" s="4"/>
      <c r="C3419" s="4" t="s">
        <v>60</v>
      </c>
      <c r="D3419" s="4"/>
      <c r="E3419" s="1">
        <v>262224</v>
      </c>
      <c r="F3419" s="1">
        <v>3587</v>
      </c>
      <c r="G3419" s="1">
        <v>12187</v>
      </c>
      <c r="H3419" s="1">
        <v>797</v>
      </c>
      <c r="I3419" s="1">
        <v>116427</v>
      </c>
    </row>
    <row r="3420" spans="1:9" ht="23.25">
      <c r="A3420" s="4" t="s">
        <v>45</v>
      </c>
      <c r="B3420" s="4"/>
      <c r="C3420" s="4" t="s">
        <v>60</v>
      </c>
      <c r="D3420" s="4"/>
      <c r="E3420" s="1">
        <v>0</v>
      </c>
      <c r="F3420" s="1">
        <v>0</v>
      </c>
      <c r="G3420" s="1">
        <v>0</v>
      </c>
      <c r="H3420" s="1">
        <v>0</v>
      </c>
      <c r="I3420" s="1">
        <v>0</v>
      </c>
    </row>
    <row r="3421" spans="1:9" ht="23.25">
      <c r="A3421" s="4" t="s">
        <v>46</v>
      </c>
      <c r="B3421" s="4"/>
      <c r="C3421" s="4" t="s">
        <v>60</v>
      </c>
      <c r="D3421" s="4"/>
      <c r="E3421" s="1">
        <v>17012519</v>
      </c>
      <c r="F3421" s="1">
        <v>820249</v>
      </c>
      <c r="G3421" s="1">
        <v>1321495</v>
      </c>
      <c r="H3421" s="1">
        <v>150898</v>
      </c>
      <c r="I3421" s="1">
        <v>5321773</v>
      </c>
    </row>
    <row r="3422" spans="1:9" ht="23.25">
      <c r="A3422" s="4" t="s">
        <v>47</v>
      </c>
      <c r="B3422" s="4"/>
      <c r="C3422" s="4" t="s">
        <v>60</v>
      </c>
      <c r="D3422" s="4"/>
      <c r="E3422" s="1">
        <v>9542714</v>
      </c>
      <c r="F3422" s="1">
        <v>0</v>
      </c>
      <c r="G3422" s="1">
        <v>0</v>
      </c>
      <c r="H3422" s="1">
        <v>0</v>
      </c>
      <c r="I3422" s="1">
        <v>0</v>
      </c>
    </row>
    <row r="3423" spans="1:9" ht="23.25">
      <c r="A3423" s="4" t="s">
        <v>48</v>
      </c>
      <c r="B3423" s="4"/>
      <c r="C3423" s="4" t="s">
        <v>60</v>
      </c>
      <c r="D3423" s="4"/>
      <c r="E3423" s="1">
        <v>0</v>
      </c>
      <c r="F3423" s="1">
        <v>0</v>
      </c>
      <c r="G3423" s="1">
        <v>0</v>
      </c>
      <c r="H3423" s="1">
        <v>0</v>
      </c>
      <c r="I3423" s="1">
        <v>0</v>
      </c>
    </row>
    <row r="3424" spans="1:9" ht="23.25">
      <c r="A3424" s="4" t="s">
        <v>49</v>
      </c>
      <c r="B3424" s="4"/>
      <c r="C3424" s="4" t="s">
        <v>60</v>
      </c>
      <c r="D3424" s="4"/>
      <c r="E3424" s="1">
        <v>0</v>
      </c>
      <c r="F3424" s="1">
        <v>0</v>
      </c>
      <c r="G3424" s="1">
        <v>0</v>
      </c>
      <c r="H3424" s="1">
        <v>0</v>
      </c>
      <c r="I3424" s="1">
        <v>0</v>
      </c>
    </row>
    <row r="3425" spans="1:9" ht="23.25">
      <c r="A3425" s="4" t="s">
        <v>50</v>
      </c>
      <c r="B3425" s="4"/>
      <c r="C3425" s="4" t="s">
        <v>60</v>
      </c>
      <c r="D3425" s="4"/>
      <c r="E3425" s="1">
        <v>0</v>
      </c>
      <c r="F3425" s="1">
        <v>0</v>
      </c>
      <c r="G3425" s="1">
        <v>0</v>
      </c>
      <c r="H3425" s="1">
        <v>0</v>
      </c>
      <c r="I3425" s="1">
        <v>0</v>
      </c>
    </row>
    <row r="3426" spans="1:9" ht="23.25">
      <c r="A3426" s="4" t="s">
        <v>51</v>
      </c>
      <c r="B3426" s="4"/>
      <c r="C3426" s="4" t="s">
        <v>60</v>
      </c>
      <c r="D3426" s="4"/>
      <c r="E3426" s="1">
        <v>5200859</v>
      </c>
      <c r="F3426" s="1">
        <v>700025</v>
      </c>
      <c r="G3426" s="1">
        <v>1094583</v>
      </c>
      <c r="H3426" s="1">
        <v>64381</v>
      </c>
      <c r="I3426" s="1">
        <v>0</v>
      </c>
    </row>
    <row r="3427" spans="1:9" ht="23.25">
      <c r="A3427" s="4" t="s">
        <v>52</v>
      </c>
      <c r="B3427" s="4"/>
      <c r="C3427" s="4" t="s">
        <v>60</v>
      </c>
      <c r="D3427" s="4"/>
      <c r="E3427" s="1">
        <v>21286235</v>
      </c>
      <c r="F3427" s="1">
        <v>16398</v>
      </c>
      <c r="G3427" s="1">
        <v>30375</v>
      </c>
      <c r="H3427" s="1">
        <v>3039</v>
      </c>
      <c r="I3427" s="1">
        <v>0</v>
      </c>
    </row>
    <row r="3428" spans="1:9" ht="23.25">
      <c r="A3428" s="4" t="s">
        <v>53</v>
      </c>
      <c r="B3428" s="4"/>
      <c r="C3428" s="4" t="s">
        <v>60</v>
      </c>
      <c r="D3428" s="4"/>
      <c r="E3428" s="1">
        <v>830719</v>
      </c>
      <c r="F3428" s="1">
        <v>0</v>
      </c>
      <c r="G3428" s="1">
        <v>0</v>
      </c>
      <c r="H3428" s="1">
        <v>0</v>
      </c>
      <c r="I3428" s="1">
        <v>0</v>
      </c>
    </row>
    <row r="3429" spans="1:9" ht="23.25">
      <c r="A3429" s="4" t="s">
        <v>54</v>
      </c>
      <c r="B3429" s="4"/>
      <c r="C3429" s="4" t="s">
        <v>60</v>
      </c>
      <c r="D3429" s="4"/>
      <c r="E3429" s="1">
        <v>1350426</v>
      </c>
      <c r="F3429" s="1">
        <v>0</v>
      </c>
      <c r="G3429" s="1">
        <v>0</v>
      </c>
      <c r="H3429" s="1">
        <v>0</v>
      </c>
      <c r="I3429" s="1">
        <v>0</v>
      </c>
    </row>
    <row r="3430" spans="1:9" ht="23.25">
      <c r="A3430" s="4" t="s">
        <v>55</v>
      </c>
      <c r="B3430" s="4"/>
      <c r="C3430" s="4" t="s">
        <v>60</v>
      </c>
      <c r="D3430" s="4"/>
      <c r="E3430" s="1">
        <v>0</v>
      </c>
      <c r="F3430" s="1">
        <v>0</v>
      </c>
      <c r="G3430" s="1">
        <v>0</v>
      </c>
      <c r="H3430" s="1">
        <v>0</v>
      </c>
      <c r="I3430" s="1">
        <v>0</v>
      </c>
    </row>
    <row r="3431" spans="1:9" ht="23.25">
      <c r="A3431" s="4" t="s">
        <v>56</v>
      </c>
      <c r="B3431" s="4"/>
      <c r="C3431" s="4" t="s">
        <v>60</v>
      </c>
      <c r="D3431" s="4"/>
      <c r="E3431" s="1">
        <v>0</v>
      </c>
      <c r="F3431" s="1">
        <v>-6159194</v>
      </c>
      <c r="G3431" s="1">
        <v>-5955711</v>
      </c>
      <c r="H3431" s="1">
        <v>0</v>
      </c>
      <c r="I3431" s="1">
        <v>0</v>
      </c>
    </row>
    <row r="3432" spans="1:9" ht="23.25">
      <c r="A3432" s="4" t="s">
        <v>57</v>
      </c>
      <c r="B3432" s="4"/>
      <c r="C3432" s="4" t="s">
        <v>60</v>
      </c>
      <c r="D3432" s="4"/>
      <c r="E3432" s="1">
        <v>5773836</v>
      </c>
      <c r="F3432" s="1">
        <v>0</v>
      </c>
      <c r="G3432" s="1">
        <v>0</v>
      </c>
      <c r="H3432" s="1">
        <v>0</v>
      </c>
      <c r="I3432" s="1">
        <v>0</v>
      </c>
    </row>
    <row r="3433" spans="1:9" ht="23.25">
      <c r="A3433" s="4" t="s">
        <v>58</v>
      </c>
      <c r="B3433" s="4"/>
      <c r="C3433" s="4" t="s">
        <v>60</v>
      </c>
      <c r="D3433" s="4"/>
      <c r="E3433" s="1">
        <v>6143918</v>
      </c>
      <c r="F3433" s="1">
        <v>0</v>
      </c>
      <c r="G3433" s="1">
        <v>0</v>
      </c>
      <c r="H3433" s="1">
        <v>-850676</v>
      </c>
      <c r="I3433" s="1">
        <v>0</v>
      </c>
    </row>
    <row r="3434" spans="1:9" ht="23.25">
      <c r="A3434" s="4" t="s">
        <v>59</v>
      </c>
      <c r="B3434" s="4"/>
      <c r="C3434" s="4" t="s">
        <v>60</v>
      </c>
      <c r="D3434" s="4"/>
      <c r="E3434" s="1">
        <v>23845456</v>
      </c>
      <c r="F3434" s="1">
        <v>0</v>
      </c>
      <c r="G3434" s="1">
        <v>0</v>
      </c>
      <c r="H3434" s="1">
        <v>0</v>
      </c>
      <c r="I3434" s="1">
        <v>0</v>
      </c>
    </row>
    <row r="3435" spans="1:9" ht="23.25">
      <c r="A3435" s="4" t="s">
        <v>60</v>
      </c>
      <c r="B3435" s="4"/>
      <c r="C3435" s="4" t="s">
        <v>60</v>
      </c>
      <c r="D3435" s="4"/>
      <c r="E3435" s="1">
        <v>213563295</v>
      </c>
      <c r="F3435" s="1">
        <v>0</v>
      </c>
      <c r="G3435" s="1">
        <v>0</v>
      </c>
      <c r="H3435" s="1">
        <v>0</v>
      </c>
      <c r="I3435" s="1">
        <v>0</v>
      </c>
    </row>
    <row r="3436" spans="1:9" ht="23.25">
      <c r="A3436" s="4" t="s">
        <v>61</v>
      </c>
      <c r="B3436" s="4"/>
      <c r="C3436" s="4" t="s">
        <v>60</v>
      </c>
      <c r="D3436" s="4"/>
      <c r="E3436" s="1">
        <v>22004330</v>
      </c>
      <c r="F3436" s="1">
        <v>0</v>
      </c>
      <c r="G3436" s="1">
        <v>0</v>
      </c>
      <c r="H3436" s="1">
        <v>0</v>
      </c>
      <c r="I3436" s="1">
        <v>0</v>
      </c>
    </row>
    <row r="3437" spans="1:9" ht="23.25">
      <c r="A3437" s="4" t="s">
        <v>62</v>
      </c>
      <c r="B3437" s="4"/>
      <c r="C3437" s="4" t="s">
        <v>60</v>
      </c>
      <c r="D3437" s="4"/>
      <c r="E3437" s="1">
        <v>110809260</v>
      </c>
      <c r="F3437" s="1">
        <v>0</v>
      </c>
      <c r="G3437" s="1">
        <v>0</v>
      </c>
      <c r="H3437" s="1">
        <v>0</v>
      </c>
      <c r="I3437" s="1">
        <v>23567511</v>
      </c>
    </row>
    <row r="3438" spans="1:9" ht="23.25">
      <c r="A3438" s="4" t="s">
        <v>63</v>
      </c>
      <c r="B3438" s="4"/>
      <c r="C3438" s="4" t="s">
        <v>60</v>
      </c>
      <c r="D3438" s="4"/>
      <c r="E3438" s="1">
        <v>20876103</v>
      </c>
      <c r="F3438" s="1">
        <v>0</v>
      </c>
      <c r="G3438" s="1">
        <v>0</v>
      </c>
      <c r="H3438" s="1">
        <v>0</v>
      </c>
      <c r="I3438" s="1">
        <v>0</v>
      </c>
    </row>
    <row r="3439" spans="1:9" ht="23.25">
      <c r="A3439" s="4" t="s">
        <v>64</v>
      </c>
      <c r="B3439" s="4"/>
      <c r="C3439" s="4" t="s">
        <v>60</v>
      </c>
      <c r="D3439" s="4"/>
      <c r="E3439" s="1">
        <v>25117424</v>
      </c>
      <c r="F3439" s="1">
        <v>0</v>
      </c>
      <c r="G3439" s="1">
        <v>0</v>
      </c>
      <c r="H3439" s="1">
        <v>0</v>
      </c>
      <c r="I3439" s="1">
        <v>0</v>
      </c>
    </row>
    <row r="3440" spans="1:9" ht="23.25">
      <c r="A3440" s="4" t="s">
        <v>65</v>
      </c>
      <c r="B3440" s="4"/>
      <c r="C3440" s="4" t="s">
        <v>60</v>
      </c>
      <c r="D3440" s="4"/>
      <c r="E3440" s="1">
        <v>13356205</v>
      </c>
      <c r="F3440" s="1">
        <v>0</v>
      </c>
      <c r="G3440" s="1">
        <v>0</v>
      </c>
      <c r="H3440" s="1">
        <v>0</v>
      </c>
      <c r="I3440" s="1">
        <v>1522195</v>
      </c>
    </row>
    <row r="3441" spans="1:9" ht="23.25">
      <c r="A3441" s="4" t="s">
        <v>66</v>
      </c>
      <c r="B3441" s="4"/>
      <c r="C3441" s="4" t="s">
        <v>60</v>
      </c>
      <c r="D3441" s="4"/>
      <c r="E3441" s="1">
        <v>542128847</v>
      </c>
      <c r="F3441" s="1">
        <v>0</v>
      </c>
      <c r="G3441" s="1">
        <v>0</v>
      </c>
      <c r="H3441" s="1">
        <v>0</v>
      </c>
      <c r="I3441" s="1">
        <v>36584093</v>
      </c>
    </row>
    <row r="3442" spans="1:9" ht="23.25">
      <c r="A3442" s="4" t="s">
        <v>67</v>
      </c>
      <c r="B3442" s="4"/>
      <c r="C3442" s="4" t="s">
        <v>60</v>
      </c>
      <c r="D3442" s="4"/>
      <c r="E3442" s="1">
        <v>376967948</v>
      </c>
      <c r="F3442" s="1">
        <v>0</v>
      </c>
      <c r="G3442" s="1">
        <v>0</v>
      </c>
      <c r="H3442" s="1">
        <v>0</v>
      </c>
      <c r="I3442" s="1">
        <v>0</v>
      </c>
    </row>
    <row r="3443" spans="1:9" ht="23.25">
      <c r="A3443" s="4" t="s">
        <v>68</v>
      </c>
      <c r="B3443" s="4"/>
      <c r="C3443" s="4" t="s">
        <v>60</v>
      </c>
      <c r="D3443" s="4"/>
      <c r="E3443" s="1">
        <v>568994615</v>
      </c>
      <c r="F3443" s="1">
        <v>0</v>
      </c>
      <c r="G3443" s="1">
        <v>0</v>
      </c>
      <c r="H3443" s="1">
        <v>0</v>
      </c>
      <c r="I3443" s="1">
        <v>0</v>
      </c>
    </row>
    <row r="3444" spans="1:9" ht="23.25">
      <c r="A3444" s="4" t="s">
        <v>69</v>
      </c>
      <c r="B3444" s="4"/>
      <c r="C3444" s="4" t="s">
        <v>60</v>
      </c>
      <c r="D3444" s="4"/>
      <c r="E3444" s="1">
        <v>135087385</v>
      </c>
      <c r="F3444" s="1">
        <v>0</v>
      </c>
      <c r="G3444" s="1">
        <v>0</v>
      </c>
      <c r="H3444" s="1">
        <v>0</v>
      </c>
      <c r="I3444" s="1">
        <v>0</v>
      </c>
    </row>
    <row r="3445" spans="1:9" ht="23.25">
      <c r="A3445" s="4" t="s">
        <v>70</v>
      </c>
      <c r="B3445" s="4"/>
      <c r="C3445" s="4" t="s">
        <v>60</v>
      </c>
      <c r="D3445" s="4"/>
      <c r="E3445" s="1">
        <v>103782658</v>
      </c>
      <c r="F3445" s="1">
        <v>0</v>
      </c>
      <c r="G3445" s="1">
        <v>0</v>
      </c>
      <c r="H3445" s="1">
        <v>0</v>
      </c>
      <c r="I3445" s="1">
        <v>0</v>
      </c>
    </row>
    <row r="3446" spans="1:9" ht="23.25">
      <c r="A3446" s="4" t="s">
        <v>71</v>
      </c>
      <c r="B3446" s="4"/>
      <c r="C3446" s="4" t="s">
        <v>60</v>
      </c>
      <c r="D3446" s="4"/>
      <c r="E3446" s="1">
        <v>1184832606</v>
      </c>
      <c r="F3446" s="1">
        <v>0</v>
      </c>
      <c r="G3446" s="1">
        <v>0</v>
      </c>
      <c r="H3446" s="1">
        <v>0</v>
      </c>
      <c r="I3446" s="1">
        <v>0</v>
      </c>
    </row>
    <row r="3447" spans="1:9" ht="23.25">
      <c r="A3447" s="4" t="s">
        <v>72</v>
      </c>
      <c r="B3447" s="4"/>
      <c r="C3447" s="4" t="s">
        <v>60</v>
      </c>
      <c r="D3447" s="4"/>
      <c r="E3447" s="1">
        <v>1726961453</v>
      </c>
      <c r="F3447" s="1">
        <v>0</v>
      </c>
      <c r="G3447" s="1">
        <v>0</v>
      </c>
      <c r="H3447" s="1">
        <v>0</v>
      </c>
      <c r="I3447" s="1">
        <v>0</v>
      </c>
    </row>
    <row r="3448" spans="1:9" ht="23.25">
      <c r="A3448" s="4" t="s">
        <v>8</v>
      </c>
      <c r="B3448" s="4"/>
      <c r="C3448" s="4" t="s">
        <v>61</v>
      </c>
      <c r="D3448" s="4"/>
      <c r="E3448" s="1">
        <v>0</v>
      </c>
      <c r="F3448" s="1">
        <v>0</v>
      </c>
      <c r="G3448" s="1">
        <v>0</v>
      </c>
      <c r="H3448" s="1">
        <v>0</v>
      </c>
      <c r="I3448" s="1">
        <v>0</v>
      </c>
    </row>
    <row r="3449" spans="1:9" ht="23.25">
      <c r="A3449" s="4" t="s">
        <v>9</v>
      </c>
      <c r="B3449" s="4"/>
      <c r="C3449" s="4" t="s">
        <v>61</v>
      </c>
      <c r="D3449" s="4"/>
      <c r="E3449" s="1">
        <v>0</v>
      </c>
      <c r="F3449" s="1">
        <v>0</v>
      </c>
      <c r="G3449" s="1">
        <v>0</v>
      </c>
      <c r="H3449" s="1">
        <v>0</v>
      </c>
      <c r="I3449" s="1">
        <v>0</v>
      </c>
    </row>
    <row r="3450" spans="1:9" ht="23.25">
      <c r="A3450" s="4" t="s">
        <v>10</v>
      </c>
      <c r="B3450" s="4"/>
      <c r="C3450" s="4" t="s">
        <v>61</v>
      </c>
      <c r="D3450" s="4"/>
      <c r="E3450" s="1">
        <v>0</v>
      </c>
      <c r="F3450" s="1">
        <v>0</v>
      </c>
      <c r="G3450" s="1">
        <v>0</v>
      </c>
      <c r="H3450" s="1">
        <v>0</v>
      </c>
      <c r="I3450" s="1">
        <v>0</v>
      </c>
    </row>
    <row r="3451" spans="1:9" ht="23.25">
      <c r="A3451" s="4" t="s">
        <v>11</v>
      </c>
      <c r="B3451" s="4"/>
      <c r="C3451" s="4" t="s">
        <v>61</v>
      </c>
      <c r="D3451" s="4"/>
      <c r="E3451" s="1">
        <v>0</v>
      </c>
      <c r="F3451" s="1">
        <v>0</v>
      </c>
      <c r="G3451" s="1">
        <v>0</v>
      </c>
      <c r="H3451" s="1">
        <v>0</v>
      </c>
      <c r="I3451" s="1">
        <v>0</v>
      </c>
    </row>
    <row r="3452" spans="1:9" ht="23.25">
      <c r="A3452" s="4" t="s">
        <v>12</v>
      </c>
      <c r="B3452" s="4"/>
      <c r="C3452" s="4" t="s">
        <v>61</v>
      </c>
      <c r="D3452" s="4"/>
      <c r="E3452" s="1">
        <v>0</v>
      </c>
      <c r="F3452" s="1">
        <v>0</v>
      </c>
      <c r="G3452" s="1">
        <v>0</v>
      </c>
      <c r="H3452" s="1">
        <v>0</v>
      </c>
      <c r="I3452" s="1">
        <v>0</v>
      </c>
    </row>
    <row r="3453" spans="1:9" ht="23.25">
      <c r="A3453" s="4" t="s">
        <v>13</v>
      </c>
      <c r="B3453" s="4"/>
      <c r="C3453" s="4" t="s">
        <v>61</v>
      </c>
      <c r="D3453" s="4"/>
      <c r="E3453" s="1">
        <v>0</v>
      </c>
      <c r="F3453" s="1">
        <v>0</v>
      </c>
      <c r="G3453" s="1">
        <v>0</v>
      </c>
      <c r="H3453" s="1">
        <v>0</v>
      </c>
      <c r="I3453" s="1">
        <v>0</v>
      </c>
    </row>
    <row r="3454" spans="1:9" ht="23.25">
      <c r="A3454" s="4" t="s">
        <v>14</v>
      </c>
      <c r="B3454" s="4"/>
      <c r="C3454" s="4" t="s">
        <v>61</v>
      </c>
      <c r="D3454" s="4"/>
      <c r="E3454" s="1">
        <v>0</v>
      </c>
      <c r="F3454" s="1">
        <v>0</v>
      </c>
      <c r="G3454" s="1">
        <v>0</v>
      </c>
      <c r="H3454" s="1">
        <v>0</v>
      </c>
      <c r="I3454" s="1">
        <v>0</v>
      </c>
    </row>
    <row r="3455" spans="1:9" ht="23.25">
      <c r="A3455" s="4" t="s">
        <v>15</v>
      </c>
      <c r="B3455" s="4"/>
      <c r="C3455" s="4" t="s">
        <v>61</v>
      </c>
      <c r="D3455" s="4"/>
      <c r="E3455" s="1">
        <v>1997</v>
      </c>
      <c r="F3455" s="1">
        <v>446</v>
      </c>
      <c r="G3455" s="1">
        <v>337</v>
      </c>
      <c r="H3455" s="1">
        <v>59</v>
      </c>
      <c r="I3455" s="1">
        <v>0</v>
      </c>
    </row>
    <row r="3456" spans="1:9" ht="23.25">
      <c r="A3456" s="4" t="s">
        <v>16</v>
      </c>
      <c r="B3456" s="4"/>
      <c r="C3456" s="4" t="s">
        <v>61</v>
      </c>
      <c r="D3456" s="4"/>
      <c r="E3456" s="1">
        <v>0</v>
      </c>
      <c r="F3456" s="1">
        <v>0</v>
      </c>
      <c r="G3456" s="1">
        <v>0</v>
      </c>
      <c r="H3456" s="1">
        <v>0</v>
      </c>
      <c r="I3456" s="1">
        <v>0</v>
      </c>
    </row>
    <row r="3457" spans="1:9" ht="23.25">
      <c r="A3457" s="4" t="s">
        <v>17</v>
      </c>
      <c r="B3457" s="4"/>
      <c r="C3457" s="4" t="s">
        <v>61</v>
      </c>
      <c r="D3457" s="4"/>
      <c r="E3457" s="1">
        <v>0</v>
      </c>
      <c r="F3457" s="1">
        <v>0</v>
      </c>
      <c r="G3457" s="1">
        <v>0</v>
      </c>
      <c r="H3457" s="1">
        <v>0</v>
      </c>
      <c r="I3457" s="1">
        <v>0</v>
      </c>
    </row>
    <row r="3458" spans="1:9" ht="23.25">
      <c r="A3458" s="4" t="s">
        <v>18</v>
      </c>
      <c r="B3458" s="4"/>
      <c r="C3458" s="4" t="s">
        <v>61</v>
      </c>
      <c r="D3458" s="4"/>
      <c r="E3458" s="1">
        <v>0</v>
      </c>
      <c r="F3458" s="1">
        <v>0</v>
      </c>
      <c r="G3458" s="1">
        <v>0</v>
      </c>
      <c r="H3458" s="1">
        <v>0</v>
      </c>
      <c r="I3458" s="1">
        <v>0</v>
      </c>
    </row>
    <row r="3459" spans="1:9" ht="23.25">
      <c r="A3459" s="4" t="s">
        <v>19</v>
      </c>
      <c r="B3459" s="4"/>
      <c r="C3459" s="4" t="s">
        <v>61</v>
      </c>
      <c r="D3459" s="4"/>
      <c r="E3459" s="1">
        <v>0</v>
      </c>
      <c r="F3459" s="1">
        <v>0</v>
      </c>
      <c r="G3459" s="1">
        <v>0</v>
      </c>
      <c r="H3459" s="1">
        <v>0</v>
      </c>
      <c r="I3459" s="1">
        <v>0</v>
      </c>
    </row>
    <row r="3460" spans="1:9" ht="23.25">
      <c r="A3460" s="4" t="s">
        <v>20</v>
      </c>
      <c r="B3460" s="4"/>
      <c r="C3460" s="4" t="s">
        <v>61</v>
      </c>
      <c r="D3460" s="4"/>
      <c r="E3460" s="1">
        <v>0</v>
      </c>
      <c r="F3460" s="1">
        <v>0</v>
      </c>
      <c r="G3460" s="1">
        <v>0</v>
      </c>
      <c r="H3460" s="1">
        <v>0</v>
      </c>
      <c r="I3460" s="1">
        <v>0</v>
      </c>
    </row>
    <row r="3461" spans="1:9" ht="23.25">
      <c r="A3461" s="4" t="s">
        <v>21</v>
      </c>
      <c r="B3461" s="4"/>
      <c r="C3461" s="4" t="s">
        <v>61</v>
      </c>
      <c r="D3461" s="4"/>
      <c r="E3461" s="1">
        <v>0</v>
      </c>
      <c r="F3461" s="1">
        <v>0</v>
      </c>
      <c r="G3461" s="1">
        <v>0</v>
      </c>
      <c r="H3461" s="1">
        <v>0</v>
      </c>
      <c r="I3461" s="1">
        <v>0</v>
      </c>
    </row>
    <row r="3462" spans="1:9" ht="23.25">
      <c r="A3462" s="4" t="s">
        <v>22</v>
      </c>
      <c r="B3462" s="4"/>
      <c r="C3462" s="4" t="s">
        <v>61</v>
      </c>
      <c r="D3462" s="4"/>
      <c r="E3462" s="1">
        <v>0</v>
      </c>
      <c r="F3462" s="1">
        <v>0</v>
      </c>
      <c r="G3462" s="1">
        <v>0</v>
      </c>
      <c r="H3462" s="1">
        <v>0</v>
      </c>
      <c r="I3462" s="1">
        <v>0</v>
      </c>
    </row>
    <row r="3463" spans="1:9" ht="23.25">
      <c r="A3463" s="4" t="s">
        <v>23</v>
      </c>
      <c r="B3463" s="4"/>
      <c r="C3463" s="4" t="s">
        <v>61</v>
      </c>
      <c r="D3463" s="4"/>
      <c r="E3463" s="1">
        <v>0</v>
      </c>
      <c r="F3463" s="1">
        <v>0</v>
      </c>
      <c r="G3463" s="1">
        <v>0</v>
      </c>
      <c r="H3463" s="1">
        <v>0</v>
      </c>
      <c r="I3463" s="1">
        <v>0</v>
      </c>
    </row>
    <row r="3464" spans="1:9" ht="23.25">
      <c r="A3464" s="4" t="s">
        <v>24</v>
      </c>
      <c r="B3464" s="4"/>
      <c r="C3464" s="4" t="s">
        <v>61</v>
      </c>
      <c r="D3464" s="4"/>
      <c r="E3464" s="1">
        <v>0</v>
      </c>
      <c r="F3464" s="1">
        <v>0</v>
      </c>
      <c r="G3464" s="1">
        <v>0</v>
      </c>
      <c r="H3464" s="1">
        <v>0</v>
      </c>
      <c r="I3464" s="1">
        <v>0</v>
      </c>
    </row>
    <row r="3465" spans="1:9" ht="23.25">
      <c r="A3465" s="4" t="s">
        <v>25</v>
      </c>
      <c r="B3465" s="4"/>
      <c r="C3465" s="4" t="s">
        <v>61</v>
      </c>
      <c r="D3465" s="4"/>
      <c r="E3465" s="1">
        <v>0</v>
      </c>
      <c r="F3465" s="1">
        <v>0</v>
      </c>
      <c r="G3465" s="1">
        <v>0</v>
      </c>
      <c r="H3465" s="1">
        <v>0</v>
      </c>
      <c r="I3465" s="1">
        <v>0</v>
      </c>
    </row>
    <row r="3466" spans="1:9" ht="23.25">
      <c r="A3466" s="4" t="s">
        <v>26</v>
      </c>
      <c r="B3466" s="4"/>
      <c r="C3466" s="4" t="s">
        <v>61</v>
      </c>
      <c r="D3466" s="4"/>
      <c r="E3466" s="1">
        <v>0</v>
      </c>
      <c r="F3466" s="1">
        <v>0</v>
      </c>
      <c r="G3466" s="1">
        <v>0</v>
      </c>
      <c r="H3466" s="1">
        <v>0</v>
      </c>
      <c r="I3466" s="1">
        <v>0</v>
      </c>
    </row>
    <row r="3467" spans="1:9" ht="23.25">
      <c r="A3467" s="4" t="s">
        <v>27</v>
      </c>
      <c r="B3467" s="4"/>
      <c r="C3467" s="4" t="s">
        <v>61</v>
      </c>
      <c r="D3467" s="4"/>
      <c r="E3467" s="1">
        <v>0</v>
      </c>
      <c r="F3467" s="1">
        <v>0</v>
      </c>
      <c r="G3467" s="1">
        <v>0</v>
      </c>
      <c r="H3467" s="1">
        <v>0</v>
      </c>
      <c r="I3467" s="1">
        <v>0</v>
      </c>
    </row>
    <row r="3468" spans="1:9" ht="23.25">
      <c r="A3468" s="4" t="s">
        <v>28</v>
      </c>
      <c r="B3468" s="4"/>
      <c r="C3468" s="4" t="s">
        <v>61</v>
      </c>
      <c r="D3468" s="4"/>
      <c r="E3468" s="1">
        <v>46724</v>
      </c>
      <c r="F3468" s="1">
        <v>5834</v>
      </c>
      <c r="G3468" s="1">
        <v>9235</v>
      </c>
      <c r="H3468" s="1">
        <v>1314</v>
      </c>
      <c r="I3468" s="1">
        <v>0</v>
      </c>
    </row>
    <row r="3469" spans="1:9" ht="23.25">
      <c r="A3469" s="4" t="s">
        <v>29</v>
      </c>
      <c r="B3469" s="4"/>
      <c r="C3469" s="4" t="s">
        <v>61</v>
      </c>
      <c r="D3469" s="4"/>
      <c r="E3469" s="1">
        <v>0</v>
      </c>
      <c r="F3469" s="1">
        <v>0</v>
      </c>
      <c r="G3469" s="1">
        <v>0</v>
      </c>
      <c r="H3469" s="1">
        <v>0</v>
      </c>
      <c r="I3469" s="1">
        <v>0</v>
      </c>
    </row>
    <row r="3470" spans="1:9" ht="23.25">
      <c r="A3470" s="4" t="s">
        <v>30</v>
      </c>
      <c r="B3470" s="4"/>
      <c r="C3470" s="4" t="s">
        <v>61</v>
      </c>
      <c r="D3470" s="4"/>
      <c r="E3470" s="1">
        <v>0</v>
      </c>
      <c r="F3470" s="1">
        <v>0</v>
      </c>
      <c r="G3470" s="1">
        <v>0</v>
      </c>
      <c r="H3470" s="1">
        <v>0</v>
      </c>
      <c r="I3470" s="1">
        <v>0</v>
      </c>
    </row>
    <row r="3471" spans="1:9" ht="23.25">
      <c r="A3471" s="4" t="s">
        <v>31</v>
      </c>
      <c r="B3471" s="4"/>
      <c r="C3471" s="4" t="s">
        <v>61</v>
      </c>
      <c r="D3471" s="4"/>
      <c r="E3471" s="1">
        <v>17239</v>
      </c>
      <c r="F3471" s="1">
        <v>1520</v>
      </c>
      <c r="G3471" s="1">
        <v>3009</v>
      </c>
      <c r="H3471" s="1">
        <v>107</v>
      </c>
      <c r="I3471" s="1">
        <v>7286</v>
      </c>
    </row>
    <row r="3472" spans="1:9" ht="23.25">
      <c r="A3472" s="4" t="s">
        <v>32</v>
      </c>
      <c r="B3472" s="4"/>
      <c r="C3472" s="4" t="s">
        <v>61</v>
      </c>
      <c r="D3472" s="4"/>
      <c r="E3472" s="1">
        <v>530065</v>
      </c>
      <c r="F3472" s="1">
        <v>26039</v>
      </c>
      <c r="G3472" s="1">
        <v>25363</v>
      </c>
      <c r="H3472" s="1">
        <v>5915</v>
      </c>
      <c r="I3472" s="1">
        <v>0</v>
      </c>
    </row>
    <row r="3473" spans="1:9" ht="23.25">
      <c r="A3473" s="4" t="s">
        <v>33</v>
      </c>
      <c r="B3473" s="4"/>
      <c r="C3473" s="4" t="s">
        <v>61</v>
      </c>
      <c r="D3473" s="4"/>
      <c r="E3473" s="1">
        <v>64720</v>
      </c>
      <c r="F3473" s="1">
        <v>2565</v>
      </c>
      <c r="G3473" s="1">
        <v>5961</v>
      </c>
      <c r="H3473" s="1">
        <v>599</v>
      </c>
      <c r="I3473" s="1">
        <v>0</v>
      </c>
    </row>
    <row r="3474" spans="1:9" ht="23.25">
      <c r="A3474" s="4" t="s">
        <v>34</v>
      </c>
      <c r="B3474" s="4"/>
      <c r="C3474" s="4" t="s">
        <v>61</v>
      </c>
      <c r="D3474" s="4"/>
      <c r="E3474" s="1">
        <v>0</v>
      </c>
      <c r="F3474" s="1">
        <v>0</v>
      </c>
      <c r="G3474" s="1">
        <v>0</v>
      </c>
      <c r="H3474" s="1">
        <v>0</v>
      </c>
      <c r="I3474" s="1">
        <v>0</v>
      </c>
    </row>
    <row r="3475" spans="1:9" ht="23.25">
      <c r="A3475" s="4" t="s">
        <v>35</v>
      </c>
      <c r="B3475" s="4"/>
      <c r="C3475" s="4" t="s">
        <v>61</v>
      </c>
      <c r="D3475" s="4"/>
      <c r="E3475" s="1">
        <v>15267</v>
      </c>
      <c r="F3475" s="1">
        <v>1620</v>
      </c>
      <c r="G3475" s="1">
        <v>1999</v>
      </c>
      <c r="H3475" s="1">
        <v>609</v>
      </c>
      <c r="I3475" s="1">
        <v>0</v>
      </c>
    </row>
    <row r="3476" spans="1:9" ht="23.25">
      <c r="A3476" s="4" t="s">
        <v>36</v>
      </c>
      <c r="B3476" s="4"/>
      <c r="C3476" s="4" t="s">
        <v>61</v>
      </c>
      <c r="D3476" s="4"/>
      <c r="E3476" s="1">
        <v>165878</v>
      </c>
      <c r="F3476" s="1">
        <v>18615</v>
      </c>
      <c r="G3476" s="1">
        <v>18501</v>
      </c>
      <c r="H3476" s="1">
        <v>2429</v>
      </c>
      <c r="I3476" s="1">
        <v>34092</v>
      </c>
    </row>
    <row r="3477" spans="1:9" ht="23.25">
      <c r="A3477" s="4" t="s">
        <v>37</v>
      </c>
      <c r="B3477" s="4"/>
      <c r="C3477" s="4" t="s">
        <v>61</v>
      </c>
      <c r="D3477" s="4"/>
      <c r="E3477" s="1">
        <v>1659698</v>
      </c>
      <c r="F3477" s="1">
        <v>91217</v>
      </c>
      <c r="G3477" s="1">
        <v>97552</v>
      </c>
      <c r="H3477" s="1">
        <v>15603</v>
      </c>
      <c r="I3477" s="1">
        <v>314864</v>
      </c>
    </row>
    <row r="3478" spans="1:9" ht="23.25">
      <c r="A3478" s="4" t="s">
        <v>38</v>
      </c>
      <c r="B3478" s="4"/>
      <c r="C3478" s="4" t="s">
        <v>61</v>
      </c>
      <c r="D3478" s="4"/>
      <c r="E3478" s="1">
        <v>0</v>
      </c>
      <c r="F3478" s="1">
        <v>0</v>
      </c>
      <c r="G3478" s="1">
        <v>0</v>
      </c>
      <c r="H3478" s="1">
        <v>0</v>
      </c>
      <c r="I3478" s="1">
        <v>0</v>
      </c>
    </row>
    <row r="3479" spans="1:9" ht="23.25">
      <c r="A3479" s="4" t="s">
        <v>39</v>
      </c>
      <c r="B3479" s="4"/>
      <c r="C3479" s="4" t="s">
        <v>61</v>
      </c>
      <c r="D3479" s="4"/>
      <c r="E3479" s="1">
        <v>209689</v>
      </c>
      <c r="F3479" s="1">
        <v>11426</v>
      </c>
      <c r="G3479" s="1">
        <v>14245</v>
      </c>
      <c r="H3479" s="1">
        <v>1526</v>
      </c>
      <c r="I3479" s="1">
        <v>52695</v>
      </c>
    </row>
    <row r="3480" spans="1:9" ht="23.25">
      <c r="A3480" s="4" t="s">
        <v>40</v>
      </c>
      <c r="B3480" s="4"/>
      <c r="C3480" s="4" t="s">
        <v>61</v>
      </c>
      <c r="D3480" s="4"/>
      <c r="E3480" s="1">
        <v>74113</v>
      </c>
      <c r="F3480" s="1">
        <v>3336</v>
      </c>
      <c r="G3480" s="1">
        <v>5219</v>
      </c>
      <c r="H3480" s="1">
        <v>1349</v>
      </c>
      <c r="I3480" s="1">
        <v>0</v>
      </c>
    </row>
    <row r="3481" spans="1:9" ht="23.25">
      <c r="A3481" s="4" t="s">
        <v>41</v>
      </c>
      <c r="B3481" s="4"/>
      <c r="C3481" s="4" t="s">
        <v>61</v>
      </c>
      <c r="D3481" s="4"/>
      <c r="E3481" s="1">
        <v>17105</v>
      </c>
      <c r="F3481" s="1">
        <v>368</v>
      </c>
      <c r="G3481" s="1">
        <v>421</v>
      </c>
      <c r="H3481" s="1">
        <v>180</v>
      </c>
      <c r="I3481" s="1">
        <v>0</v>
      </c>
    </row>
    <row r="3482" spans="1:9" ht="23.25">
      <c r="A3482" s="4" t="s">
        <v>42</v>
      </c>
      <c r="B3482" s="4"/>
      <c r="C3482" s="4" t="s">
        <v>61</v>
      </c>
      <c r="D3482" s="4"/>
      <c r="E3482" s="1">
        <v>0</v>
      </c>
      <c r="F3482" s="1">
        <v>0</v>
      </c>
      <c r="G3482" s="1">
        <v>0</v>
      </c>
      <c r="H3482" s="1">
        <v>0</v>
      </c>
      <c r="I3482" s="1">
        <v>0</v>
      </c>
    </row>
    <row r="3483" spans="1:9" ht="23.25">
      <c r="A3483" s="4" t="s">
        <v>43</v>
      </c>
      <c r="B3483" s="4"/>
      <c r="C3483" s="4" t="s">
        <v>61</v>
      </c>
      <c r="D3483" s="4"/>
      <c r="E3483" s="1">
        <v>0</v>
      </c>
      <c r="F3483" s="1">
        <v>0</v>
      </c>
      <c r="G3483" s="1">
        <v>0</v>
      </c>
      <c r="H3483" s="1">
        <v>0</v>
      </c>
      <c r="I3483" s="1">
        <v>0</v>
      </c>
    </row>
    <row r="3484" spans="1:9" ht="23.25">
      <c r="A3484" s="4" t="s">
        <v>44</v>
      </c>
      <c r="B3484" s="4"/>
      <c r="C3484" s="4" t="s">
        <v>61</v>
      </c>
      <c r="D3484" s="4"/>
      <c r="E3484" s="1">
        <v>412552</v>
      </c>
      <c r="F3484" s="1">
        <v>16498</v>
      </c>
      <c r="G3484" s="1">
        <v>29572</v>
      </c>
      <c r="H3484" s="1">
        <v>1944</v>
      </c>
      <c r="I3484" s="1">
        <v>147817</v>
      </c>
    </row>
    <row r="3485" spans="1:9" ht="23.25">
      <c r="A3485" s="4" t="s">
        <v>45</v>
      </c>
      <c r="B3485" s="4"/>
      <c r="C3485" s="4" t="s">
        <v>61</v>
      </c>
      <c r="D3485" s="4"/>
      <c r="E3485" s="1">
        <v>122009</v>
      </c>
      <c r="F3485" s="1">
        <v>5041</v>
      </c>
      <c r="G3485" s="1">
        <v>0</v>
      </c>
      <c r="H3485" s="1">
        <v>1152</v>
      </c>
      <c r="I3485" s="1">
        <v>0</v>
      </c>
    </row>
    <row r="3486" spans="1:9" ht="23.25">
      <c r="A3486" s="4" t="s">
        <v>46</v>
      </c>
      <c r="B3486" s="4"/>
      <c r="C3486" s="4" t="s">
        <v>61</v>
      </c>
      <c r="D3486" s="4"/>
      <c r="E3486" s="1">
        <v>1917524</v>
      </c>
      <c r="F3486" s="1">
        <v>96399</v>
      </c>
      <c r="G3486" s="1">
        <v>134099</v>
      </c>
      <c r="H3486" s="1">
        <v>17588</v>
      </c>
      <c r="I3486" s="1">
        <v>0</v>
      </c>
    </row>
    <row r="3487" spans="1:9" ht="23.25">
      <c r="A3487" s="4" t="s">
        <v>47</v>
      </c>
      <c r="B3487" s="4"/>
      <c r="C3487" s="4" t="s">
        <v>61</v>
      </c>
      <c r="D3487" s="4"/>
      <c r="E3487" s="1">
        <v>604956</v>
      </c>
      <c r="F3487" s="1">
        <v>0</v>
      </c>
      <c r="G3487" s="1">
        <v>0</v>
      </c>
      <c r="H3487" s="1">
        <v>0</v>
      </c>
      <c r="I3487" s="1">
        <v>0</v>
      </c>
    </row>
    <row r="3488" spans="1:9" ht="23.25">
      <c r="A3488" s="4" t="s">
        <v>48</v>
      </c>
      <c r="B3488" s="4"/>
      <c r="C3488" s="4" t="s">
        <v>61</v>
      </c>
      <c r="D3488" s="4"/>
      <c r="E3488" s="1">
        <v>0</v>
      </c>
      <c r="F3488" s="1">
        <v>0</v>
      </c>
      <c r="G3488" s="1">
        <v>0</v>
      </c>
      <c r="H3488" s="1">
        <v>0</v>
      </c>
      <c r="I3488" s="1">
        <v>0</v>
      </c>
    </row>
    <row r="3489" spans="1:9" ht="23.25">
      <c r="A3489" s="4" t="s">
        <v>49</v>
      </c>
      <c r="B3489" s="4"/>
      <c r="C3489" s="4" t="s">
        <v>61</v>
      </c>
      <c r="D3489" s="4"/>
      <c r="E3489" s="1">
        <v>0</v>
      </c>
      <c r="F3489" s="1">
        <v>0</v>
      </c>
      <c r="G3489" s="1">
        <v>0</v>
      </c>
      <c r="H3489" s="1">
        <v>0</v>
      </c>
      <c r="I3489" s="1">
        <v>0</v>
      </c>
    </row>
    <row r="3490" spans="1:9" ht="23.25">
      <c r="A3490" s="4" t="s">
        <v>50</v>
      </c>
      <c r="B3490" s="4"/>
      <c r="C3490" s="4" t="s">
        <v>61</v>
      </c>
      <c r="D3490" s="4"/>
      <c r="E3490" s="1">
        <v>0</v>
      </c>
      <c r="F3490" s="1">
        <v>0</v>
      </c>
      <c r="G3490" s="1">
        <v>0</v>
      </c>
      <c r="H3490" s="1">
        <v>0</v>
      </c>
      <c r="I3490" s="1">
        <v>0</v>
      </c>
    </row>
    <row r="3491" spans="1:9" ht="23.25">
      <c r="A3491" s="4" t="s">
        <v>51</v>
      </c>
      <c r="B3491" s="4"/>
      <c r="C3491" s="4" t="s">
        <v>61</v>
      </c>
      <c r="D3491" s="4"/>
      <c r="E3491" s="1">
        <v>573739</v>
      </c>
      <c r="F3491" s="1">
        <v>48357</v>
      </c>
      <c r="G3491" s="1">
        <v>64269</v>
      </c>
      <c r="H3491" s="1">
        <v>7082</v>
      </c>
      <c r="I3491" s="1">
        <v>0</v>
      </c>
    </row>
    <row r="3492" spans="1:9" ht="23.25">
      <c r="A3492" s="4" t="s">
        <v>52</v>
      </c>
      <c r="B3492" s="4"/>
      <c r="C3492" s="4" t="s">
        <v>61</v>
      </c>
      <c r="D3492" s="4"/>
      <c r="E3492" s="1">
        <v>24293893</v>
      </c>
      <c r="F3492" s="1">
        <v>1014</v>
      </c>
      <c r="G3492" s="1">
        <v>1763</v>
      </c>
      <c r="H3492" s="1">
        <v>185</v>
      </c>
      <c r="I3492" s="1">
        <v>0</v>
      </c>
    </row>
    <row r="3493" spans="1:9" ht="23.25">
      <c r="A3493" s="4" t="s">
        <v>53</v>
      </c>
      <c r="B3493" s="4"/>
      <c r="C3493" s="4" t="s">
        <v>61</v>
      </c>
      <c r="D3493" s="4"/>
      <c r="E3493" s="1">
        <v>1060553</v>
      </c>
      <c r="F3493" s="1">
        <v>0</v>
      </c>
      <c r="G3493" s="1">
        <v>0</v>
      </c>
      <c r="H3493" s="1">
        <v>0</v>
      </c>
      <c r="I3493" s="1">
        <v>0</v>
      </c>
    </row>
    <row r="3494" spans="1:9" ht="23.25">
      <c r="A3494" s="4" t="s">
        <v>54</v>
      </c>
      <c r="B3494" s="4"/>
      <c r="C3494" s="4" t="s">
        <v>61</v>
      </c>
      <c r="D3494" s="4"/>
      <c r="E3494" s="1">
        <v>2103181</v>
      </c>
      <c r="F3494" s="1">
        <v>0</v>
      </c>
      <c r="G3494" s="1">
        <v>0</v>
      </c>
      <c r="H3494" s="1">
        <v>0</v>
      </c>
      <c r="I3494" s="1">
        <v>0</v>
      </c>
    </row>
    <row r="3495" spans="1:9" ht="23.25">
      <c r="A3495" s="4" t="s">
        <v>55</v>
      </c>
      <c r="B3495" s="4"/>
      <c r="C3495" s="4" t="s">
        <v>61</v>
      </c>
      <c r="D3495" s="4"/>
      <c r="E3495" s="1">
        <v>0</v>
      </c>
      <c r="F3495" s="1">
        <v>0</v>
      </c>
      <c r="G3495" s="1">
        <v>0</v>
      </c>
      <c r="H3495" s="1">
        <v>0</v>
      </c>
      <c r="I3495" s="1">
        <v>0</v>
      </c>
    </row>
    <row r="3496" spans="1:9" ht="23.25">
      <c r="A3496" s="4" t="s">
        <v>56</v>
      </c>
      <c r="B3496" s="4"/>
      <c r="C3496" s="4" t="s">
        <v>61</v>
      </c>
      <c r="D3496" s="4"/>
      <c r="E3496" s="1">
        <v>0</v>
      </c>
      <c r="F3496" s="1">
        <v>-330295</v>
      </c>
      <c r="G3496" s="1">
        <v>-411545</v>
      </c>
      <c r="H3496" s="1">
        <v>0</v>
      </c>
      <c r="I3496" s="1">
        <v>0</v>
      </c>
    </row>
    <row r="3497" spans="1:9" ht="23.25">
      <c r="A3497" s="4" t="s">
        <v>57</v>
      </c>
      <c r="B3497" s="4"/>
      <c r="C3497" s="4" t="s">
        <v>61</v>
      </c>
      <c r="D3497" s="4"/>
      <c r="E3497" s="1">
        <v>897658</v>
      </c>
      <c r="F3497" s="1">
        <v>0</v>
      </c>
      <c r="G3497" s="1">
        <v>0</v>
      </c>
      <c r="H3497" s="1">
        <v>0</v>
      </c>
      <c r="I3497" s="1">
        <v>0</v>
      </c>
    </row>
    <row r="3498" spans="1:9" ht="23.25">
      <c r="A3498" s="4" t="s">
        <v>58</v>
      </c>
      <c r="B3498" s="4"/>
      <c r="C3498" s="4" t="s">
        <v>61</v>
      </c>
      <c r="D3498" s="4"/>
      <c r="E3498" s="1">
        <v>1995592</v>
      </c>
      <c r="F3498" s="1">
        <v>0</v>
      </c>
      <c r="G3498" s="1">
        <v>0</v>
      </c>
      <c r="H3498" s="1">
        <v>-57641</v>
      </c>
      <c r="I3498" s="1">
        <v>0</v>
      </c>
    </row>
    <row r="3499" spans="1:9" ht="23.25">
      <c r="A3499" s="4" t="s">
        <v>59</v>
      </c>
      <c r="B3499" s="4"/>
      <c r="C3499" s="4" t="s">
        <v>61</v>
      </c>
      <c r="D3499" s="4"/>
      <c r="E3499" s="1">
        <v>914818</v>
      </c>
      <c r="F3499" s="1">
        <v>0</v>
      </c>
      <c r="G3499" s="1">
        <v>0</v>
      </c>
      <c r="H3499" s="1">
        <v>0</v>
      </c>
      <c r="I3499" s="1">
        <v>0</v>
      </c>
    </row>
    <row r="3500" spans="1:9" ht="23.25">
      <c r="A3500" s="4" t="s">
        <v>60</v>
      </c>
      <c r="B3500" s="4"/>
      <c r="C3500" s="4" t="s">
        <v>61</v>
      </c>
      <c r="D3500" s="4"/>
      <c r="E3500" s="1">
        <v>60408560</v>
      </c>
      <c r="F3500" s="1">
        <v>0</v>
      </c>
      <c r="G3500" s="1">
        <v>0</v>
      </c>
      <c r="H3500" s="1">
        <v>0</v>
      </c>
      <c r="I3500" s="1">
        <v>0</v>
      </c>
    </row>
    <row r="3501" spans="1:9" ht="23.25">
      <c r="A3501" s="4" t="s">
        <v>61</v>
      </c>
      <c r="B3501" s="4"/>
      <c r="C3501" s="4" t="s">
        <v>61</v>
      </c>
      <c r="D3501" s="4"/>
      <c r="E3501" s="1">
        <v>311667</v>
      </c>
      <c r="F3501" s="1">
        <v>0</v>
      </c>
      <c r="G3501" s="1">
        <v>0</v>
      </c>
      <c r="H3501" s="1">
        <v>0</v>
      </c>
      <c r="I3501" s="1">
        <v>0</v>
      </c>
    </row>
    <row r="3502" spans="1:9" ht="23.25">
      <c r="A3502" s="4" t="s">
        <v>62</v>
      </c>
      <c r="B3502" s="4"/>
      <c r="C3502" s="4" t="s">
        <v>61</v>
      </c>
      <c r="D3502" s="4"/>
      <c r="E3502" s="1">
        <v>54880222</v>
      </c>
      <c r="F3502" s="1">
        <v>0</v>
      </c>
      <c r="G3502" s="1">
        <v>0</v>
      </c>
      <c r="H3502" s="1">
        <v>0</v>
      </c>
      <c r="I3502" s="1">
        <v>0</v>
      </c>
    </row>
    <row r="3503" spans="1:9" ht="23.25">
      <c r="A3503" s="4" t="s">
        <v>63</v>
      </c>
      <c r="B3503" s="4"/>
      <c r="C3503" s="4" t="s">
        <v>61</v>
      </c>
      <c r="D3503" s="4"/>
      <c r="E3503" s="1">
        <v>3253045</v>
      </c>
      <c r="F3503" s="1">
        <v>0</v>
      </c>
      <c r="G3503" s="1">
        <v>0</v>
      </c>
      <c r="H3503" s="1">
        <v>0</v>
      </c>
      <c r="I3503" s="1">
        <v>0</v>
      </c>
    </row>
    <row r="3504" spans="1:9" ht="23.25">
      <c r="A3504" s="4" t="s">
        <v>64</v>
      </c>
      <c r="B3504" s="4"/>
      <c r="C3504" s="4" t="s">
        <v>61</v>
      </c>
      <c r="D3504" s="4"/>
      <c r="E3504" s="1">
        <v>1354877</v>
      </c>
      <c r="F3504" s="1">
        <v>0</v>
      </c>
      <c r="G3504" s="1">
        <v>0</v>
      </c>
      <c r="H3504" s="1">
        <v>0</v>
      </c>
      <c r="I3504" s="1">
        <v>0</v>
      </c>
    </row>
    <row r="3505" spans="1:9" ht="23.25">
      <c r="A3505" s="4" t="s">
        <v>65</v>
      </c>
      <c r="B3505" s="4"/>
      <c r="C3505" s="4" t="s">
        <v>61</v>
      </c>
      <c r="D3505" s="4"/>
      <c r="E3505" s="1">
        <v>1820734</v>
      </c>
      <c r="F3505" s="1">
        <v>0</v>
      </c>
      <c r="G3505" s="1">
        <v>0</v>
      </c>
      <c r="H3505" s="1">
        <v>0</v>
      </c>
      <c r="I3505" s="1">
        <v>204940</v>
      </c>
    </row>
    <row r="3506" spans="1:9" ht="23.25">
      <c r="A3506" s="4" t="s">
        <v>66</v>
      </c>
      <c r="B3506" s="4"/>
      <c r="C3506" s="4" t="s">
        <v>61</v>
      </c>
      <c r="D3506" s="4"/>
      <c r="E3506" s="1">
        <v>159728075</v>
      </c>
      <c r="F3506" s="1">
        <v>0</v>
      </c>
      <c r="G3506" s="1">
        <v>0</v>
      </c>
      <c r="H3506" s="1">
        <v>0</v>
      </c>
      <c r="I3506" s="1">
        <v>761694</v>
      </c>
    </row>
    <row r="3507" spans="1:9" ht="23.25">
      <c r="A3507" s="4" t="s">
        <v>67</v>
      </c>
      <c r="B3507" s="4"/>
      <c r="C3507" s="4" t="s">
        <v>61</v>
      </c>
      <c r="D3507" s="4"/>
      <c r="E3507" s="1">
        <v>56449574</v>
      </c>
      <c r="F3507" s="1">
        <v>0</v>
      </c>
      <c r="G3507" s="1">
        <v>0</v>
      </c>
      <c r="H3507" s="1">
        <v>0</v>
      </c>
      <c r="I3507" s="1">
        <v>0</v>
      </c>
    </row>
    <row r="3508" spans="1:9" ht="23.25">
      <c r="A3508" s="4" t="s">
        <v>68</v>
      </c>
      <c r="B3508" s="4"/>
      <c r="C3508" s="4" t="s">
        <v>61</v>
      </c>
      <c r="D3508" s="4"/>
      <c r="E3508" s="1">
        <v>100405038</v>
      </c>
      <c r="F3508" s="1">
        <v>0</v>
      </c>
      <c r="G3508" s="1">
        <v>0</v>
      </c>
      <c r="H3508" s="1">
        <v>0</v>
      </c>
      <c r="I3508" s="1">
        <v>0</v>
      </c>
    </row>
    <row r="3509" spans="1:9" ht="23.25">
      <c r="A3509" s="4" t="s">
        <v>69</v>
      </c>
      <c r="B3509" s="4"/>
      <c r="C3509" s="4" t="s">
        <v>61</v>
      </c>
      <c r="D3509" s="4"/>
      <c r="E3509" s="1">
        <v>316387538</v>
      </c>
      <c r="F3509" s="1">
        <v>0</v>
      </c>
      <c r="G3509" s="1">
        <v>0</v>
      </c>
      <c r="H3509" s="1">
        <v>0</v>
      </c>
      <c r="I3509" s="1">
        <v>0</v>
      </c>
    </row>
    <row r="3510" spans="1:9" ht="23.25">
      <c r="A3510" s="4" t="s">
        <v>70</v>
      </c>
      <c r="B3510" s="4"/>
      <c r="C3510" s="4" t="s">
        <v>61</v>
      </c>
      <c r="D3510" s="4"/>
      <c r="E3510" s="1">
        <v>18624255</v>
      </c>
      <c r="F3510" s="1">
        <v>0</v>
      </c>
      <c r="G3510" s="1">
        <v>0</v>
      </c>
      <c r="H3510" s="1">
        <v>0</v>
      </c>
      <c r="I3510" s="1">
        <v>0</v>
      </c>
    </row>
    <row r="3511" spans="1:9" ht="23.25">
      <c r="A3511" s="4" t="s">
        <v>71</v>
      </c>
      <c r="B3511" s="4"/>
      <c r="C3511" s="4" t="s">
        <v>61</v>
      </c>
      <c r="D3511" s="4"/>
      <c r="E3511" s="1">
        <v>491866405</v>
      </c>
      <c r="F3511" s="1">
        <v>0</v>
      </c>
      <c r="G3511" s="1">
        <v>0</v>
      </c>
      <c r="H3511" s="1">
        <v>0</v>
      </c>
      <c r="I3511" s="1">
        <v>0</v>
      </c>
    </row>
    <row r="3512" spans="1:9" ht="23.25">
      <c r="A3512" s="4" t="s">
        <v>72</v>
      </c>
      <c r="B3512" s="4"/>
      <c r="C3512" s="4" t="s">
        <v>61</v>
      </c>
      <c r="D3512" s="4"/>
      <c r="E3512" s="1">
        <v>651594480</v>
      </c>
      <c r="F3512" s="1">
        <v>0</v>
      </c>
      <c r="G3512" s="1">
        <v>0</v>
      </c>
      <c r="H3512" s="1">
        <v>0</v>
      </c>
      <c r="I3512" s="1">
        <v>0</v>
      </c>
    </row>
    <row r="3513" spans="1:9" ht="23.25">
      <c r="A3513" s="4" t="s">
        <v>8</v>
      </c>
      <c r="B3513" s="4"/>
      <c r="C3513" s="4" t="s">
        <v>62</v>
      </c>
      <c r="D3513" s="4"/>
      <c r="E3513" s="1">
        <v>0</v>
      </c>
      <c r="F3513" s="1">
        <v>0</v>
      </c>
      <c r="G3513" s="1">
        <v>0</v>
      </c>
      <c r="H3513" s="1">
        <v>0</v>
      </c>
      <c r="I3513" s="1">
        <v>0</v>
      </c>
    </row>
    <row r="3514" spans="1:9" ht="23.25">
      <c r="A3514" s="4" t="s">
        <v>9</v>
      </c>
      <c r="B3514" s="4"/>
      <c r="C3514" s="4" t="s">
        <v>62</v>
      </c>
      <c r="D3514" s="4"/>
      <c r="E3514" s="1">
        <v>0</v>
      </c>
      <c r="F3514" s="1">
        <v>0</v>
      </c>
      <c r="G3514" s="1">
        <v>0</v>
      </c>
      <c r="H3514" s="1">
        <v>0</v>
      </c>
      <c r="I3514" s="1">
        <v>0</v>
      </c>
    </row>
    <row r="3515" spans="1:9" ht="23.25">
      <c r="A3515" s="4" t="s">
        <v>10</v>
      </c>
      <c r="B3515" s="4"/>
      <c r="C3515" s="4" t="s">
        <v>62</v>
      </c>
      <c r="D3515" s="4"/>
      <c r="E3515" s="1">
        <v>0</v>
      </c>
      <c r="F3515" s="1">
        <v>0</v>
      </c>
      <c r="G3515" s="1">
        <v>0</v>
      </c>
      <c r="H3515" s="1">
        <v>0</v>
      </c>
      <c r="I3515" s="1">
        <v>0</v>
      </c>
    </row>
    <row r="3516" spans="1:9" ht="23.25">
      <c r="A3516" s="4" t="s">
        <v>11</v>
      </c>
      <c r="B3516" s="4"/>
      <c r="C3516" s="4" t="s">
        <v>62</v>
      </c>
      <c r="D3516" s="4"/>
      <c r="E3516" s="1">
        <v>0</v>
      </c>
      <c r="F3516" s="1">
        <v>0</v>
      </c>
      <c r="G3516" s="1">
        <v>0</v>
      </c>
      <c r="H3516" s="1">
        <v>0</v>
      </c>
      <c r="I3516" s="1">
        <v>0</v>
      </c>
    </row>
    <row r="3517" spans="1:9" ht="23.25">
      <c r="A3517" s="4" t="s">
        <v>12</v>
      </c>
      <c r="B3517" s="4"/>
      <c r="C3517" s="4" t="s">
        <v>62</v>
      </c>
      <c r="D3517" s="4"/>
      <c r="E3517" s="1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 ht="23.25">
      <c r="A3518" s="4" t="s">
        <v>13</v>
      </c>
      <c r="B3518" s="4"/>
      <c r="C3518" s="4" t="s">
        <v>62</v>
      </c>
      <c r="D3518" s="4"/>
      <c r="E3518" s="1">
        <v>0</v>
      </c>
      <c r="F3518" s="1">
        <v>0</v>
      </c>
      <c r="G3518" s="1">
        <v>0</v>
      </c>
      <c r="H3518" s="1">
        <v>0</v>
      </c>
      <c r="I3518" s="1">
        <v>0</v>
      </c>
    </row>
    <row r="3519" spans="1:9" ht="23.25">
      <c r="A3519" s="4" t="s">
        <v>14</v>
      </c>
      <c r="B3519" s="4"/>
      <c r="C3519" s="4" t="s">
        <v>62</v>
      </c>
      <c r="D3519" s="4"/>
      <c r="E3519" s="1">
        <v>0</v>
      </c>
      <c r="F3519" s="1">
        <v>0</v>
      </c>
      <c r="G3519" s="1">
        <v>0</v>
      </c>
      <c r="H3519" s="1">
        <v>0</v>
      </c>
      <c r="I3519" s="1">
        <v>0</v>
      </c>
    </row>
    <row r="3520" spans="1:9" ht="23.25">
      <c r="A3520" s="4" t="s">
        <v>15</v>
      </c>
      <c r="B3520" s="4"/>
      <c r="C3520" s="4" t="s">
        <v>62</v>
      </c>
      <c r="D3520" s="4"/>
      <c r="E3520" s="1">
        <v>402488</v>
      </c>
      <c r="F3520" s="1">
        <v>22446</v>
      </c>
      <c r="G3520" s="1">
        <v>35464</v>
      </c>
      <c r="H3520" s="1">
        <v>8277</v>
      </c>
      <c r="I3520" s="1">
        <v>0</v>
      </c>
    </row>
    <row r="3521" spans="1:9" ht="23.25">
      <c r="A3521" s="4" t="s">
        <v>16</v>
      </c>
      <c r="B3521" s="4"/>
      <c r="C3521" s="4" t="s">
        <v>62</v>
      </c>
      <c r="D3521" s="4"/>
      <c r="E3521" s="1">
        <v>0</v>
      </c>
      <c r="F3521" s="1">
        <v>0</v>
      </c>
      <c r="G3521" s="1">
        <v>0</v>
      </c>
      <c r="H3521" s="1">
        <v>0</v>
      </c>
      <c r="I3521" s="1">
        <v>0</v>
      </c>
    </row>
    <row r="3522" spans="1:9" ht="23.25">
      <c r="A3522" s="4" t="s">
        <v>17</v>
      </c>
      <c r="B3522" s="4"/>
      <c r="C3522" s="4" t="s">
        <v>62</v>
      </c>
      <c r="D3522" s="4"/>
      <c r="E3522" s="1">
        <v>0</v>
      </c>
      <c r="F3522" s="1">
        <v>0</v>
      </c>
      <c r="G3522" s="1">
        <v>0</v>
      </c>
      <c r="H3522" s="1">
        <v>0</v>
      </c>
      <c r="I3522" s="1">
        <v>0</v>
      </c>
    </row>
    <row r="3523" spans="1:9" ht="23.25">
      <c r="A3523" s="4" t="s">
        <v>18</v>
      </c>
      <c r="B3523" s="4"/>
      <c r="C3523" s="4" t="s">
        <v>62</v>
      </c>
      <c r="D3523" s="4"/>
      <c r="E3523" s="1">
        <v>0</v>
      </c>
      <c r="F3523" s="1">
        <v>0</v>
      </c>
      <c r="G3523" s="1">
        <v>0</v>
      </c>
      <c r="H3523" s="1">
        <v>0</v>
      </c>
      <c r="I3523" s="1">
        <v>0</v>
      </c>
    </row>
    <row r="3524" spans="1:9" ht="23.25">
      <c r="A3524" s="4" t="s">
        <v>19</v>
      </c>
      <c r="B3524" s="4"/>
      <c r="C3524" s="4" t="s">
        <v>62</v>
      </c>
      <c r="D3524" s="4"/>
      <c r="E3524" s="1">
        <v>0</v>
      </c>
      <c r="F3524" s="1">
        <v>0</v>
      </c>
      <c r="G3524" s="1">
        <v>0</v>
      </c>
      <c r="H3524" s="1">
        <v>0</v>
      </c>
      <c r="I3524" s="1">
        <v>0</v>
      </c>
    </row>
    <row r="3525" spans="1:9" ht="23.25">
      <c r="A3525" s="4" t="s">
        <v>20</v>
      </c>
      <c r="B3525" s="4"/>
      <c r="C3525" s="4" t="s">
        <v>62</v>
      </c>
      <c r="D3525" s="4"/>
      <c r="E3525" s="1">
        <v>0</v>
      </c>
      <c r="F3525" s="1">
        <v>0</v>
      </c>
      <c r="G3525" s="1">
        <v>0</v>
      </c>
      <c r="H3525" s="1">
        <v>0</v>
      </c>
      <c r="I3525" s="1">
        <v>0</v>
      </c>
    </row>
    <row r="3526" spans="1:9" ht="23.25">
      <c r="A3526" s="4" t="s">
        <v>21</v>
      </c>
      <c r="B3526" s="4"/>
      <c r="C3526" s="4" t="s">
        <v>62</v>
      </c>
      <c r="D3526" s="4"/>
      <c r="E3526" s="1">
        <v>0</v>
      </c>
      <c r="F3526" s="1">
        <v>0</v>
      </c>
      <c r="G3526" s="1">
        <v>0</v>
      </c>
      <c r="H3526" s="1">
        <v>0</v>
      </c>
      <c r="I3526" s="1">
        <v>0</v>
      </c>
    </row>
    <row r="3527" spans="1:9" ht="23.25">
      <c r="A3527" s="4" t="s">
        <v>22</v>
      </c>
      <c r="B3527" s="4"/>
      <c r="C3527" s="4" t="s">
        <v>62</v>
      </c>
      <c r="D3527" s="4"/>
      <c r="E3527" s="1">
        <v>0</v>
      </c>
      <c r="F3527" s="1">
        <v>0</v>
      </c>
      <c r="G3527" s="1">
        <v>0</v>
      </c>
      <c r="H3527" s="1">
        <v>0</v>
      </c>
      <c r="I3527" s="1">
        <v>0</v>
      </c>
    </row>
    <row r="3528" spans="1:9" ht="23.25">
      <c r="A3528" s="4" t="s">
        <v>23</v>
      </c>
      <c r="B3528" s="4"/>
      <c r="C3528" s="4" t="s">
        <v>62</v>
      </c>
      <c r="D3528" s="4"/>
      <c r="E3528" s="1">
        <v>0</v>
      </c>
      <c r="F3528" s="1">
        <v>0</v>
      </c>
      <c r="G3528" s="1">
        <v>0</v>
      </c>
      <c r="H3528" s="1">
        <v>0</v>
      </c>
      <c r="I3528" s="1">
        <v>0</v>
      </c>
    </row>
    <row r="3529" spans="1:9" ht="23.25">
      <c r="A3529" s="4" t="s">
        <v>24</v>
      </c>
      <c r="B3529" s="4"/>
      <c r="C3529" s="4" t="s">
        <v>62</v>
      </c>
      <c r="D3529" s="4"/>
      <c r="E3529" s="1">
        <v>0</v>
      </c>
      <c r="F3529" s="1">
        <v>0</v>
      </c>
      <c r="G3529" s="1">
        <v>0</v>
      </c>
      <c r="H3529" s="1">
        <v>0</v>
      </c>
      <c r="I3529" s="1">
        <v>0</v>
      </c>
    </row>
    <row r="3530" spans="1:9" ht="23.25">
      <c r="A3530" s="4" t="s">
        <v>25</v>
      </c>
      <c r="B3530" s="4"/>
      <c r="C3530" s="4" t="s">
        <v>62</v>
      </c>
      <c r="D3530" s="4"/>
      <c r="E3530" s="1">
        <v>0</v>
      </c>
      <c r="F3530" s="1">
        <v>0</v>
      </c>
      <c r="G3530" s="1">
        <v>0</v>
      </c>
      <c r="H3530" s="1">
        <v>0</v>
      </c>
      <c r="I3530" s="1">
        <v>0</v>
      </c>
    </row>
    <row r="3531" spans="1:9" ht="23.25">
      <c r="A3531" s="4" t="s">
        <v>26</v>
      </c>
      <c r="B3531" s="4"/>
      <c r="C3531" s="4" t="s">
        <v>62</v>
      </c>
      <c r="D3531" s="4"/>
      <c r="E3531" s="1">
        <v>127257</v>
      </c>
      <c r="F3531" s="1">
        <v>2191</v>
      </c>
      <c r="G3531" s="1">
        <v>7554</v>
      </c>
      <c r="H3531" s="1">
        <v>1367</v>
      </c>
      <c r="I3531" s="1">
        <v>0</v>
      </c>
    </row>
    <row r="3532" spans="1:9" ht="23.25">
      <c r="A3532" s="4" t="s">
        <v>27</v>
      </c>
      <c r="B3532" s="4"/>
      <c r="C3532" s="4" t="s">
        <v>62</v>
      </c>
      <c r="D3532" s="4"/>
      <c r="E3532" s="1">
        <v>0</v>
      </c>
      <c r="F3532" s="1">
        <v>0</v>
      </c>
      <c r="G3532" s="1">
        <v>0</v>
      </c>
      <c r="H3532" s="1">
        <v>0</v>
      </c>
      <c r="I3532" s="1">
        <v>0</v>
      </c>
    </row>
    <row r="3533" spans="1:9" ht="23.25">
      <c r="A3533" s="4" t="s">
        <v>28</v>
      </c>
      <c r="B3533" s="4"/>
      <c r="C3533" s="4" t="s">
        <v>62</v>
      </c>
      <c r="D3533" s="4"/>
      <c r="E3533" s="1">
        <v>1624947</v>
      </c>
      <c r="F3533" s="1">
        <v>135321</v>
      </c>
      <c r="G3533" s="1">
        <v>329900</v>
      </c>
      <c r="H3533" s="1">
        <v>42574</v>
      </c>
      <c r="I3533" s="1">
        <v>0</v>
      </c>
    </row>
    <row r="3534" spans="1:9" ht="23.25">
      <c r="A3534" s="4" t="s">
        <v>29</v>
      </c>
      <c r="B3534" s="4"/>
      <c r="C3534" s="4" t="s">
        <v>62</v>
      </c>
      <c r="D3534" s="4"/>
      <c r="E3534" s="1">
        <v>0</v>
      </c>
      <c r="F3534" s="1">
        <v>0</v>
      </c>
      <c r="G3534" s="1">
        <v>0</v>
      </c>
      <c r="H3534" s="1">
        <v>0</v>
      </c>
      <c r="I3534" s="1">
        <v>0</v>
      </c>
    </row>
    <row r="3535" spans="1:9" ht="23.25">
      <c r="A3535" s="4" t="s">
        <v>30</v>
      </c>
      <c r="B3535" s="4"/>
      <c r="C3535" s="4" t="s">
        <v>62</v>
      </c>
      <c r="D3535" s="4"/>
      <c r="E3535" s="1">
        <v>506087</v>
      </c>
      <c r="F3535" s="1">
        <v>45943</v>
      </c>
      <c r="G3535" s="1">
        <v>51944</v>
      </c>
      <c r="H3535" s="1">
        <v>7308</v>
      </c>
      <c r="I3535" s="1">
        <v>82409</v>
      </c>
    </row>
    <row r="3536" spans="1:9" ht="23.25">
      <c r="A3536" s="4" t="s">
        <v>31</v>
      </c>
      <c r="B3536" s="4"/>
      <c r="C3536" s="4" t="s">
        <v>62</v>
      </c>
      <c r="D3536" s="4"/>
      <c r="E3536" s="1">
        <v>2134412</v>
      </c>
      <c r="F3536" s="1">
        <v>111377</v>
      </c>
      <c r="G3536" s="1">
        <v>208789</v>
      </c>
      <c r="H3536" s="1">
        <v>11273</v>
      </c>
      <c r="I3536" s="1">
        <v>535531</v>
      </c>
    </row>
    <row r="3537" spans="1:9" ht="23.25">
      <c r="A3537" s="4" t="s">
        <v>32</v>
      </c>
      <c r="B3537" s="4"/>
      <c r="C3537" s="4" t="s">
        <v>62</v>
      </c>
      <c r="D3537" s="4"/>
      <c r="E3537" s="1">
        <v>12935606</v>
      </c>
      <c r="F3537" s="1">
        <v>528070</v>
      </c>
      <c r="G3537" s="1">
        <v>504365</v>
      </c>
      <c r="H3537" s="1">
        <v>182626</v>
      </c>
      <c r="I3537" s="1">
        <v>1947289</v>
      </c>
    </row>
    <row r="3538" spans="1:9" ht="23.25">
      <c r="A3538" s="4" t="s">
        <v>33</v>
      </c>
      <c r="B3538" s="4"/>
      <c r="C3538" s="4" t="s">
        <v>62</v>
      </c>
      <c r="D3538" s="4"/>
      <c r="E3538" s="1">
        <v>46457768</v>
      </c>
      <c r="F3538" s="1">
        <v>3342877</v>
      </c>
      <c r="G3538" s="1">
        <v>4508750</v>
      </c>
      <c r="H3538" s="1">
        <v>359165</v>
      </c>
      <c r="I3538" s="1">
        <v>21702798</v>
      </c>
    </row>
    <row r="3539" spans="1:9" ht="23.25">
      <c r="A3539" s="4" t="s">
        <v>34</v>
      </c>
      <c r="B3539" s="4"/>
      <c r="C3539" s="4" t="s">
        <v>62</v>
      </c>
      <c r="D3539" s="4"/>
      <c r="E3539" s="1">
        <v>1054978</v>
      </c>
      <c r="F3539" s="1">
        <v>75950</v>
      </c>
      <c r="G3539" s="1">
        <v>35137</v>
      </c>
      <c r="H3539" s="1">
        <v>20501</v>
      </c>
      <c r="I3539" s="1">
        <v>583603</v>
      </c>
    </row>
    <row r="3540" spans="1:9" ht="23.25">
      <c r="A3540" s="4" t="s">
        <v>35</v>
      </c>
      <c r="B3540" s="4"/>
      <c r="C3540" s="4" t="s">
        <v>62</v>
      </c>
      <c r="D3540" s="4"/>
      <c r="E3540" s="1">
        <v>2012185</v>
      </c>
      <c r="F3540" s="1">
        <v>187063</v>
      </c>
      <c r="G3540" s="1">
        <v>177230</v>
      </c>
      <c r="H3540" s="1">
        <v>68616</v>
      </c>
      <c r="I3540" s="1">
        <v>0</v>
      </c>
    </row>
    <row r="3541" spans="1:9" ht="23.25">
      <c r="A3541" s="4" t="s">
        <v>36</v>
      </c>
      <c r="B3541" s="4"/>
      <c r="C3541" s="4" t="s">
        <v>62</v>
      </c>
      <c r="D3541" s="4"/>
      <c r="E3541" s="1">
        <v>4601275</v>
      </c>
      <c r="F3541" s="1">
        <v>424491</v>
      </c>
      <c r="G3541" s="1">
        <v>418210</v>
      </c>
      <c r="H3541" s="1">
        <v>59265</v>
      </c>
      <c r="I3541" s="1">
        <v>1619786</v>
      </c>
    </row>
    <row r="3542" spans="1:9" ht="23.25">
      <c r="A3542" s="4" t="s">
        <v>37</v>
      </c>
      <c r="B3542" s="4"/>
      <c r="C3542" s="4" t="s">
        <v>62</v>
      </c>
      <c r="D3542" s="4"/>
      <c r="E3542" s="1">
        <v>44409071</v>
      </c>
      <c r="F3542" s="1">
        <v>2163121</v>
      </c>
      <c r="G3542" s="1">
        <v>2088776</v>
      </c>
      <c r="H3542" s="1">
        <v>392851</v>
      </c>
      <c r="I3542" s="1">
        <v>8527644</v>
      </c>
    </row>
    <row r="3543" spans="1:9" ht="23.25">
      <c r="A3543" s="4" t="s">
        <v>38</v>
      </c>
      <c r="B3543" s="4"/>
      <c r="C3543" s="4" t="s">
        <v>62</v>
      </c>
      <c r="D3543" s="4"/>
      <c r="E3543" s="1">
        <v>1207955</v>
      </c>
      <c r="F3543" s="1">
        <v>75439</v>
      </c>
      <c r="G3543" s="1">
        <v>83177</v>
      </c>
      <c r="H3543" s="1">
        <v>14888</v>
      </c>
      <c r="I3543" s="1">
        <v>0</v>
      </c>
    </row>
    <row r="3544" spans="1:9" ht="23.25">
      <c r="A3544" s="4" t="s">
        <v>39</v>
      </c>
      <c r="B3544" s="4"/>
      <c r="C3544" s="4" t="s">
        <v>62</v>
      </c>
      <c r="D3544" s="4"/>
      <c r="E3544" s="1">
        <v>881696</v>
      </c>
      <c r="F3544" s="1">
        <v>47757</v>
      </c>
      <c r="G3544" s="1">
        <v>65923</v>
      </c>
      <c r="H3544" s="1">
        <v>6588</v>
      </c>
      <c r="I3544" s="1">
        <v>229365</v>
      </c>
    </row>
    <row r="3545" spans="1:9" ht="23.25">
      <c r="A3545" s="4" t="s">
        <v>40</v>
      </c>
      <c r="B3545" s="4"/>
      <c r="C3545" s="4" t="s">
        <v>62</v>
      </c>
      <c r="D3545" s="4"/>
      <c r="E3545" s="1">
        <v>0</v>
      </c>
      <c r="F3545" s="1">
        <v>0</v>
      </c>
      <c r="G3545" s="1">
        <v>0</v>
      </c>
      <c r="H3545" s="1">
        <v>0</v>
      </c>
      <c r="I3545" s="1">
        <v>0</v>
      </c>
    </row>
    <row r="3546" spans="1:9" ht="23.25">
      <c r="A3546" s="4" t="s">
        <v>41</v>
      </c>
      <c r="B3546" s="4"/>
      <c r="C3546" s="4" t="s">
        <v>62</v>
      </c>
      <c r="D3546" s="4"/>
      <c r="E3546" s="1">
        <v>0</v>
      </c>
      <c r="F3546" s="1">
        <v>0</v>
      </c>
      <c r="G3546" s="1">
        <v>0</v>
      </c>
      <c r="H3546" s="1">
        <v>0</v>
      </c>
      <c r="I3546" s="1">
        <v>0</v>
      </c>
    </row>
    <row r="3547" spans="1:9" ht="23.25">
      <c r="A3547" s="4" t="s">
        <v>42</v>
      </c>
      <c r="B3547" s="4"/>
      <c r="C3547" s="4" t="s">
        <v>62</v>
      </c>
      <c r="D3547" s="4"/>
      <c r="E3547" s="1">
        <v>1953550</v>
      </c>
      <c r="F3547" s="1">
        <v>79713</v>
      </c>
      <c r="G3547" s="1">
        <v>90036</v>
      </c>
      <c r="H3547" s="1">
        <v>23264</v>
      </c>
      <c r="I3547" s="1">
        <v>505196</v>
      </c>
    </row>
    <row r="3548" spans="1:9" ht="23.25">
      <c r="A3548" s="4" t="s">
        <v>43</v>
      </c>
      <c r="B3548" s="4"/>
      <c r="C3548" s="4" t="s">
        <v>62</v>
      </c>
      <c r="D3548" s="4"/>
      <c r="E3548" s="1">
        <v>35653</v>
      </c>
      <c r="F3548" s="1">
        <v>2022</v>
      </c>
      <c r="G3548" s="1">
        <v>985</v>
      </c>
      <c r="H3548" s="1">
        <v>57</v>
      </c>
      <c r="I3548" s="1">
        <v>21136</v>
      </c>
    </row>
    <row r="3549" spans="1:9" ht="23.25">
      <c r="A3549" s="4" t="s">
        <v>44</v>
      </c>
      <c r="B3549" s="4"/>
      <c r="C3549" s="4" t="s">
        <v>62</v>
      </c>
      <c r="D3549" s="4"/>
      <c r="E3549" s="1">
        <v>4123073</v>
      </c>
      <c r="F3549" s="1">
        <v>81565</v>
      </c>
      <c r="G3549" s="1">
        <v>198991</v>
      </c>
      <c r="H3549" s="1">
        <v>20387</v>
      </c>
      <c r="I3549" s="1">
        <v>1445180</v>
      </c>
    </row>
    <row r="3550" spans="1:9" ht="23.25">
      <c r="A3550" s="4" t="s">
        <v>45</v>
      </c>
      <c r="B3550" s="4"/>
      <c r="C3550" s="4" t="s">
        <v>62</v>
      </c>
      <c r="D3550" s="4"/>
      <c r="E3550" s="1">
        <v>11574443</v>
      </c>
      <c r="F3550" s="1">
        <v>938681</v>
      </c>
      <c r="G3550" s="1">
        <v>0</v>
      </c>
      <c r="H3550" s="1">
        <v>183865</v>
      </c>
      <c r="I3550" s="1">
        <v>2256810</v>
      </c>
    </row>
    <row r="3551" spans="1:9" ht="23.25">
      <c r="A3551" s="4" t="s">
        <v>46</v>
      </c>
      <c r="B3551" s="4"/>
      <c r="C3551" s="4" t="s">
        <v>62</v>
      </c>
      <c r="D3551" s="4"/>
      <c r="E3551" s="1">
        <v>72548698</v>
      </c>
      <c r="F3551" s="1">
        <v>2423434</v>
      </c>
      <c r="G3551" s="1">
        <v>4448958</v>
      </c>
      <c r="H3551" s="1">
        <v>613132</v>
      </c>
      <c r="I3551" s="1">
        <v>33992039</v>
      </c>
    </row>
    <row r="3552" spans="1:9" ht="23.25">
      <c r="A3552" s="4" t="s">
        <v>47</v>
      </c>
      <c r="B3552" s="4"/>
      <c r="C3552" s="4" t="s">
        <v>62</v>
      </c>
      <c r="D3552" s="4"/>
      <c r="E3552" s="1">
        <v>14589888</v>
      </c>
      <c r="F3552" s="1">
        <v>3311</v>
      </c>
      <c r="G3552" s="1">
        <v>6432</v>
      </c>
      <c r="H3552" s="1">
        <v>410</v>
      </c>
      <c r="I3552" s="1">
        <v>0</v>
      </c>
    </row>
    <row r="3553" spans="1:9" ht="23.25">
      <c r="A3553" s="4" t="s">
        <v>48</v>
      </c>
      <c r="B3553" s="4"/>
      <c r="C3553" s="4" t="s">
        <v>62</v>
      </c>
      <c r="D3553" s="4"/>
      <c r="E3553" s="1">
        <v>0</v>
      </c>
      <c r="F3553" s="1">
        <v>0</v>
      </c>
      <c r="G3553" s="1">
        <v>0</v>
      </c>
      <c r="H3553" s="1">
        <v>0</v>
      </c>
      <c r="I3553" s="1">
        <v>0</v>
      </c>
    </row>
    <row r="3554" spans="1:9" ht="23.25">
      <c r="A3554" s="4" t="s">
        <v>49</v>
      </c>
      <c r="B3554" s="4"/>
      <c r="C3554" s="4" t="s">
        <v>62</v>
      </c>
      <c r="D3554" s="4"/>
      <c r="E3554" s="1">
        <v>605010</v>
      </c>
      <c r="F3554" s="1">
        <v>18322</v>
      </c>
      <c r="G3554" s="1">
        <v>39909</v>
      </c>
      <c r="H3554" s="1">
        <v>3324</v>
      </c>
      <c r="I3554" s="1">
        <v>0</v>
      </c>
    </row>
    <row r="3555" spans="1:9" ht="23.25">
      <c r="A3555" s="4" t="s">
        <v>50</v>
      </c>
      <c r="B3555" s="4"/>
      <c r="C3555" s="4" t="s">
        <v>62</v>
      </c>
      <c r="D3555" s="4"/>
      <c r="E3555" s="1">
        <v>1119138</v>
      </c>
      <c r="F3555" s="1">
        <v>85819</v>
      </c>
      <c r="G3555" s="1">
        <v>212822</v>
      </c>
      <c r="H3555" s="1">
        <v>11127</v>
      </c>
      <c r="I3555" s="1">
        <v>0</v>
      </c>
    </row>
    <row r="3556" spans="1:9" ht="23.25">
      <c r="A3556" s="4" t="s">
        <v>51</v>
      </c>
      <c r="B3556" s="4"/>
      <c r="C3556" s="4" t="s">
        <v>62</v>
      </c>
      <c r="D3556" s="4"/>
      <c r="E3556" s="1">
        <v>21172129</v>
      </c>
      <c r="F3556" s="1">
        <v>1296613</v>
      </c>
      <c r="G3556" s="1">
        <v>1121457</v>
      </c>
      <c r="H3556" s="1">
        <v>198719</v>
      </c>
      <c r="I3556" s="1">
        <v>4099102</v>
      </c>
    </row>
    <row r="3557" spans="1:9" ht="23.25">
      <c r="A3557" s="4" t="s">
        <v>52</v>
      </c>
      <c r="B3557" s="4"/>
      <c r="C3557" s="4" t="s">
        <v>62</v>
      </c>
      <c r="D3557" s="4"/>
      <c r="E3557" s="1">
        <v>13351247</v>
      </c>
      <c r="F3557" s="1">
        <v>4859</v>
      </c>
      <c r="G3557" s="1">
        <v>8356</v>
      </c>
      <c r="H3557" s="1">
        <v>899</v>
      </c>
      <c r="I3557" s="1">
        <v>0</v>
      </c>
    </row>
    <row r="3558" spans="1:9" ht="23.25">
      <c r="A3558" s="4" t="s">
        <v>53</v>
      </c>
      <c r="B3558" s="4"/>
      <c r="C3558" s="4" t="s">
        <v>62</v>
      </c>
      <c r="D3558" s="4"/>
      <c r="E3558" s="1">
        <v>1217750</v>
      </c>
      <c r="F3558" s="1">
        <v>0</v>
      </c>
      <c r="G3558" s="1">
        <v>0</v>
      </c>
      <c r="H3558" s="1">
        <v>0</v>
      </c>
      <c r="I3558" s="1">
        <v>0</v>
      </c>
    </row>
    <row r="3559" spans="1:9" ht="23.25">
      <c r="A3559" s="4" t="s">
        <v>54</v>
      </c>
      <c r="B3559" s="4"/>
      <c r="C3559" s="4" t="s">
        <v>62</v>
      </c>
      <c r="D3559" s="4"/>
      <c r="E3559" s="1">
        <v>1475534</v>
      </c>
      <c r="F3559" s="1">
        <v>0</v>
      </c>
      <c r="G3559" s="1">
        <v>0</v>
      </c>
      <c r="H3559" s="1">
        <v>0</v>
      </c>
      <c r="I3559" s="1">
        <v>0</v>
      </c>
    </row>
    <row r="3560" spans="1:9" ht="23.25">
      <c r="A3560" s="4" t="s">
        <v>55</v>
      </c>
      <c r="B3560" s="4"/>
      <c r="C3560" s="4" t="s">
        <v>62</v>
      </c>
      <c r="D3560" s="4"/>
      <c r="E3560" s="1">
        <v>0</v>
      </c>
      <c r="F3560" s="1">
        <v>0</v>
      </c>
      <c r="G3560" s="1">
        <v>0</v>
      </c>
      <c r="H3560" s="1">
        <v>0</v>
      </c>
      <c r="I3560" s="1">
        <v>0</v>
      </c>
    </row>
    <row r="3561" spans="1:9" ht="23.25">
      <c r="A3561" s="4" t="s">
        <v>56</v>
      </c>
      <c r="B3561" s="4"/>
      <c r="C3561" s="4" t="s">
        <v>62</v>
      </c>
      <c r="D3561" s="4"/>
      <c r="E3561" s="1">
        <v>0</v>
      </c>
      <c r="F3561" s="1">
        <v>-12096385</v>
      </c>
      <c r="G3561" s="1">
        <v>-14643165</v>
      </c>
      <c r="H3561" s="1">
        <v>0</v>
      </c>
      <c r="I3561" s="1">
        <v>0</v>
      </c>
    </row>
    <row r="3562" spans="1:9" ht="23.25">
      <c r="A3562" s="4" t="s">
        <v>57</v>
      </c>
      <c r="B3562" s="4"/>
      <c r="C3562" s="4" t="s">
        <v>62</v>
      </c>
      <c r="D3562" s="4"/>
      <c r="E3562" s="1">
        <v>48945992</v>
      </c>
      <c r="F3562" s="1">
        <v>0</v>
      </c>
      <c r="G3562" s="1">
        <v>0</v>
      </c>
      <c r="H3562" s="1">
        <v>0</v>
      </c>
      <c r="I3562" s="1">
        <v>0</v>
      </c>
    </row>
    <row r="3563" spans="1:9" ht="23.25">
      <c r="A3563" s="4" t="s">
        <v>58</v>
      </c>
      <c r="B3563" s="4"/>
      <c r="C3563" s="4" t="s">
        <v>62</v>
      </c>
      <c r="D3563" s="4"/>
      <c r="E3563" s="1">
        <v>20185204</v>
      </c>
      <c r="F3563" s="1">
        <v>0</v>
      </c>
      <c r="G3563" s="1">
        <v>0</v>
      </c>
      <c r="H3563" s="1">
        <v>-2230483</v>
      </c>
      <c r="I3563" s="1">
        <v>0</v>
      </c>
    </row>
    <row r="3564" spans="1:9" ht="23.25">
      <c r="A3564" s="4" t="s">
        <v>59</v>
      </c>
      <c r="B3564" s="4"/>
      <c r="C3564" s="4" t="s">
        <v>62</v>
      </c>
      <c r="D3564" s="4"/>
      <c r="E3564" s="1">
        <v>59111127</v>
      </c>
      <c r="F3564" s="1">
        <v>0</v>
      </c>
      <c r="G3564" s="1">
        <v>0</v>
      </c>
      <c r="H3564" s="1">
        <v>0</v>
      </c>
      <c r="I3564" s="1">
        <v>0</v>
      </c>
    </row>
    <row r="3565" spans="1:9" ht="23.25">
      <c r="A3565" s="4" t="s">
        <v>60</v>
      </c>
      <c r="B3565" s="4"/>
      <c r="C3565" s="4" t="s">
        <v>62</v>
      </c>
      <c r="D3565" s="4"/>
      <c r="E3565" s="1">
        <v>56303539</v>
      </c>
      <c r="F3565" s="1">
        <v>0</v>
      </c>
      <c r="G3565" s="1">
        <v>0</v>
      </c>
      <c r="H3565" s="1">
        <v>0</v>
      </c>
      <c r="I3565" s="1">
        <v>2608551</v>
      </c>
    </row>
    <row r="3566" spans="1:9" ht="23.25">
      <c r="A3566" s="4" t="s">
        <v>61</v>
      </c>
      <c r="B3566" s="4"/>
      <c r="C3566" s="4" t="s">
        <v>62</v>
      </c>
      <c r="D3566" s="4"/>
      <c r="E3566" s="1">
        <v>15056857</v>
      </c>
      <c r="F3566" s="1">
        <v>0</v>
      </c>
      <c r="G3566" s="1">
        <v>0</v>
      </c>
      <c r="H3566" s="1">
        <v>0</v>
      </c>
      <c r="I3566" s="1">
        <v>0</v>
      </c>
    </row>
    <row r="3567" spans="1:9" ht="23.25">
      <c r="A3567" s="4" t="s">
        <v>62</v>
      </c>
      <c r="B3567" s="4"/>
      <c r="C3567" s="4" t="s">
        <v>62</v>
      </c>
      <c r="D3567" s="4"/>
      <c r="E3567" s="1">
        <v>186257543</v>
      </c>
      <c r="F3567" s="1">
        <v>0</v>
      </c>
      <c r="G3567" s="1">
        <v>0</v>
      </c>
      <c r="H3567" s="1">
        <v>0</v>
      </c>
      <c r="I3567" s="1">
        <v>100702989</v>
      </c>
    </row>
    <row r="3568" spans="1:9" ht="23.25">
      <c r="A3568" s="4" t="s">
        <v>63</v>
      </c>
      <c r="B3568" s="4"/>
      <c r="C3568" s="4" t="s">
        <v>62</v>
      </c>
      <c r="D3568" s="4"/>
      <c r="E3568" s="1">
        <v>6517866</v>
      </c>
      <c r="F3568" s="1">
        <v>0</v>
      </c>
      <c r="G3568" s="1">
        <v>0</v>
      </c>
      <c r="H3568" s="1">
        <v>0</v>
      </c>
      <c r="I3568" s="1">
        <v>0</v>
      </c>
    </row>
    <row r="3569" spans="1:9" ht="23.25">
      <c r="A3569" s="4" t="s">
        <v>64</v>
      </c>
      <c r="B3569" s="4"/>
      <c r="C3569" s="4" t="s">
        <v>62</v>
      </c>
      <c r="D3569" s="4"/>
      <c r="E3569" s="1">
        <v>113010662</v>
      </c>
      <c r="F3569" s="1">
        <v>0</v>
      </c>
      <c r="G3569" s="1">
        <v>0</v>
      </c>
      <c r="H3569" s="1">
        <v>0</v>
      </c>
      <c r="I3569" s="1">
        <v>0</v>
      </c>
    </row>
    <row r="3570" spans="1:9" ht="23.25">
      <c r="A3570" s="4" t="s">
        <v>65</v>
      </c>
      <c r="B3570" s="4"/>
      <c r="C3570" s="4" t="s">
        <v>62</v>
      </c>
      <c r="D3570" s="4"/>
      <c r="E3570" s="1">
        <v>6982677</v>
      </c>
      <c r="F3570" s="1">
        <v>0</v>
      </c>
      <c r="G3570" s="1">
        <v>0</v>
      </c>
      <c r="H3570" s="1">
        <v>0</v>
      </c>
      <c r="I3570" s="1">
        <v>596446</v>
      </c>
    </row>
    <row r="3571" spans="1:9" ht="23.25">
      <c r="A3571" s="4" t="s">
        <v>66</v>
      </c>
      <c r="B3571" s="4"/>
      <c r="C3571" s="4" t="s">
        <v>62</v>
      </c>
      <c r="D3571" s="4"/>
      <c r="E3571" s="1">
        <v>774493305</v>
      </c>
      <c r="F3571" s="1">
        <v>0</v>
      </c>
      <c r="G3571" s="1">
        <v>0</v>
      </c>
      <c r="H3571" s="1">
        <v>0</v>
      </c>
      <c r="I3571" s="1">
        <v>181455874</v>
      </c>
    </row>
    <row r="3572" spans="1:9" ht="23.25">
      <c r="A3572" s="4" t="s">
        <v>67</v>
      </c>
      <c r="B3572" s="4"/>
      <c r="C3572" s="4" t="s">
        <v>62</v>
      </c>
      <c r="D3572" s="4"/>
      <c r="E3572" s="1">
        <v>157051770</v>
      </c>
      <c r="F3572" s="1">
        <v>0</v>
      </c>
      <c r="G3572" s="1">
        <v>0</v>
      </c>
      <c r="H3572" s="1">
        <v>0</v>
      </c>
      <c r="I3572" s="1">
        <v>0</v>
      </c>
    </row>
    <row r="3573" spans="1:9" ht="23.25">
      <c r="A3573" s="4" t="s">
        <v>68</v>
      </c>
      <c r="B3573" s="4"/>
      <c r="C3573" s="4" t="s">
        <v>62</v>
      </c>
      <c r="D3573" s="4"/>
      <c r="E3573" s="1">
        <v>200100257</v>
      </c>
      <c r="F3573" s="1">
        <v>0</v>
      </c>
      <c r="G3573" s="1">
        <v>0</v>
      </c>
      <c r="H3573" s="1">
        <v>0</v>
      </c>
      <c r="I3573" s="1">
        <v>0</v>
      </c>
    </row>
    <row r="3574" spans="1:9" ht="23.25">
      <c r="A3574" s="4" t="s">
        <v>69</v>
      </c>
      <c r="B3574" s="4"/>
      <c r="C3574" s="4" t="s">
        <v>62</v>
      </c>
      <c r="D3574" s="4"/>
      <c r="E3574" s="1">
        <v>73000455</v>
      </c>
      <c r="F3574" s="1">
        <v>0</v>
      </c>
      <c r="G3574" s="1">
        <v>0</v>
      </c>
      <c r="H3574" s="1">
        <v>0</v>
      </c>
      <c r="I3574" s="1">
        <v>0</v>
      </c>
    </row>
    <row r="3575" spans="1:9" ht="23.25">
      <c r="A3575" s="4" t="s">
        <v>70</v>
      </c>
      <c r="B3575" s="4"/>
      <c r="C3575" s="4" t="s">
        <v>62</v>
      </c>
      <c r="D3575" s="4"/>
      <c r="E3575" s="1">
        <v>29403529</v>
      </c>
      <c r="F3575" s="1">
        <v>0</v>
      </c>
      <c r="G3575" s="1">
        <v>0</v>
      </c>
      <c r="H3575" s="1">
        <v>0</v>
      </c>
      <c r="I3575" s="1">
        <v>0</v>
      </c>
    </row>
    <row r="3576" spans="1:9" ht="23.25">
      <c r="A3576" s="4" t="s">
        <v>71</v>
      </c>
      <c r="B3576" s="4"/>
      <c r="C3576" s="4" t="s">
        <v>62</v>
      </c>
      <c r="D3576" s="4"/>
      <c r="E3576" s="1">
        <v>459556011</v>
      </c>
      <c r="F3576" s="1">
        <v>0</v>
      </c>
      <c r="G3576" s="1">
        <v>0</v>
      </c>
      <c r="H3576" s="1">
        <v>0</v>
      </c>
      <c r="I3576" s="1">
        <v>0</v>
      </c>
    </row>
    <row r="3577" spans="1:9" ht="23.25">
      <c r="A3577" s="4" t="s">
        <v>72</v>
      </c>
      <c r="B3577" s="4"/>
      <c r="C3577" s="4" t="s">
        <v>62</v>
      </c>
      <c r="D3577" s="4"/>
      <c r="E3577" s="1">
        <v>1234049316</v>
      </c>
      <c r="F3577" s="1">
        <v>0</v>
      </c>
      <c r="G3577" s="1">
        <v>0</v>
      </c>
      <c r="H3577" s="1">
        <v>0</v>
      </c>
      <c r="I3577" s="1">
        <v>0</v>
      </c>
    </row>
    <row r="3578" spans="1:9" ht="23.25">
      <c r="A3578" s="4" t="s">
        <v>8</v>
      </c>
      <c r="B3578" s="4"/>
      <c r="C3578" s="4" t="s">
        <v>63</v>
      </c>
      <c r="D3578" s="4"/>
      <c r="E3578" s="1">
        <v>0</v>
      </c>
      <c r="F3578" s="1">
        <v>0</v>
      </c>
      <c r="G3578" s="1">
        <v>0</v>
      </c>
      <c r="H3578" s="1">
        <v>0</v>
      </c>
      <c r="I3578" s="1">
        <v>0</v>
      </c>
    </row>
    <row r="3579" spans="1:9" ht="23.25">
      <c r="A3579" s="4" t="s">
        <v>9</v>
      </c>
      <c r="B3579" s="4"/>
      <c r="C3579" s="4" t="s">
        <v>63</v>
      </c>
      <c r="D3579" s="4"/>
      <c r="E3579" s="1">
        <v>0</v>
      </c>
      <c r="F3579" s="1">
        <v>0</v>
      </c>
      <c r="G3579" s="1">
        <v>0</v>
      </c>
      <c r="H3579" s="1">
        <v>0</v>
      </c>
      <c r="I3579" s="1">
        <v>0</v>
      </c>
    </row>
    <row r="3580" spans="1:9" ht="23.25">
      <c r="A3580" s="4" t="s">
        <v>10</v>
      </c>
      <c r="B3580" s="4"/>
      <c r="C3580" s="4" t="s">
        <v>63</v>
      </c>
      <c r="D3580" s="4"/>
      <c r="E3580" s="1">
        <v>0</v>
      </c>
      <c r="F3580" s="1">
        <v>0</v>
      </c>
      <c r="G3580" s="1">
        <v>0</v>
      </c>
      <c r="H3580" s="1">
        <v>0</v>
      </c>
      <c r="I3580" s="1">
        <v>0</v>
      </c>
    </row>
    <row r="3581" spans="1:9" ht="23.25">
      <c r="A3581" s="4" t="s">
        <v>11</v>
      </c>
      <c r="B3581" s="4"/>
      <c r="C3581" s="4" t="s">
        <v>63</v>
      </c>
      <c r="D3581" s="4"/>
      <c r="E3581" s="1">
        <v>204294</v>
      </c>
      <c r="F3581" s="1">
        <v>3786</v>
      </c>
      <c r="G3581" s="1">
        <v>5155</v>
      </c>
      <c r="H3581" s="1">
        <v>280</v>
      </c>
      <c r="I3581" s="1">
        <v>171036</v>
      </c>
    </row>
    <row r="3582" spans="1:9" ht="23.25">
      <c r="A3582" s="4" t="s">
        <v>12</v>
      </c>
      <c r="B3582" s="4"/>
      <c r="C3582" s="4" t="s">
        <v>63</v>
      </c>
      <c r="D3582" s="4"/>
      <c r="E3582" s="1">
        <v>22284008</v>
      </c>
      <c r="F3582" s="1">
        <v>697011</v>
      </c>
      <c r="G3582" s="1">
        <v>793104</v>
      </c>
      <c r="H3582" s="1">
        <v>346591</v>
      </c>
      <c r="I3582" s="1">
        <v>0</v>
      </c>
    </row>
    <row r="3583" spans="1:9" ht="23.25">
      <c r="A3583" s="4" t="s">
        <v>13</v>
      </c>
      <c r="B3583" s="4"/>
      <c r="C3583" s="4" t="s">
        <v>63</v>
      </c>
      <c r="D3583" s="4"/>
      <c r="E3583" s="1">
        <v>0</v>
      </c>
      <c r="F3583" s="1">
        <v>0</v>
      </c>
      <c r="G3583" s="1">
        <v>0</v>
      </c>
      <c r="H3583" s="1">
        <v>0</v>
      </c>
      <c r="I3583" s="1">
        <v>0</v>
      </c>
    </row>
    <row r="3584" spans="1:9" ht="23.25">
      <c r="A3584" s="4" t="s">
        <v>14</v>
      </c>
      <c r="B3584" s="4"/>
      <c r="C3584" s="4" t="s">
        <v>63</v>
      </c>
      <c r="D3584" s="4"/>
      <c r="E3584" s="1">
        <v>0</v>
      </c>
      <c r="F3584" s="1">
        <v>0</v>
      </c>
      <c r="G3584" s="1">
        <v>0</v>
      </c>
      <c r="H3584" s="1">
        <v>0</v>
      </c>
      <c r="I3584" s="1">
        <v>0</v>
      </c>
    </row>
    <row r="3585" spans="1:9" ht="23.25">
      <c r="A3585" s="4" t="s">
        <v>15</v>
      </c>
      <c r="B3585" s="4"/>
      <c r="C3585" s="4" t="s">
        <v>63</v>
      </c>
      <c r="D3585" s="4"/>
      <c r="E3585" s="1">
        <v>170045</v>
      </c>
      <c r="F3585" s="1">
        <v>7980</v>
      </c>
      <c r="G3585" s="1">
        <v>3417</v>
      </c>
      <c r="H3585" s="1">
        <v>1784</v>
      </c>
      <c r="I3585" s="1">
        <v>100436</v>
      </c>
    </row>
    <row r="3586" spans="1:9" ht="23.25">
      <c r="A3586" s="4" t="s">
        <v>16</v>
      </c>
      <c r="B3586" s="4"/>
      <c r="C3586" s="4" t="s">
        <v>63</v>
      </c>
      <c r="D3586" s="4"/>
      <c r="E3586" s="1">
        <v>1403526</v>
      </c>
      <c r="F3586" s="1">
        <v>29136</v>
      </c>
      <c r="G3586" s="1">
        <v>92273</v>
      </c>
      <c r="H3586" s="1">
        <v>9379</v>
      </c>
      <c r="I3586" s="1">
        <v>0</v>
      </c>
    </row>
    <row r="3587" spans="1:9" ht="23.25">
      <c r="A3587" s="4" t="s">
        <v>17</v>
      </c>
      <c r="B3587" s="4"/>
      <c r="C3587" s="4" t="s">
        <v>63</v>
      </c>
      <c r="D3587" s="4"/>
      <c r="E3587" s="1">
        <v>20510</v>
      </c>
      <c r="F3587" s="1">
        <v>902</v>
      </c>
      <c r="G3587" s="1">
        <v>533</v>
      </c>
      <c r="H3587" s="1">
        <v>85</v>
      </c>
      <c r="I3587" s="1">
        <v>0</v>
      </c>
    </row>
    <row r="3588" spans="1:9" ht="23.25">
      <c r="A3588" s="4" t="s">
        <v>18</v>
      </c>
      <c r="B3588" s="4"/>
      <c r="C3588" s="4" t="s">
        <v>63</v>
      </c>
      <c r="D3588" s="4"/>
      <c r="E3588" s="1">
        <v>3605291</v>
      </c>
      <c r="F3588" s="1">
        <v>379284</v>
      </c>
      <c r="G3588" s="1">
        <v>328312</v>
      </c>
      <c r="H3588" s="1">
        <v>64410</v>
      </c>
      <c r="I3588" s="1">
        <v>91714</v>
      </c>
    </row>
    <row r="3589" spans="1:9" ht="23.25">
      <c r="A3589" s="4" t="s">
        <v>19</v>
      </c>
      <c r="B3589" s="4"/>
      <c r="C3589" s="4" t="s">
        <v>63</v>
      </c>
      <c r="D3589" s="4"/>
      <c r="E3589" s="1">
        <v>0</v>
      </c>
      <c r="F3589" s="1">
        <v>0</v>
      </c>
      <c r="G3589" s="1">
        <v>0</v>
      </c>
      <c r="H3589" s="1">
        <v>0</v>
      </c>
      <c r="I3589" s="1">
        <v>0</v>
      </c>
    </row>
    <row r="3590" spans="1:9" ht="23.25">
      <c r="A3590" s="4" t="s">
        <v>20</v>
      </c>
      <c r="B3590" s="4"/>
      <c r="C3590" s="4" t="s">
        <v>63</v>
      </c>
      <c r="D3590" s="4"/>
      <c r="E3590" s="1">
        <v>0</v>
      </c>
      <c r="F3590" s="1">
        <v>0</v>
      </c>
      <c r="G3590" s="1">
        <v>0</v>
      </c>
      <c r="H3590" s="1">
        <v>0</v>
      </c>
      <c r="I3590" s="1">
        <v>0</v>
      </c>
    </row>
    <row r="3591" spans="1:9" ht="23.25">
      <c r="A3591" s="4" t="s">
        <v>21</v>
      </c>
      <c r="B3591" s="4"/>
      <c r="C3591" s="4" t="s">
        <v>63</v>
      </c>
      <c r="D3591" s="4"/>
      <c r="E3591" s="1">
        <v>0</v>
      </c>
      <c r="F3591" s="1">
        <v>0</v>
      </c>
      <c r="G3591" s="1">
        <v>0</v>
      </c>
      <c r="H3591" s="1">
        <v>0</v>
      </c>
      <c r="I3591" s="1">
        <v>0</v>
      </c>
    </row>
    <row r="3592" spans="1:9" ht="23.25">
      <c r="A3592" s="4" t="s">
        <v>22</v>
      </c>
      <c r="B3592" s="4"/>
      <c r="C3592" s="4" t="s">
        <v>63</v>
      </c>
      <c r="D3592" s="4"/>
      <c r="E3592" s="1">
        <v>6358363</v>
      </c>
      <c r="F3592" s="1">
        <v>12649</v>
      </c>
      <c r="G3592" s="1">
        <v>8917</v>
      </c>
      <c r="H3592" s="1">
        <v>13987</v>
      </c>
      <c r="I3592" s="1">
        <v>0</v>
      </c>
    </row>
    <row r="3593" spans="1:9" ht="23.25">
      <c r="A3593" s="4" t="s">
        <v>23</v>
      </c>
      <c r="B3593" s="4"/>
      <c r="C3593" s="4" t="s">
        <v>63</v>
      </c>
      <c r="D3593" s="4"/>
      <c r="E3593" s="1">
        <v>9143487</v>
      </c>
      <c r="F3593" s="1">
        <v>334380</v>
      </c>
      <c r="G3593" s="1">
        <v>386700</v>
      </c>
      <c r="H3593" s="1">
        <v>101348</v>
      </c>
      <c r="I3593" s="1">
        <v>1592900</v>
      </c>
    </row>
    <row r="3594" spans="1:9" ht="23.25">
      <c r="A3594" s="4" t="s">
        <v>24</v>
      </c>
      <c r="B3594" s="4"/>
      <c r="C3594" s="4" t="s">
        <v>63</v>
      </c>
      <c r="D3594" s="4"/>
      <c r="E3594" s="1">
        <v>11029758</v>
      </c>
      <c r="F3594" s="1">
        <v>116499</v>
      </c>
      <c r="G3594" s="1">
        <v>727595</v>
      </c>
      <c r="H3594" s="1">
        <v>173035</v>
      </c>
      <c r="I3594" s="1">
        <v>0</v>
      </c>
    </row>
    <row r="3595" spans="1:9" ht="23.25">
      <c r="A3595" s="4" t="s">
        <v>25</v>
      </c>
      <c r="B3595" s="4"/>
      <c r="C3595" s="4" t="s">
        <v>63</v>
      </c>
      <c r="D3595" s="4"/>
      <c r="E3595" s="1">
        <v>866886</v>
      </c>
      <c r="F3595" s="1">
        <v>21618</v>
      </c>
      <c r="G3595" s="1">
        <v>59564</v>
      </c>
      <c r="H3595" s="1">
        <v>11756</v>
      </c>
      <c r="I3595" s="1">
        <v>19803</v>
      </c>
    </row>
    <row r="3596" spans="1:9" ht="23.25">
      <c r="A3596" s="4" t="s">
        <v>26</v>
      </c>
      <c r="B3596" s="4"/>
      <c r="C3596" s="4" t="s">
        <v>63</v>
      </c>
      <c r="D3596" s="4"/>
      <c r="E3596" s="1">
        <v>4685518</v>
      </c>
      <c r="F3596" s="1">
        <v>240918</v>
      </c>
      <c r="G3596" s="1">
        <v>363892</v>
      </c>
      <c r="H3596" s="1">
        <v>85238</v>
      </c>
      <c r="I3596" s="1">
        <v>1271423</v>
      </c>
    </row>
    <row r="3597" spans="1:9" ht="23.25">
      <c r="A3597" s="4" t="s">
        <v>27</v>
      </c>
      <c r="B3597" s="4"/>
      <c r="C3597" s="4" t="s">
        <v>63</v>
      </c>
      <c r="D3597" s="4"/>
      <c r="E3597" s="1">
        <v>197827</v>
      </c>
      <c r="F3597" s="1">
        <v>6484</v>
      </c>
      <c r="G3597" s="1">
        <v>19231</v>
      </c>
      <c r="H3597" s="1">
        <v>1927</v>
      </c>
      <c r="I3597" s="1">
        <v>37435</v>
      </c>
    </row>
    <row r="3598" spans="1:9" ht="23.25">
      <c r="A3598" s="4" t="s">
        <v>28</v>
      </c>
      <c r="B3598" s="4"/>
      <c r="C3598" s="4" t="s">
        <v>63</v>
      </c>
      <c r="D3598" s="4"/>
      <c r="E3598" s="1">
        <v>127734</v>
      </c>
      <c r="F3598" s="1">
        <v>16143</v>
      </c>
      <c r="G3598" s="1">
        <v>26092</v>
      </c>
      <c r="H3598" s="1">
        <v>3616</v>
      </c>
      <c r="I3598" s="1">
        <v>0</v>
      </c>
    </row>
    <row r="3599" spans="1:9" ht="23.25">
      <c r="A3599" s="4" t="s">
        <v>29</v>
      </c>
      <c r="B3599" s="4"/>
      <c r="C3599" s="4" t="s">
        <v>63</v>
      </c>
      <c r="D3599" s="4"/>
      <c r="E3599" s="1">
        <v>0</v>
      </c>
      <c r="F3599" s="1">
        <v>0</v>
      </c>
      <c r="G3599" s="1">
        <v>0</v>
      </c>
      <c r="H3599" s="1">
        <v>0</v>
      </c>
      <c r="I3599" s="1">
        <v>0</v>
      </c>
    </row>
    <row r="3600" spans="1:9" ht="23.25">
      <c r="A3600" s="4" t="s">
        <v>30</v>
      </c>
      <c r="B3600" s="4"/>
      <c r="C3600" s="4" t="s">
        <v>63</v>
      </c>
      <c r="D3600" s="4"/>
      <c r="E3600" s="1">
        <v>66897</v>
      </c>
      <c r="F3600" s="1">
        <v>9159</v>
      </c>
      <c r="G3600" s="1">
        <v>5706</v>
      </c>
      <c r="H3600" s="1">
        <v>1051</v>
      </c>
      <c r="I3600" s="1">
        <v>0</v>
      </c>
    </row>
    <row r="3601" spans="1:9" ht="23.25">
      <c r="A3601" s="4" t="s">
        <v>31</v>
      </c>
      <c r="B3601" s="4"/>
      <c r="C3601" s="4" t="s">
        <v>63</v>
      </c>
      <c r="D3601" s="4"/>
      <c r="E3601" s="1">
        <v>2976446</v>
      </c>
      <c r="F3601" s="1">
        <v>160458</v>
      </c>
      <c r="G3601" s="1">
        <v>380164</v>
      </c>
      <c r="H3601" s="1">
        <v>18840</v>
      </c>
      <c r="I3601" s="1">
        <v>963025</v>
      </c>
    </row>
    <row r="3602" spans="1:9" ht="23.25">
      <c r="A3602" s="4" t="s">
        <v>32</v>
      </c>
      <c r="B3602" s="4"/>
      <c r="C3602" s="4" t="s">
        <v>63</v>
      </c>
      <c r="D3602" s="4"/>
      <c r="E3602" s="1">
        <v>38528711</v>
      </c>
      <c r="F3602" s="1">
        <v>4782138</v>
      </c>
      <c r="G3602" s="1">
        <v>2355909</v>
      </c>
      <c r="H3602" s="1">
        <v>625165</v>
      </c>
      <c r="I3602" s="1">
        <v>2700629</v>
      </c>
    </row>
    <row r="3603" spans="1:9" ht="23.25">
      <c r="A3603" s="4" t="s">
        <v>33</v>
      </c>
      <c r="B3603" s="4"/>
      <c r="C3603" s="4" t="s">
        <v>63</v>
      </c>
      <c r="D3603" s="4"/>
      <c r="E3603" s="1">
        <v>17121207</v>
      </c>
      <c r="F3603" s="1">
        <v>763925</v>
      </c>
      <c r="G3603" s="1">
        <v>1811085</v>
      </c>
      <c r="H3603" s="1">
        <v>130856</v>
      </c>
      <c r="I3603" s="1">
        <v>3266944</v>
      </c>
    </row>
    <row r="3604" spans="1:9" ht="23.25">
      <c r="A3604" s="4" t="s">
        <v>34</v>
      </c>
      <c r="B3604" s="4"/>
      <c r="C3604" s="4" t="s">
        <v>63</v>
      </c>
      <c r="D3604" s="4"/>
      <c r="E3604" s="1">
        <v>27342922</v>
      </c>
      <c r="F3604" s="1">
        <v>3001199</v>
      </c>
      <c r="G3604" s="1">
        <v>1897091</v>
      </c>
      <c r="H3604" s="1">
        <v>528713</v>
      </c>
      <c r="I3604" s="1">
        <v>18591495</v>
      </c>
    </row>
    <row r="3605" spans="1:9" ht="23.25">
      <c r="A3605" s="4" t="s">
        <v>35</v>
      </c>
      <c r="B3605" s="4"/>
      <c r="C3605" s="4" t="s">
        <v>63</v>
      </c>
      <c r="D3605" s="4"/>
      <c r="E3605" s="1">
        <v>0</v>
      </c>
      <c r="F3605" s="1">
        <v>0</v>
      </c>
      <c r="G3605" s="1">
        <v>0</v>
      </c>
      <c r="H3605" s="1">
        <v>0</v>
      </c>
      <c r="I3605" s="1">
        <v>0</v>
      </c>
    </row>
    <row r="3606" spans="1:9" ht="23.25">
      <c r="A3606" s="4" t="s">
        <v>36</v>
      </c>
      <c r="B3606" s="4"/>
      <c r="C3606" s="4" t="s">
        <v>63</v>
      </c>
      <c r="D3606" s="4"/>
      <c r="E3606" s="1">
        <v>208500734</v>
      </c>
      <c r="F3606" s="1">
        <v>20911137</v>
      </c>
      <c r="G3606" s="1">
        <v>21845373</v>
      </c>
      <c r="H3606" s="1">
        <v>1584496</v>
      </c>
      <c r="I3606" s="1">
        <v>78026068</v>
      </c>
    </row>
    <row r="3607" spans="1:9" ht="23.25">
      <c r="A3607" s="4" t="s">
        <v>37</v>
      </c>
      <c r="B3607" s="4"/>
      <c r="C3607" s="4" t="s">
        <v>63</v>
      </c>
      <c r="D3607" s="4"/>
      <c r="E3607" s="1">
        <v>36201896</v>
      </c>
      <c r="F3607" s="1">
        <v>2348144</v>
      </c>
      <c r="G3607" s="1">
        <v>864752</v>
      </c>
      <c r="H3607" s="1">
        <v>281668</v>
      </c>
      <c r="I3607" s="1">
        <v>7035985</v>
      </c>
    </row>
    <row r="3608" spans="1:9" ht="23.25">
      <c r="A3608" s="4" t="s">
        <v>38</v>
      </c>
      <c r="B3608" s="4"/>
      <c r="C3608" s="4" t="s">
        <v>63</v>
      </c>
      <c r="D3608" s="4"/>
      <c r="E3608" s="1">
        <v>1954273</v>
      </c>
      <c r="F3608" s="1">
        <v>109398</v>
      </c>
      <c r="G3608" s="1">
        <v>171365</v>
      </c>
      <c r="H3608" s="1">
        <v>42305</v>
      </c>
      <c r="I3608" s="1">
        <v>1550040</v>
      </c>
    </row>
    <row r="3609" spans="1:9" ht="23.25">
      <c r="A3609" s="4" t="s">
        <v>39</v>
      </c>
      <c r="B3609" s="4"/>
      <c r="C3609" s="4" t="s">
        <v>63</v>
      </c>
      <c r="D3609" s="4"/>
      <c r="E3609" s="1">
        <v>1208493</v>
      </c>
      <c r="F3609" s="1">
        <v>69031</v>
      </c>
      <c r="G3609" s="1">
        <v>93211</v>
      </c>
      <c r="H3609" s="1">
        <v>11069</v>
      </c>
      <c r="I3609" s="1">
        <v>345988</v>
      </c>
    </row>
    <row r="3610" spans="1:9" ht="23.25">
      <c r="A3610" s="4" t="s">
        <v>40</v>
      </c>
      <c r="B3610" s="4"/>
      <c r="C3610" s="4" t="s">
        <v>63</v>
      </c>
      <c r="D3610" s="4"/>
      <c r="E3610" s="1">
        <v>76876</v>
      </c>
      <c r="F3610" s="1">
        <v>2767</v>
      </c>
      <c r="G3610" s="1">
        <v>2006</v>
      </c>
      <c r="H3610" s="1">
        <v>1312</v>
      </c>
      <c r="I3610" s="1">
        <v>0</v>
      </c>
    </row>
    <row r="3611" spans="1:9" ht="23.25">
      <c r="A3611" s="4" t="s">
        <v>41</v>
      </c>
      <c r="B3611" s="4"/>
      <c r="C3611" s="4" t="s">
        <v>63</v>
      </c>
      <c r="D3611" s="4"/>
      <c r="E3611" s="1">
        <v>207706</v>
      </c>
      <c r="F3611" s="1">
        <v>10098</v>
      </c>
      <c r="G3611" s="1">
        <v>11121</v>
      </c>
      <c r="H3611" s="1">
        <v>2537</v>
      </c>
      <c r="I3611" s="1">
        <v>20544</v>
      </c>
    </row>
    <row r="3612" spans="1:9" ht="23.25">
      <c r="A3612" s="4" t="s">
        <v>42</v>
      </c>
      <c r="B3612" s="4"/>
      <c r="C3612" s="4" t="s">
        <v>63</v>
      </c>
      <c r="D3612" s="4"/>
      <c r="E3612" s="1">
        <v>0</v>
      </c>
      <c r="F3612" s="1">
        <v>0</v>
      </c>
      <c r="G3612" s="1">
        <v>0</v>
      </c>
      <c r="H3612" s="1">
        <v>0</v>
      </c>
      <c r="I3612" s="1">
        <v>0</v>
      </c>
    </row>
    <row r="3613" spans="1:9" ht="23.25">
      <c r="A3613" s="4" t="s">
        <v>43</v>
      </c>
      <c r="B3613" s="4"/>
      <c r="C3613" s="4" t="s">
        <v>63</v>
      </c>
      <c r="D3613" s="4"/>
      <c r="E3613" s="1">
        <v>100636</v>
      </c>
      <c r="F3613" s="1">
        <v>7737</v>
      </c>
      <c r="G3613" s="1">
        <v>1531</v>
      </c>
      <c r="H3613" s="1">
        <v>141</v>
      </c>
      <c r="I3613" s="1">
        <v>64639</v>
      </c>
    </row>
    <row r="3614" spans="1:9" ht="23.25">
      <c r="A3614" s="4" t="s">
        <v>44</v>
      </c>
      <c r="B3614" s="4"/>
      <c r="C3614" s="4" t="s">
        <v>63</v>
      </c>
      <c r="D3614" s="4"/>
      <c r="E3614" s="1">
        <v>5831658</v>
      </c>
      <c r="F3614" s="1">
        <v>185165</v>
      </c>
      <c r="G3614" s="1">
        <v>243382</v>
      </c>
      <c r="H3614" s="1">
        <v>19045</v>
      </c>
      <c r="I3614" s="1">
        <v>3805640</v>
      </c>
    </row>
    <row r="3615" spans="1:9" ht="23.25">
      <c r="A3615" s="4" t="s">
        <v>45</v>
      </c>
      <c r="B3615" s="4"/>
      <c r="C3615" s="4" t="s">
        <v>63</v>
      </c>
      <c r="D3615" s="4"/>
      <c r="E3615" s="1">
        <v>3420274</v>
      </c>
      <c r="F3615" s="1">
        <v>259759</v>
      </c>
      <c r="G3615" s="1">
        <v>955</v>
      </c>
      <c r="H3615" s="1">
        <v>50609</v>
      </c>
      <c r="I3615" s="1">
        <v>751945</v>
      </c>
    </row>
    <row r="3616" spans="1:9" ht="23.25">
      <c r="A3616" s="4" t="s">
        <v>46</v>
      </c>
      <c r="B3616" s="4"/>
      <c r="C3616" s="4" t="s">
        <v>63</v>
      </c>
      <c r="D3616" s="4"/>
      <c r="E3616" s="1">
        <v>36910017</v>
      </c>
      <c r="F3616" s="1">
        <v>1879234</v>
      </c>
      <c r="G3616" s="1">
        <v>2250254</v>
      </c>
      <c r="H3616" s="1">
        <v>346285</v>
      </c>
      <c r="I3616" s="1">
        <v>13690993</v>
      </c>
    </row>
    <row r="3617" spans="1:9" ht="23.25">
      <c r="A3617" s="4" t="s">
        <v>47</v>
      </c>
      <c r="B3617" s="4"/>
      <c r="C3617" s="4" t="s">
        <v>63</v>
      </c>
      <c r="D3617" s="4"/>
      <c r="E3617" s="1">
        <v>9797914</v>
      </c>
      <c r="F3617" s="1">
        <v>0</v>
      </c>
      <c r="G3617" s="1">
        <v>0</v>
      </c>
      <c r="H3617" s="1">
        <v>0</v>
      </c>
      <c r="I3617" s="1">
        <v>0</v>
      </c>
    </row>
    <row r="3618" spans="1:9" ht="23.25">
      <c r="A3618" s="4" t="s">
        <v>48</v>
      </c>
      <c r="B3618" s="4"/>
      <c r="C3618" s="4" t="s">
        <v>63</v>
      </c>
      <c r="D3618" s="4"/>
      <c r="E3618" s="1">
        <v>0</v>
      </c>
      <c r="F3618" s="1">
        <v>0</v>
      </c>
      <c r="G3618" s="1">
        <v>0</v>
      </c>
      <c r="H3618" s="1">
        <v>0</v>
      </c>
      <c r="I3618" s="1">
        <v>0</v>
      </c>
    </row>
    <row r="3619" spans="1:9" ht="23.25">
      <c r="A3619" s="4" t="s">
        <v>49</v>
      </c>
      <c r="B3619" s="4"/>
      <c r="C3619" s="4" t="s">
        <v>63</v>
      </c>
      <c r="D3619" s="4"/>
      <c r="E3619" s="1">
        <v>0</v>
      </c>
      <c r="F3619" s="1">
        <v>0</v>
      </c>
      <c r="G3619" s="1">
        <v>0</v>
      </c>
      <c r="H3619" s="1">
        <v>0</v>
      </c>
      <c r="I3619" s="1">
        <v>0</v>
      </c>
    </row>
    <row r="3620" spans="1:9" ht="23.25">
      <c r="A3620" s="4" t="s">
        <v>50</v>
      </c>
      <c r="B3620" s="4"/>
      <c r="C3620" s="4" t="s">
        <v>63</v>
      </c>
      <c r="D3620" s="4"/>
      <c r="E3620" s="1">
        <v>772153</v>
      </c>
      <c r="F3620" s="1">
        <v>87015</v>
      </c>
      <c r="G3620" s="1">
        <v>97841</v>
      </c>
      <c r="H3620" s="1">
        <v>8484</v>
      </c>
      <c r="I3620" s="1">
        <v>0</v>
      </c>
    </row>
    <row r="3621" spans="1:9" ht="23.25">
      <c r="A3621" s="4" t="s">
        <v>51</v>
      </c>
      <c r="B3621" s="4"/>
      <c r="C3621" s="4" t="s">
        <v>63</v>
      </c>
      <c r="D3621" s="4"/>
      <c r="E3621" s="1">
        <v>75341943</v>
      </c>
      <c r="F3621" s="1">
        <v>3431065</v>
      </c>
      <c r="G3621" s="1">
        <v>4501838</v>
      </c>
      <c r="H3621" s="1">
        <v>523232</v>
      </c>
      <c r="I3621" s="1">
        <v>51494008</v>
      </c>
    </row>
    <row r="3622" spans="1:9" ht="23.25">
      <c r="A3622" s="4" t="s">
        <v>52</v>
      </c>
      <c r="B3622" s="4"/>
      <c r="C3622" s="4" t="s">
        <v>63</v>
      </c>
      <c r="D3622" s="4"/>
      <c r="E3622" s="1">
        <v>42529908</v>
      </c>
      <c r="F3622" s="1">
        <v>5009</v>
      </c>
      <c r="G3622" s="1">
        <v>7451</v>
      </c>
      <c r="H3622" s="1">
        <v>1636</v>
      </c>
      <c r="I3622" s="1">
        <v>0</v>
      </c>
    </row>
    <row r="3623" spans="1:9" ht="23.25">
      <c r="A3623" s="4" t="s">
        <v>53</v>
      </c>
      <c r="B3623" s="4"/>
      <c r="C3623" s="4" t="s">
        <v>63</v>
      </c>
      <c r="D3623" s="4"/>
      <c r="E3623" s="1">
        <v>1299285</v>
      </c>
      <c r="F3623" s="1">
        <v>0</v>
      </c>
      <c r="G3623" s="1">
        <v>0</v>
      </c>
      <c r="H3623" s="1">
        <v>0</v>
      </c>
      <c r="I3623" s="1">
        <v>0</v>
      </c>
    </row>
    <row r="3624" spans="1:9" ht="23.25">
      <c r="A3624" s="4" t="s">
        <v>54</v>
      </c>
      <c r="B3624" s="4"/>
      <c r="C3624" s="4" t="s">
        <v>63</v>
      </c>
      <c r="D3624" s="4"/>
      <c r="E3624" s="1">
        <v>4677687</v>
      </c>
      <c r="F3624" s="1">
        <v>0</v>
      </c>
      <c r="G3624" s="1">
        <v>0</v>
      </c>
      <c r="H3624" s="1">
        <v>0</v>
      </c>
      <c r="I3624" s="1">
        <v>0</v>
      </c>
    </row>
    <row r="3625" spans="1:9" ht="23.25">
      <c r="A3625" s="4" t="s">
        <v>55</v>
      </c>
      <c r="B3625" s="4"/>
      <c r="C3625" s="4" t="s">
        <v>63</v>
      </c>
      <c r="D3625" s="4"/>
      <c r="E3625" s="1">
        <v>0</v>
      </c>
      <c r="F3625" s="1">
        <v>0</v>
      </c>
      <c r="G3625" s="1">
        <v>0</v>
      </c>
      <c r="H3625" s="1">
        <v>0</v>
      </c>
      <c r="I3625" s="1">
        <v>0</v>
      </c>
    </row>
    <row r="3626" spans="1:9" ht="23.25">
      <c r="A3626" s="4" t="s">
        <v>56</v>
      </c>
      <c r="B3626" s="4"/>
      <c r="C3626" s="4" t="s">
        <v>63</v>
      </c>
      <c r="D3626" s="4"/>
      <c r="E3626" s="1">
        <v>0</v>
      </c>
      <c r="F3626" s="1">
        <v>-39889228</v>
      </c>
      <c r="G3626" s="1">
        <v>-39355820</v>
      </c>
      <c r="H3626" s="1">
        <v>0</v>
      </c>
      <c r="I3626" s="1">
        <v>0</v>
      </c>
    </row>
    <row r="3627" spans="1:9" ht="23.25">
      <c r="A3627" s="4" t="s">
        <v>57</v>
      </c>
      <c r="B3627" s="4"/>
      <c r="C3627" s="4" t="s">
        <v>63</v>
      </c>
      <c r="D3627" s="4"/>
      <c r="E3627" s="1">
        <v>25080684</v>
      </c>
      <c r="F3627" s="1">
        <v>0</v>
      </c>
      <c r="G3627" s="1">
        <v>0</v>
      </c>
      <c r="H3627" s="1">
        <v>0</v>
      </c>
      <c r="I3627" s="1">
        <v>0</v>
      </c>
    </row>
    <row r="3628" spans="1:9" ht="23.25">
      <c r="A3628" s="4" t="s">
        <v>58</v>
      </c>
      <c r="B3628" s="4"/>
      <c r="C3628" s="4" t="s">
        <v>63</v>
      </c>
      <c r="D3628" s="4"/>
      <c r="E3628" s="1">
        <v>4330491</v>
      </c>
      <c r="F3628" s="1">
        <v>0</v>
      </c>
      <c r="G3628" s="1">
        <v>0</v>
      </c>
      <c r="H3628" s="1">
        <v>-4990880</v>
      </c>
      <c r="I3628" s="1">
        <v>0</v>
      </c>
    </row>
    <row r="3629" spans="1:9" ht="23.25">
      <c r="A3629" s="4" t="s">
        <v>59</v>
      </c>
      <c r="B3629" s="4"/>
      <c r="C3629" s="4" t="s">
        <v>63</v>
      </c>
      <c r="D3629" s="4"/>
      <c r="E3629" s="1">
        <v>7480931</v>
      </c>
      <c r="F3629" s="1">
        <v>0</v>
      </c>
      <c r="G3629" s="1">
        <v>0</v>
      </c>
      <c r="H3629" s="1">
        <v>0</v>
      </c>
      <c r="I3629" s="1">
        <v>0</v>
      </c>
    </row>
    <row r="3630" spans="1:9" ht="23.25">
      <c r="A3630" s="4" t="s">
        <v>60</v>
      </c>
      <c r="B3630" s="4"/>
      <c r="C3630" s="4" t="s">
        <v>63</v>
      </c>
      <c r="D3630" s="4"/>
      <c r="E3630" s="1">
        <v>16171678</v>
      </c>
      <c r="F3630" s="1">
        <v>0</v>
      </c>
      <c r="G3630" s="1">
        <v>0</v>
      </c>
      <c r="H3630" s="1">
        <v>0</v>
      </c>
      <c r="I3630" s="1">
        <v>0</v>
      </c>
    </row>
    <row r="3631" spans="1:9" ht="23.25">
      <c r="A3631" s="4" t="s">
        <v>61</v>
      </c>
      <c r="B3631" s="4"/>
      <c r="C3631" s="4" t="s">
        <v>63</v>
      </c>
      <c r="D3631" s="4"/>
      <c r="E3631" s="1">
        <v>2746489</v>
      </c>
      <c r="F3631" s="1">
        <v>0</v>
      </c>
      <c r="G3631" s="1">
        <v>0</v>
      </c>
      <c r="H3631" s="1">
        <v>0</v>
      </c>
      <c r="I3631" s="1">
        <v>0</v>
      </c>
    </row>
    <row r="3632" spans="1:9" ht="23.25">
      <c r="A3632" s="4" t="s">
        <v>62</v>
      </c>
      <c r="B3632" s="4"/>
      <c r="C3632" s="4" t="s">
        <v>63</v>
      </c>
      <c r="D3632" s="4"/>
      <c r="E3632" s="1">
        <v>37014591</v>
      </c>
      <c r="F3632" s="1">
        <v>0</v>
      </c>
      <c r="G3632" s="1">
        <v>0</v>
      </c>
      <c r="H3632" s="1">
        <v>0</v>
      </c>
      <c r="I3632" s="1">
        <v>0</v>
      </c>
    </row>
    <row r="3633" spans="1:9" ht="23.25">
      <c r="A3633" s="4" t="s">
        <v>63</v>
      </c>
      <c r="B3633" s="4"/>
      <c r="C3633" s="4" t="s">
        <v>63</v>
      </c>
      <c r="D3633" s="4"/>
      <c r="E3633" s="1">
        <v>9226374</v>
      </c>
      <c r="F3633" s="1">
        <v>0</v>
      </c>
      <c r="G3633" s="1">
        <v>0</v>
      </c>
      <c r="H3633" s="1">
        <v>0</v>
      </c>
      <c r="I3633" s="1">
        <v>0</v>
      </c>
    </row>
    <row r="3634" spans="1:9" ht="23.25">
      <c r="A3634" s="4" t="s">
        <v>64</v>
      </c>
      <c r="B3634" s="4"/>
      <c r="C3634" s="4" t="s">
        <v>63</v>
      </c>
      <c r="D3634" s="4"/>
      <c r="E3634" s="1">
        <v>12883950</v>
      </c>
      <c r="F3634" s="1">
        <v>0</v>
      </c>
      <c r="G3634" s="1">
        <v>0</v>
      </c>
      <c r="H3634" s="1">
        <v>0</v>
      </c>
      <c r="I3634" s="1">
        <v>0</v>
      </c>
    </row>
    <row r="3635" spans="1:9" ht="23.25">
      <c r="A3635" s="4" t="s">
        <v>65</v>
      </c>
      <c r="B3635" s="4"/>
      <c r="C3635" s="4" t="s">
        <v>63</v>
      </c>
      <c r="D3635" s="4"/>
      <c r="E3635" s="1">
        <v>3526403</v>
      </c>
      <c r="F3635" s="1">
        <v>0</v>
      </c>
      <c r="G3635" s="1">
        <v>0</v>
      </c>
      <c r="H3635" s="1">
        <v>0</v>
      </c>
      <c r="I3635" s="1">
        <v>392303</v>
      </c>
    </row>
    <row r="3636" spans="1:9" ht="23.25">
      <c r="A3636" s="4" t="s">
        <v>66</v>
      </c>
      <c r="B3636" s="4"/>
      <c r="C3636" s="4" t="s">
        <v>63</v>
      </c>
      <c r="D3636" s="4"/>
      <c r="E3636" s="1">
        <v>693426474</v>
      </c>
      <c r="F3636" s="1">
        <v>0</v>
      </c>
      <c r="G3636" s="1">
        <v>0</v>
      </c>
      <c r="H3636" s="1">
        <v>0</v>
      </c>
      <c r="I3636" s="1">
        <v>185984993</v>
      </c>
    </row>
    <row r="3637" spans="1:9" ht="23.25">
      <c r="A3637" s="4" t="s">
        <v>67</v>
      </c>
      <c r="B3637" s="4"/>
      <c r="C3637" s="4" t="s">
        <v>63</v>
      </c>
      <c r="D3637" s="4"/>
      <c r="E3637" s="1">
        <v>1568187883</v>
      </c>
      <c r="F3637" s="1">
        <v>0</v>
      </c>
      <c r="G3637" s="1">
        <v>0</v>
      </c>
      <c r="H3637" s="1">
        <v>0</v>
      </c>
      <c r="I3637" s="1">
        <v>0</v>
      </c>
    </row>
    <row r="3638" spans="1:9" ht="23.25">
      <c r="A3638" s="4" t="s">
        <v>68</v>
      </c>
      <c r="B3638" s="4"/>
      <c r="C3638" s="4" t="s">
        <v>63</v>
      </c>
      <c r="D3638" s="4"/>
      <c r="E3638" s="1">
        <v>178554120</v>
      </c>
      <c r="F3638" s="1">
        <v>0</v>
      </c>
      <c r="G3638" s="1">
        <v>0</v>
      </c>
      <c r="H3638" s="1">
        <v>0</v>
      </c>
      <c r="I3638" s="1">
        <v>0</v>
      </c>
    </row>
    <row r="3639" spans="1:9" ht="23.25">
      <c r="A3639" s="4" t="s">
        <v>69</v>
      </c>
      <c r="B3639" s="4"/>
      <c r="C3639" s="4" t="s">
        <v>63</v>
      </c>
      <c r="D3639" s="4"/>
      <c r="E3639" s="1">
        <v>394879485</v>
      </c>
      <c r="F3639" s="1">
        <v>0</v>
      </c>
      <c r="G3639" s="1">
        <v>0</v>
      </c>
      <c r="H3639" s="1">
        <v>0</v>
      </c>
      <c r="I3639" s="1">
        <v>0</v>
      </c>
    </row>
    <row r="3640" spans="1:9" ht="23.25">
      <c r="A3640" s="4" t="s">
        <v>70</v>
      </c>
      <c r="B3640" s="4"/>
      <c r="C3640" s="4" t="s">
        <v>63</v>
      </c>
      <c r="D3640" s="4"/>
      <c r="E3640" s="1">
        <v>8993207</v>
      </c>
      <c r="F3640" s="1">
        <v>0</v>
      </c>
      <c r="G3640" s="1">
        <v>0</v>
      </c>
      <c r="H3640" s="1">
        <v>0</v>
      </c>
      <c r="I3640" s="1">
        <v>0</v>
      </c>
    </row>
    <row r="3641" spans="1:9" ht="23.25">
      <c r="A3641" s="4" t="s">
        <v>71</v>
      </c>
      <c r="B3641" s="4"/>
      <c r="C3641" s="4" t="s">
        <v>63</v>
      </c>
      <c r="D3641" s="4"/>
      <c r="E3641" s="1">
        <v>2150614695</v>
      </c>
      <c r="F3641" s="1">
        <v>0</v>
      </c>
      <c r="G3641" s="1">
        <v>0</v>
      </c>
      <c r="H3641" s="1">
        <v>0</v>
      </c>
      <c r="I3641" s="1">
        <v>0</v>
      </c>
    </row>
    <row r="3642" spans="1:9" ht="23.25">
      <c r="A3642" s="4" t="s">
        <v>72</v>
      </c>
      <c r="B3642" s="4"/>
      <c r="C3642" s="4" t="s">
        <v>63</v>
      </c>
      <c r="D3642" s="4"/>
      <c r="E3642" s="1">
        <v>2844041169</v>
      </c>
      <c r="F3642" s="1">
        <v>0</v>
      </c>
      <c r="G3642" s="1">
        <v>0</v>
      </c>
      <c r="H3642" s="1">
        <v>0</v>
      </c>
      <c r="I3642" s="1">
        <v>0</v>
      </c>
    </row>
    <row r="3643" spans="1:9" ht="23.25">
      <c r="A3643" s="4" t="s">
        <v>8</v>
      </c>
      <c r="B3643" s="4"/>
      <c r="C3643" s="4" t="s">
        <v>64</v>
      </c>
      <c r="D3643" s="4"/>
      <c r="E3643" s="1">
        <v>0</v>
      </c>
      <c r="F3643" s="1">
        <v>0</v>
      </c>
      <c r="G3643" s="1">
        <v>0</v>
      </c>
      <c r="H3643" s="1">
        <v>0</v>
      </c>
      <c r="I3643" s="1">
        <v>0</v>
      </c>
    </row>
    <row r="3644" spans="1:9" ht="23.25">
      <c r="A3644" s="4" t="s">
        <v>9</v>
      </c>
      <c r="B3644" s="4"/>
      <c r="C3644" s="4" t="s">
        <v>64</v>
      </c>
      <c r="D3644" s="4"/>
      <c r="E3644" s="1">
        <v>0</v>
      </c>
      <c r="F3644" s="1">
        <v>0</v>
      </c>
      <c r="G3644" s="1">
        <v>0</v>
      </c>
      <c r="H3644" s="1">
        <v>0</v>
      </c>
      <c r="I3644" s="1">
        <v>0</v>
      </c>
    </row>
    <row r="3645" spans="1:9" ht="23.25">
      <c r="A3645" s="4" t="s">
        <v>10</v>
      </c>
      <c r="B3645" s="4"/>
      <c r="C3645" s="4" t="s">
        <v>64</v>
      </c>
      <c r="D3645" s="4"/>
      <c r="E3645" s="1">
        <v>0</v>
      </c>
      <c r="F3645" s="1">
        <v>0</v>
      </c>
      <c r="G3645" s="1">
        <v>0</v>
      </c>
      <c r="H3645" s="1">
        <v>0</v>
      </c>
      <c r="I3645" s="1">
        <v>0</v>
      </c>
    </row>
    <row r="3646" spans="1:9" ht="23.25">
      <c r="A3646" s="4" t="s">
        <v>11</v>
      </c>
      <c r="B3646" s="4"/>
      <c r="C3646" s="4" t="s">
        <v>64</v>
      </c>
      <c r="D3646" s="4"/>
      <c r="E3646" s="1">
        <v>0</v>
      </c>
      <c r="F3646" s="1">
        <v>0</v>
      </c>
      <c r="G3646" s="1">
        <v>0</v>
      </c>
      <c r="H3646" s="1">
        <v>0</v>
      </c>
      <c r="I3646" s="1">
        <v>0</v>
      </c>
    </row>
    <row r="3647" spans="1:9" ht="23.25">
      <c r="A3647" s="4" t="s">
        <v>12</v>
      </c>
      <c r="B3647" s="4"/>
      <c r="C3647" s="4" t="s">
        <v>64</v>
      </c>
      <c r="D3647" s="4"/>
      <c r="E3647" s="1">
        <v>2821187</v>
      </c>
      <c r="F3647" s="1">
        <v>67495</v>
      </c>
      <c r="G3647" s="1">
        <v>126132</v>
      </c>
      <c r="H3647" s="1">
        <v>35239</v>
      </c>
      <c r="I3647" s="1">
        <v>0</v>
      </c>
    </row>
    <row r="3648" spans="1:9" ht="23.25">
      <c r="A3648" s="4" t="s">
        <v>13</v>
      </c>
      <c r="B3648" s="4"/>
      <c r="C3648" s="4" t="s">
        <v>64</v>
      </c>
      <c r="D3648" s="4"/>
      <c r="E3648" s="1">
        <v>0</v>
      </c>
      <c r="F3648" s="1">
        <v>0</v>
      </c>
      <c r="G3648" s="1">
        <v>0</v>
      </c>
      <c r="H3648" s="1">
        <v>0</v>
      </c>
      <c r="I3648" s="1">
        <v>0</v>
      </c>
    </row>
    <row r="3649" spans="1:9" ht="23.25">
      <c r="A3649" s="4" t="s">
        <v>14</v>
      </c>
      <c r="B3649" s="4"/>
      <c r="C3649" s="4" t="s">
        <v>64</v>
      </c>
      <c r="D3649" s="4"/>
      <c r="E3649" s="1">
        <v>0</v>
      </c>
      <c r="F3649" s="1">
        <v>0</v>
      </c>
      <c r="G3649" s="1">
        <v>0</v>
      </c>
      <c r="H3649" s="1">
        <v>0</v>
      </c>
      <c r="I3649" s="1">
        <v>0</v>
      </c>
    </row>
    <row r="3650" spans="1:9" ht="23.25">
      <c r="A3650" s="4" t="s">
        <v>15</v>
      </c>
      <c r="B3650" s="4"/>
      <c r="C3650" s="4" t="s">
        <v>64</v>
      </c>
      <c r="D3650" s="4"/>
      <c r="E3650" s="1">
        <v>1951087</v>
      </c>
      <c r="F3650" s="1">
        <v>127087</v>
      </c>
      <c r="G3650" s="1">
        <v>250748</v>
      </c>
      <c r="H3650" s="1">
        <v>32813</v>
      </c>
      <c r="I3650" s="1">
        <v>449349</v>
      </c>
    </row>
    <row r="3651" spans="1:9" ht="23.25">
      <c r="A3651" s="4" t="s">
        <v>16</v>
      </c>
      <c r="B3651" s="4"/>
      <c r="C3651" s="4" t="s">
        <v>64</v>
      </c>
      <c r="D3651" s="4"/>
      <c r="E3651" s="1">
        <v>36415</v>
      </c>
      <c r="F3651" s="1">
        <v>190</v>
      </c>
      <c r="G3651" s="1">
        <v>371</v>
      </c>
      <c r="H3651" s="1">
        <v>113</v>
      </c>
      <c r="I3651" s="1">
        <v>17845</v>
      </c>
    </row>
    <row r="3652" spans="1:9" ht="23.25">
      <c r="A3652" s="4" t="s">
        <v>17</v>
      </c>
      <c r="B3652" s="4"/>
      <c r="C3652" s="4" t="s">
        <v>64</v>
      </c>
      <c r="D3652" s="4"/>
      <c r="E3652" s="1">
        <v>0</v>
      </c>
      <c r="F3652" s="1">
        <v>0</v>
      </c>
      <c r="G3652" s="1">
        <v>0</v>
      </c>
      <c r="H3652" s="1">
        <v>0</v>
      </c>
      <c r="I3652" s="1">
        <v>0</v>
      </c>
    </row>
    <row r="3653" spans="1:9" ht="23.25">
      <c r="A3653" s="4" t="s">
        <v>18</v>
      </c>
      <c r="B3653" s="4"/>
      <c r="C3653" s="4" t="s">
        <v>64</v>
      </c>
      <c r="D3653" s="4"/>
      <c r="E3653" s="1">
        <v>157531</v>
      </c>
      <c r="F3653" s="1">
        <v>15983</v>
      </c>
      <c r="G3653" s="1">
        <v>15967</v>
      </c>
      <c r="H3653" s="1">
        <v>2880</v>
      </c>
      <c r="I3653" s="1">
        <v>29146</v>
      </c>
    </row>
    <row r="3654" spans="1:9" ht="23.25">
      <c r="A3654" s="4" t="s">
        <v>19</v>
      </c>
      <c r="B3654" s="4"/>
      <c r="C3654" s="4" t="s">
        <v>64</v>
      </c>
      <c r="D3654" s="4"/>
      <c r="E3654" s="1">
        <v>0</v>
      </c>
      <c r="F3654" s="1">
        <v>0</v>
      </c>
      <c r="G3654" s="1">
        <v>0</v>
      </c>
      <c r="H3654" s="1">
        <v>0</v>
      </c>
      <c r="I3654" s="1">
        <v>0</v>
      </c>
    </row>
    <row r="3655" spans="1:9" ht="23.25">
      <c r="A3655" s="4" t="s">
        <v>20</v>
      </c>
      <c r="B3655" s="4"/>
      <c r="C3655" s="4" t="s">
        <v>64</v>
      </c>
      <c r="D3655" s="4"/>
      <c r="E3655" s="1">
        <v>0</v>
      </c>
      <c r="F3655" s="1">
        <v>0</v>
      </c>
      <c r="G3655" s="1">
        <v>0</v>
      </c>
      <c r="H3655" s="1">
        <v>0</v>
      </c>
      <c r="I3655" s="1">
        <v>0</v>
      </c>
    </row>
    <row r="3656" spans="1:9" ht="23.25">
      <c r="A3656" s="4" t="s">
        <v>21</v>
      </c>
      <c r="B3656" s="4"/>
      <c r="C3656" s="4" t="s">
        <v>64</v>
      </c>
      <c r="D3656" s="4"/>
      <c r="E3656" s="1">
        <v>0</v>
      </c>
      <c r="F3656" s="1">
        <v>0</v>
      </c>
      <c r="G3656" s="1">
        <v>0</v>
      </c>
      <c r="H3656" s="1">
        <v>0</v>
      </c>
      <c r="I3656" s="1">
        <v>0</v>
      </c>
    </row>
    <row r="3657" spans="1:9" ht="23.25">
      <c r="A3657" s="4" t="s">
        <v>22</v>
      </c>
      <c r="B3657" s="4"/>
      <c r="C3657" s="4" t="s">
        <v>64</v>
      </c>
      <c r="D3657" s="4"/>
      <c r="E3657" s="1">
        <v>2439031</v>
      </c>
      <c r="F3657" s="1">
        <v>33338</v>
      </c>
      <c r="G3657" s="1">
        <v>53729</v>
      </c>
      <c r="H3657" s="1">
        <v>7119</v>
      </c>
      <c r="I3657" s="1">
        <v>0</v>
      </c>
    </row>
    <row r="3658" spans="1:9" ht="23.25">
      <c r="A3658" s="4" t="s">
        <v>23</v>
      </c>
      <c r="B3658" s="4"/>
      <c r="C3658" s="4" t="s">
        <v>64</v>
      </c>
      <c r="D3658" s="4"/>
      <c r="E3658" s="1">
        <v>1905618</v>
      </c>
      <c r="F3658" s="1">
        <v>17161</v>
      </c>
      <c r="G3658" s="1">
        <v>19112</v>
      </c>
      <c r="H3658" s="1">
        <v>14210</v>
      </c>
      <c r="I3658" s="1">
        <v>331429</v>
      </c>
    </row>
    <row r="3659" spans="1:9" ht="23.25">
      <c r="A3659" s="4" t="s">
        <v>24</v>
      </c>
      <c r="B3659" s="4"/>
      <c r="C3659" s="4" t="s">
        <v>64</v>
      </c>
      <c r="D3659" s="4"/>
      <c r="E3659" s="1">
        <v>3352764</v>
      </c>
      <c r="F3659" s="1">
        <v>62073</v>
      </c>
      <c r="G3659" s="1">
        <v>373181</v>
      </c>
      <c r="H3659" s="1">
        <v>59579</v>
      </c>
      <c r="I3659" s="1">
        <v>0</v>
      </c>
    </row>
    <row r="3660" spans="1:9" ht="23.25">
      <c r="A3660" s="4" t="s">
        <v>25</v>
      </c>
      <c r="B3660" s="4"/>
      <c r="C3660" s="4" t="s">
        <v>64</v>
      </c>
      <c r="D3660" s="4"/>
      <c r="E3660" s="1">
        <v>80069</v>
      </c>
      <c r="F3660" s="1">
        <v>2137</v>
      </c>
      <c r="G3660" s="1">
        <v>2688</v>
      </c>
      <c r="H3660" s="1">
        <v>1257</v>
      </c>
      <c r="I3660" s="1">
        <v>0</v>
      </c>
    </row>
    <row r="3661" spans="1:9" ht="23.25">
      <c r="A3661" s="4" t="s">
        <v>26</v>
      </c>
      <c r="B3661" s="4"/>
      <c r="C3661" s="4" t="s">
        <v>64</v>
      </c>
      <c r="D3661" s="4"/>
      <c r="E3661" s="1">
        <v>375009</v>
      </c>
      <c r="F3661" s="1">
        <v>18223</v>
      </c>
      <c r="G3661" s="1">
        <v>28901</v>
      </c>
      <c r="H3661" s="1">
        <v>5178</v>
      </c>
      <c r="I3661" s="1">
        <v>58026</v>
      </c>
    </row>
    <row r="3662" spans="1:9" ht="23.25">
      <c r="A3662" s="4" t="s">
        <v>27</v>
      </c>
      <c r="B3662" s="4"/>
      <c r="C3662" s="4" t="s">
        <v>64</v>
      </c>
      <c r="D3662" s="4"/>
      <c r="E3662" s="1">
        <v>1246895</v>
      </c>
      <c r="F3662" s="1">
        <v>12891</v>
      </c>
      <c r="G3662" s="1">
        <v>19803</v>
      </c>
      <c r="H3662" s="1">
        <v>9435</v>
      </c>
      <c r="I3662" s="1">
        <v>269043</v>
      </c>
    </row>
    <row r="3663" spans="1:9" ht="23.25">
      <c r="A3663" s="4" t="s">
        <v>28</v>
      </c>
      <c r="B3663" s="4"/>
      <c r="C3663" s="4" t="s">
        <v>64</v>
      </c>
      <c r="D3663" s="4"/>
      <c r="E3663" s="1">
        <v>3166919</v>
      </c>
      <c r="F3663" s="1">
        <v>263181</v>
      </c>
      <c r="G3663" s="1">
        <v>181204</v>
      </c>
      <c r="H3663" s="1">
        <v>72633</v>
      </c>
      <c r="I3663" s="1">
        <v>328</v>
      </c>
    </row>
    <row r="3664" spans="1:9" ht="23.25">
      <c r="A3664" s="4" t="s">
        <v>29</v>
      </c>
      <c r="B3664" s="4"/>
      <c r="C3664" s="4" t="s">
        <v>64</v>
      </c>
      <c r="D3664" s="4"/>
      <c r="E3664" s="1">
        <v>0</v>
      </c>
      <c r="F3664" s="1">
        <v>0</v>
      </c>
      <c r="G3664" s="1">
        <v>0</v>
      </c>
      <c r="H3664" s="1">
        <v>0</v>
      </c>
      <c r="I3664" s="1">
        <v>0</v>
      </c>
    </row>
    <row r="3665" spans="1:9" ht="23.25">
      <c r="A3665" s="4" t="s">
        <v>30</v>
      </c>
      <c r="B3665" s="4"/>
      <c r="C3665" s="4" t="s">
        <v>64</v>
      </c>
      <c r="D3665" s="4"/>
      <c r="E3665" s="1">
        <v>334827</v>
      </c>
      <c r="F3665" s="1">
        <v>14258</v>
      </c>
      <c r="G3665" s="1">
        <v>6051</v>
      </c>
      <c r="H3665" s="1">
        <v>3301</v>
      </c>
      <c r="I3665" s="1">
        <v>0</v>
      </c>
    </row>
    <row r="3666" spans="1:9" ht="23.25">
      <c r="A3666" s="4" t="s">
        <v>31</v>
      </c>
      <c r="B3666" s="4"/>
      <c r="C3666" s="4" t="s">
        <v>64</v>
      </c>
      <c r="D3666" s="4"/>
      <c r="E3666" s="1">
        <v>3142409</v>
      </c>
      <c r="F3666" s="1">
        <v>208682</v>
      </c>
      <c r="G3666" s="1">
        <v>359274</v>
      </c>
      <c r="H3666" s="1">
        <v>18569</v>
      </c>
      <c r="I3666" s="1">
        <v>731929</v>
      </c>
    </row>
    <row r="3667" spans="1:9" ht="23.25">
      <c r="A3667" s="4" t="s">
        <v>32</v>
      </c>
      <c r="B3667" s="4"/>
      <c r="C3667" s="4" t="s">
        <v>64</v>
      </c>
      <c r="D3667" s="4"/>
      <c r="E3667" s="1">
        <v>3435178</v>
      </c>
      <c r="F3667" s="1">
        <v>147831</v>
      </c>
      <c r="G3667" s="1">
        <v>133040</v>
      </c>
      <c r="H3667" s="1">
        <v>42622</v>
      </c>
      <c r="I3667" s="1">
        <v>0</v>
      </c>
    </row>
    <row r="3668" spans="1:9" ht="23.25">
      <c r="A3668" s="4" t="s">
        <v>33</v>
      </c>
      <c r="B3668" s="4"/>
      <c r="C3668" s="4" t="s">
        <v>64</v>
      </c>
      <c r="D3668" s="4"/>
      <c r="E3668" s="1">
        <v>1017932</v>
      </c>
      <c r="F3668" s="1">
        <v>57794</v>
      </c>
      <c r="G3668" s="1">
        <v>95908</v>
      </c>
      <c r="H3668" s="1">
        <v>9587</v>
      </c>
      <c r="I3668" s="1">
        <v>435</v>
      </c>
    </row>
    <row r="3669" spans="1:9" ht="23.25">
      <c r="A3669" s="4" t="s">
        <v>34</v>
      </c>
      <c r="B3669" s="4"/>
      <c r="C3669" s="4" t="s">
        <v>64</v>
      </c>
      <c r="D3669" s="4"/>
      <c r="E3669" s="1">
        <v>1316135</v>
      </c>
      <c r="F3669" s="1">
        <v>42598</v>
      </c>
      <c r="G3669" s="1">
        <v>16510</v>
      </c>
      <c r="H3669" s="1">
        <v>19998</v>
      </c>
      <c r="I3669" s="1">
        <v>982581</v>
      </c>
    </row>
    <row r="3670" spans="1:9" ht="23.25">
      <c r="A3670" s="4" t="s">
        <v>35</v>
      </c>
      <c r="B3670" s="4"/>
      <c r="C3670" s="4" t="s">
        <v>64</v>
      </c>
      <c r="D3670" s="4"/>
      <c r="E3670" s="1">
        <v>13371822</v>
      </c>
      <c r="F3670" s="1">
        <v>1180767</v>
      </c>
      <c r="G3670" s="1">
        <v>776102</v>
      </c>
      <c r="H3670" s="1">
        <v>480962</v>
      </c>
      <c r="I3670" s="1">
        <v>0</v>
      </c>
    </row>
    <row r="3671" spans="1:9" ht="23.25">
      <c r="A3671" s="4" t="s">
        <v>36</v>
      </c>
      <c r="B3671" s="4"/>
      <c r="C3671" s="4" t="s">
        <v>64</v>
      </c>
      <c r="D3671" s="4"/>
      <c r="E3671" s="1">
        <v>40131587</v>
      </c>
      <c r="F3671" s="1">
        <v>3255049</v>
      </c>
      <c r="G3671" s="1">
        <v>4434699</v>
      </c>
      <c r="H3671" s="1">
        <v>566941</v>
      </c>
      <c r="I3671" s="1">
        <v>16404415</v>
      </c>
    </row>
    <row r="3672" spans="1:9" ht="23.25">
      <c r="A3672" s="4" t="s">
        <v>37</v>
      </c>
      <c r="B3672" s="4"/>
      <c r="C3672" s="4" t="s">
        <v>64</v>
      </c>
      <c r="D3672" s="4"/>
      <c r="E3672" s="1">
        <v>26346881</v>
      </c>
      <c r="F3672" s="1">
        <v>942943</v>
      </c>
      <c r="G3672" s="1">
        <v>1016971</v>
      </c>
      <c r="H3672" s="1">
        <v>225294</v>
      </c>
      <c r="I3672" s="1">
        <v>5200540</v>
      </c>
    </row>
    <row r="3673" spans="1:9" ht="23.25">
      <c r="A3673" s="4" t="s">
        <v>38</v>
      </c>
      <c r="B3673" s="4"/>
      <c r="C3673" s="4" t="s">
        <v>64</v>
      </c>
      <c r="D3673" s="4"/>
      <c r="E3673" s="1">
        <v>1071017</v>
      </c>
      <c r="F3673" s="1">
        <v>97624</v>
      </c>
      <c r="G3673" s="1">
        <v>130033</v>
      </c>
      <c r="H3673" s="1">
        <v>26478</v>
      </c>
      <c r="I3673" s="1">
        <v>619794</v>
      </c>
    </row>
    <row r="3674" spans="1:9" ht="23.25">
      <c r="A3674" s="4" t="s">
        <v>39</v>
      </c>
      <c r="B3674" s="4"/>
      <c r="C3674" s="4" t="s">
        <v>64</v>
      </c>
      <c r="D3674" s="4"/>
      <c r="E3674" s="1">
        <v>6288348</v>
      </c>
      <c r="F3674" s="1">
        <v>242953</v>
      </c>
      <c r="G3674" s="1">
        <v>365449</v>
      </c>
      <c r="H3674" s="1">
        <v>58695</v>
      </c>
      <c r="I3674" s="1">
        <v>1625085</v>
      </c>
    </row>
    <row r="3675" spans="1:9" ht="23.25">
      <c r="A3675" s="4" t="s">
        <v>40</v>
      </c>
      <c r="B3675" s="4"/>
      <c r="C3675" s="4" t="s">
        <v>64</v>
      </c>
      <c r="D3675" s="4"/>
      <c r="E3675" s="1">
        <v>0</v>
      </c>
      <c r="F3675" s="1">
        <v>0</v>
      </c>
      <c r="G3675" s="1">
        <v>0</v>
      </c>
      <c r="H3675" s="1">
        <v>0</v>
      </c>
      <c r="I3675" s="1">
        <v>0</v>
      </c>
    </row>
    <row r="3676" spans="1:9" ht="23.25">
      <c r="A3676" s="4" t="s">
        <v>41</v>
      </c>
      <c r="B3676" s="4"/>
      <c r="C3676" s="4" t="s">
        <v>64</v>
      </c>
      <c r="D3676" s="4"/>
      <c r="E3676" s="1">
        <v>135140</v>
      </c>
      <c r="F3676" s="1">
        <v>10695</v>
      </c>
      <c r="G3676" s="1">
        <v>11127</v>
      </c>
      <c r="H3676" s="1">
        <v>1836</v>
      </c>
      <c r="I3676" s="1">
        <v>0</v>
      </c>
    </row>
    <row r="3677" spans="1:9" ht="23.25">
      <c r="A3677" s="4" t="s">
        <v>42</v>
      </c>
      <c r="B3677" s="4"/>
      <c r="C3677" s="4" t="s">
        <v>64</v>
      </c>
      <c r="D3677" s="4"/>
      <c r="E3677" s="1">
        <v>7148686</v>
      </c>
      <c r="F3677" s="1">
        <v>231706</v>
      </c>
      <c r="G3677" s="1">
        <v>586261</v>
      </c>
      <c r="H3677" s="1">
        <v>76049</v>
      </c>
      <c r="I3677" s="1">
        <v>3526179</v>
      </c>
    </row>
    <row r="3678" spans="1:9" ht="23.25">
      <c r="A3678" s="4" t="s">
        <v>43</v>
      </c>
      <c r="B3678" s="4"/>
      <c r="C3678" s="4" t="s">
        <v>64</v>
      </c>
      <c r="D3678" s="4"/>
      <c r="E3678" s="1">
        <v>8617753</v>
      </c>
      <c r="F3678" s="1">
        <v>297074</v>
      </c>
      <c r="G3678" s="1">
        <v>128526</v>
      </c>
      <c r="H3678" s="1">
        <v>12471</v>
      </c>
      <c r="I3678" s="1">
        <v>5832651</v>
      </c>
    </row>
    <row r="3679" spans="1:9" ht="23.25">
      <c r="A3679" s="4" t="s">
        <v>44</v>
      </c>
      <c r="B3679" s="4"/>
      <c r="C3679" s="4" t="s">
        <v>64</v>
      </c>
      <c r="D3679" s="4"/>
      <c r="E3679" s="1">
        <v>8499915</v>
      </c>
      <c r="F3679" s="1">
        <v>138174</v>
      </c>
      <c r="G3679" s="1">
        <v>373445</v>
      </c>
      <c r="H3679" s="1">
        <v>24583</v>
      </c>
      <c r="I3679" s="1">
        <v>5922925</v>
      </c>
    </row>
    <row r="3680" spans="1:9" ht="23.25">
      <c r="A3680" s="4" t="s">
        <v>45</v>
      </c>
      <c r="B3680" s="4"/>
      <c r="C3680" s="4" t="s">
        <v>64</v>
      </c>
      <c r="D3680" s="4"/>
      <c r="E3680" s="1">
        <v>2482406</v>
      </c>
      <c r="F3680" s="1">
        <v>168293</v>
      </c>
      <c r="G3680" s="1">
        <v>32065</v>
      </c>
      <c r="H3680" s="1">
        <v>34455</v>
      </c>
      <c r="I3680" s="1">
        <v>118598</v>
      </c>
    </row>
    <row r="3681" spans="1:9" ht="23.25">
      <c r="A3681" s="4" t="s">
        <v>46</v>
      </c>
      <c r="B3681" s="4"/>
      <c r="C3681" s="4" t="s">
        <v>64</v>
      </c>
      <c r="D3681" s="4"/>
      <c r="E3681" s="1">
        <v>142729036</v>
      </c>
      <c r="F3681" s="1">
        <v>7434678</v>
      </c>
      <c r="G3681" s="1">
        <v>8743707</v>
      </c>
      <c r="H3681" s="1">
        <v>1031643</v>
      </c>
      <c r="I3681" s="1">
        <v>45751564</v>
      </c>
    </row>
    <row r="3682" spans="1:9" ht="23.25">
      <c r="A3682" s="4" t="s">
        <v>47</v>
      </c>
      <c r="B3682" s="4"/>
      <c r="C3682" s="4" t="s">
        <v>64</v>
      </c>
      <c r="D3682" s="4"/>
      <c r="E3682" s="1">
        <v>5857794</v>
      </c>
      <c r="F3682" s="1">
        <v>10857</v>
      </c>
      <c r="G3682" s="1">
        <v>22510</v>
      </c>
      <c r="H3682" s="1">
        <v>1427</v>
      </c>
      <c r="I3682" s="1">
        <v>0</v>
      </c>
    </row>
    <row r="3683" spans="1:9" ht="23.25">
      <c r="A3683" s="4" t="s">
        <v>48</v>
      </c>
      <c r="B3683" s="4"/>
      <c r="C3683" s="4" t="s">
        <v>64</v>
      </c>
      <c r="D3683" s="4"/>
      <c r="E3683" s="1">
        <v>0</v>
      </c>
      <c r="F3683" s="1">
        <v>0</v>
      </c>
      <c r="G3683" s="1">
        <v>0</v>
      </c>
      <c r="H3683" s="1">
        <v>0</v>
      </c>
      <c r="I3683" s="1">
        <v>0</v>
      </c>
    </row>
    <row r="3684" spans="1:9" ht="23.25">
      <c r="A3684" s="4" t="s">
        <v>49</v>
      </c>
      <c r="B3684" s="4"/>
      <c r="C3684" s="4" t="s">
        <v>64</v>
      </c>
      <c r="D3684" s="4"/>
      <c r="E3684" s="1">
        <v>236262</v>
      </c>
      <c r="F3684" s="1">
        <v>11976</v>
      </c>
      <c r="G3684" s="1">
        <v>24812</v>
      </c>
      <c r="H3684" s="1">
        <v>1623</v>
      </c>
      <c r="I3684" s="1">
        <v>26849</v>
      </c>
    </row>
    <row r="3685" spans="1:9" ht="23.25">
      <c r="A3685" s="4" t="s">
        <v>50</v>
      </c>
      <c r="B3685" s="4"/>
      <c r="C3685" s="4" t="s">
        <v>64</v>
      </c>
      <c r="D3685" s="4"/>
      <c r="E3685" s="1">
        <v>476769</v>
      </c>
      <c r="F3685" s="1">
        <v>53983</v>
      </c>
      <c r="G3685" s="1">
        <v>64233</v>
      </c>
      <c r="H3685" s="1">
        <v>5481</v>
      </c>
      <c r="I3685" s="1">
        <v>0</v>
      </c>
    </row>
    <row r="3686" spans="1:9" ht="23.25">
      <c r="A3686" s="4" t="s">
        <v>51</v>
      </c>
      <c r="B3686" s="4"/>
      <c r="C3686" s="4" t="s">
        <v>64</v>
      </c>
      <c r="D3686" s="4"/>
      <c r="E3686" s="1">
        <v>13709020</v>
      </c>
      <c r="F3686" s="1">
        <v>1014796</v>
      </c>
      <c r="G3686" s="1">
        <v>1059867</v>
      </c>
      <c r="H3686" s="1">
        <v>189363</v>
      </c>
      <c r="I3686" s="1">
        <v>3335827</v>
      </c>
    </row>
    <row r="3687" spans="1:9" ht="23.25">
      <c r="A3687" s="4" t="s">
        <v>52</v>
      </c>
      <c r="B3687" s="4"/>
      <c r="C3687" s="4" t="s">
        <v>64</v>
      </c>
      <c r="D3687" s="4"/>
      <c r="E3687" s="1">
        <v>30150131</v>
      </c>
      <c r="F3687" s="1">
        <v>3820</v>
      </c>
      <c r="G3687" s="1">
        <v>5582</v>
      </c>
      <c r="H3687" s="1">
        <v>1347</v>
      </c>
      <c r="I3687" s="1">
        <v>0</v>
      </c>
    </row>
    <row r="3688" spans="1:9" ht="23.25">
      <c r="A3688" s="4" t="s">
        <v>53</v>
      </c>
      <c r="B3688" s="4"/>
      <c r="C3688" s="4" t="s">
        <v>64</v>
      </c>
      <c r="D3688" s="4"/>
      <c r="E3688" s="1">
        <v>1721815</v>
      </c>
      <c r="F3688" s="1">
        <v>0</v>
      </c>
      <c r="G3688" s="1">
        <v>0</v>
      </c>
      <c r="H3688" s="1">
        <v>0</v>
      </c>
      <c r="I3688" s="1">
        <v>0</v>
      </c>
    </row>
    <row r="3689" spans="1:9" ht="23.25">
      <c r="A3689" s="4" t="s">
        <v>54</v>
      </c>
      <c r="B3689" s="4"/>
      <c r="C3689" s="4" t="s">
        <v>64</v>
      </c>
      <c r="D3689" s="4"/>
      <c r="E3689" s="1">
        <v>3232665</v>
      </c>
      <c r="F3689" s="1">
        <v>0</v>
      </c>
      <c r="G3689" s="1">
        <v>0</v>
      </c>
      <c r="H3689" s="1">
        <v>0</v>
      </c>
      <c r="I3689" s="1">
        <v>0</v>
      </c>
    </row>
    <row r="3690" spans="1:9" ht="23.25">
      <c r="A3690" s="4" t="s">
        <v>55</v>
      </c>
      <c r="B3690" s="4"/>
      <c r="C3690" s="4" t="s">
        <v>64</v>
      </c>
      <c r="D3690" s="4"/>
      <c r="E3690" s="1">
        <v>0</v>
      </c>
      <c r="F3690" s="1">
        <v>0</v>
      </c>
      <c r="G3690" s="1">
        <v>0</v>
      </c>
      <c r="H3690" s="1">
        <v>0</v>
      </c>
      <c r="I3690" s="1">
        <v>0</v>
      </c>
    </row>
    <row r="3691" spans="1:9" ht="23.25">
      <c r="A3691" s="4" t="s">
        <v>56</v>
      </c>
      <c r="B3691" s="4"/>
      <c r="C3691" s="4" t="s">
        <v>64</v>
      </c>
      <c r="D3691" s="4"/>
      <c r="E3691" s="1">
        <v>0</v>
      </c>
      <c r="F3691" s="1">
        <v>-16186310</v>
      </c>
      <c r="G3691" s="1">
        <v>-19458008</v>
      </c>
      <c r="H3691" s="1">
        <v>0</v>
      </c>
      <c r="I3691" s="1">
        <v>0</v>
      </c>
    </row>
    <row r="3692" spans="1:9" ht="23.25">
      <c r="A3692" s="4" t="s">
        <v>57</v>
      </c>
      <c r="B3692" s="4"/>
      <c r="C3692" s="4" t="s">
        <v>64</v>
      </c>
      <c r="D3692" s="4"/>
      <c r="E3692" s="1">
        <v>15216137</v>
      </c>
      <c r="F3692" s="1">
        <v>0</v>
      </c>
      <c r="G3692" s="1">
        <v>0</v>
      </c>
      <c r="H3692" s="1">
        <v>0</v>
      </c>
      <c r="I3692" s="1">
        <v>0</v>
      </c>
    </row>
    <row r="3693" spans="1:9" ht="23.25">
      <c r="A3693" s="4" t="s">
        <v>58</v>
      </c>
      <c r="B3693" s="4"/>
      <c r="C3693" s="4" t="s">
        <v>64</v>
      </c>
      <c r="D3693" s="4"/>
      <c r="E3693" s="1">
        <v>2774658</v>
      </c>
      <c r="F3693" s="1">
        <v>0</v>
      </c>
      <c r="G3693" s="1">
        <v>0</v>
      </c>
      <c r="H3693" s="1">
        <v>-3073181</v>
      </c>
      <c r="I3693" s="1">
        <v>0</v>
      </c>
    </row>
    <row r="3694" spans="1:9" ht="23.25">
      <c r="A3694" s="4" t="s">
        <v>59</v>
      </c>
      <c r="B3694" s="4"/>
      <c r="C3694" s="4" t="s">
        <v>64</v>
      </c>
      <c r="D3694" s="4"/>
      <c r="E3694" s="1">
        <v>17039405</v>
      </c>
      <c r="F3694" s="1">
        <v>0</v>
      </c>
      <c r="G3694" s="1">
        <v>0</v>
      </c>
      <c r="H3694" s="1">
        <v>0</v>
      </c>
      <c r="I3694" s="1">
        <v>0</v>
      </c>
    </row>
    <row r="3695" spans="1:9" ht="23.25">
      <c r="A3695" s="4" t="s">
        <v>60</v>
      </c>
      <c r="B3695" s="4"/>
      <c r="C3695" s="4" t="s">
        <v>64</v>
      </c>
      <c r="D3695" s="4"/>
      <c r="E3695" s="1">
        <v>10781015</v>
      </c>
      <c r="F3695" s="1">
        <v>0</v>
      </c>
      <c r="G3695" s="1">
        <v>0</v>
      </c>
      <c r="H3695" s="1">
        <v>0</v>
      </c>
      <c r="I3695" s="1">
        <v>0</v>
      </c>
    </row>
    <row r="3696" spans="1:9" ht="23.25">
      <c r="A3696" s="4" t="s">
        <v>61</v>
      </c>
      <c r="B3696" s="4"/>
      <c r="C3696" s="4" t="s">
        <v>64</v>
      </c>
      <c r="D3696" s="4"/>
      <c r="E3696" s="1">
        <v>6549195</v>
      </c>
      <c r="F3696" s="1">
        <v>0</v>
      </c>
      <c r="G3696" s="1">
        <v>0</v>
      </c>
      <c r="H3696" s="1">
        <v>0</v>
      </c>
      <c r="I3696" s="1">
        <v>0</v>
      </c>
    </row>
    <row r="3697" spans="1:9" ht="23.25">
      <c r="A3697" s="4" t="s">
        <v>62</v>
      </c>
      <c r="B3697" s="4"/>
      <c r="C3697" s="4" t="s">
        <v>64</v>
      </c>
      <c r="D3697" s="4"/>
      <c r="E3697" s="1">
        <v>27951924</v>
      </c>
      <c r="F3697" s="1">
        <v>0</v>
      </c>
      <c r="G3697" s="1">
        <v>0</v>
      </c>
      <c r="H3697" s="1">
        <v>0</v>
      </c>
      <c r="I3697" s="1">
        <v>0</v>
      </c>
    </row>
    <row r="3698" spans="1:9" ht="23.25">
      <c r="A3698" s="4" t="s">
        <v>63</v>
      </c>
      <c r="B3698" s="4"/>
      <c r="C3698" s="4" t="s">
        <v>64</v>
      </c>
      <c r="D3698" s="4"/>
      <c r="E3698" s="1">
        <v>1757599</v>
      </c>
      <c r="F3698" s="1">
        <v>0</v>
      </c>
      <c r="G3698" s="1">
        <v>0</v>
      </c>
      <c r="H3698" s="1">
        <v>0</v>
      </c>
      <c r="I3698" s="1">
        <v>0</v>
      </c>
    </row>
    <row r="3699" spans="1:9" ht="23.25">
      <c r="A3699" s="4" t="s">
        <v>64</v>
      </c>
      <c r="B3699" s="4"/>
      <c r="C3699" s="4" t="s">
        <v>64</v>
      </c>
      <c r="D3699" s="4"/>
      <c r="E3699" s="1">
        <v>49085675</v>
      </c>
      <c r="F3699" s="1">
        <v>0</v>
      </c>
      <c r="G3699" s="1">
        <v>0</v>
      </c>
      <c r="H3699" s="1">
        <v>0</v>
      </c>
      <c r="I3699" s="1">
        <v>0</v>
      </c>
    </row>
    <row r="3700" spans="1:9" ht="23.25">
      <c r="A3700" s="4" t="s">
        <v>65</v>
      </c>
      <c r="B3700" s="4"/>
      <c r="C3700" s="4" t="s">
        <v>64</v>
      </c>
      <c r="D3700" s="4"/>
      <c r="E3700" s="1">
        <v>8109457</v>
      </c>
      <c r="F3700" s="1">
        <v>0</v>
      </c>
      <c r="G3700" s="1">
        <v>0</v>
      </c>
      <c r="H3700" s="1">
        <v>0</v>
      </c>
      <c r="I3700" s="1">
        <v>847365</v>
      </c>
    </row>
    <row r="3701" spans="1:9" ht="23.25">
      <c r="A3701" s="4" t="s">
        <v>66</v>
      </c>
      <c r="B3701" s="4"/>
      <c r="C3701" s="4" t="s">
        <v>64</v>
      </c>
      <c r="D3701" s="4"/>
      <c r="E3701" s="1">
        <v>478251118</v>
      </c>
      <c r="F3701" s="1">
        <v>0</v>
      </c>
      <c r="G3701" s="1">
        <v>0</v>
      </c>
      <c r="H3701" s="1">
        <v>0</v>
      </c>
      <c r="I3701" s="1">
        <v>92081903</v>
      </c>
    </row>
    <row r="3702" spans="1:9" ht="23.25">
      <c r="A3702" s="4" t="s">
        <v>67</v>
      </c>
      <c r="B3702" s="4"/>
      <c r="C3702" s="4" t="s">
        <v>64</v>
      </c>
      <c r="D3702" s="4"/>
      <c r="E3702" s="1">
        <v>195459789</v>
      </c>
      <c r="F3702" s="1">
        <v>0</v>
      </c>
      <c r="G3702" s="1">
        <v>0</v>
      </c>
      <c r="H3702" s="1">
        <v>0</v>
      </c>
      <c r="I3702" s="1">
        <v>0</v>
      </c>
    </row>
    <row r="3703" spans="1:9" ht="23.25">
      <c r="A3703" s="4" t="s">
        <v>68</v>
      </c>
      <c r="B3703" s="4"/>
      <c r="C3703" s="4" t="s">
        <v>64</v>
      </c>
      <c r="D3703" s="4"/>
      <c r="E3703" s="1">
        <v>172036260</v>
      </c>
      <c r="F3703" s="1">
        <v>0</v>
      </c>
      <c r="G3703" s="1">
        <v>0</v>
      </c>
      <c r="H3703" s="1">
        <v>0</v>
      </c>
      <c r="I3703" s="1">
        <v>0</v>
      </c>
    </row>
    <row r="3704" spans="1:9" ht="23.25">
      <c r="A3704" s="4" t="s">
        <v>69</v>
      </c>
      <c r="B3704" s="4"/>
      <c r="C3704" s="4" t="s">
        <v>64</v>
      </c>
      <c r="D3704" s="4"/>
      <c r="E3704" s="1">
        <v>74676300</v>
      </c>
      <c r="F3704" s="1">
        <v>0</v>
      </c>
      <c r="G3704" s="1">
        <v>0</v>
      </c>
      <c r="H3704" s="1">
        <v>0</v>
      </c>
      <c r="I3704" s="1">
        <v>0</v>
      </c>
    </row>
    <row r="3705" spans="1:9" ht="23.25">
      <c r="A3705" s="4" t="s">
        <v>70</v>
      </c>
      <c r="B3705" s="4"/>
      <c r="C3705" s="4" t="s">
        <v>64</v>
      </c>
      <c r="D3705" s="4"/>
      <c r="E3705" s="1">
        <v>61751904</v>
      </c>
      <c r="F3705" s="1">
        <v>0</v>
      </c>
      <c r="G3705" s="1">
        <v>0</v>
      </c>
      <c r="H3705" s="1">
        <v>0</v>
      </c>
      <c r="I3705" s="1">
        <v>0</v>
      </c>
    </row>
    <row r="3706" spans="1:9" ht="23.25">
      <c r="A3706" s="4" t="s">
        <v>71</v>
      </c>
      <c r="B3706" s="4"/>
      <c r="C3706" s="4" t="s">
        <v>64</v>
      </c>
      <c r="D3706" s="4"/>
      <c r="E3706" s="1">
        <v>503924253</v>
      </c>
      <c r="F3706" s="1">
        <v>0</v>
      </c>
      <c r="G3706" s="1">
        <v>0</v>
      </c>
      <c r="H3706" s="1">
        <v>0</v>
      </c>
      <c r="I3706" s="1">
        <v>0</v>
      </c>
    </row>
    <row r="3707" spans="1:9" ht="23.25">
      <c r="A3707" s="4" t="s">
        <v>72</v>
      </c>
      <c r="B3707" s="4"/>
      <c r="C3707" s="4" t="s">
        <v>64</v>
      </c>
      <c r="D3707" s="4"/>
      <c r="E3707" s="1">
        <v>982175371</v>
      </c>
      <c r="F3707" s="1">
        <v>0</v>
      </c>
      <c r="G3707" s="1">
        <v>0</v>
      </c>
      <c r="H3707" s="1">
        <v>0</v>
      </c>
      <c r="I3707" s="1">
        <v>0</v>
      </c>
    </row>
    <row r="3708" spans="1:9" ht="23.25">
      <c r="A3708" s="4" t="s">
        <v>8</v>
      </c>
      <c r="B3708" s="4"/>
      <c r="C3708" s="4" t="s">
        <v>65</v>
      </c>
      <c r="D3708" s="4"/>
      <c r="E3708" s="1">
        <v>518802</v>
      </c>
      <c r="F3708" s="1">
        <v>98848</v>
      </c>
      <c r="G3708" s="1">
        <v>1354</v>
      </c>
      <c r="H3708" s="1">
        <v>9252</v>
      </c>
      <c r="I3708" s="1">
        <v>0</v>
      </c>
    </row>
    <row r="3709" spans="1:9" ht="23.25">
      <c r="A3709" s="4" t="s">
        <v>9</v>
      </c>
      <c r="B3709" s="4"/>
      <c r="C3709" s="4" t="s">
        <v>65</v>
      </c>
      <c r="D3709" s="4"/>
      <c r="E3709" s="1">
        <v>0</v>
      </c>
      <c r="F3709" s="1">
        <v>0</v>
      </c>
      <c r="G3709" s="1">
        <v>0</v>
      </c>
      <c r="H3709" s="1">
        <v>0</v>
      </c>
      <c r="I3709" s="1">
        <v>0</v>
      </c>
    </row>
    <row r="3710" spans="1:9" ht="23.25">
      <c r="A3710" s="4" t="s">
        <v>10</v>
      </c>
      <c r="B3710" s="4"/>
      <c r="C3710" s="4" t="s">
        <v>65</v>
      </c>
      <c r="D3710" s="4"/>
      <c r="E3710" s="1">
        <v>694544</v>
      </c>
      <c r="F3710" s="1">
        <v>8445</v>
      </c>
      <c r="G3710" s="1">
        <v>34715</v>
      </c>
      <c r="H3710" s="1">
        <v>3443</v>
      </c>
      <c r="I3710" s="1">
        <v>0</v>
      </c>
    </row>
    <row r="3711" spans="1:9" ht="23.25">
      <c r="A3711" s="4" t="s">
        <v>11</v>
      </c>
      <c r="B3711" s="4"/>
      <c r="C3711" s="4" t="s">
        <v>65</v>
      </c>
      <c r="D3711" s="4"/>
      <c r="E3711" s="1">
        <v>609364</v>
      </c>
      <c r="F3711" s="1">
        <v>3820</v>
      </c>
      <c r="G3711" s="1">
        <v>11951</v>
      </c>
      <c r="H3711" s="1">
        <v>778</v>
      </c>
      <c r="I3711" s="1">
        <v>509559</v>
      </c>
    </row>
    <row r="3712" spans="1:9" ht="23.25">
      <c r="A3712" s="4" t="s">
        <v>12</v>
      </c>
      <c r="B3712" s="4"/>
      <c r="C3712" s="4" t="s">
        <v>65</v>
      </c>
      <c r="D3712" s="4"/>
      <c r="E3712" s="1">
        <v>1095279</v>
      </c>
      <c r="F3712" s="1">
        <v>116504</v>
      </c>
      <c r="G3712" s="1">
        <v>188299</v>
      </c>
      <c r="H3712" s="1">
        <v>15005</v>
      </c>
      <c r="I3712" s="1">
        <v>0</v>
      </c>
    </row>
    <row r="3713" spans="1:9" ht="23.25">
      <c r="A3713" s="4" t="s">
        <v>13</v>
      </c>
      <c r="B3713" s="4"/>
      <c r="C3713" s="4" t="s">
        <v>65</v>
      </c>
      <c r="D3713" s="4"/>
      <c r="E3713" s="1">
        <v>10572</v>
      </c>
      <c r="F3713" s="1">
        <v>89</v>
      </c>
      <c r="G3713" s="1">
        <v>314</v>
      </c>
      <c r="H3713" s="1">
        <v>223</v>
      </c>
      <c r="I3713" s="1">
        <v>0</v>
      </c>
    </row>
    <row r="3714" spans="1:9" ht="23.25">
      <c r="A3714" s="4" t="s">
        <v>14</v>
      </c>
      <c r="B3714" s="4"/>
      <c r="C3714" s="4" t="s">
        <v>65</v>
      </c>
      <c r="D3714" s="4"/>
      <c r="E3714" s="1">
        <v>143396</v>
      </c>
      <c r="F3714" s="1">
        <v>5747</v>
      </c>
      <c r="G3714" s="1">
        <v>0</v>
      </c>
      <c r="H3714" s="1">
        <v>935</v>
      </c>
      <c r="I3714" s="1">
        <v>0</v>
      </c>
    </row>
    <row r="3715" spans="1:9" ht="23.25">
      <c r="A3715" s="4" t="s">
        <v>15</v>
      </c>
      <c r="B3715" s="4"/>
      <c r="C3715" s="4" t="s">
        <v>65</v>
      </c>
      <c r="D3715" s="4"/>
      <c r="E3715" s="1">
        <v>476099</v>
      </c>
      <c r="F3715" s="1">
        <v>39338</v>
      </c>
      <c r="G3715" s="1">
        <v>65753</v>
      </c>
      <c r="H3715" s="1">
        <v>4041</v>
      </c>
      <c r="I3715" s="1">
        <v>208706</v>
      </c>
    </row>
    <row r="3716" spans="1:9" ht="23.25">
      <c r="A3716" s="4" t="s">
        <v>16</v>
      </c>
      <c r="B3716" s="4"/>
      <c r="C3716" s="4" t="s">
        <v>65</v>
      </c>
      <c r="D3716" s="4"/>
      <c r="E3716" s="1">
        <v>147330</v>
      </c>
      <c r="F3716" s="1">
        <v>3393</v>
      </c>
      <c r="G3716" s="1">
        <v>2145</v>
      </c>
      <c r="H3716" s="1">
        <v>598</v>
      </c>
      <c r="I3716" s="1">
        <v>0</v>
      </c>
    </row>
    <row r="3717" spans="1:9" ht="23.25">
      <c r="A3717" s="4" t="s">
        <v>17</v>
      </c>
      <c r="B3717" s="4"/>
      <c r="C3717" s="4" t="s">
        <v>65</v>
      </c>
      <c r="D3717" s="4"/>
      <c r="E3717" s="1">
        <v>336145</v>
      </c>
      <c r="F3717" s="1">
        <v>18593</v>
      </c>
      <c r="G3717" s="1">
        <v>21126</v>
      </c>
      <c r="H3717" s="1">
        <v>5588</v>
      </c>
      <c r="I3717" s="1">
        <v>0</v>
      </c>
    </row>
    <row r="3718" spans="1:9" ht="23.25">
      <c r="A3718" s="4" t="s">
        <v>18</v>
      </c>
      <c r="B3718" s="4"/>
      <c r="C3718" s="4" t="s">
        <v>65</v>
      </c>
      <c r="D3718" s="4"/>
      <c r="E3718" s="1">
        <v>238845</v>
      </c>
      <c r="F3718" s="1">
        <v>22720</v>
      </c>
      <c r="G3718" s="1">
        <v>28212</v>
      </c>
      <c r="H3718" s="1">
        <v>4307</v>
      </c>
      <c r="I3718" s="1">
        <v>0</v>
      </c>
    </row>
    <row r="3719" spans="1:9" ht="23.25">
      <c r="A3719" s="4" t="s">
        <v>19</v>
      </c>
      <c r="B3719" s="4"/>
      <c r="C3719" s="4" t="s">
        <v>65</v>
      </c>
      <c r="D3719" s="4"/>
      <c r="E3719" s="1">
        <v>87013</v>
      </c>
      <c r="F3719" s="1">
        <v>1285</v>
      </c>
      <c r="G3719" s="1">
        <v>0</v>
      </c>
      <c r="H3719" s="1">
        <v>552</v>
      </c>
      <c r="I3719" s="1">
        <v>70388</v>
      </c>
    </row>
    <row r="3720" spans="1:9" ht="23.25">
      <c r="A3720" s="4" t="s">
        <v>20</v>
      </c>
      <c r="B3720" s="4"/>
      <c r="C3720" s="4" t="s">
        <v>65</v>
      </c>
      <c r="D3720" s="4"/>
      <c r="E3720" s="1">
        <v>108666</v>
      </c>
      <c r="F3720" s="1">
        <v>7810</v>
      </c>
      <c r="G3720" s="1">
        <v>0</v>
      </c>
      <c r="H3720" s="1">
        <v>4263</v>
      </c>
      <c r="I3720" s="1">
        <v>46514</v>
      </c>
    </row>
    <row r="3721" spans="1:9" ht="23.25">
      <c r="A3721" s="4" t="s">
        <v>21</v>
      </c>
      <c r="B3721" s="4"/>
      <c r="C3721" s="4" t="s">
        <v>65</v>
      </c>
      <c r="D3721" s="4"/>
      <c r="E3721" s="1">
        <v>708078</v>
      </c>
      <c r="F3721" s="1">
        <v>33564</v>
      </c>
      <c r="G3721" s="1">
        <v>13456</v>
      </c>
      <c r="H3721" s="1">
        <v>24338</v>
      </c>
      <c r="I3721" s="1">
        <v>0</v>
      </c>
    </row>
    <row r="3722" spans="1:9" ht="23.25">
      <c r="A3722" s="4" t="s">
        <v>22</v>
      </c>
      <c r="B3722" s="4"/>
      <c r="C3722" s="4" t="s">
        <v>65</v>
      </c>
      <c r="D3722" s="4"/>
      <c r="E3722" s="1">
        <v>547622</v>
      </c>
      <c r="F3722" s="1">
        <v>109</v>
      </c>
      <c r="G3722" s="1">
        <v>204</v>
      </c>
      <c r="H3722" s="1">
        <v>1259</v>
      </c>
      <c r="I3722" s="1">
        <v>0</v>
      </c>
    </row>
    <row r="3723" spans="1:9" ht="23.25">
      <c r="A3723" s="4" t="s">
        <v>23</v>
      </c>
      <c r="B3723" s="4"/>
      <c r="C3723" s="4" t="s">
        <v>65</v>
      </c>
      <c r="D3723" s="4"/>
      <c r="E3723" s="1">
        <v>1720964</v>
      </c>
      <c r="F3723" s="1">
        <v>49252</v>
      </c>
      <c r="G3723" s="1">
        <v>66803</v>
      </c>
      <c r="H3723" s="1">
        <v>13123</v>
      </c>
      <c r="I3723" s="1">
        <v>60561</v>
      </c>
    </row>
    <row r="3724" spans="1:9" ht="23.25">
      <c r="A3724" s="4" t="s">
        <v>24</v>
      </c>
      <c r="B3724" s="4"/>
      <c r="C3724" s="4" t="s">
        <v>65</v>
      </c>
      <c r="D3724" s="4"/>
      <c r="E3724" s="1">
        <v>322694</v>
      </c>
      <c r="F3724" s="1">
        <v>8306</v>
      </c>
      <c r="G3724" s="1">
        <v>13703</v>
      </c>
      <c r="H3724" s="1">
        <v>4474</v>
      </c>
      <c r="I3724" s="1">
        <v>0</v>
      </c>
    </row>
    <row r="3725" spans="1:9" ht="23.25">
      <c r="A3725" s="4" t="s">
        <v>25</v>
      </c>
      <c r="B3725" s="4"/>
      <c r="C3725" s="4" t="s">
        <v>65</v>
      </c>
      <c r="D3725" s="4"/>
      <c r="E3725" s="1">
        <v>113328</v>
      </c>
      <c r="F3725" s="1">
        <v>1514</v>
      </c>
      <c r="G3725" s="1">
        <v>2254</v>
      </c>
      <c r="H3725" s="1">
        <v>1470</v>
      </c>
      <c r="I3725" s="1">
        <v>0</v>
      </c>
    </row>
    <row r="3726" spans="1:9" ht="23.25">
      <c r="A3726" s="4" t="s">
        <v>26</v>
      </c>
      <c r="B3726" s="4"/>
      <c r="C3726" s="4" t="s">
        <v>65</v>
      </c>
      <c r="D3726" s="4"/>
      <c r="E3726" s="1">
        <v>900153</v>
      </c>
      <c r="F3726" s="1">
        <v>24724</v>
      </c>
      <c r="G3726" s="1">
        <v>40930</v>
      </c>
      <c r="H3726" s="1">
        <v>9129</v>
      </c>
      <c r="I3726" s="1">
        <v>50926</v>
      </c>
    </row>
    <row r="3727" spans="1:9" ht="23.25">
      <c r="A3727" s="4" t="s">
        <v>27</v>
      </c>
      <c r="B3727" s="4"/>
      <c r="C3727" s="4" t="s">
        <v>65</v>
      </c>
      <c r="D3727" s="4"/>
      <c r="E3727" s="1">
        <v>87650</v>
      </c>
      <c r="F3727" s="1">
        <v>5342</v>
      </c>
      <c r="G3727" s="1">
        <v>7939</v>
      </c>
      <c r="H3727" s="1">
        <v>853</v>
      </c>
      <c r="I3727" s="1">
        <v>0</v>
      </c>
    </row>
    <row r="3728" spans="1:9" ht="23.25">
      <c r="A3728" s="4" t="s">
        <v>28</v>
      </c>
      <c r="B3728" s="4"/>
      <c r="C3728" s="4" t="s">
        <v>65</v>
      </c>
      <c r="D3728" s="4"/>
      <c r="E3728" s="1">
        <v>2522613</v>
      </c>
      <c r="F3728" s="1">
        <v>44444</v>
      </c>
      <c r="G3728" s="1">
        <v>80574</v>
      </c>
      <c r="H3728" s="1">
        <v>15301</v>
      </c>
      <c r="I3728" s="1">
        <v>1590</v>
      </c>
    </row>
    <row r="3729" spans="1:9" ht="23.25">
      <c r="A3729" s="4" t="s">
        <v>29</v>
      </c>
      <c r="B3729" s="4"/>
      <c r="C3729" s="4" t="s">
        <v>65</v>
      </c>
      <c r="D3729" s="4"/>
      <c r="E3729" s="1">
        <v>471772</v>
      </c>
      <c r="F3729" s="1">
        <v>17698</v>
      </c>
      <c r="G3729" s="1">
        <v>30339</v>
      </c>
      <c r="H3729" s="1">
        <v>3907</v>
      </c>
      <c r="I3729" s="1">
        <v>0</v>
      </c>
    </row>
    <row r="3730" spans="1:9" ht="23.25">
      <c r="A3730" s="4" t="s">
        <v>30</v>
      </c>
      <c r="B3730" s="4"/>
      <c r="C3730" s="4" t="s">
        <v>65</v>
      </c>
      <c r="D3730" s="4"/>
      <c r="E3730" s="1">
        <v>249716</v>
      </c>
      <c r="F3730" s="1">
        <v>6649</v>
      </c>
      <c r="G3730" s="1">
        <v>3166</v>
      </c>
      <c r="H3730" s="1">
        <v>1413</v>
      </c>
      <c r="I3730" s="1">
        <v>0</v>
      </c>
    </row>
    <row r="3731" spans="1:9" ht="23.25">
      <c r="A3731" s="4" t="s">
        <v>31</v>
      </c>
      <c r="B3731" s="4"/>
      <c r="C3731" s="4" t="s">
        <v>65</v>
      </c>
      <c r="D3731" s="4"/>
      <c r="E3731" s="1">
        <v>1634062</v>
      </c>
      <c r="F3731" s="1">
        <v>85659</v>
      </c>
      <c r="G3731" s="1">
        <v>184361</v>
      </c>
      <c r="H3731" s="1">
        <v>16167</v>
      </c>
      <c r="I3731" s="1">
        <v>731138</v>
      </c>
    </row>
    <row r="3732" spans="1:9" ht="23.25">
      <c r="A3732" s="4" t="s">
        <v>32</v>
      </c>
      <c r="B3732" s="4"/>
      <c r="C3732" s="4" t="s">
        <v>65</v>
      </c>
      <c r="D3732" s="4"/>
      <c r="E3732" s="1">
        <v>1945549</v>
      </c>
      <c r="F3732" s="1">
        <v>95672</v>
      </c>
      <c r="G3732" s="1">
        <v>88485</v>
      </c>
      <c r="H3732" s="1">
        <v>28100</v>
      </c>
      <c r="I3732" s="1">
        <v>123566</v>
      </c>
    </row>
    <row r="3733" spans="1:9" ht="23.25">
      <c r="A3733" s="4" t="s">
        <v>33</v>
      </c>
      <c r="B3733" s="4"/>
      <c r="C3733" s="4" t="s">
        <v>65</v>
      </c>
      <c r="D3733" s="4"/>
      <c r="E3733" s="1">
        <v>143832</v>
      </c>
      <c r="F3733" s="1">
        <v>2073</v>
      </c>
      <c r="G3733" s="1">
        <v>14547</v>
      </c>
      <c r="H3733" s="1">
        <v>1074</v>
      </c>
      <c r="I3733" s="1">
        <v>0</v>
      </c>
    </row>
    <row r="3734" spans="1:9" ht="23.25">
      <c r="A3734" s="4" t="s">
        <v>34</v>
      </c>
      <c r="B3734" s="4"/>
      <c r="C3734" s="4" t="s">
        <v>65</v>
      </c>
      <c r="D3734" s="4"/>
      <c r="E3734" s="1">
        <v>447311</v>
      </c>
      <c r="F3734" s="1">
        <v>21806</v>
      </c>
      <c r="G3734" s="1">
        <v>12621</v>
      </c>
      <c r="H3734" s="1">
        <v>6225</v>
      </c>
      <c r="I3734" s="1">
        <v>146716</v>
      </c>
    </row>
    <row r="3735" spans="1:9" ht="23.25">
      <c r="A3735" s="4" t="s">
        <v>35</v>
      </c>
      <c r="B3735" s="4"/>
      <c r="C3735" s="4" t="s">
        <v>65</v>
      </c>
      <c r="D3735" s="4"/>
      <c r="E3735" s="1">
        <v>245866</v>
      </c>
      <c r="F3735" s="1">
        <v>9353</v>
      </c>
      <c r="G3735" s="1">
        <v>7595</v>
      </c>
      <c r="H3735" s="1">
        <v>9602</v>
      </c>
      <c r="I3735" s="1">
        <v>1842</v>
      </c>
    </row>
    <row r="3736" spans="1:9" ht="23.25">
      <c r="A3736" s="4" t="s">
        <v>36</v>
      </c>
      <c r="B3736" s="4"/>
      <c r="C3736" s="4" t="s">
        <v>65</v>
      </c>
      <c r="D3736" s="4"/>
      <c r="E3736" s="1">
        <v>1394365</v>
      </c>
      <c r="F3736" s="1">
        <v>84781</v>
      </c>
      <c r="G3736" s="1">
        <v>91820</v>
      </c>
      <c r="H3736" s="1">
        <v>11943</v>
      </c>
      <c r="I3736" s="1">
        <v>58795</v>
      </c>
    </row>
    <row r="3737" spans="1:9" ht="23.25">
      <c r="A3737" s="4" t="s">
        <v>37</v>
      </c>
      <c r="B3737" s="4"/>
      <c r="C3737" s="4" t="s">
        <v>65</v>
      </c>
      <c r="D3737" s="4"/>
      <c r="E3737" s="1">
        <v>1285403</v>
      </c>
      <c r="F3737" s="1">
        <v>58166</v>
      </c>
      <c r="G3737" s="1">
        <v>83770</v>
      </c>
      <c r="H3737" s="1">
        <v>9819</v>
      </c>
      <c r="I3737" s="1">
        <v>189358</v>
      </c>
    </row>
    <row r="3738" spans="1:9" ht="23.25">
      <c r="A3738" s="4" t="s">
        <v>38</v>
      </c>
      <c r="B3738" s="4"/>
      <c r="C3738" s="4" t="s">
        <v>65</v>
      </c>
      <c r="D3738" s="4"/>
      <c r="E3738" s="1">
        <v>1642521</v>
      </c>
      <c r="F3738" s="1">
        <v>72008</v>
      </c>
      <c r="G3738" s="1">
        <v>144107</v>
      </c>
      <c r="H3738" s="1">
        <v>36236</v>
      </c>
      <c r="I3738" s="1">
        <v>705715</v>
      </c>
    </row>
    <row r="3739" spans="1:9" ht="23.25">
      <c r="A3739" s="4" t="s">
        <v>39</v>
      </c>
      <c r="B3739" s="4"/>
      <c r="C3739" s="4" t="s">
        <v>65</v>
      </c>
      <c r="D3739" s="4"/>
      <c r="E3739" s="1">
        <v>1876949</v>
      </c>
      <c r="F3739" s="1">
        <v>40221</v>
      </c>
      <c r="G3739" s="1">
        <v>53545</v>
      </c>
      <c r="H3739" s="1">
        <v>13123</v>
      </c>
      <c r="I3739" s="1">
        <v>458338</v>
      </c>
    </row>
    <row r="3740" spans="1:9" ht="23.25">
      <c r="A3740" s="4" t="s">
        <v>40</v>
      </c>
      <c r="B3740" s="4"/>
      <c r="C3740" s="4" t="s">
        <v>65</v>
      </c>
      <c r="D3740" s="4"/>
      <c r="E3740" s="1">
        <v>463304</v>
      </c>
      <c r="F3740" s="1">
        <v>27368</v>
      </c>
      <c r="G3740" s="1">
        <v>9840</v>
      </c>
      <c r="H3740" s="1">
        <v>6614</v>
      </c>
      <c r="I3740" s="1">
        <v>0</v>
      </c>
    </row>
    <row r="3741" spans="1:9" ht="23.25">
      <c r="A3741" s="4" t="s">
        <v>41</v>
      </c>
      <c r="B3741" s="4"/>
      <c r="C3741" s="4" t="s">
        <v>65</v>
      </c>
      <c r="D3741" s="4"/>
      <c r="E3741" s="1">
        <v>2243968</v>
      </c>
      <c r="F3741" s="1">
        <v>133202</v>
      </c>
      <c r="G3741" s="1">
        <v>132851</v>
      </c>
      <c r="H3741" s="1">
        <v>22826</v>
      </c>
      <c r="I3741" s="1">
        <v>0</v>
      </c>
    </row>
    <row r="3742" spans="1:9" ht="23.25">
      <c r="A3742" s="4" t="s">
        <v>42</v>
      </c>
      <c r="B3742" s="4"/>
      <c r="C3742" s="4" t="s">
        <v>65</v>
      </c>
      <c r="D3742" s="4"/>
      <c r="E3742" s="1">
        <v>2433701</v>
      </c>
      <c r="F3742" s="1">
        <v>56604</v>
      </c>
      <c r="G3742" s="1">
        <v>39658</v>
      </c>
      <c r="H3742" s="1">
        <v>17291</v>
      </c>
      <c r="I3742" s="1">
        <v>202701</v>
      </c>
    </row>
    <row r="3743" spans="1:9" ht="23.25">
      <c r="A3743" s="4" t="s">
        <v>43</v>
      </c>
      <c r="B3743" s="4"/>
      <c r="C3743" s="4" t="s">
        <v>65</v>
      </c>
      <c r="D3743" s="4"/>
      <c r="E3743" s="1">
        <v>522683</v>
      </c>
      <c r="F3743" s="1">
        <v>30799</v>
      </c>
      <c r="G3743" s="1">
        <v>14253</v>
      </c>
      <c r="H3743" s="1">
        <v>668</v>
      </c>
      <c r="I3743" s="1">
        <v>358906</v>
      </c>
    </row>
    <row r="3744" spans="1:9" ht="23.25">
      <c r="A3744" s="4" t="s">
        <v>44</v>
      </c>
      <c r="B3744" s="4"/>
      <c r="C3744" s="4" t="s">
        <v>65</v>
      </c>
      <c r="D3744" s="4"/>
      <c r="E3744" s="1">
        <v>4177888</v>
      </c>
      <c r="F3744" s="1">
        <v>102799</v>
      </c>
      <c r="G3744" s="1">
        <v>171508</v>
      </c>
      <c r="H3744" s="1">
        <v>15629</v>
      </c>
      <c r="I3744" s="1">
        <v>2101005</v>
      </c>
    </row>
    <row r="3745" spans="1:9" ht="23.25">
      <c r="A3745" s="4" t="s">
        <v>45</v>
      </c>
      <c r="B3745" s="4"/>
      <c r="C3745" s="4" t="s">
        <v>65</v>
      </c>
      <c r="D3745" s="4"/>
      <c r="E3745" s="1">
        <v>783205</v>
      </c>
      <c r="F3745" s="1">
        <v>52443</v>
      </c>
      <c r="G3745" s="1">
        <v>22452</v>
      </c>
      <c r="H3745" s="1">
        <v>8928</v>
      </c>
      <c r="I3745" s="1">
        <v>0</v>
      </c>
    </row>
    <row r="3746" spans="1:9" ht="23.25">
      <c r="A3746" s="4" t="s">
        <v>46</v>
      </c>
      <c r="B3746" s="4"/>
      <c r="C3746" s="4" t="s">
        <v>65</v>
      </c>
      <c r="D3746" s="4"/>
      <c r="E3746" s="1">
        <v>8622414</v>
      </c>
      <c r="F3746" s="1">
        <v>449339</v>
      </c>
      <c r="G3746" s="1">
        <v>532142</v>
      </c>
      <c r="H3746" s="1">
        <v>67082</v>
      </c>
      <c r="I3746" s="1">
        <v>3925403</v>
      </c>
    </row>
    <row r="3747" spans="1:9" ht="23.25">
      <c r="A3747" s="4" t="s">
        <v>47</v>
      </c>
      <c r="B3747" s="4"/>
      <c r="C3747" s="4" t="s">
        <v>65</v>
      </c>
      <c r="D3747" s="4"/>
      <c r="E3747" s="1">
        <v>15237789</v>
      </c>
      <c r="F3747" s="1">
        <v>0</v>
      </c>
      <c r="G3747" s="1">
        <v>0</v>
      </c>
      <c r="H3747" s="1">
        <v>0</v>
      </c>
      <c r="I3747" s="1">
        <v>0</v>
      </c>
    </row>
    <row r="3748" spans="1:9" ht="23.25">
      <c r="A3748" s="4" t="s">
        <v>48</v>
      </c>
      <c r="B3748" s="4"/>
      <c r="C3748" s="4" t="s">
        <v>65</v>
      </c>
      <c r="D3748" s="4"/>
      <c r="E3748" s="1">
        <v>0</v>
      </c>
      <c r="F3748" s="1">
        <v>0</v>
      </c>
      <c r="G3748" s="1">
        <v>0</v>
      </c>
      <c r="H3748" s="1">
        <v>0</v>
      </c>
      <c r="I3748" s="1">
        <v>0</v>
      </c>
    </row>
    <row r="3749" spans="1:9" ht="23.25">
      <c r="A3749" s="4" t="s">
        <v>49</v>
      </c>
      <c r="B3749" s="4"/>
      <c r="C3749" s="4" t="s">
        <v>65</v>
      </c>
      <c r="D3749" s="4"/>
      <c r="E3749" s="1">
        <v>394655</v>
      </c>
      <c r="F3749" s="1">
        <v>22596</v>
      </c>
      <c r="G3749" s="1">
        <v>35227</v>
      </c>
      <c r="H3749" s="1">
        <v>2556</v>
      </c>
      <c r="I3749" s="1">
        <v>28697</v>
      </c>
    </row>
    <row r="3750" spans="1:9" ht="23.25">
      <c r="A3750" s="4" t="s">
        <v>50</v>
      </c>
      <c r="B3750" s="4"/>
      <c r="C3750" s="4" t="s">
        <v>65</v>
      </c>
      <c r="D3750" s="4"/>
      <c r="E3750" s="1">
        <v>456103</v>
      </c>
      <c r="F3750" s="1">
        <v>28325</v>
      </c>
      <c r="G3750" s="1">
        <v>38052</v>
      </c>
      <c r="H3750" s="1">
        <v>4328</v>
      </c>
      <c r="I3750" s="1">
        <v>23583</v>
      </c>
    </row>
    <row r="3751" spans="1:9" ht="23.25">
      <c r="A3751" s="4" t="s">
        <v>51</v>
      </c>
      <c r="B3751" s="4"/>
      <c r="C3751" s="4" t="s">
        <v>65</v>
      </c>
      <c r="D3751" s="4"/>
      <c r="E3751" s="1">
        <v>5731952</v>
      </c>
      <c r="F3751" s="1">
        <v>320750</v>
      </c>
      <c r="G3751" s="1">
        <v>754645</v>
      </c>
      <c r="H3751" s="1">
        <v>19814</v>
      </c>
      <c r="I3751" s="1">
        <v>1243906</v>
      </c>
    </row>
    <row r="3752" spans="1:9" ht="23.25">
      <c r="A3752" s="4" t="s">
        <v>52</v>
      </c>
      <c r="B3752" s="4"/>
      <c r="C3752" s="4" t="s">
        <v>65</v>
      </c>
      <c r="D3752" s="4"/>
      <c r="E3752" s="1">
        <v>2538385</v>
      </c>
      <c r="F3752" s="1">
        <v>18008</v>
      </c>
      <c r="G3752" s="1">
        <v>21160</v>
      </c>
      <c r="H3752" s="1">
        <v>7388</v>
      </c>
      <c r="I3752" s="1">
        <v>0</v>
      </c>
    </row>
    <row r="3753" spans="1:9" ht="23.25">
      <c r="A3753" s="4" t="s">
        <v>53</v>
      </c>
      <c r="B3753" s="4"/>
      <c r="C3753" s="4" t="s">
        <v>65</v>
      </c>
      <c r="D3753" s="4"/>
      <c r="E3753" s="1">
        <v>17504</v>
      </c>
      <c r="F3753" s="1">
        <v>0</v>
      </c>
      <c r="G3753" s="1">
        <v>0</v>
      </c>
      <c r="H3753" s="1">
        <v>0</v>
      </c>
      <c r="I3753" s="1">
        <v>0</v>
      </c>
    </row>
    <row r="3754" spans="1:9" ht="23.25">
      <c r="A3754" s="4" t="s">
        <v>54</v>
      </c>
      <c r="B3754" s="4"/>
      <c r="C3754" s="4" t="s">
        <v>65</v>
      </c>
      <c r="D3754" s="4"/>
      <c r="E3754" s="1">
        <v>80444</v>
      </c>
      <c r="F3754" s="1">
        <v>0</v>
      </c>
      <c r="G3754" s="1">
        <v>0</v>
      </c>
      <c r="H3754" s="1">
        <v>0</v>
      </c>
      <c r="I3754" s="1">
        <v>0</v>
      </c>
    </row>
    <row r="3755" spans="1:9" ht="23.25">
      <c r="A3755" s="4" t="s">
        <v>55</v>
      </c>
      <c r="B3755" s="4"/>
      <c r="C3755" s="4" t="s">
        <v>65</v>
      </c>
      <c r="D3755" s="4"/>
      <c r="E3755" s="1">
        <v>0</v>
      </c>
      <c r="F3755" s="1">
        <v>0</v>
      </c>
      <c r="G3755" s="1">
        <v>0</v>
      </c>
      <c r="H3755" s="1">
        <v>0</v>
      </c>
      <c r="I3755" s="1">
        <v>0</v>
      </c>
    </row>
    <row r="3756" spans="1:9" ht="23.25">
      <c r="A3756" s="4" t="s">
        <v>56</v>
      </c>
      <c r="B3756" s="4"/>
      <c r="C3756" s="4" t="s">
        <v>65</v>
      </c>
      <c r="D3756" s="4"/>
      <c r="E3756" s="1">
        <v>0</v>
      </c>
      <c r="F3756" s="1">
        <v>-2230166</v>
      </c>
      <c r="G3756" s="1">
        <v>-3065876</v>
      </c>
      <c r="H3756" s="1">
        <v>0</v>
      </c>
      <c r="I3756" s="1">
        <v>0</v>
      </c>
    </row>
    <row r="3757" spans="1:9" ht="23.25">
      <c r="A3757" s="4" t="s">
        <v>57</v>
      </c>
      <c r="B3757" s="4"/>
      <c r="C3757" s="4" t="s">
        <v>65</v>
      </c>
      <c r="D3757" s="4"/>
      <c r="E3757" s="1">
        <v>4545930</v>
      </c>
      <c r="F3757" s="1">
        <v>0</v>
      </c>
      <c r="G3757" s="1">
        <v>0</v>
      </c>
      <c r="H3757" s="1">
        <v>0</v>
      </c>
      <c r="I3757" s="1">
        <v>0</v>
      </c>
    </row>
    <row r="3758" spans="1:9" ht="23.25">
      <c r="A3758" s="4" t="s">
        <v>58</v>
      </c>
      <c r="B3758" s="4"/>
      <c r="C3758" s="4" t="s">
        <v>65</v>
      </c>
      <c r="D3758" s="4"/>
      <c r="E3758" s="1">
        <v>8719446</v>
      </c>
      <c r="F3758" s="1">
        <v>0</v>
      </c>
      <c r="G3758" s="1">
        <v>0</v>
      </c>
      <c r="H3758" s="1">
        <v>-429665</v>
      </c>
      <c r="I3758" s="1">
        <v>0</v>
      </c>
    </row>
    <row r="3759" spans="1:9" ht="23.25">
      <c r="A3759" s="4" t="s">
        <v>59</v>
      </c>
      <c r="B3759" s="4"/>
      <c r="C3759" s="4" t="s">
        <v>65</v>
      </c>
      <c r="D3759" s="4"/>
      <c r="E3759" s="1">
        <v>5973373</v>
      </c>
      <c r="F3759" s="1">
        <v>0</v>
      </c>
      <c r="G3759" s="1">
        <v>0</v>
      </c>
      <c r="H3759" s="1">
        <v>0</v>
      </c>
      <c r="I3759" s="1">
        <v>0</v>
      </c>
    </row>
    <row r="3760" spans="1:9" ht="23.25">
      <c r="A3760" s="4" t="s">
        <v>60</v>
      </c>
      <c r="B3760" s="4"/>
      <c r="C3760" s="4" t="s">
        <v>65</v>
      </c>
      <c r="D3760" s="4"/>
      <c r="E3760" s="1">
        <v>16613146</v>
      </c>
      <c r="F3760" s="1">
        <v>0</v>
      </c>
      <c r="G3760" s="1">
        <v>0</v>
      </c>
      <c r="H3760" s="1">
        <v>0</v>
      </c>
      <c r="I3760" s="1">
        <v>0</v>
      </c>
    </row>
    <row r="3761" spans="1:9" ht="23.25">
      <c r="A3761" s="4" t="s">
        <v>61</v>
      </c>
      <c r="B3761" s="4"/>
      <c r="C3761" s="4" t="s">
        <v>65</v>
      </c>
      <c r="D3761" s="4"/>
      <c r="E3761" s="1">
        <v>469346</v>
      </c>
      <c r="F3761" s="1">
        <v>0</v>
      </c>
      <c r="G3761" s="1">
        <v>0</v>
      </c>
      <c r="H3761" s="1">
        <v>0</v>
      </c>
      <c r="I3761" s="1">
        <v>0</v>
      </c>
    </row>
    <row r="3762" spans="1:9" ht="23.25">
      <c r="A3762" s="4" t="s">
        <v>62</v>
      </c>
      <c r="B3762" s="4"/>
      <c r="C3762" s="4" t="s">
        <v>65</v>
      </c>
      <c r="D3762" s="4"/>
      <c r="E3762" s="1">
        <v>2586399</v>
      </c>
      <c r="F3762" s="1">
        <v>0</v>
      </c>
      <c r="G3762" s="1">
        <v>0</v>
      </c>
      <c r="H3762" s="1">
        <v>0</v>
      </c>
      <c r="I3762" s="1">
        <v>0</v>
      </c>
    </row>
    <row r="3763" spans="1:9" ht="23.25">
      <c r="A3763" s="4" t="s">
        <v>63</v>
      </c>
      <c r="B3763" s="4"/>
      <c r="C3763" s="4" t="s">
        <v>65</v>
      </c>
      <c r="D3763" s="4"/>
      <c r="E3763" s="1">
        <v>2811000</v>
      </c>
      <c r="F3763" s="1">
        <v>0</v>
      </c>
      <c r="G3763" s="1">
        <v>0</v>
      </c>
      <c r="H3763" s="1">
        <v>0</v>
      </c>
      <c r="I3763" s="1">
        <v>0</v>
      </c>
    </row>
    <row r="3764" spans="1:9" ht="23.25">
      <c r="A3764" s="4" t="s">
        <v>64</v>
      </c>
      <c r="B3764" s="4"/>
      <c r="C3764" s="4" t="s">
        <v>65</v>
      </c>
      <c r="D3764" s="4"/>
      <c r="E3764" s="1">
        <v>4409126</v>
      </c>
      <c r="F3764" s="1">
        <v>0</v>
      </c>
      <c r="G3764" s="1">
        <v>0</v>
      </c>
      <c r="H3764" s="1">
        <v>0</v>
      </c>
      <c r="I3764" s="1">
        <v>0</v>
      </c>
    </row>
    <row r="3765" spans="1:9" ht="23.25">
      <c r="A3765" s="4" t="s">
        <v>65</v>
      </c>
      <c r="B3765" s="4"/>
      <c r="C3765" s="4" t="s">
        <v>65</v>
      </c>
      <c r="D3765" s="4"/>
      <c r="E3765" s="1">
        <v>22840286</v>
      </c>
      <c r="F3765" s="1">
        <v>0</v>
      </c>
      <c r="G3765" s="1">
        <v>0</v>
      </c>
      <c r="H3765" s="1">
        <v>0</v>
      </c>
      <c r="I3765" s="1">
        <v>2339293</v>
      </c>
    </row>
    <row r="3766" spans="1:9" ht="23.25">
      <c r="A3766" s="4" t="s">
        <v>66</v>
      </c>
      <c r="B3766" s="4"/>
      <c r="C3766" s="4" t="s">
        <v>65</v>
      </c>
      <c r="D3766" s="4"/>
      <c r="E3766" s="1">
        <v>135398550</v>
      </c>
      <c r="F3766" s="1">
        <v>0</v>
      </c>
      <c r="G3766" s="1">
        <v>0</v>
      </c>
      <c r="H3766" s="1">
        <v>0</v>
      </c>
      <c r="I3766" s="1">
        <v>13587206</v>
      </c>
    </row>
    <row r="3767" spans="1:9" ht="23.25">
      <c r="A3767" s="4" t="s">
        <v>67</v>
      </c>
      <c r="B3767" s="4"/>
      <c r="C3767" s="4" t="s">
        <v>65</v>
      </c>
      <c r="D3767" s="4"/>
      <c r="E3767" s="1">
        <v>34338703</v>
      </c>
      <c r="F3767" s="1">
        <v>0</v>
      </c>
      <c r="G3767" s="1">
        <v>0</v>
      </c>
      <c r="H3767" s="1">
        <v>0</v>
      </c>
      <c r="I3767" s="1">
        <v>0</v>
      </c>
    </row>
    <row r="3768" spans="1:9" ht="23.25">
      <c r="A3768" s="4" t="s">
        <v>68</v>
      </c>
      <c r="B3768" s="4"/>
      <c r="C3768" s="4" t="s">
        <v>65</v>
      </c>
      <c r="D3768" s="4"/>
      <c r="E3768" s="1">
        <v>66417821</v>
      </c>
      <c r="F3768" s="1">
        <v>0</v>
      </c>
      <c r="G3768" s="1">
        <v>0</v>
      </c>
      <c r="H3768" s="1">
        <v>0</v>
      </c>
      <c r="I3768" s="1">
        <v>0</v>
      </c>
    </row>
    <row r="3769" spans="1:9" ht="23.25">
      <c r="A3769" s="4" t="s">
        <v>69</v>
      </c>
      <c r="B3769" s="4"/>
      <c r="C3769" s="4" t="s">
        <v>65</v>
      </c>
      <c r="D3769" s="4"/>
      <c r="E3769" s="1">
        <v>30542477</v>
      </c>
      <c r="F3769" s="1">
        <v>0</v>
      </c>
      <c r="G3769" s="1">
        <v>0</v>
      </c>
      <c r="H3769" s="1">
        <v>0</v>
      </c>
      <c r="I3769" s="1">
        <v>0</v>
      </c>
    </row>
    <row r="3770" spans="1:9" ht="23.25">
      <c r="A3770" s="4" t="s">
        <v>70</v>
      </c>
      <c r="B3770" s="4"/>
      <c r="C3770" s="4" t="s">
        <v>65</v>
      </c>
      <c r="D3770" s="4"/>
      <c r="E3770" s="1">
        <v>5695233</v>
      </c>
      <c r="F3770" s="1">
        <v>0</v>
      </c>
      <c r="G3770" s="1">
        <v>0</v>
      </c>
      <c r="H3770" s="1">
        <v>0</v>
      </c>
      <c r="I3770" s="1">
        <v>0</v>
      </c>
    </row>
    <row r="3771" spans="1:9" ht="23.25">
      <c r="A3771" s="4" t="s">
        <v>71</v>
      </c>
      <c r="B3771" s="4"/>
      <c r="C3771" s="4" t="s">
        <v>65</v>
      </c>
      <c r="D3771" s="4"/>
      <c r="E3771" s="1">
        <v>136994234</v>
      </c>
      <c r="F3771" s="1">
        <v>0</v>
      </c>
      <c r="G3771" s="1">
        <v>0</v>
      </c>
      <c r="H3771" s="1">
        <v>0</v>
      </c>
      <c r="I3771" s="1">
        <v>0</v>
      </c>
    </row>
    <row r="3772" spans="1:9" ht="23.25">
      <c r="A3772" s="4" t="s">
        <v>72</v>
      </c>
      <c r="B3772" s="4"/>
      <c r="C3772" s="4" t="s">
        <v>65</v>
      </c>
      <c r="D3772" s="4"/>
      <c r="E3772" s="1">
        <v>272392784</v>
      </c>
      <c r="F3772" s="1">
        <v>0</v>
      </c>
      <c r="G3772" s="1">
        <v>0</v>
      </c>
      <c r="H3772" s="1">
        <v>0</v>
      </c>
      <c r="I3772" s="1">
        <v>0</v>
      </c>
    </row>
    <row r="3773" spans="1:9" ht="23.25">
      <c r="A3773" s="5" t="s">
        <v>8</v>
      </c>
      <c r="B3773" s="5"/>
      <c r="C3773" s="5" t="s">
        <v>66</v>
      </c>
      <c r="D3773" s="5"/>
      <c r="E3773" s="1">
        <v>338690232</v>
      </c>
      <c r="F3773" s="1">
        <v>14563805</v>
      </c>
      <c r="G3773" s="1">
        <v>886197</v>
      </c>
      <c r="H3773" s="1">
        <v>2072302</v>
      </c>
      <c r="I3773" s="1">
        <v>5</v>
      </c>
    </row>
    <row r="3774" spans="1:9" ht="23.25">
      <c r="A3774" s="5" t="s">
        <v>9</v>
      </c>
      <c r="B3774" s="5"/>
      <c r="C3774" s="5" t="s">
        <v>66</v>
      </c>
      <c r="D3774" s="5"/>
      <c r="E3774" s="1">
        <v>28240925</v>
      </c>
      <c r="F3774" s="1">
        <v>899868</v>
      </c>
      <c r="G3774" s="1">
        <v>50279</v>
      </c>
      <c r="H3774" s="1">
        <v>242304</v>
      </c>
      <c r="I3774" s="1">
        <v>14356949</v>
      </c>
    </row>
    <row r="3775" spans="1:9" ht="23.25">
      <c r="A3775" s="5" t="s">
        <v>10</v>
      </c>
      <c r="B3775" s="5"/>
      <c r="C3775" s="5" t="s">
        <v>66</v>
      </c>
      <c r="D3775" s="5"/>
      <c r="E3775" s="1">
        <v>64065258</v>
      </c>
      <c r="F3775" s="1">
        <v>1557589</v>
      </c>
      <c r="G3775" s="1">
        <v>65308</v>
      </c>
      <c r="H3775" s="1">
        <v>434929</v>
      </c>
      <c r="I3775" s="1">
        <v>0</v>
      </c>
    </row>
    <row r="3776" spans="1:9" ht="23.25">
      <c r="A3776" s="5" t="s">
        <v>11</v>
      </c>
      <c r="B3776" s="5"/>
      <c r="C3776" s="5" t="s">
        <v>66</v>
      </c>
      <c r="D3776" s="5"/>
      <c r="E3776" s="1">
        <v>47414802</v>
      </c>
      <c r="F3776" s="1">
        <v>900726</v>
      </c>
      <c r="G3776" s="1">
        <v>896943</v>
      </c>
      <c r="H3776" s="1">
        <v>71392</v>
      </c>
      <c r="I3776" s="1">
        <v>43009086</v>
      </c>
    </row>
    <row r="3777" spans="1:9" ht="23.25">
      <c r="A3777" s="5" t="s">
        <v>12</v>
      </c>
      <c r="B3777" s="5"/>
      <c r="C3777" s="5" t="s">
        <v>66</v>
      </c>
      <c r="D3777" s="5"/>
      <c r="E3777" s="1">
        <v>213728157</v>
      </c>
      <c r="F3777" s="1">
        <v>13030034</v>
      </c>
      <c r="G3777" s="1">
        <v>21070415</v>
      </c>
      <c r="H3777" s="1">
        <v>3015241</v>
      </c>
      <c r="I3777" s="1">
        <v>10881121</v>
      </c>
    </row>
    <row r="3778" spans="1:9" ht="23.25">
      <c r="A3778" s="5" t="s">
        <v>13</v>
      </c>
      <c r="B3778" s="5"/>
      <c r="C3778" s="5" t="s">
        <v>66</v>
      </c>
      <c r="D3778" s="5"/>
      <c r="E3778" s="1">
        <v>73390631</v>
      </c>
      <c r="F3778" s="1">
        <v>3338178</v>
      </c>
      <c r="G3778" s="1">
        <v>314</v>
      </c>
      <c r="H3778" s="1">
        <v>2251997</v>
      </c>
      <c r="I3778" s="1">
        <v>2</v>
      </c>
    </row>
    <row r="3779" spans="1:9" ht="23.25">
      <c r="A3779" s="5" t="s">
        <v>14</v>
      </c>
      <c r="B3779" s="5"/>
      <c r="C3779" s="5" t="s">
        <v>66</v>
      </c>
      <c r="D3779" s="5"/>
      <c r="E3779" s="1">
        <v>116086775</v>
      </c>
      <c r="F3779" s="1">
        <v>7235675</v>
      </c>
      <c r="G3779" s="1">
        <v>0</v>
      </c>
      <c r="H3779" s="1">
        <v>810466</v>
      </c>
      <c r="I3779" s="1">
        <v>149467</v>
      </c>
    </row>
    <row r="3780" spans="1:9" ht="23.25">
      <c r="A3780" s="5" t="s">
        <v>15</v>
      </c>
      <c r="B3780" s="5"/>
      <c r="C3780" s="5" t="s">
        <v>66</v>
      </c>
      <c r="D3780" s="5"/>
      <c r="E3780" s="1">
        <v>244746136</v>
      </c>
      <c r="F3780" s="1">
        <v>10666860</v>
      </c>
      <c r="G3780" s="1">
        <v>7185601</v>
      </c>
      <c r="H3780" s="1">
        <v>2563985</v>
      </c>
      <c r="I3780" s="1">
        <v>52009113</v>
      </c>
    </row>
    <row r="3781" spans="1:9" ht="23.25">
      <c r="A3781" s="5" t="s">
        <v>16</v>
      </c>
      <c r="B3781" s="5"/>
      <c r="C3781" s="5" t="s">
        <v>66</v>
      </c>
      <c r="D3781" s="5"/>
      <c r="E3781" s="1">
        <v>369310583</v>
      </c>
      <c r="F3781" s="1">
        <v>31695915</v>
      </c>
      <c r="G3781" s="1">
        <v>833001</v>
      </c>
      <c r="H3781" s="1">
        <v>1769007</v>
      </c>
      <c r="I3781" s="1">
        <v>3552383</v>
      </c>
    </row>
    <row r="3782" spans="1:9" ht="23.25">
      <c r="A3782" s="5" t="s">
        <v>17</v>
      </c>
      <c r="B3782" s="5"/>
      <c r="C3782" s="5" t="s">
        <v>66</v>
      </c>
      <c r="D3782" s="5"/>
      <c r="E3782" s="1">
        <v>51835961</v>
      </c>
      <c r="F3782" s="1">
        <v>3288517</v>
      </c>
      <c r="G3782" s="1">
        <v>468794</v>
      </c>
      <c r="H3782" s="1">
        <v>750033</v>
      </c>
      <c r="I3782" s="1">
        <v>2428191</v>
      </c>
    </row>
    <row r="3783" spans="1:9" ht="23.25">
      <c r="A3783" s="5" t="s">
        <v>18</v>
      </c>
      <c r="B3783" s="5"/>
      <c r="C3783" s="5" t="s">
        <v>66</v>
      </c>
      <c r="D3783" s="5"/>
      <c r="E3783" s="1">
        <v>164683524</v>
      </c>
      <c r="F3783" s="1">
        <v>17408060</v>
      </c>
      <c r="G3783" s="1">
        <v>15892822</v>
      </c>
      <c r="H3783" s="1">
        <v>3100329</v>
      </c>
      <c r="I3783" s="1">
        <v>3720474</v>
      </c>
    </row>
    <row r="3784" spans="1:9" ht="23.25">
      <c r="A3784" s="5" t="s">
        <v>19</v>
      </c>
      <c r="B3784" s="5"/>
      <c r="C3784" s="5" t="s">
        <v>66</v>
      </c>
      <c r="D3784" s="5"/>
      <c r="E3784" s="1">
        <v>1247431814</v>
      </c>
      <c r="F3784" s="1">
        <v>846247</v>
      </c>
      <c r="G3784" s="1">
        <v>0</v>
      </c>
      <c r="H3784" s="1">
        <v>757317</v>
      </c>
      <c r="I3784" s="1">
        <v>1009496457</v>
      </c>
    </row>
    <row r="3785" spans="1:9" ht="23.25">
      <c r="A3785" s="5" t="s">
        <v>20</v>
      </c>
      <c r="B3785" s="5"/>
      <c r="C3785" s="5" t="s">
        <v>66</v>
      </c>
      <c r="D3785" s="5"/>
      <c r="E3785" s="1">
        <v>27351914</v>
      </c>
      <c r="F3785" s="1">
        <v>1209674</v>
      </c>
      <c r="G3785" s="1">
        <v>0</v>
      </c>
      <c r="H3785" s="1">
        <v>642205</v>
      </c>
      <c r="I3785" s="1">
        <v>19069227</v>
      </c>
    </row>
    <row r="3786" spans="1:9" ht="23.25">
      <c r="A3786" s="5" t="s">
        <v>21</v>
      </c>
      <c r="B3786" s="5"/>
      <c r="C3786" s="5" t="s">
        <v>66</v>
      </c>
      <c r="D3786" s="5"/>
      <c r="E3786" s="1">
        <v>217205594</v>
      </c>
      <c r="F3786" s="1">
        <v>11337489</v>
      </c>
      <c r="G3786" s="1">
        <v>1920783</v>
      </c>
      <c r="H3786" s="1">
        <v>25720486</v>
      </c>
      <c r="I3786" s="1">
        <v>11087069</v>
      </c>
    </row>
    <row r="3787" spans="1:9" ht="23.25">
      <c r="A3787" s="5" t="s">
        <v>22</v>
      </c>
      <c r="B3787" s="5"/>
      <c r="C3787" s="5" t="s">
        <v>66</v>
      </c>
      <c r="D3787" s="5"/>
      <c r="E3787" s="1">
        <v>235012876</v>
      </c>
      <c r="F3787" s="1">
        <v>4006109</v>
      </c>
      <c r="G3787" s="1">
        <v>5647844</v>
      </c>
      <c r="H3787" s="1">
        <v>605805</v>
      </c>
      <c r="I3787" s="1">
        <v>338415</v>
      </c>
    </row>
    <row r="3788" spans="1:9" ht="23.25">
      <c r="A3788" s="5" t="s">
        <v>23</v>
      </c>
      <c r="B3788" s="5"/>
      <c r="C3788" s="5" t="s">
        <v>66</v>
      </c>
      <c r="D3788" s="5"/>
      <c r="E3788" s="1">
        <v>289879255</v>
      </c>
      <c r="F3788" s="1">
        <v>6474576</v>
      </c>
      <c r="G3788" s="1">
        <v>8683667</v>
      </c>
      <c r="H3788" s="1">
        <v>2512757</v>
      </c>
      <c r="I3788" s="1">
        <v>163987561</v>
      </c>
    </row>
    <row r="3789" spans="1:9" ht="23.25">
      <c r="A3789" s="5" t="s">
        <v>24</v>
      </c>
      <c r="B3789" s="5"/>
      <c r="C3789" s="5" t="s">
        <v>66</v>
      </c>
      <c r="D3789" s="5"/>
      <c r="E3789" s="1">
        <v>170354192</v>
      </c>
      <c r="F3789" s="1">
        <v>5340822</v>
      </c>
      <c r="G3789" s="1">
        <v>7620879</v>
      </c>
      <c r="H3789" s="1">
        <v>2598944</v>
      </c>
      <c r="I3789" s="1">
        <v>33462502</v>
      </c>
    </row>
    <row r="3790" spans="1:9" ht="23.25">
      <c r="A3790" s="5" t="s">
        <v>25</v>
      </c>
      <c r="B3790" s="5"/>
      <c r="C3790" s="5" t="s">
        <v>66</v>
      </c>
      <c r="D3790" s="5"/>
      <c r="E3790" s="1">
        <v>109529077</v>
      </c>
      <c r="F3790" s="1">
        <v>2358442</v>
      </c>
      <c r="G3790" s="1">
        <v>3706530</v>
      </c>
      <c r="H3790" s="1">
        <v>1449010</v>
      </c>
      <c r="I3790" s="1">
        <v>12856977</v>
      </c>
    </row>
    <row r="3791" spans="1:9" ht="23.25">
      <c r="A3791" s="5" t="s">
        <v>26</v>
      </c>
      <c r="B3791" s="5"/>
      <c r="C3791" s="5" t="s">
        <v>66</v>
      </c>
      <c r="D3791" s="5"/>
      <c r="E3791" s="1">
        <v>155691073</v>
      </c>
      <c r="F3791" s="1">
        <v>6412130</v>
      </c>
      <c r="G3791" s="1">
        <v>9392297</v>
      </c>
      <c r="H3791" s="1">
        <v>2336502</v>
      </c>
      <c r="I3791" s="1">
        <v>51878186</v>
      </c>
    </row>
    <row r="3792" spans="1:9" ht="23.25">
      <c r="A3792" s="5" t="s">
        <v>27</v>
      </c>
      <c r="B3792" s="5"/>
      <c r="C3792" s="5" t="s">
        <v>66</v>
      </c>
      <c r="D3792" s="5"/>
      <c r="E3792" s="1">
        <v>103074004</v>
      </c>
      <c r="F3792" s="1">
        <v>5167160</v>
      </c>
      <c r="G3792" s="1">
        <v>8359159</v>
      </c>
      <c r="H3792" s="1">
        <v>1009648</v>
      </c>
      <c r="I3792" s="1">
        <v>24196152</v>
      </c>
    </row>
    <row r="3793" spans="1:9" ht="23.25">
      <c r="A3793" s="5" t="s">
        <v>28</v>
      </c>
      <c r="B3793" s="5"/>
      <c r="C3793" s="5" t="s">
        <v>66</v>
      </c>
      <c r="D3793" s="5"/>
      <c r="E3793" s="1">
        <v>210140196</v>
      </c>
      <c r="F3793" s="1">
        <v>15138608</v>
      </c>
      <c r="G3793" s="1">
        <v>9604341</v>
      </c>
      <c r="H3793" s="1">
        <v>2962509</v>
      </c>
      <c r="I3793" s="1">
        <v>12412901</v>
      </c>
    </row>
    <row r="3794" spans="1:9" ht="23.25">
      <c r="A3794" s="5" t="s">
        <v>29</v>
      </c>
      <c r="B3794" s="5"/>
      <c r="C3794" s="5" t="s">
        <v>66</v>
      </c>
      <c r="D3794" s="5"/>
      <c r="E3794" s="1">
        <v>8742385</v>
      </c>
      <c r="F3794" s="1">
        <v>496817</v>
      </c>
      <c r="G3794" s="1">
        <v>272732</v>
      </c>
      <c r="H3794" s="1">
        <v>163871</v>
      </c>
      <c r="I3794" s="1">
        <v>142716</v>
      </c>
    </row>
    <row r="3795" spans="1:9" ht="23.25">
      <c r="A3795" s="5" t="s">
        <v>30</v>
      </c>
      <c r="B3795" s="5"/>
      <c r="C3795" s="5" t="s">
        <v>66</v>
      </c>
      <c r="D3795" s="5"/>
      <c r="E3795" s="1">
        <v>206426485</v>
      </c>
      <c r="F3795" s="1">
        <v>18750321</v>
      </c>
      <c r="G3795" s="1">
        <v>13176499</v>
      </c>
      <c r="H3795" s="1">
        <v>1853945</v>
      </c>
      <c r="I3795" s="1">
        <v>77965426</v>
      </c>
    </row>
    <row r="3796" spans="1:9" ht="23.25">
      <c r="A3796" s="5" t="s">
        <v>31</v>
      </c>
      <c r="B3796" s="5"/>
      <c r="C3796" s="5" t="s">
        <v>66</v>
      </c>
      <c r="D3796" s="5"/>
      <c r="E3796" s="1">
        <v>54363268</v>
      </c>
      <c r="F3796" s="1">
        <v>2506368</v>
      </c>
      <c r="G3796" s="1">
        <v>4896169</v>
      </c>
      <c r="H3796" s="1">
        <v>326239</v>
      </c>
      <c r="I3796" s="1">
        <v>17794729</v>
      </c>
    </row>
    <row r="3797" spans="1:9" ht="23.25">
      <c r="A3797" s="5" t="s">
        <v>32</v>
      </c>
      <c r="B3797" s="5"/>
      <c r="C3797" s="5" t="s">
        <v>66</v>
      </c>
      <c r="D3797" s="5"/>
      <c r="E3797" s="1">
        <v>272163819</v>
      </c>
      <c r="F3797" s="1">
        <v>22556196</v>
      </c>
      <c r="G3797" s="1">
        <v>16415348</v>
      </c>
      <c r="H3797" s="1">
        <v>4184386</v>
      </c>
      <c r="I3797" s="1">
        <v>98602675</v>
      </c>
    </row>
    <row r="3798" spans="1:9" ht="23.25">
      <c r="A3798" s="5" t="s">
        <v>33</v>
      </c>
      <c r="B3798" s="5"/>
      <c r="C3798" s="5" t="s">
        <v>66</v>
      </c>
      <c r="D3798" s="5"/>
      <c r="E3798" s="1">
        <v>80117278</v>
      </c>
      <c r="F3798" s="1">
        <v>4904255</v>
      </c>
      <c r="G3798" s="1">
        <v>7675730</v>
      </c>
      <c r="H3798" s="1">
        <v>625868</v>
      </c>
      <c r="I3798" s="1">
        <v>31204855</v>
      </c>
    </row>
    <row r="3799" spans="1:9" ht="23.25">
      <c r="A3799" s="5" t="s">
        <v>34</v>
      </c>
      <c r="B3799" s="5"/>
      <c r="C3799" s="5" t="s">
        <v>66</v>
      </c>
      <c r="D3799" s="5"/>
      <c r="E3799" s="1">
        <v>1081365618</v>
      </c>
      <c r="F3799" s="1">
        <v>86621663</v>
      </c>
      <c r="G3799" s="1">
        <v>43758119</v>
      </c>
      <c r="H3799" s="1">
        <v>14192833</v>
      </c>
      <c r="I3799" s="1">
        <v>621351663</v>
      </c>
    </row>
    <row r="3800" spans="1:9" ht="23.25">
      <c r="A3800" s="5" t="s">
        <v>35</v>
      </c>
      <c r="B3800" s="5"/>
      <c r="C3800" s="5" t="s">
        <v>66</v>
      </c>
      <c r="D3800" s="5"/>
      <c r="E3800" s="1">
        <v>248413664</v>
      </c>
      <c r="F3800" s="1">
        <v>24805561</v>
      </c>
      <c r="G3800" s="1">
        <v>22920409</v>
      </c>
      <c r="H3800" s="1">
        <v>8620750</v>
      </c>
      <c r="I3800" s="1">
        <v>101455218</v>
      </c>
    </row>
    <row r="3801" spans="1:9" ht="23.25">
      <c r="A3801" s="5" t="s">
        <v>36</v>
      </c>
      <c r="B3801" s="5"/>
      <c r="C3801" s="5" t="s">
        <v>66</v>
      </c>
      <c r="D3801" s="5"/>
      <c r="E3801" s="1">
        <v>638653429</v>
      </c>
      <c r="F3801" s="1">
        <v>58999011</v>
      </c>
      <c r="G3801" s="1">
        <v>64264770</v>
      </c>
      <c r="H3801" s="1">
        <v>6232784</v>
      </c>
      <c r="I3801" s="1">
        <v>246709753</v>
      </c>
    </row>
    <row r="3802" spans="1:9" ht="23.25">
      <c r="A3802" s="5" t="s">
        <v>37</v>
      </c>
      <c r="B3802" s="5"/>
      <c r="C3802" s="5" t="s">
        <v>66</v>
      </c>
      <c r="D3802" s="5"/>
      <c r="E3802" s="1">
        <v>971810709</v>
      </c>
      <c r="F3802" s="1">
        <v>50584696</v>
      </c>
      <c r="G3802" s="1">
        <v>49562401</v>
      </c>
      <c r="H3802" s="1">
        <v>8632707</v>
      </c>
      <c r="I3802" s="1">
        <v>196802388</v>
      </c>
    </row>
    <row r="3803" spans="1:9" ht="23.25">
      <c r="A3803" s="5" t="s">
        <v>38</v>
      </c>
      <c r="B3803" s="5"/>
      <c r="C3803" s="5" t="s">
        <v>66</v>
      </c>
      <c r="D3803" s="5"/>
      <c r="E3803" s="1">
        <v>178321300</v>
      </c>
      <c r="F3803" s="1">
        <v>15607332</v>
      </c>
      <c r="G3803" s="1">
        <v>20363398</v>
      </c>
      <c r="H3803" s="1">
        <v>4063217</v>
      </c>
      <c r="I3803" s="1">
        <v>51747790</v>
      </c>
    </row>
    <row r="3804" spans="1:9" ht="23.25">
      <c r="A3804" s="5" t="s">
        <v>39</v>
      </c>
      <c r="B3804" s="5"/>
      <c r="C3804" s="5" t="s">
        <v>66</v>
      </c>
      <c r="D3804" s="5"/>
      <c r="E3804" s="1">
        <v>397609431</v>
      </c>
      <c r="F3804" s="1">
        <v>13615724</v>
      </c>
      <c r="G3804" s="1">
        <v>18573737</v>
      </c>
      <c r="H3804" s="1">
        <v>3035819</v>
      </c>
      <c r="I3804" s="1">
        <v>143019796</v>
      </c>
    </row>
    <row r="3805" spans="1:9" ht="23.25">
      <c r="A3805" s="5" t="s">
        <v>40</v>
      </c>
      <c r="B3805" s="5"/>
      <c r="C3805" s="5" t="s">
        <v>66</v>
      </c>
      <c r="D3805" s="5"/>
      <c r="E3805" s="1">
        <v>256291298</v>
      </c>
      <c r="F3805" s="1">
        <v>14532184</v>
      </c>
      <c r="G3805" s="1">
        <v>11881901</v>
      </c>
      <c r="H3805" s="1">
        <v>3917061</v>
      </c>
      <c r="I3805" s="1">
        <v>2272390</v>
      </c>
    </row>
    <row r="3806" spans="1:9" ht="23.25">
      <c r="A3806" s="5" t="s">
        <v>41</v>
      </c>
      <c r="B3806" s="5"/>
      <c r="C3806" s="5" t="s">
        <v>66</v>
      </c>
      <c r="D3806" s="5"/>
      <c r="E3806" s="1">
        <v>260562786</v>
      </c>
      <c r="F3806" s="1">
        <v>17534692</v>
      </c>
      <c r="G3806" s="1">
        <v>15404147</v>
      </c>
      <c r="H3806" s="1">
        <v>3105396</v>
      </c>
      <c r="I3806" s="1">
        <v>65151362</v>
      </c>
    </row>
    <row r="3807" spans="1:9" ht="23.25">
      <c r="A3807" s="5" t="s">
        <v>42</v>
      </c>
      <c r="B3807" s="5"/>
      <c r="C3807" s="5" t="s">
        <v>66</v>
      </c>
      <c r="D3807" s="5"/>
      <c r="E3807" s="1">
        <v>980594231</v>
      </c>
      <c r="F3807" s="1">
        <v>39459907</v>
      </c>
      <c r="G3807" s="1">
        <v>39049992</v>
      </c>
      <c r="H3807" s="1">
        <v>9066733</v>
      </c>
      <c r="I3807" s="1">
        <v>606077811</v>
      </c>
    </row>
    <row r="3808" spans="1:9" ht="23.25">
      <c r="A3808" s="5" t="s">
        <v>43</v>
      </c>
      <c r="B3808" s="5"/>
      <c r="C3808" s="5" t="s">
        <v>66</v>
      </c>
      <c r="D3808" s="5"/>
      <c r="E3808" s="1">
        <v>636537144</v>
      </c>
      <c r="F3808" s="1">
        <v>32192776</v>
      </c>
      <c r="G3808" s="1">
        <v>17041851</v>
      </c>
      <c r="H3808" s="1">
        <v>1010950</v>
      </c>
      <c r="I3808" s="1">
        <v>494344849</v>
      </c>
    </row>
    <row r="3809" spans="1:9" ht="23.25">
      <c r="A3809" s="5" t="s">
        <v>44</v>
      </c>
      <c r="B3809" s="5"/>
      <c r="C3809" s="5" t="s">
        <v>66</v>
      </c>
      <c r="D3809" s="5"/>
      <c r="E3809" s="1">
        <v>350269264</v>
      </c>
      <c r="F3809" s="1">
        <v>6802658</v>
      </c>
      <c r="G3809" s="1">
        <v>15123785</v>
      </c>
      <c r="H3809" s="1">
        <v>887686</v>
      </c>
      <c r="I3809" s="1">
        <v>259710376</v>
      </c>
    </row>
    <row r="3810" spans="1:9" ht="23.25">
      <c r="A3810" s="5" t="s">
        <v>45</v>
      </c>
      <c r="B3810" s="5"/>
      <c r="C3810" s="5" t="s">
        <v>66</v>
      </c>
      <c r="D3810" s="5"/>
      <c r="E3810" s="1">
        <v>486357302</v>
      </c>
      <c r="F3810" s="1">
        <v>34692817</v>
      </c>
      <c r="G3810" s="1">
        <v>10863875</v>
      </c>
      <c r="H3810" s="1">
        <v>4028702</v>
      </c>
      <c r="I3810" s="1">
        <v>260999515</v>
      </c>
    </row>
    <row r="3811" spans="1:9" ht="23.25">
      <c r="A3811" s="5" t="s">
        <v>46</v>
      </c>
      <c r="B3811" s="5"/>
      <c r="C3811" s="5" t="s">
        <v>66</v>
      </c>
      <c r="D3811" s="5"/>
      <c r="E3811" s="1">
        <v>2406026849</v>
      </c>
      <c r="F3811" s="1">
        <v>140799625</v>
      </c>
      <c r="G3811" s="1">
        <v>165471303</v>
      </c>
      <c r="H3811" s="1">
        <v>16434268</v>
      </c>
      <c r="I3811" s="1">
        <v>1436884056</v>
      </c>
    </row>
    <row r="3812" spans="1:9" ht="23.25">
      <c r="A3812" s="5" t="s">
        <v>47</v>
      </c>
      <c r="B3812" s="5"/>
      <c r="C3812" s="5" t="s">
        <v>66</v>
      </c>
      <c r="D3812" s="5"/>
      <c r="E3812" s="1">
        <v>769920637</v>
      </c>
      <c r="F3812" s="1">
        <v>27292776</v>
      </c>
      <c r="G3812" s="1">
        <v>47378563</v>
      </c>
      <c r="H3812" s="1">
        <v>3972979</v>
      </c>
      <c r="I3812" s="1">
        <v>276325631</v>
      </c>
    </row>
    <row r="3813" spans="1:9" ht="23.25">
      <c r="A3813" s="5" t="s">
        <v>48</v>
      </c>
      <c r="B3813" s="5"/>
      <c r="C3813" s="5" t="s">
        <v>66</v>
      </c>
      <c r="D3813" s="5"/>
      <c r="E3813" s="1">
        <v>30823058</v>
      </c>
      <c r="F3813" s="1">
        <v>1011009</v>
      </c>
      <c r="G3813" s="1">
        <v>84753</v>
      </c>
      <c r="H3813" s="1">
        <v>357011</v>
      </c>
      <c r="I3813" s="1">
        <v>11534209</v>
      </c>
    </row>
    <row r="3814" spans="1:9" ht="23.25">
      <c r="A3814" s="5" t="s">
        <v>49</v>
      </c>
      <c r="B3814" s="5"/>
      <c r="C3814" s="5" t="s">
        <v>66</v>
      </c>
      <c r="D3814" s="5"/>
      <c r="E3814" s="1">
        <v>36630792</v>
      </c>
      <c r="F3814" s="1">
        <v>2605333</v>
      </c>
      <c r="G3814" s="1">
        <v>1742458</v>
      </c>
      <c r="H3814" s="1">
        <v>188239</v>
      </c>
      <c r="I3814" s="1">
        <v>27729787</v>
      </c>
    </row>
    <row r="3815" spans="1:9" ht="23.25">
      <c r="A3815" s="5" t="s">
        <v>50</v>
      </c>
      <c r="B3815" s="5"/>
      <c r="C3815" s="5" t="s">
        <v>66</v>
      </c>
      <c r="D3815" s="5"/>
      <c r="E3815" s="1">
        <v>121378485</v>
      </c>
      <c r="F3815" s="1">
        <v>14504417</v>
      </c>
      <c r="G3815" s="1">
        <v>17084044</v>
      </c>
      <c r="H3815" s="1">
        <v>1024592</v>
      </c>
      <c r="I3815" s="1">
        <v>19392921</v>
      </c>
    </row>
    <row r="3816" spans="1:9" ht="23.25">
      <c r="A3816" s="5" t="s">
        <v>51</v>
      </c>
      <c r="B3816" s="5"/>
      <c r="C3816" s="5" t="s">
        <v>66</v>
      </c>
      <c r="D3816" s="5"/>
      <c r="E3816" s="1">
        <v>681715632</v>
      </c>
      <c r="F3816" s="1">
        <v>39979398</v>
      </c>
      <c r="G3816" s="1">
        <v>71790162</v>
      </c>
      <c r="H3816" s="1">
        <v>2867190</v>
      </c>
      <c r="I3816" s="1">
        <v>240558486</v>
      </c>
    </row>
    <row r="3817" spans="1:9" ht="23.25">
      <c r="A3817" s="5" t="s">
        <v>52</v>
      </c>
      <c r="B3817" s="5"/>
      <c r="C3817" s="5" t="s">
        <v>66</v>
      </c>
      <c r="D3817" s="5"/>
      <c r="E3817" s="1">
        <v>1281587219</v>
      </c>
      <c r="F3817" s="1">
        <v>4377053</v>
      </c>
      <c r="G3817" s="1">
        <v>6790037</v>
      </c>
      <c r="H3817" s="1">
        <v>975211</v>
      </c>
      <c r="I3817" s="1">
        <v>142248466</v>
      </c>
    </row>
    <row r="3818" spans="1:9" ht="23.25">
      <c r="A3818" s="5" t="s">
        <v>53</v>
      </c>
      <c r="B3818" s="5"/>
      <c r="C3818" s="5" t="s">
        <v>66</v>
      </c>
      <c r="D3818" s="5"/>
      <c r="E3818" s="1">
        <v>26932651</v>
      </c>
      <c r="F3818" s="1">
        <v>0</v>
      </c>
      <c r="G3818" s="1">
        <v>0</v>
      </c>
      <c r="H3818" s="1">
        <v>0</v>
      </c>
      <c r="I3818" s="1">
        <v>0</v>
      </c>
    </row>
    <row r="3819" spans="1:9" ht="23.25">
      <c r="A3819" s="5" t="s">
        <v>54</v>
      </c>
      <c r="B3819" s="5"/>
      <c r="C3819" s="5" t="s">
        <v>66</v>
      </c>
      <c r="D3819" s="5"/>
      <c r="E3819" s="1">
        <v>29992568</v>
      </c>
      <c r="F3819" s="1">
        <v>0</v>
      </c>
      <c r="G3819" s="1">
        <v>0</v>
      </c>
      <c r="H3819" s="1">
        <v>0</v>
      </c>
      <c r="I3819" s="1">
        <v>0</v>
      </c>
    </row>
    <row r="3820" spans="1:9" ht="23.25">
      <c r="A3820" s="5" t="s">
        <v>55</v>
      </c>
      <c r="B3820" s="5"/>
      <c r="C3820" s="5" t="s">
        <v>66</v>
      </c>
      <c r="D3820" s="5"/>
      <c r="E3820" s="1">
        <v>0</v>
      </c>
      <c r="F3820" s="1">
        <v>0</v>
      </c>
      <c r="G3820" s="1">
        <v>0</v>
      </c>
      <c r="H3820" s="1">
        <v>0</v>
      </c>
      <c r="I3820" s="1">
        <v>0</v>
      </c>
    </row>
    <row r="3821" spans="1:9" ht="23.25">
      <c r="A3821" s="5" t="s">
        <v>56</v>
      </c>
      <c r="B3821" s="5"/>
      <c r="C3821" s="5" t="s">
        <v>66</v>
      </c>
      <c r="D3821" s="5"/>
      <c r="E3821" s="1">
        <v>0</v>
      </c>
      <c r="F3821" s="1">
        <v>-838109073</v>
      </c>
      <c r="G3821" s="1">
        <v>-783871357</v>
      </c>
      <c r="H3821" s="1">
        <v>0</v>
      </c>
      <c r="I3821" s="1">
        <v>0</v>
      </c>
    </row>
    <row r="3822" spans="1:9" ht="23.25">
      <c r="A3822" s="5" t="s">
        <v>57</v>
      </c>
      <c r="B3822" s="5"/>
      <c r="C3822" s="5" t="s">
        <v>66</v>
      </c>
      <c r="D3822" s="5"/>
      <c r="E3822" s="1">
        <v>171964375</v>
      </c>
      <c r="F3822" s="1">
        <v>0</v>
      </c>
      <c r="G3822" s="1">
        <v>0</v>
      </c>
      <c r="H3822" s="1">
        <v>0</v>
      </c>
      <c r="I3822" s="1">
        <v>0</v>
      </c>
    </row>
    <row r="3823" spans="1:9" ht="23.25">
      <c r="A3823" s="5" t="s">
        <v>58</v>
      </c>
      <c r="B3823" s="5"/>
      <c r="C3823" s="5" t="s">
        <v>66</v>
      </c>
      <c r="D3823" s="5"/>
      <c r="E3823" s="1">
        <v>436537256</v>
      </c>
      <c r="F3823" s="1">
        <v>0</v>
      </c>
      <c r="G3823" s="1">
        <v>0</v>
      </c>
      <c r="H3823" s="1">
        <v>-157445605</v>
      </c>
      <c r="I3823" s="1">
        <v>42071811</v>
      </c>
    </row>
    <row r="3824" spans="1:9" ht="23.25">
      <c r="A3824" s="5" t="s">
        <v>59</v>
      </c>
      <c r="B3824" s="5"/>
      <c r="C3824" s="5" t="s">
        <v>66</v>
      </c>
      <c r="D3824" s="5"/>
      <c r="E3824" s="1">
        <v>315509401</v>
      </c>
      <c r="F3824" s="1">
        <v>0</v>
      </c>
      <c r="G3824" s="1">
        <v>0</v>
      </c>
      <c r="H3824" s="1">
        <v>0</v>
      </c>
      <c r="I3824" s="1">
        <v>0</v>
      </c>
    </row>
    <row r="3825" spans="1:9" ht="23.25">
      <c r="A3825" s="5" t="s">
        <v>60</v>
      </c>
      <c r="B3825" s="5"/>
      <c r="C3825" s="5" t="s">
        <v>66</v>
      </c>
      <c r="D3825" s="5"/>
      <c r="E3825" s="1">
        <v>1040098738</v>
      </c>
      <c r="F3825" s="1">
        <v>0</v>
      </c>
      <c r="G3825" s="1">
        <v>0</v>
      </c>
      <c r="H3825" s="1">
        <v>0</v>
      </c>
      <c r="I3825" s="1">
        <v>14494646</v>
      </c>
    </row>
    <row r="3826" spans="1:9" ht="23.25">
      <c r="A3826" s="5" t="s">
        <v>61</v>
      </c>
      <c r="B3826" s="5"/>
      <c r="C3826" s="5" t="s">
        <v>66</v>
      </c>
      <c r="D3826" s="5"/>
      <c r="E3826" s="1">
        <v>99509530</v>
      </c>
      <c r="F3826" s="1">
        <v>0</v>
      </c>
      <c r="G3826" s="1">
        <v>0</v>
      </c>
      <c r="H3826" s="1">
        <v>0</v>
      </c>
      <c r="I3826" s="1">
        <v>0</v>
      </c>
    </row>
    <row r="3827" spans="1:9" ht="23.25">
      <c r="A3827" s="5" t="s">
        <v>62</v>
      </c>
      <c r="B3827" s="5"/>
      <c r="C3827" s="5" t="s">
        <v>66</v>
      </c>
      <c r="D3827" s="5"/>
      <c r="E3827" s="1">
        <v>1050683321</v>
      </c>
      <c r="F3827" s="1">
        <v>0</v>
      </c>
      <c r="G3827" s="1">
        <v>0</v>
      </c>
      <c r="H3827" s="1">
        <v>0</v>
      </c>
      <c r="I3827" s="1">
        <v>189195153</v>
      </c>
    </row>
    <row r="3828" spans="1:9" ht="23.25">
      <c r="A3828" s="5" t="s">
        <v>63</v>
      </c>
      <c r="B3828" s="5"/>
      <c r="C3828" s="5" t="s">
        <v>66</v>
      </c>
      <c r="D3828" s="5"/>
      <c r="E3828" s="1">
        <v>67192814</v>
      </c>
      <c r="F3828" s="1">
        <v>0</v>
      </c>
      <c r="G3828" s="1">
        <v>0</v>
      </c>
      <c r="H3828" s="1">
        <v>0</v>
      </c>
      <c r="I3828" s="1">
        <v>0</v>
      </c>
    </row>
    <row r="3829" spans="1:9" ht="23.25">
      <c r="A3829" s="5" t="s">
        <v>64</v>
      </c>
      <c r="B3829" s="5"/>
      <c r="C3829" s="5" t="s">
        <v>66</v>
      </c>
      <c r="D3829" s="5"/>
      <c r="E3829" s="1">
        <v>256649985</v>
      </c>
      <c r="F3829" s="1">
        <v>0</v>
      </c>
      <c r="G3829" s="1">
        <v>0</v>
      </c>
      <c r="H3829" s="1">
        <v>0</v>
      </c>
      <c r="I3829" s="1">
        <v>0</v>
      </c>
    </row>
    <row r="3830" spans="1:9" ht="23.25">
      <c r="A3830" s="5" t="s">
        <v>65</v>
      </c>
      <c r="B3830" s="5"/>
      <c r="C3830" s="5" t="s">
        <v>66</v>
      </c>
      <c r="D3830" s="5"/>
      <c r="E3830" s="1">
        <v>154602701</v>
      </c>
      <c r="F3830" s="1">
        <v>0</v>
      </c>
      <c r="G3830" s="1">
        <v>0</v>
      </c>
      <c r="H3830" s="1">
        <v>0</v>
      </c>
      <c r="I3830" s="1">
        <v>15257759</v>
      </c>
    </row>
    <row r="3831" spans="1:9" ht="23.25">
      <c r="A3831" s="5" t="s">
        <v>66</v>
      </c>
      <c r="B3831" s="5"/>
      <c r="C3831" s="5" t="s">
        <v>66</v>
      </c>
      <c r="D3831" s="5"/>
      <c r="E3831" s="1">
        <v>20564218402</v>
      </c>
      <c r="F3831" s="1">
        <v>0</v>
      </c>
      <c r="G3831" s="1">
        <v>0</v>
      </c>
      <c r="H3831" s="1">
        <v>0</v>
      </c>
      <c r="I3831" s="1">
        <v>7159938475</v>
      </c>
    </row>
    <row r="3832" spans="1:9" ht="23.25">
      <c r="A3832" s="5" t="s">
        <v>67</v>
      </c>
      <c r="B3832" s="5"/>
      <c r="C3832" s="5" t="s">
        <v>66</v>
      </c>
      <c r="D3832" s="5"/>
      <c r="E3832" s="1">
        <v>5402721965</v>
      </c>
      <c r="F3832" s="1">
        <v>0</v>
      </c>
      <c r="G3832" s="1">
        <v>0</v>
      </c>
      <c r="H3832" s="1">
        <v>0</v>
      </c>
      <c r="I3832" s="1">
        <v>0</v>
      </c>
    </row>
    <row r="3833" spans="1:9" ht="23.25">
      <c r="A3833" s="5" t="s">
        <v>68</v>
      </c>
      <c r="B3833" s="5"/>
      <c r="C3833" s="5" t="s">
        <v>66</v>
      </c>
      <c r="D3833" s="5"/>
      <c r="E3833" s="1">
        <v>6023813837</v>
      </c>
      <c r="F3833" s="1">
        <v>0</v>
      </c>
      <c r="G3833" s="1">
        <v>0</v>
      </c>
      <c r="H3833" s="1">
        <v>0</v>
      </c>
      <c r="I3833" s="1">
        <v>0</v>
      </c>
    </row>
    <row r="3834" spans="1:9" ht="23.25">
      <c r="A3834" s="5" t="s">
        <v>69</v>
      </c>
      <c r="B3834" s="5"/>
      <c r="C3834" s="5" t="s">
        <v>66</v>
      </c>
      <c r="D3834" s="5"/>
      <c r="E3834" s="1">
        <v>3040598000</v>
      </c>
      <c r="F3834" s="1">
        <v>0</v>
      </c>
      <c r="G3834" s="1">
        <v>0</v>
      </c>
      <c r="H3834" s="1">
        <v>0</v>
      </c>
      <c r="I3834" s="1">
        <v>0</v>
      </c>
    </row>
    <row r="3835" spans="1:9" ht="23.25">
      <c r="A3835" s="5" t="s">
        <v>70</v>
      </c>
      <c r="B3835" s="5"/>
      <c r="C3835" s="5" t="s">
        <v>66</v>
      </c>
      <c r="D3835" s="5"/>
      <c r="E3835" s="1">
        <v>1269949000</v>
      </c>
      <c r="F3835" s="1">
        <v>0</v>
      </c>
      <c r="G3835" s="1">
        <v>0</v>
      </c>
      <c r="H3835" s="1">
        <v>0</v>
      </c>
      <c r="I3835" s="1">
        <v>0</v>
      </c>
    </row>
    <row r="3836" spans="1:9" ht="23.25">
      <c r="A3836" s="5" t="s">
        <v>71</v>
      </c>
      <c r="B3836" s="5"/>
      <c r="C3836" s="5" t="s">
        <v>66</v>
      </c>
      <c r="D3836" s="5"/>
      <c r="E3836" s="1">
        <v>15737082802</v>
      </c>
      <c r="F3836" s="1">
        <v>0</v>
      </c>
      <c r="G3836" s="1">
        <v>0</v>
      </c>
      <c r="H3836" s="1">
        <v>0</v>
      </c>
      <c r="I3836" s="1">
        <v>0</v>
      </c>
    </row>
    <row r="3837" spans="1:9" ht="23.25">
      <c r="A3837" s="5" t="s">
        <v>72</v>
      </c>
      <c r="B3837" s="5"/>
      <c r="C3837" s="5" t="s">
        <v>66</v>
      </c>
      <c r="D3837" s="5"/>
      <c r="E3837" s="1">
        <v>36301301204</v>
      </c>
      <c r="F3837" s="1">
        <v>0</v>
      </c>
      <c r="G3837" s="1">
        <v>0</v>
      </c>
      <c r="H3837" s="1">
        <v>0</v>
      </c>
      <c r="I3837" s="1">
        <v>0</v>
      </c>
    </row>
    <row r="3838" spans="1:9" ht="23.25">
      <c r="A3838" s="5" t="s">
        <v>8</v>
      </c>
      <c r="B3838" s="5"/>
      <c r="C3838" s="5" t="s">
        <v>73</v>
      </c>
      <c r="D3838" s="5"/>
      <c r="E3838" s="1">
        <v>200503</v>
      </c>
      <c r="F3838" s="1">
        <v>38592</v>
      </c>
      <c r="G3838" s="1">
        <v>330</v>
      </c>
      <c r="H3838" s="1">
        <v>3602</v>
      </c>
      <c r="I3838" s="1">
        <v>0</v>
      </c>
    </row>
    <row r="3839" spans="1:9" ht="23.25">
      <c r="A3839" s="5" t="s">
        <v>9</v>
      </c>
      <c r="B3839" s="5"/>
      <c r="C3839" s="5" t="s">
        <v>73</v>
      </c>
      <c r="D3839" s="5"/>
      <c r="E3839" s="1">
        <v>566358</v>
      </c>
      <c r="F3839" s="1">
        <v>20228</v>
      </c>
      <c r="G3839" s="1">
        <v>2200</v>
      </c>
      <c r="H3839" s="1">
        <v>5000</v>
      </c>
      <c r="I3839" s="1">
        <v>116384</v>
      </c>
    </row>
    <row r="3840" spans="1:9" ht="23.25">
      <c r="A3840" s="5" t="s">
        <v>10</v>
      </c>
      <c r="B3840" s="5"/>
      <c r="C3840" s="5" t="s">
        <v>73</v>
      </c>
      <c r="D3840" s="5"/>
      <c r="E3840" s="1">
        <v>522579</v>
      </c>
      <c r="F3840" s="1">
        <v>11805</v>
      </c>
      <c r="G3840" s="1">
        <v>1268</v>
      </c>
      <c r="H3840" s="1">
        <v>3355</v>
      </c>
      <c r="I3840" s="1">
        <v>0</v>
      </c>
    </row>
    <row r="3841" spans="1:9" ht="23.25">
      <c r="A3841" s="5" t="s">
        <v>11</v>
      </c>
      <c r="B3841" s="5"/>
      <c r="C3841" s="5" t="s">
        <v>73</v>
      </c>
      <c r="D3841" s="5"/>
      <c r="E3841" s="1">
        <v>1221069</v>
      </c>
      <c r="F3841" s="1">
        <v>57646</v>
      </c>
      <c r="G3841" s="1">
        <v>51877</v>
      </c>
      <c r="H3841" s="1">
        <v>2364</v>
      </c>
      <c r="I3841" s="1">
        <v>992311</v>
      </c>
    </row>
    <row r="3842" spans="1:9" ht="23.25">
      <c r="A3842" s="5" t="s">
        <v>12</v>
      </c>
      <c r="B3842" s="5"/>
      <c r="C3842" s="5" t="s">
        <v>73</v>
      </c>
      <c r="D3842" s="5"/>
      <c r="E3842" s="1">
        <v>586918761</v>
      </c>
      <c r="F3842" s="1">
        <v>76456761</v>
      </c>
      <c r="G3842" s="1">
        <v>118377622</v>
      </c>
      <c r="H3842" s="1">
        <v>10387835</v>
      </c>
      <c r="I3842" s="1">
        <v>42902095</v>
      </c>
    </row>
    <row r="3843" spans="1:9" ht="23.25">
      <c r="A3843" s="5" t="s">
        <v>13</v>
      </c>
      <c r="B3843" s="5"/>
      <c r="C3843" s="5" t="s">
        <v>73</v>
      </c>
      <c r="D3843" s="5"/>
      <c r="E3843" s="1">
        <v>7039</v>
      </c>
      <c r="F3843" s="1">
        <v>163</v>
      </c>
      <c r="G3843" s="1">
        <v>1535</v>
      </c>
      <c r="H3843" s="1">
        <v>171</v>
      </c>
      <c r="I3843" s="1">
        <v>0</v>
      </c>
    </row>
    <row r="3844" spans="1:9" ht="23.25">
      <c r="A3844" s="5" t="s">
        <v>14</v>
      </c>
      <c r="B3844" s="5"/>
      <c r="C3844" s="5" t="s">
        <v>73</v>
      </c>
      <c r="D3844" s="5"/>
      <c r="E3844" s="1">
        <v>0</v>
      </c>
      <c r="F3844" s="1">
        <v>0</v>
      </c>
      <c r="G3844" s="1">
        <v>0</v>
      </c>
      <c r="H3844" s="1">
        <v>0</v>
      </c>
      <c r="I3844" s="1">
        <v>0</v>
      </c>
    </row>
    <row r="3845" spans="1:9" ht="23.25">
      <c r="A3845" s="5" t="s">
        <v>15</v>
      </c>
      <c r="B3845" s="5"/>
      <c r="C3845" s="5" t="s">
        <v>73</v>
      </c>
      <c r="D3845" s="5"/>
      <c r="E3845" s="1">
        <v>3944695</v>
      </c>
      <c r="F3845" s="1">
        <v>517052</v>
      </c>
      <c r="G3845" s="1">
        <v>559488</v>
      </c>
      <c r="H3845" s="1">
        <v>59728</v>
      </c>
      <c r="I3845" s="1">
        <v>1459477</v>
      </c>
    </row>
    <row r="3846" spans="1:9" ht="23.25">
      <c r="A3846" s="5" t="s">
        <v>16</v>
      </c>
      <c r="B3846" s="5"/>
      <c r="C3846" s="5" t="s">
        <v>73</v>
      </c>
      <c r="D3846" s="5"/>
      <c r="E3846" s="1">
        <v>75750243</v>
      </c>
      <c r="F3846" s="1">
        <v>3375965</v>
      </c>
      <c r="G3846" s="1">
        <v>3572968</v>
      </c>
      <c r="H3846" s="1">
        <v>561168</v>
      </c>
      <c r="I3846" s="1">
        <v>171114</v>
      </c>
    </row>
    <row r="3847" spans="1:9" ht="23.25">
      <c r="A3847" s="5" t="s">
        <v>17</v>
      </c>
      <c r="B3847" s="5"/>
      <c r="C3847" s="5" t="s">
        <v>73</v>
      </c>
      <c r="D3847" s="5"/>
      <c r="E3847" s="1">
        <v>10481989</v>
      </c>
      <c r="F3847" s="1">
        <v>932016</v>
      </c>
      <c r="G3847" s="1">
        <v>1228522</v>
      </c>
      <c r="H3847" s="1">
        <v>62021</v>
      </c>
      <c r="I3847" s="1">
        <v>503581</v>
      </c>
    </row>
    <row r="3848" spans="1:9" ht="23.25">
      <c r="A3848" s="5" t="s">
        <v>18</v>
      </c>
      <c r="B3848" s="5"/>
      <c r="C3848" s="5" t="s">
        <v>73</v>
      </c>
      <c r="D3848" s="5"/>
      <c r="E3848" s="1">
        <v>107290773</v>
      </c>
      <c r="F3848" s="1">
        <v>13183457</v>
      </c>
      <c r="G3848" s="1">
        <v>15148947</v>
      </c>
      <c r="H3848" s="1">
        <v>2176019</v>
      </c>
      <c r="I3848" s="1">
        <v>5919092</v>
      </c>
    </row>
    <row r="3849" spans="1:9" ht="23.25">
      <c r="A3849" s="5" t="s">
        <v>19</v>
      </c>
      <c r="B3849" s="5"/>
      <c r="C3849" s="5" t="s">
        <v>73</v>
      </c>
      <c r="D3849" s="5"/>
      <c r="E3849" s="1">
        <v>0</v>
      </c>
      <c r="F3849" s="1">
        <v>0</v>
      </c>
      <c r="G3849" s="1">
        <v>0</v>
      </c>
      <c r="H3849" s="1">
        <v>0</v>
      </c>
      <c r="I3849" s="1">
        <v>0</v>
      </c>
    </row>
    <row r="3850" spans="1:9" ht="23.25">
      <c r="A3850" s="5" t="s">
        <v>20</v>
      </c>
      <c r="B3850" s="5"/>
      <c r="C3850" s="5" t="s">
        <v>73</v>
      </c>
      <c r="D3850" s="5"/>
      <c r="E3850" s="1">
        <v>0</v>
      </c>
      <c r="F3850" s="1">
        <v>0</v>
      </c>
      <c r="G3850" s="1">
        <v>0</v>
      </c>
      <c r="H3850" s="1">
        <v>0</v>
      </c>
      <c r="I3850" s="1">
        <v>0</v>
      </c>
    </row>
    <row r="3851" spans="1:9" ht="23.25">
      <c r="A3851" s="5" t="s">
        <v>21</v>
      </c>
      <c r="B3851" s="5"/>
      <c r="C3851" s="5" t="s">
        <v>73</v>
      </c>
      <c r="D3851" s="5"/>
      <c r="E3851" s="1">
        <v>0</v>
      </c>
      <c r="F3851" s="1">
        <v>0</v>
      </c>
      <c r="G3851" s="1">
        <v>0</v>
      </c>
      <c r="H3851" s="1">
        <v>0</v>
      </c>
      <c r="I3851" s="1">
        <v>0</v>
      </c>
    </row>
    <row r="3852" spans="1:9" ht="23.25">
      <c r="A3852" s="5" t="s">
        <v>22</v>
      </c>
      <c r="B3852" s="5"/>
      <c r="C3852" s="5" t="s">
        <v>73</v>
      </c>
      <c r="D3852" s="5"/>
      <c r="E3852" s="1">
        <v>324813930</v>
      </c>
      <c r="F3852" s="1">
        <v>8928250</v>
      </c>
      <c r="G3852" s="1">
        <v>15396846</v>
      </c>
      <c r="H3852" s="1">
        <v>1032048</v>
      </c>
      <c r="I3852" s="1">
        <v>170979</v>
      </c>
    </row>
    <row r="3853" spans="1:9" ht="23.25">
      <c r="A3853" s="5" t="s">
        <v>23</v>
      </c>
      <c r="B3853" s="5"/>
      <c r="C3853" s="5" t="s">
        <v>73</v>
      </c>
      <c r="D3853" s="5"/>
      <c r="E3853" s="1">
        <v>293033886</v>
      </c>
      <c r="F3853" s="1">
        <v>17096749</v>
      </c>
      <c r="G3853" s="1">
        <v>22197841</v>
      </c>
      <c r="H3853" s="1">
        <v>3238487</v>
      </c>
      <c r="I3853" s="1">
        <v>85660697</v>
      </c>
    </row>
    <row r="3854" spans="1:9" ht="23.25">
      <c r="A3854" s="5" t="s">
        <v>24</v>
      </c>
      <c r="B3854" s="5"/>
      <c r="C3854" s="5" t="s">
        <v>73</v>
      </c>
      <c r="D3854" s="5"/>
      <c r="E3854" s="1">
        <v>333340695</v>
      </c>
      <c r="F3854" s="1">
        <v>19764131</v>
      </c>
      <c r="G3854" s="1">
        <v>35413523</v>
      </c>
      <c r="H3854" s="1">
        <v>6612908</v>
      </c>
      <c r="I3854" s="1">
        <v>1880023</v>
      </c>
    </row>
    <row r="3855" spans="1:9" ht="23.25">
      <c r="A3855" s="5" t="s">
        <v>25</v>
      </c>
      <c r="B3855" s="5"/>
      <c r="C3855" s="5" t="s">
        <v>73</v>
      </c>
      <c r="D3855" s="5"/>
      <c r="E3855" s="1">
        <v>30347812</v>
      </c>
      <c r="F3855" s="1">
        <v>1164839</v>
      </c>
      <c r="G3855" s="1">
        <v>1261150</v>
      </c>
      <c r="H3855" s="1">
        <v>399179</v>
      </c>
      <c r="I3855" s="1">
        <v>1339243</v>
      </c>
    </row>
    <row r="3856" spans="1:9" ht="23.25">
      <c r="A3856" s="5" t="s">
        <v>26</v>
      </c>
      <c r="B3856" s="5"/>
      <c r="C3856" s="5" t="s">
        <v>73</v>
      </c>
      <c r="D3856" s="5"/>
      <c r="E3856" s="1">
        <v>169586150</v>
      </c>
      <c r="F3856" s="1">
        <v>10179494</v>
      </c>
      <c r="G3856" s="1">
        <v>13674055</v>
      </c>
      <c r="H3856" s="1">
        <v>2760388</v>
      </c>
      <c r="I3856" s="1">
        <v>34030606</v>
      </c>
    </row>
    <row r="3857" spans="1:9" ht="23.25">
      <c r="A3857" s="5" t="s">
        <v>27</v>
      </c>
      <c r="B3857" s="5"/>
      <c r="C3857" s="5" t="s">
        <v>73</v>
      </c>
      <c r="D3857" s="5"/>
      <c r="E3857" s="1">
        <v>4801466</v>
      </c>
      <c r="F3857" s="1">
        <v>466253</v>
      </c>
      <c r="G3857" s="1">
        <v>443357</v>
      </c>
      <c r="H3857" s="1">
        <v>48926</v>
      </c>
      <c r="I3857" s="1">
        <v>2178321</v>
      </c>
    </row>
    <row r="3858" spans="1:9" ht="23.25">
      <c r="A3858" s="5" t="s">
        <v>28</v>
      </c>
      <c r="B3858" s="5"/>
      <c r="C3858" s="5" t="s">
        <v>73</v>
      </c>
      <c r="D3858" s="5"/>
      <c r="E3858" s="1">
        <v>290107001</v>
      </c>
      <c r="F3858" s="1">
        <v>18906008</v>
      </c>
      <c r="G3858" s="1">
        <v>26905483</v>
      </c>
      <c r="H3858" s="1">
        <v>4141755</v>
      </c>
      <c r="I3858" s="1">
        <v>11366446</v>
      </c>
    </row>
    <row r="3859" spans="1:9" ht="23.25">
      <c r="A3859" s="5" t="s">
        <v>29</v>
      </c>
      <c r="B3859" s="5"/>
      <c r="C3859" s="5" t="s">
        <v>73</v>
      </c>
      <c r="D3859" s="5"/>
      <c r="E3859" s="1">
        <v>68050398</v>
      </c>
      <c r="F3859" s="1">
        <v>3781048</v>
      </c>
      <c r="G3859" s="1">
        <v>4955670</v>
      </c>
      <c r="H3859" s="1">
        <v>580825</v>
      </c>
      <c r="I3859" s="1">
        <v>17804969</v>
      </c>
    </row>
    <row r="3860" spans="1:9" ht="23.25">
      <c r="A3860" s="5" t="s">
        <v>30</v>
      </c>
      <c r="B3860" s="5"/>
      <c r="C3860" s="5" t="s">
        <v>73</v>
      </c>
      <c r="D3860" s="5"/>
      <c r="E3860" s="1">
        <v>2128333</v>
      </c>
      <c r="F3860" s="1">
        <v>111415</v>
      </c>
      <c r="G3860" s="1">
        <v>121612</v>
      </c>
      <c r="H3860" s="1">
        <v>29952</v>
      </c>
      <c r="I3860" s="1">
        <v>478484</v>
      </c>
    </row>
    <row r="3861" spans="1:9" ht="23.25">
      <c r="A3861" s="5" t="s">
        <v>31</v>
      </c>
      <c r="B3861" s="5"/>
      <c r="C3861" s="5" t="s">
        <v>73</v>
      </c>
      <c r="D3861" s="5"/>
      <c r="E3861" s="1">
        <v>241844358</v>
      </c>
      <c r="F3861" s="1">
        <v>15687758</v>
      </c>
      <c r="G3861" s="1">
        <v>25415302</v>
      </c>
      <c r="H3861" s="1">
        <v>1189452</v>
      </c>
      <c r="I3861" s="1">
        <v>72925873</v>
      </c>
    </row>
    <row r="3862" spans="1:9" ht="23.25">
      <c r="A3862" s="5" t="s">
        <v>32</v>
      </c>
      <c r="B3862" s="5"/>
      <c r="C3862" s="5" t="s">
        <v>73</v>
      </c>
      <c r="D3862" s="5"/>
      <c r="E3862" s="1">
        <v>20243584</v>
      </c>
      <c r="F3862" s="1">
        <v>1251712</v>
      </c>
      <c r="G3862" s="1">
        <v>866094</v>
      </c>
      <c r="H3862" s="1">
        <v>149472</v>
      </c>
      <c r="I3862" s="1">
        <v>7990823</v>
      </c>
    </row>
    <row r="3863" spans="1:9" ht="23.25">
      <c r="A3863" s="5" t="s">
        <v>33</v>
      </c>
      <c r="B3863" s="5"/>
      <c r="C3863" s="5" t="s">
        <v>73</v>
      </c>
      <c r="D3863" s="5"/>
      <c r="E3863" s="1">
        <v>48180928</v>
      </c>
      <c r="F3863" s="1">
        <v>2551020</v>
      </c>
      <c r="G3863" s="1">
        <v>4535061</v>
      </c>
      <c r="H3863" s="1">
        <v>418897</v>
      </c>
      <c r="I3863" s="1">
        <v>26825963</v>
      </c>
    </row>
    <row r="3864" spans="1:9" ht="23.25">
      <c r="A3864" s="5" t="s">
        <v>34</v>
      </c>
      <c r="B3864" s="5"/>
      <c r="C3864" s="5" t="s">
        <v>73</v>
      </c>
      <c r="D3864" s="5"/>
      <c r="E3864" s="1">
        <v>0</v>
      </c>
      <c r="F3864" s="1">
        <v>0</v>
      </c>
      <c r="G3864" s="1">
        <v>0</v>
      </c>
      <c r="H3864" s="1">
        <v>0</v>
      </c>
      <c r="I3864" s="1">
        <v>0</v>
      </c>
    </row>
    <row r="3865" spans="1:9" ht="23.25">
      <c r="A3865" s="5" t="s">
        <v>35</v>
      </c>
      <c r="B3865" s="5"/>
      <c r="C3865" s="5" t="s">
        <v>73</v>
      </c>
      <c r="D3865" s="5"/>
      <c r="E3865" s="1">
        <v>3053896</v>
      </c>
      <c r="F3865" s="1">
        <v>354024</v>
      </c>
      <c r="G3865" s="1">
        <v>347000</v>
      </c>
      <c r="H3865" s="1">
        <v>109464</v>
      </c>
      <c r="I3865" s="1">
        <v>1451241</v>
      </c>
    </row>
    <row r="3866" spans="1:9" ht="23.25">
      <c r="A3866" s="5" t="s">
        <v>36</v>
      </c>
      <c r="B3866" s="5"/>
      <c r="C3866" s="5" t="s">
        <v>73</v>
      </c>
      <c r="D3866" s="5"/>
      <c r="E3866" s="1">
        <v>318333132</v>
      </c>
      <c r="F3866" s="1">
        <v>40366892</v>
      </c>
      <c r="G3866" s="1">
        <v>53572575</v>
      </c>
      <c r="H3866" s="1">
        <v>3214065</v>
      </c>
      <c r="I3866" s="1">
        <v>126623092</v>
      </c>
    </row>
    <row r="3867" spans="1:9" ht="23.25">
      <c r="A3867" s="5" t="s">
        <v>37</v>
      </c>
      <c r="B3867" s="5"/>
      <c r="C3867" s="5" t="s">
        <v>73</v>
      </c>
      <c r="D3867" s="5"/>
      <c r="E3867" s="1">
        <v>319772016</v>
      </c>
      <c r="F3867" s="1">
        <v>24323206</v>
      </c>
      <c r="G3867" s="1">
        <v>29978189</v>
      </c>
      <c r="H3867" s="1">
        <v>2986099</v>
      </c>
      <c r="I3867" s="1">
        <v>60637900</v>
      </c>
    </row>
    <row r="3868" spans="1:9" ht="23.25">
      <c r="A3868" s="5" t="s">
        <v>38</v>
      </c>
      <c r="B3868" s="5"/>
      <c r="C3868" s="5" t="s">
        <v>73</v>
      </c>
      <c r="D3868" s="5"/>
      <c r="E3868" s="1">
        <v>24108931</v>
      </c>
      <c r="F3868" s="1">
        <v>2313324</v>
      </c>
      <c r="G3868" s="1">
        <v>5710029</v>
      </c>
      <c r="H3868" s="1">
        <v>362878</v>
      </c>
      <c r="I3868" s="1">
        <v>8176299</v>
      </c>
    </row>
    <row r="3869" spans="1:9" ht="23.25">
      <c r="A3869" s="5" t="s">
        <v>39</v>
      </c>
      <c r="B3869" s="5"/>
      <c r="C3869" s="5" t="s">
        <v>73</v>
      </c>
      <c r="D3869" s="5"/>
      <c r="E3869" s="1">
        <v>18815656</v>
      </c>
      <c r="F3869" s="1">
        <v>699299</v>
      </c>
      <c r="G3869" s="1">
        <v>1043034</v>
      </c>
      <c r="H3869" s="1">
        <v>140364</v>
      </c>
      <c r="I3869" s="1">
        <v>7217818</v>
      </c>
    </row>
    <row r="3870" spans="1:9" ht="23.25">
      <c r="A3870" s="5" t="s">
        <v>40</v>
      </c>
      <c r="B3870" s="5"/>
      <c r="C3870" s="5" t="s">
        <v>73</v>
      </c>
      <c r="D3870" s="5"/>
      <c r="E3870" s="1">
        <v>209652</v>
      </c>
      <c r="F3870" s="1">
        <v>14223</v>
      </c>
      <c r="G3870" s="1">
        <v>8235</v>
      </c>
      <c r="H3870" s="1">
        <v>3272</v>
      </c>
      <c r="I3870" s="1">
        <v>0</v>
      </c>
    </row>
    <row r="3871" spans="1:9" ht="23.25">
      <c r="A3871" s="5" t="s">
        <v>41</v>
      </c>
      <c r="B3871" s="5"/>
      <c r="C3871" s="5" t="s">
        <v>73</v>
      </c>
      <c r="D3871" s="5"/>
      <c r="E3871" s="1">
        <v>35421934</v>
      </c>
      <c r="F3871" s="1">
        <v>2156383</v>
      </c>
      <c r="G3871" s="1">
        <v>2267685</v>
      </c>
      <c r="H3871" s="1">
        <v>527163</v>
      </c>
      <c r="I3871" s="1">
        <v>2067327</v>
      </c>
    </row>
    <row r="3872" spans="1:9" ht="23.25">
      <c r="A3872" s="5" t="s">
        <v>42</v>
      </c>
      <c r="B3872" s="5"/>
      <c r="C3872" s="5" t="s">
        <v>73</v>
      </c>
      <c r="D3872" s="5"/>
      <c r="E3872" s="1">
        <v>0</v>
      </c>
      <c r="F3872" s="1">
        <v>0</v>
      </c>
      <c r="G3872" s="1">
        <v>0</v>
      </c>
      <c r="H3872" s="1">
        <v>0</v>
      </c>
      <c r="I3872" s="1">
        <v>0</v>
      </c>
    </row>
    <row r="3873" spans="1:9" ht="23.25">
      <c r="A3873" s="5" t="s">
        <v>43</v>
      </c>
      <c r="B3873" s="5"/>
      <c r="C3873" s="5" t="s">
        <v>73</v>
      </c>
      <c r="D3873" s="5"/>
      <c r="E3873" s="1">
        <v>0</v>
      </c>
      <c r="F3873" s="1">
        <v>0</v>
      </c>
      <c r="G3873" s="1">
        <v>0</v>
      </c>
      <c r="H3873" s="1">
        <v>0</v>
      </c>
      <c r="I3873" s="1">
        <v>0</v>
      </c>
    </row>
    <row r="3874" spans="1:9" ht="23.25">
      <c r="A3874" s="5" t="s">
        <v>44</v>
      </c>
      <c r="B3874" s="5"/>
      <c r="C3874" s="5" t="s">
        <v>73</v>
      </c>
      <c r="D3874" s="5"/>
      <c r="E3874" s="1">
        <v>47639899</v>
      </c>
      <c r="F3874" s="1">
        <v>1428337</v>
      </c>
      <c r="G3874" s="1">
        <v>3017605</v>
      </c>
      <c r="H3874" s="1">
        <v>243898</v>
      </c>
      <c r="I3874" s="1">
        <v>31005565</v>
      </c>
    </row>
    <row r="3875" spans="1:9" ht="23.25">
      <c r="A3875" s="5" t="s">
        <v>45</v>
      </c>
      <c r="B3875" s="5"/>
      <c r="C3875" s="5" t="s">
        <v>73</v>
      </c>
      <c r="D3875" s="5"/>
      <c r="E3875" s="1">
        <v>1984416</v>
      </c>
      <c r="F3875" s="1">
        <v>150344</v>
      </c>
      <c r="G3875" s="1">
        <v>5712</v>
      </c>
      <c r="H3875" s="1">
        <v>8595</v>
      </c>
      <c r="I3875" s="1">
        <v>1010820</v>
      </c>
    </row>
    <row r="3876" spans="1:9" ht="23.25">
      <c r="A3876" s="5" t="s">
        <v>46</v>
      </c>
      <c r="B3876" s="5"/>
      <c r="C3876" s="5" t="s">
        <v>73</v>
      </c>
      <c r="D3876" s="5"/>
      <c r="E3876" s="1">
        <v>227908868</v>
      </c>
      <c r="F3876" s="1">
        <v>13902587</v>
      </c>
      <c r="G3876" s="1">
        <v>15814300</v>
      </c>
      <c r="H3876" s="1">
        <v>1573937</v>
      </c>
      <c r="I3876" s="1">
        <v>134673494</v>
      </c>
    </row>
    <row r="3877" spans="1:9" ht="23.25">
      <c r="A3877" s="5" t="s">
        <v>47</v>
      </c>
      <c r="B3877" s="5"/>
      <c r="C3877" s="5" t="s">
        <v>73</v>
      </c>
      <c r="D3877" s="5"/>
      <c r="E3877" s="1">
        <v>373672841</v>
      </c>
      <c r="F3877" s="1">
        <v>30063993</v>
      </c>
      <c r="G3877" s="1">
        <v>36190899</v>
      </c>
      <c r="H3877" s="1">
        <v>2280721</v>
      </c>
      <c r="I3877" s="1">
        <v>34112718</v>
      </c>
    </row>
    <row r="3878" spans="1:9" ht="23.25">
      <c r="A3878" s="5" t="s">
        <v>48</v>
      </c>
      <c r="B3878" s="5"/>
      <c r="C3878" s="5" t="s">
        <v>73</v>
      </c>
      <c r="D3878" s="5"/>
      <c r="E3878" s="1">
        <v>228772</v>
      </c>
      <c r="F3878" s="1">
        <v>1532</v>
      </c>
      <c r="G3878" s="1">
        <v>588</v>
      </c>
      <c r="H3878" s="1">
        <v>586</v>
      </c>
      <c r="I3878" s="1">
        <v>37921</v>
      </c>
    </row>
    <row r="3879" spans="1:9" ht="23.25">
      <c r="A3879" s="5" t="s">
        <v>49</v>
      </c>
      <c r="B3879" s="5"/>
      <c r="C3879" s="5" t="s">
        <v>73</v>
      </c>
      <c r="D3879" s="5"/>
      <c r="E3879" s="1">
        <v>74330917</v>
      </c>
      <c r="F3879" s="1">
        <v>5764838</v>
      </c>
      <c r="G3879" s="1">
        <v>7253052</v>
      </c>
      <c r="H3879" s="1">
        <v>475965</v>
      </c>
      <c r="I3879" s="1">
        <v>34389806</v>
      </c>
    </row>
    <row r="3880" spans="1:9" ht="23.25">
      <c r="A3880" s="5" t="s">
        <v>50</v>
      </c>
      <c r="B3880" s="5"/>
      <c r="C3880" s="5" t="s">
        <v>73</v>
      </c>
      <c r="D3880" s="5"/>
      <c r="E3880" s="1">
        <v>22176032</v>
      </c>
      <c r="F3880" s="1">
        <v>2316011</v>
      </c>
      <c r="G3880" s="1">
        <v>2701854</v>
      </c>
      <c r="H3880" s="1">
        <v>235231</v>
      </c>
      <c r="I3880" s="1">
        <v>796487</v>
      </c>
    </row>
    <row r="3881" spans="1:9" ht="23.25">
      <c r="A3881" s="5" t="s">
        <v>51</v>
      </c>
      <c r="B3881" s="5"/>
      <c r="C3881" s="5" t="s">
        <v>73</v>
      </c>
      <c r="D3881" s="5"/>
      <c r="E3881" s="1">
        <v>212845353</v>
      </c>
      <c r="F3881" s="1">
        <v>11150777</v>
      </c>
      <c r="G3881" s="1">
        <v>18501948</v>
      </c>
      <c r="H3881" s="1">
        <v>677831</v>
      </c>
      <c r="I3881" s="1">
        <v>28458599</v>
      </c>
    </row>
    <row r="3882" spans="1:9" ht="23.25">
      <c r="A3882" s="5" t="s">
        <v>52</v>
      </c>
      <c r="B3882" s="5"/>
      <c r="C3882" s="5" t="s">
        <v>73</v>
      </c>
      <c r="D3882" s="5"/>
      <c r="E3882" s="1">
        <v>355558350</v>
      </c>
      <c r="F3882" s="1">
        <v>803431</v>
      </c>
      <c r="G3882" s="1">
        <v>1169213</v>
      </c>
      <c r="H3882" s="1">
        <v>358167</v>
      </c>
      <c r="I3882" s="1">
        <v>0</v>
      </c>
    </row>
    <row r="3883" spans="1:9" ht="23.25">
      <c r="A3883" s="5" t="s">
        <v>53</v>
      </c>
      <c r="B3883" s="5"/>
      <c r="C3883" s="5" t="s">
        <v>73</v>
      </c>
      <c r="D3883" s="5"/>
      <c r="E3883" s="1">
        <v>36276529</v>
      </c>
      <c r="F3883" s="1">
        <v>0</v>
      </c>
      <c r="G3883" s="1">
        <v>0</v>
      </c>
      <c r="H3883" s="1">
        <v>0</v>
      </c>
      <c r="I3883" s="1">
        <v>0</v>
      </c>
    </row>
    <row r="3884" spans="1:9" ht="23.25">
      <c r="A3884" s="5" t="s">
        <v>54</v>
      </c>
      <c r="B3884" s="5"/>
      <c r="C3884" s="5" t="s">
        <v>73</v>
      </c>
      <c r="D3884" s="5"/>
      <c r="E3884" s="1">
        <v>7177730</v>
      </c>
      <c r="F3884" s="1">
        <v>0</v>
      </c>
      <c r="G3884" s="1">
        <v>0</v>
      </c>
      <c r="H3884" s="1">
        <v>3674</v>
      </c>
      <c r="I3884" s="1">
        <v>0</v>
      </c>
    </row>
    <row r="3885" spans="1:9" ht="23.25">
      <c r="A3885" s="5" t="s">
        <v>55</v>
      </c>
      <c r="B3885" s="5"/>
      <c r="C3885" s="5" t="s">
        <v>73</v>
      </c>
      <c r="D3885" s="5"/>
      <c r="E3885" s="1">
        <v>0</v>
      </c>
      <c r="F3885" s="1">
        <v>0</v>
      </c>
      <c r="G3885" s="1">
        <v>0</v>
      </c>
      <c r="H3885" s="1">
        <v>0</v>
      </c>
      <c r="I3885" s="1">
        <v>0</v>
      </c>
    </row>
    <row r="3886" spans="1:9" ht="23.25">
      <c r="A3886" s="5" t="s">
        <v>56</v>
      </c>
      <c r="B3886" s="5"/>
      <c r="C3886" s="5" t="s">
        <v>73</v>
      </c>
      <c r="D3886" s="5"/>
      <c r="E3886" s="1">
        <v>11026474</v>
      </c>
      <c r="F3886" s="1">
        <v>-330291563</v>
      </c>
      <c r="G3886" s="1">
        <v>-467712669</v>
      </c>
      <c r="H3886" s="1">
        <v>0</v>
      </c>
      <c r="I3886" s="1">
        <v>0</v>
      </c>
    </row>
    <row r="3887" spans="1:9" ht="23.25">
      <c r="A3887" s="5" t="s">
        <v>57</v>
      </c>
      <c r="B3887" s="5"/>
      <c r="C3887" s="5" t="s">
        <v>73</v>
      </c>
      <c r="D3887" s="5"/>
      <c r="E3887" s="1">
        <v>1015795492</v>
      </c>
      <c r="F3887" s="1">
        <v>0</v>
      </c>
      <c r="G3887" s="1">
        <v>0</v>
      </c>
      <c r="H3887" s="1">
        <v>0</v>
      </c>
      <c r="I3887" s="1">
        <v>65700431</v>
      </c>
    </row>
    <row r="3888" spans="1:9" ht="23.25">
      <c r="A3888" s="5" t="s">
        <v>58</v>
      </c>
      <c r="B3888" s="5"/>
      <c r="C3888" s="5" t="s">
        <v>73</v>
      </c>
      <c r="D3888" s="5"/>
      <c r="E3888" s="1">
        <v>321944518</v>
      </c>
      <c r="F3888" s="1">
        <v>0</v>
      </c>
      <c r="G3888" s="1">
        <v>0</v>
      </c>
      <c r="H3888" s="1">
        <v>-47065462</v>
      </c>
      <c r="I3888" s="1">
        <v>75072113</v>
      </c>
    </row>
    <row r="3889" spans="1:9" ht="23.25">
      <c r="A3889" s="5" t="s">
        <v>59</v>
      </c>
      <c r="B3889" s="5"/>
      <c r="C3889" s="5" t="s">
        <v>73</v>
      </c>
      <c r="D3889" s="5"/>
      <c r="E3889" s="1">
        <v>243250169</v>
      </c>
      <c r="F3889" s="1">
        <v>0</v>
      </c>
      <c r="G3889" s="1">
        <v>0</v>
      </c>
      <c r="H3889" s="1">
        <v>0</v>
      </c>
      <c r="I3889" s="1">
        <v>55188867</v>
      </c>
    </row>
    <row r="3890" spans="1:9" ht="23.25">
      <c r="A3890" s="5" t="s">
        <v>60</v>
      </c>
      <c r="B3890" s="5"/>
      <c r="C3890" s="5" t="s">
        <v>73</v>
      </c>
      <c r="D3890" s="5"/>
      <c r="E3890" s="1">
        <v>726376747</v>
      </c>
      <c r="F3890" s="1">
        <v>0</v>
      </c>
      <c r="G3890" s="1">
        <v>0</v>
      </c>
      <c r="H3890" s="1">
        <v>0</v>
      </c>
      <c r="I3890" s="1">
        <v>67215167</v>
      </c>
    </row>
    <row r="3891" spans="1:9" ht="23.25">
      <c r="A3891" s="5" t="s">
        <v>61</v>
      </c>
      <c r="B3891" s="5"/>
      <c r="C3891" s="5" t="s">
        <v>73</v>
      </c>
      <c r="D3891" s="5"/>
      <c r="E3891" s="1">
        <v>536033494</v>
      </c>
      <c r="F3891" s="1">
        <v>0</v>
      </c>
      <c r="G3891" s="1">
        <v>0</v>
      </c>
      <c r="H3891" s="1">
        <v>0</v>
      </c>
      <c r="I3891" s="1">
        <v>101724443</v>
      </c>
    </row>
    <row r="3892" spans="1:9" ht="23.25">
      <c r="A3892" s="5" t="s">
        <v>62</v>
      </c>
      <c r="B3892" s="5"/>
      <c r="C3892" s="5" t="s">
        <v>73</v>
      </c>
      <c r="D3892" s="5"/>
      <c r="E3892" s="1">
        <v>129617731</v>
      </c>
      <c r="F3892" s="1">
        <v>0</v>
      </c>
      <c r="G3892" s="1">
        <v>0</v>
      </c>
      <c r="H3892" s="1">
        <v>0</v>
      </c>
      <c r="I3892" s="1">
        <v>44032441</v>
      </c>
    </row>
    <row r="3893" spans="1:9" ht="23.25">
      <c r="A3893" s="5" t="s">
        <v>63</v>
      </c>
      <c r="B3893" s="5"/>
      <c r="C3893" s="5" t="s">
        <v>73</v>
      </c>
      <c r="D3893" s="5"/>
      <c r="E3893" s="1">
        <v>399292025</v>
      </c>
      <c r="F3893" s="1">
        <v>0</v>
      </c>
      <c r="G3893" s="1">
        <v>0</v>
      </c>
      <c r="H3893" s="1">
        <v>0</v>
      </c>
      <c r="I3893" s="1">
        <v>86220627</v>
      </c>
    </row>
    <row r="3894" spans="1:9" ht="23.25">
      <c r="A3894" s="5" t="s">
        <v>64</v>
      </c>
      <c r="B3894" s="5"/>
      <c r="C3894" s="5" t="s">
        <v>73</v>
      </c>
      <c r="D3894" s="5"/>
      <c r="E3894" s="1">
        <v>685137076</v>
      </c>
      <c r="F3894" s="1">
        <v>0</v>
      </c>
      <c r="G3894" s="1">
        <v>0</v>
      </c>
      <c r="H3894" s="1">
        <v>0</v>
      </c>
      <c r="I3894" s="1">
        <v>16876564</v>
      </c>
    </row>
    <row r="3895" spans="1:9" ht="23.25">
      <c r="A3895" s="5" t="s">
        <v>65</v>
      </c>
      <c r="B3895" s="5"/>
      <c r="C3895" s="5" t="s">
        <v>73</v>
      </c>
      <c r="D3895" s="5"/>
      <c r="E3895" s="1">
        <v>25140695</v>
      </c>
      <c r="F3895" s="1">
        <v>0</v>
      </c>
      <c r="G3895" s="1">
        <v>0</v>
      </c>
      <c r="H3895" s="1">
        <v>0</v>
      </c>
      <c r="I3895" s="1">
        <v>3570513</v>
      </c>
    </row>
    <row r="3896" spans="1:9" ht="23.25">
      <c r="A3896" s="5" t="s">
        <v>66</v>
      </c>
      <c r="B3896" s="5"/>
      <c r="C3896" s="5" t="s">
        <v>73</v>
      </c>
      <c r="D3896" s="5"/>
      <c r="E3896" s="1">
        <v>8786511895</v>
      </c>
      <c r="F3896" s="1">
        <v>0</v>
      </c>
      <c r="G3896" s="1">
        <v>0</v>
      </c>
      <c r="H3896" s="1">
        <v>0</v>
      </c>
      <c r="I3896" s="1">
        <v>1300976734</v>
      </c>
    </row>
    <row r="3897" spans="1:9" ht="23.25">
      <c r="A3897" s="5" t="s">
        <v>8</v>
      </c>
      <c r="B3897" s="5"/>
      <c r="C3897" s="5" t="s">
        <v>74</v>
      </c>
      <c r="D3897" s="5"/>
      <c r="E3897" s="1">
        <v>26733</v>
      </c>
      <c r="F3897" s="1">
        <v>2474</v>
      </c>
      <c r="G3897" s="1">
        <v>188</v>
      </c>
      <c r="H3897" s="1">
        <v>213</v>
      </c>
      <c r="I3897" s="1">
        <v>0</v>
      </c>
    </row>
    <row r="3898" spans="1:9" ht="23.25">
      <c r="A3898" s="5" t="s">
        <v>9</v>
      </c>
      <c r="B3898" s="5"/>
      <c r="C3898" s="5" t="s">
        <v>74</v>
      </c>
      <c r="D3898" s="5"/>
      <c r="E3898" s="1">
        <v>522790</v>
      </c>
      <c r="F3898" s="1">
        <v>7033</v>
      </c>
      <c r="G3898" s="1">
        <v>2860</v>
      </c>
      <c r="H3898" s="1">
        <v>3272</v>
      </c>
      <c r="I3898" s="1">
        <v>0</v>
      </c>
    </row>
    <row r="3899" spans="1:9" ht="23.25">
      <c r="A3899" s="5" t="s">
        <v>10</v>
      </c>
      <c r="B3899" s="5"/>
      <c r="C3899" s="5" t="s">
        <v>74</v>
      </c>
      <c r="D3899" s="5"/>
      <c r="E3899" s="1">
        <v>380</v>
      </c>
      <c r="F3899" s="1">
        <v>2</v>
      </c>
      <c r="G3899" s="1">
        <v>0</v>
      </c>
      <c r="H3899" s="1">
        <v>0</v>
      </c>
      <c r="I3899" s="1">
        <v>0</v>
      </c>
    </row>
    <row r="3900" spans="1:9" ht="23.25">
      <c r="A3900" s="5" t="s">
        <v>11</v>
      </c>
      <c r="B3900" s="5"/>
      <c r="C3900" s="5" t="s">
        <v>74</v>
      </c>
      <c r="D3900" s="5"/>
      <c r="E3900" s="1">
        <v>109055</v>
      </c>
      <c r="F3900" s="1">
        <v>1720</v>
      </c>
      <c r="G3900" s="1">
        <v>5423</v>
      </c>
      <c r="H3900" s="1">
        <v>148</v>
      </c>
      <c r="I3900" s="1">
        <v>72832</v>
      </c>
    </row>
    <row r="3901" spans="1:9" ht="23.25">
      <c r="A3901" s="5" t="s">
        <v>12</v>
      </c>
      <c r="B3901" s="5"/>
      <c r="C3901" s="5" t="s">
        <v>74</v>
      </c>
      <c r="D3901" s="5"/>
      <c r="E3901" s="1">
        <v>244132</v>
      </c>
      <c r="F3901" s="1">
        <v>9417</v>
      </c>
      <c r="G3901" s="1">
        <v>27009</v>
      </c>
      <c r="H3901" s="1">
        <v>5571</v>
      </c>
      <c r="I3901" s="1">
        <v>0</v>
      </c>
    </row>
    <row r="3902" spans="1:9" ht="23.25">
      <c r="A3902" s="5" t="s">
        <v>13</v>
      </c>
      <c r="B3902" s="5"/>
      <c r="C3902" s="5" t="s">
        <v>74</v>
      </c>
      <c r="D3902" s="5"/>
      <c r="E3902" s="1">
        <v>0</v>
      </c>
      <c r="F3902" s="1">
        <v>0</v>
      </c>
      <c r="G3902" s="1">
        <v>0</v>
      </c>
      <c r="H3902" s="1">
        <v>0</v>
      </c>
      <c r="I3902" s="1">
        <v>0</v>
      </c>
    </row>
    <row r="3903" spans="1:9" ht="23.25">
      <c r="A3903" s="5" t="s">
        <v>14</v>
      </c>
      <c r="B3903" s="5"/>
      <c r="C3903" s="5" t="s">
        <v>74</v>
      </c>
      <c r="D3903" s="5"/>
      <c r="E3903" s="1">
        <v>15785</v>
      </c>
      <c r="F3903" s="1">
        <v>506</v>
      </c>
      <c r="G3903" s="1">
        <v>0</v>
      </c>
      <c r="H3903" s="1">
        <v>90</v>
      </c>
      <c r="I3903" s="1">
        <v>0</v>
      </c>
    </row>
    <row r="3904" spans="1:9" ht="23.25">
      <c r="A3904" s="5" t="s">
        <v>15</v>
      </c>
      <c r="B3904" s="5"/>
      <c r="C3904" s="5" t="s">
        <v>74</v>
      </c>
      <c r="D3904" s="5"/>
      <c r="E3904" s="1">
        <v>2199489</v>
      </c>
      <c r="F3904" s="1">
        <v>425439</v>
      </c>
      <c r="G3904" s="1">
        <v>398700</v>
      </c>
      <c r="H3904" s="1">
        <v>42145</v>
      </c>
      <c r="I3904" s="1">
        <v>305825</v>
      </c>
    </row>
    <row r="3905" spans="1:9" ht="23.25">
      <c r="A3905" s="5" t="s">
        <v>16</v>
      </c>
      <c r="B3905" s="5"/>
      <c r="C3905" s="5" t="s">
        <v>74</v>
      </c>
      <c r="D3905" s="5"/>
      <c r="E3905" s="1">
        <v>537858</v>
      </c>
      <c r="F3905" s="1">
        <v>30929</v>
      </c>
      <c r="G3905" s="1">
        <v>9029</v>
      </c>
      <c r="H3905" s="1">
        <v>5223</v>
      </c>
      <c r="I3905" s="1">
        <v>0</v>
      </c>
    </row>
    <row r="3906" spans="1:9" ht="23.25">
      <c r="A3906" s="5" t="s">
        <v>17</v>
      </c>
      <c r="B3906" s="5"/>
      <c r="C3906" s="5" t="s">
        <v>74</v>
      </c>
      <c r="D3906" s="5"/>
      <c r="E3906" s="1">
        <v>0</v>
      </c>
      <c r="F3906" s="1">
        <v>0</v>
      </c>
      <c r="G3906" s="1">
        <v>0</v>
      </c>
      <c r="H3906" s="1">
        <v>0</v>
      </c>
      <c r="I3906" s="1">
        <v>0</v>
      </c>
    </row>
    <row r="3907" spans="1:9" ht="23.25">
      <c r="A3907" s="5" t="s">
        <v>18</v>
      </c>
      <c r="B3907" s="5"/>
      <c r="C3907" s="5" t="s">
        <v>74</v>
      </c>
      <c r="D3907" s="5"/>
      <c r="E3907" s="1">
        <v>141201</v>
      </c>
      <c r="F3907" s="1">
        <v>13758</v>
      </c>
      <c r="G3907" s="1">
        <v>9269</v>
      </c>
      <c r="H3907" s="1">
        <v>2362</v>
      </c>
      <c r="I3907" s="1">
        <v>0</v>
      </c>
    </row>
    <row r="3908" spans="1:9" ht="23.25">
      <c r="A3908" s="5" t="s">
        <v>19</v>
      </c>
      <c r="B3908" s="5"/>
      <c r="C3908" s="5" t="s">
        <v>74</v>
      </c>
      <c r="D3908" s="5"/>
      <c r="E3908" s="1">
        <v>0</v>
      </c>
      <c r="F3908" s="1">
        <v>0</v>
      </c>
      <c r="G3908" s="1">
        <v>0</v>
      </c>
      <c r="H3908" s="1">
        <v>0</v>
      </c>
      <c r="I3908" s="1">
        <v>0</v>
      </c>
    </row>
    <row r="3909" spans="1:9" ht="23.25">
      <c r="A3909" s="5" t="s">
        <v>20</v>
      </c>
      <c r="B3909" s="5"/>
      <c r="C3909" s="5" t="s">
        <v>74</v>
      </c>
      <c r="D3909" s="5"/>
      <c r="E3909" s="1">
        <v>0</v>
      </c>
      <c r="F3909" s="1">
        <v>0</v>
      </c>
      <c r="G3909" s="1">
        <v>0</v>
      </c>
      <c r="H3909" s="1">
        <v>0</v>
      </c>
      <c r="I3909" s="1">
        <v>0</v>
      </c>
    </row>
    <row r="3910" spans="1:9" ht="23.25">
      <c r="A3910" s="5" t="s">
        <v>21</v>
      </c>
      <c r="B3910" s="5"/>
      <c r="C3910" s="5" t="s">
        <v>74</v>
      </c>
      <c r="D3910" s="5"/>
      <c r="E3910" s="1">
        <v>0</v>
      </c>
      <c r="F3910" s="1">
        <v>0</v>
      </c>
      <c r="G3910" s="1">
        <v>0</v>
      </c>
      <c r="H3910" s="1">
        <v>0</v>
      </c>
      <c r="I3910" s="1">
        <v>0</v>
      </c>
    </row>
    <row r="3911" spans="1:9" ht="23.25">
      <c r="A3911" s="5" t="s">
        <v>22</v>
      </c>
      <c r="B3911" s="5"/>
      <c r="C3911" s="5" t="s">
        <v>74</v>
      </c>
      <c r="D3911" s="5"/>
      <c r="E3911" s="1">
        <v>3870084</v>
      </c>
      <c r="F3911" s="1">
        <v>112620</v>
      </c>
      <c r="G3911" s="1">
        <v>108139</v>
      </c>
      <c r="H3911" s="1">
        <v>13716</v>
      </c>
      <c r="I3911" s="1">
        <v>0</v>
      </c>
    </row>
    <row r="3912" spans="1:9" ht="23.25">
      <c r="A3912" s="5" t="s">
        <v>23</v>
      </c>
      <c r="B3912" s="5"/>
      <c r="C3912" s="5" t="s">
        <v>74</v>
      </c>
      <c r="D3912" s="5"/>
      <c r="E3912" s="1">
        <v>25333331</v>
      </c>
      <c r="F3912" s="1">
        <v>152518</v>
      </c>
      <c r="G3912" s="1">
        <v>540393</v>
      </c>
      <c r="H3912" s="1">
        <v>96369</v>
      </c>
      <c r="I3912" s="1">
        <v>5489363</v>
      </c>
    </row>
    <row r="3913" spans="1:9" ht="23.25">
      <c r="A3913" s="5" t="s">
        <v>24</v>
      </c>
      <c r="B3913" s="5"/>
      <c r="C3913" s="5" t="s">
        <v>74</v>
      </c>
      <c r="D3913" s="5"/>
      <c r="E3913" s="1">
        <v>0</v>
      </c>
      <c r="F3913" s="1">
        <v>0</v>
      </c>
      <c r="G3913" s="1">
        <v>0</v>
      </c>
      <c r="H3913" s="1">
        <v>0</v>
      </c>
      <c r="I3913" s="1">
        <v>0</v>
      </c>
    </row>
    <row r="3914" spans="1:9" ht="23.25">
      <c r="A3914" s="5" t="s">
        <v>25</v>
      </c>
      <c r="B3914" s="5"/>
      <c r="C3914" s="5" t="s">
        <v>74</v>
      </c>
      <c r="D3914" s="5"/>
      <c r="E3914" s="1">
        <v>0</v>
      </c>
      <c r="F3914" s="1">
        <v>0</v>
      </c>
      <c r="G3914" s="1">
        <v>0</v>
      </c>
      <c r="H3914" s="1">
        <v>0</v>
      </c>
      <c r="I3914" s="1">
        <v>0</v>
      </c>
    </row>
    <row r="3915" spans="1:9" ht="23.25">
      <c r="A3915" s="5" t="s">
        <v>26</v>
      </c>
      <c r="B3915" s="5"/>
      <c r="C3915" s="5" t="s">
        <v>74</v>
      </c>
      <c r="D3915" s="5"/>
      <c r="E3915" s="1">
        <v>11174935</v>
      </c>
      <c r="F3915" s="1">
        <v>175864</v>
      </c>
      <c r="G3915" s="1">
        <v>276924</v>
      </c>
      <c r="H3915" s="1">
        <v>108539</v>
      </c>
      <c r="I3915" s="1">
        <v>2550041</v>
      </c>
    </row>
    <row r="3916" spans="1:9" ht="23.25">
      <c r="A3916" s="5" t="s">
        <v>27</v>
      </c>
      <c r="B3916" s="5"/>
      <c r="C3916" s="5" t="s">
        <v>74</v>
      </c>
      <c r="D3916" s="5"/>
      <c r="E3916" s="1">
        <v>44740</v>
      </c>
      <c r="F3916" s="1">
        <v>965</v>
      </c>
      <c r="G3916" s="1">
        <v>20</v>
      </c>
      <c r="H3916" s="1">
        <v>325</v>
      </c>
      <c r="I3916" s="1">
        <v>0</v>
      </c>
    </row>
    <row r="3917" spans="1:9" ht="23.25">
      <c r="A3917" s="5" t="s">
        <v>28</v>
      </c>
      <c r="B3917" s="5"/>
      <c r="C3917" s="5" t="s">
        <v>74</v>
      </c>
      <c r="D3917" s="5"/>
      <c r="E3917" s="1">
        <v>27385</v>
      </c>
      <c r="F3917" s="1">
        <v>2225</v>
      </c>
      <c r="G3917" s="1">
        <v>3225</v>
      </c>
      <c r="H3917" s="1">
        <v>606</v>
      </c>
      <c r="I3917" s="1">
        <v>0</v>
      </c>
    </row>
    <row r="3918" spans="1:9" ht="23.25">
      <c r="A3918" s="5" t="s">
        <v>29</v>
      </c>
      <c r="B3918" s="5"/>
      <c r="C3918" s="5" t="s">
        <v>74</v>
      </c>
      <c r="D3918" s="5"/>
      <c r="E3918" s="1">
        <v>0</v>
      </c>
      <c r="F3918" s="1">
        <v>0</v>
      </c>
      <c r="G3918" s="1">
        <v>0</v>
      </c>
      <c r="H3918" s="1">
        <v>0</v>
      </c>
      <c r="I3918" s="1">
        <v>0</v>
      </c>
    </row>
    <row r="3919" spans="1:9" ht="23.25">
      <c r="A3919" s="5" t="s">
        <v>30</v>
      </c>
      <c r="B3919" s="5"/>
      <c r="C3919" s="5" t="s">
        <v>74</v>
      </c>
      <c r="D3919" s="5"/>
      <c r="E3919" s="1">
        <v>74188</v>
      </c>
      <c r="F3919" s="1">
        <v>1101</v>
      </c>
      <c r="G3919" s="1">
        <v>682</v>
      </c>
      <c r="H3919" s="1">
        <v>725</v>
      </c>
      <c r="I3919" s="1">
        <v>0</v>
      </c>
    </row>
    <row r="3920" spans="1:9" ht="23.25">
      <c r="A3920" s="5" t="s">
        <v>31</v>
      </c>
      <c r="B3920" s="5"/>
      <c r="C3920" s="5" t="s">
        <v>74</v>
      </c>
      <c r="D3920" s="5"/>
      <c r="E3920" s="1">
        <v>4842898</v>
      </c>
      <c r="F3920" s="1">
        <v>238716</v>
      </c>
      <c r="G3920" s="1">
        <v>261660</v>
      </c>
      <c r="H3920" s="1">
        <v>30553</v>
      </c>
      <c r="I3920" s="1">
        <v>32022</v>
      </c>
    </row>
    <row r="3921" spans="1:9" ht="23.25">
      <c r="A3921" s="5" t="s">
        <v>32</v>
      </c>
      <c r="B3921" s="5"/>
      <c r="C3921" s="5" t="s">
        <v>74</v>
      </c>
      <c r="D3921" s="5"/>
      <c r="E3921" s="1">
        <v>20176774</v>
      </c>
      <c r="F3921" s="1">
        <v>783653</v>
      </c>
      <c r="G3921" s="1">
        <v>711891</v>
      </c>
      <c r="H3921" s="1">
        <v>184397</v>
      </c>
      <c r="I3921" s="1">
        <v>1645466</v>
      </c>
    </row>
    <row r="3922" spans="1:9" ht="23.25">
      <c r="A3922" s="5" t="s">
        <v>33</v>
      </c>
      <c r="B3922" s="5"/>
      <c r="C3922" s="5" t="s">
        <v>74</v>
      </c>
      <c r="D3922" s="5"/>
      <c r="E3922" s="1">
        <v>8940983</v>
      </c>
      <c r="F3922" s="1">
        <v>289330</v>
      </c>
      <c r="G3922" s="1">
        <v>448114</v>
      </c>
      <c r="H3922" s="1">
        <v>65344</v>
      </c>
      <c r="I3922" s="1">
        <v>2347096</v>
      </c>
    </row>
    <row r="3923" spans="1:9" ht="23.25">
      <c r="A3923" s="5" t="s">
        <v>34</v>
      </c>
      <c r="B3923" s="5"/>
      <c r="C3923" s="5" t="s">
        <v>74</v>
      </c>
      <c r="D3923" s="5"/>
      <c r="E3923" s="1">
        <v>274519</v>
      </c>
      <c r="F3923" s="1">
        <v>6423</v>
      </c>
      <c r="G3923" s="1">
        <v>14024</v>
      </c>
      <c r="H3923" s="1">
        <v>4722</v>
      </c>
      <c r="I3923" s="1">
        <v>141053</v>
      </c>
    </row>
    <row r="3924" spans="1:9" ht="23.25">
      <c r="A3924" s="5" t="s">
        <v>35</v>
      </c>
      <c r="B3924" s="5"/>
      <c r="C3924" s="5" t="s">
        <v>74</v>
      </c>
      <c r="D3924" s="5"/>
      <c r="E3924" s="1">
        <v>0</v>
      </c>
      <c r="F3924" s="1">
        <v>0</v>
      </c>
      <c r="G3924" s="1">
        <v>0</v>
      </c>
      <c r="H3924" s="1">
        <v>0</v>
      </c>
      <c r="I3924" s="1">
        <v>0</v>
      </c>
    </row>
    <row r="3925" spans="1:9" ht="23.25">
      <c r="A3925" s="5" t="s">
        <v>36</v>
      </c>
      <c r="B3925" s="5"/>
      <c r="C3925" s="5" t="s">
        <v>74</v>
      </c>
      <c r="D3925" s="5"/>
      <c r="E3925" s="1">
        <v>11533559</v>
      </c>
      <c r="F3925" s="1">
        <v>772029</v>
      </c>
      <c r="G3925" s="1">
        <v>965553</v>
      </c>
      <c r="H3925" s="1">
        <v>109512</v>
      </c>
      <c r="I3925" s="1">
        <v>1402095</v>
      </c>
    </row>
    <row r="3926" spans="1:9" ht="23.25">
      <c r="A3926" s="5" t="s">
        <v>37</v>
      </c>
      <c r="B3926" s="5"/>
      <c r="C3926" s="5" t="s">
        <v>74</v>
      </c>
      <c r="D3926" s="5"/>
      <c r="E3926" s="1">
        <v>54303707</v>
      </c>
      <c r="F3926" s="1">
        <v>2265953</v>
      </c>
      <c r="G3926" s="1">
        <v>1834033</v>
      </c>
      <c r="H3926" s="1">
        <v>480443</v>
      </c>
      <c r="I3926" s="1">
        <v>8407814</v>
      </c>
    </row>
    <row r="3927" spans="1:9" ht="23.25">
      <c r="A3927" s="5" t="s">
        <v>38</v>
      </c>
      <c r="B3927" s="5"/>
      <c r="C3927" s="5" t="s">
        <v>74</v>
      </c>
      <c r="D3927" s="5"/>
      <c r="E3927" s="1">
        <v>0</v>
      </c>
      <c r="F3927" s="1">
        <v>0</v>
      </c>
      <c r="G3927" s="1">
        <v>0</v>
      </c>
      <c r="H3927" s="1">
        <v>0</v>
      </c>
      <c r="I3927" s="1">
        <v>0</v>
      </c>
    </row>
    <row r="3928" spans="1:9" ht="23.25">
      <c r="A3928" s="5" t="s">
        <v>39</v>
      </c>
      <c r="B3928" s="5"/>
      <c r="C3928" s="5" t="s">
        <v>74</v>
      </c>
      <c r="D3928" s="5"/>
      <c r="E3928" s="1">
        <v>2104148</v>
      </c>
      <c r="F3928" s="1">
        <v>77652</v>
      </c>
      <c r="G3928" s="1">
        <v>151555</v>
      </c>
      <c r="H3928" s="1">
        <v>18393</v>
      </c>
      <c r="I3928" s="1">
        <v>636052</v>
      </c>
    </row>
    <row r="3929" spans="1:9" ht="23.25">
      <c r="A3929" s="5" t="s">
        <v>40</v>
      </c>
      <c r="B3929" s="5"/>
      <c r="C3929" s="5" t="s">
        <v>74</v>
      </c>
      <c r="D3929" s="5"/>
      <c r="E3929" s="1">
        <v>1040322</v>
      </c>
      <c r="F3929" s="1">
        <v>37919</v>
      </c>
      <c r="G3929" s="1">
        <v>26313</v>
      </c>
      <c r="H3929" s="1">
        <v>13429</v>
      </c>
      <c r="I3929" s="1">
        <v>0</v>
      </c>
    </row>
    <row r="3930" spans="1:9" ht="23.25">
      <c r="A3930" s="5" t="s">
        <v>41</v>
      </c>
      <c r="B3930" s="5"/>
      <c r="C3930" s="5" t="s">
        <v>74</v>
      </c>
      <c r="D3930" s="5"/>
      <c r="E3930" s="1">
        <v>315539</v>
      </c>
      <c r="F3930" s="1">
        <v>7128</v>
      </c>
      <c r="G3930" s="1">
        <v>5180</v>
      </c>
      <c r="H3930" s="1">
        <v>3690</v>
      </c>
      <c r="I3930" s="1">
        <v>0</v>
      </c>
    </row>
    <row r="3931" spans="1:9" ht="23.25">
      <c r="A3931" s="5" t="s">
        <v>42</v>
      </c>
      <c r="B3931" s="5"/>
      <c r="C3931" s="5" t="s">
        <v>74</v>
      </c>
      <c r="D3931" s="5"/>
      <c r="E3931" s="1">
        <v>31724</v>
      </c>
      <c r="F3931" s="1">
        <v>0</v>
      </c>
      <c r="G3931" s="1">
        <v>0</v>
      </c>
      <c r="H3931" s="1">
        <v>0</v>
      </c>
      <c r="I3931" s="1">
        <v>0</v>
      </c>
    </row>
    <row r="3932" spans="1:9" ht="23.25">
      <c r="A3932" s="5" t="s">
        <v>43</v>
      </c>
      <c r="B3932" s="5"/>
      <c r="C3932" s="5" t="s">
        <v>74</v>
      </c>
      <c r="D3932" s="5"/>
      <c r="E3932" s="1">
        <v>0</v>
      </c>
      <c r="F3932" s="1">
        <v>0</v>
      </c>
      <c r="G3932" s="1">
        <v>0</v>
      </c>
      <c r="H3932" s="1">
        <v>0</v>
      </c>
      <c r="I3932" s="1">
        <v>0</v>
      </c>
    </row>
    <row r="3933" spans="1:9" ht="23.25">
      <c r="A3933" s="5" t="s">
        <v>44</v>
      </c>
      <c r="B3933" s="5"/>
      <c r="C3933" s="5" t="s">
        <v>74</v>
      </c>
      <c r="D3933" s="5"/>
      <c r="E3933" s="1">
        <v>12626373</v>
      </c>
      <c r="F3933" s="1">
        <v>619747</v>
      </c>
      <c r="G3933" s="1">
        <v>1126070</v>
      </c>
      <c r="H3933" s="1">
        <v>82645</v>
      </c>
      <c r="I3933" s="1">
        <v>2060397</v>
      </c>
    </row>
    <row r="3934" spans="1:9" ht="23.25">
      <c r="A3934" s="5" t="s">
        <v>45</v>
      </c>
      <c r="B3934" s="5"/>
      <c r="C3934" s="5" t="s">
        <v>74</v>
      </c>
      <c r="D3934" s="5"/>
      <c r="E3934" s="1">
        <v>8000504</v>
      </c>
      <c r="F3934" s="1">
        <v>174337</v>
      </c>
      <c r="G3934" s="1">
        <v>65963</v>
      </c>
      <c r="H3934" s="1">
        <v>70658</v>
      </c>
      <c r="I3934" s="1">
        <v>0</v>
      </c>
    </row>
    <row r="3935" spans="1:9" ht="23.25">
      <c r="A3935" s="5" t="s">
        <v>46</v>
      </c>
      <c r="B3935" s="5"/>
      <c r="C3935" s="5" t="s">
        <v>74</v>
      </c>
      <c r="D3935" s="5"/>
      <c r="E3935" s="1">
        <v>13219792</v>
      </c>
      <c r="F3935" s="1">
        <v>586796</v>
      </c>
      <c r="G3935" s="1">
        <v>606834</v>
      </c>
      <c r="H3935" s="1">
        <v>99814</v>
      </c>
      <c r="I3935" s="1">
        <v>2941893</v>
      </c>
    </row>
    <row r="3936" spans="1:9" ht="23.25">
      <c r="A3936" s="5" t="s">
        <v>47</v>
      </c>
      <c r="B3936" s="5"/>
      <c r="C3936" s="5" t="s">
        <v>74</v>
      </c>
      <c r="D3936" s="5"/>
      <c r="E3936" s="1">
        <v>4966017</v>
      </c>
      <c r="F3936" s="1">
        <v>34696</v>
      </c>
      <c r="G3936" s="1">
        <v>39411</v>
      </c>
      <c r="H3936" s="1">
        <v>3882</v>
      </c>
      <c r="I3936" s="1">
        <v>0</v>
      </c>
    </row>
    <row r="3937" spans="1:9" ht="23.25">
      <c r="A3937" s="5" t="s">
        <v>48</v>
      </c>
      <c r="B3937" s="5"/>
      <c r="C3937" s="5" t="s">
        <v>74</v>
      </c>
      <c r="D3937" s="5"/>
      <c r="E3937" s="1">
        <v>101324</v>
      </c>
      <c r="F3937" s="1">
        <v>5661</v>
      </c>
      <c r="G3937" s="1">
        <v>68</v>
      </c>
      <c r="H3937" s="1">
        <v>2534</v>
      </c>
      <c r="I3937" s="1">
        <v>32997</v>
      </c>
    </row>
    <row r="3938" spans="1:9" ht="23.25">
      <c r="A3938" s="5" t="s">
        <v>49</v>
      </c>
      <c r="B3938" s="5"/>
      <c r="C3938" s="5" t="s">
        <v>74</v>
      </c>
      <c r="D3938" s="5"/>
      <c r="E3938" s="1">
        <v>0</v>
      </c>
      <c r="F3938" s="1">
        <v>0</v>
      </c>
      <c r="G3938" s="1">
        <v>0</v>
      </c>
      <c r="H3938" s="1">
        <v>0</v>
      </c>
      <c r="I3938" s="1">
        <v>0</v>
      </c>
    </row>
    <row r="3939" spans="1:9" ht="23.25">
      <c r="A3939" s="5" t="s">
        <v>50</v>
      </c>
      <c r="B3939" s="5"/>
      <c r="C3939" s="5" t="s">
        <v>74</v>
      </c>
      <c r="D3939" s="5"/>
      <c r="E3939" s="1">
        <v>56810</v>
      </c>
      <c r="F3939" s="1">
        <v>0</v>
      </c>
      <c r="G3939" s="1">
        <v>0</v>
      </c>
      <c r="H3939" s="1">
        <v>592</v>
      </c>
      <c r="I3939" s="1">
        <v>0</v>
      </c>
    </row>
    <row r="3940" spans="1:9" ht="23.25">
      <c r="A3940" s="5" t="s">
        <v>51</v>
      </c>
      <c r="B3940" s="5"/>
      <c r="C3940" s="5" t="s">
        <v>74</v>
      </c>
      <c r="D3940" s="5"/>
      <c r="E3940" s="1">
        <v>21933718</v>
      </c>
      <c r="F3940" s="1">
        <v>1849491</v>
      </c>
      <c r="G3940" s="1">
        <v>1905072</v>
      </c>
      <c r="H3940" s="1">
        <v>189507</v>
      </c>
      <c r="I3940" s="1">
        <v>8243347</v>
      </c>
    </row>
    <row r="3941" spans="1:9" ht="23.25">
      <c r="A3941" s="5" t="s">
        <v>52</v>
      </c>
      <c r="B3941" s="5"/>
      <c r="C3941" s="5" t="s">
        <v>74</v>
      </c>
      <c r="D3941" s="5"/>
      <c r="E3941" s="1">
        <v>51460693</v>
      </c>
      <c r="F3941" s="1">
        <v>0</v>
      </c>
      <c r="G3941" s="1">
        <v>0</v>
      </c>
      <c r="H3941" s="1">
        <v>0</v>
      </c>
      <c r="I3941" s="1">
        <v>0</v>
      </c>
    </row>
    <row r="3942" spans="1:9" ht="23.25">
      <c r="A3942" s="5" t="s">
        <v>53</v>
      </c>
      <c r="B3942" s="5"/>
      <c r="C3942" s="5" t="s">
        <v>74</v>
      </c>
      <c r="D3942" s="5"/>
      <c r="E3942" s="1">
        <v>8054354</v>
      </c>
      <c r="F3942" s="1">
        <v>0</v>
      </c>
      <c r="G3942" s="1">
        <v>0</v>
      </c>
      <c r="H3942" s="1">
        <v>0</v>
      </c>
      <c r="I3942" s="1">
        <v>0</v>
      </c>
    </row>
    <row r="3943" spans="1:9" ht="23.25">
      <c r="A3943" s="5" t="s">
        <v>54</v>
      </c>
      <c r="B3943" s="5"/>
      <c r="C3943" s="5" t="s">
        <v>74</v>
      </c>
      <c r="D3943" s="5"/>
      <c r="E3943" s="1">
        <v>3682908</v>
      </c>
      <c r="F3943" s="1">
        <v>0</v>
      </c>
      <c r="G3943" s="1">
        <v>0</v>
      </c>
      <c r="H3943" s="1">
        <v>0</v>
      </c>
      <c r="I3943" s="1">
        <v>0</v>
      </c>
    </row>
    <row r="3944" spans="1:9" ht="23.25">
      <c r="A3944" s="5" t="s">
        <v>55</v>
      </c>
      <c r="B3944" s="5"/>
      <c r="C3944" s="5" t="s">
        <v>74</v>
      </c>
      <c r="D3944" s="5"/>
      <c r="E3944" s="1">
        <v>0</v>
      </c>
      <c r="F3944" s="1">
        <v>0</v>
      </c>
      <c r="G3944" s="1">
        <v>0</v>
      </c>
      <c r="H3944" s="1">
        <v>0</v>
      </c>
      <c r="I3944" s="1">
        <v>0</v>
      </c>
    </row>
    <row r="3945" spans="1:9" ht="23.25">
      <c r="A3945" s="5" t="s">
        <v>56</v>
      </c>
      <c r="B3945" s="5"/>
      <c r="C3945" s="5" t="s">
        <v>74</v>
      </c>
      <c r="D3945" s="5"/>
      <c r="E3945" s="1">
        <v>0</v>
      </c>
      <c r="F3945" s="1">
        <v>-8686102</v>
      </c>
      <c r="G3945" s="1">
        <v>-9543602</v>
      </c>
      <c r="H3945" s="1">
        <v>0</v>
      </c>
      <c r="I3945" s="1">
        <v>0</v>
      </c>
    </row>
    <row r="3946" spans="1:9" ht="23.25">
      <c r="A3946" s="5" t="s">
        <v>57</v>
      </c>
      <c r="B3946" s="5"/>
      <c r="C3946" s="5" t="s">
        <v>74</v>
      </c>
      <c r="D3946" s="5"/>
      <c r="E3946" s="1">
        <v>68138115</v>
      </c>
      <c r="F3946" s="1">
        <v>0</v>
      </c>
      <c r="G3946" s="1">
        <v>0</v>
      </c>
      <c r="H3946" s="1">
        <v>0</v>
      </c>
      <c r="I3946" s="1">
        <v>0</v>
      </c>
    </row>
    <row r="3947" spans="1:9" ht="23.25">
      <c r="A3947" s="5" t="s">
        <v>58</v>
      </c>
      <c r="B3947" s="5"/>
      <c r="C3947" s="5" t="s">
        <v>74</v>
      </c>
      <c r="D3947" s="5"/>
      <c r="E3947" s="1">
        <v>19732042</v>
      </c>
      <c r="F3947" s="1">
        <v>0</v>
      </c>
      <c r="G3947" s="1">
        <v>0</v>
      </c>
      <c r="H3947" s="1">
        <v>-1639419</v>
      </c>
      <c r="I3947" s="1">
        <v>0</v>
      </c>
    </row>
    <row r="3948" spans="1:9" ht="23.25">
      <c r="A3948" s="5" t="s">
        <v>59</v>
      </c>
      <c r="B3948" s="5"/>
      <c r="C3948" s="5" t="s">
        <v>74</v>
      </c>
      <c r="D3948" s="5"/>
      <c r="E3948" s="1">
        <v>53306370</v>
      </c>
      <c r="F3948" s="1">
        <v>0</v>
      </c>
      <c r="G3948" s="1">
        <v>0</v>
      </c>
      <c r="H3948" s="1">
        <v>0</v>
      </c>
      <c r="I3948" s="1">
        <v>0</v>
      </c>
    </row>
    <row r="3949" spans="1:9" ht="23.25">
      <c r="A3949" s="5" t="s">
        <v>60</v>
      </c>
      <c r="B3949" s="5"/>
      <c r="C3949" s="5" t="s">
        <v>74</v>
      </c>
      <c r="D3949" s="5"/>
      <c r="E3949" s="1">
        <v>636055</v>
      </c>
      <c r="F3949" s="1">
        <v>0</v>
      </c>
      <c r="G3949" s="1">
        <v>0</v>
      </c>
      <c r="H3949" s="1">
        <v>0</v>
      </c>
      <c r="I3949" s="1">
        <v>0</v>
      </c>
    </row>
    <row r="3950" spans="1:9" ht="23.25">
      <c r="A3950" s="5" t="s">
        <v>61</v>
      </c>
      <c r="B3950" s="5"/>
      <c r="C3950" s="5" t="s">
        <v>74</v>
      </c>
      <c r="D3950" s="5"/>
      <c r="E3950" s="1">
        <v>42134280</v>
      </c>
      <c r="F3950" s="1">
        <v>0</v>
      </c>
      <c r="G3950" s="1">
        <v>0</v>
      </c>
      <c r="H3950" s="1">
        <v>0</v>
      </c>
      <c r="I3950" s="1">
        <v>0</v>
      </c>
    </row>
    <row r="3951" spans="1:9" ht="23.25">
      <c r="A3951" s="5" t="s">
        <v>62</v>
      </c>
      <c r="B3951" s="5"/>
      <c r="C3951" s="5" t="s">
        <v>74</v>
      </c>
      <c r="D3951" s="5"/>
      <c r="E3951" s="1">
        <v>145749337</v>
      </c>
      <c r="F3951" s="1">
        <v>0</v>
      </c>
      <c r="G3951" s="1">
        <v>0</v>
      </c>
      <c r="H3951" s="1">
        <v>0</v>
      </c>
      <c r="I3951" s="1">
        <v>0</v>
      </c>
    </row>
    <row r="3952" spans="1:9" ht="23.25">
      <c r="A3952" s="5" t="s">
        <v>63</v>
      </c>
      <c r="B3952" s="5"/>
      <c r="C3952" s="5" t="s">
        <v>74</v>
      </c>
      <c r="D3952" s="5"/>
      <c r="E3952" s="1">
        <v>2300579496</v>
      </c>
      <c r="F3952" s="1">
        <v>0</v>
      </c>
      <c r="G3952" s="1">
        <v>0</v>
      </c>
      <c r="H3952" s="1">
        <v>0</v>
      </c>
      <c r="I3952" s="1">
        <v>0</v>
      </c>
    </row>
    <row r="3953" spans="1:9" ht="23.25">
      <c r="A3953" s="5" t="s">
        <v>64</v>
      </c>
      <c r="B3953" s="5"/>
      <c r="C3953" s="5" t="s">
        <v>74</v>
      </c>
      <c r="D3953" s="5"/>
      <c r="E3953" s="1">
        <v>13803365</v>
      </c>
      <c r="F3953" s="1">
        <v>0</v>
      </c>
      <c r="G3953" s="1">
        <v>0</v>
      </c>
      <c r="H3953" s="1">
        <v>0</v>
      </c>
      <c r="I3953" s="1">
        <v>0</v>
      </c>
    </row>
    <row r="3954" spans="1:9" ht="23.25">
      <c r="A3954" s="5" t="s">
        <v>65</v>
      </c>
      <c r="B3954" s="5"/>
      <c r="C3954" s="5" t="s">
        <v>74</v>
      </c>
      <c r="D3954" s="5"/>
      <c r="E3954" s="1">
        <v>35329250</v>
      </c>
      <c r="F3954" s="1">
        <v>0</v>
      </c>
      <c r="G3954" s="1">
        <v>0</v>
      </c>
      <c r="H3954" s="1">
        <v>0</v>
      </c>
      <c r="I3954" s="1">
        <v>3082884</v>
      </c>
    </row>
    <row r="3955" spans="1:9" ht="23.25">
      <c r="A3955" s="5" t="s">
        <v>66</v>
      </c>
      <c r="B3955" s="5"/>
      <c r="C3955" s="5" t="s">
        <v>74</v>
      </c>
      <c r="D3955" s="5"/>
      <c r="E3955" s="1">
        <v>2951397062</v>
      </c>
      <c r="F3955" s="1">
        <v>0</v>
      </c>
      <c r="G3955" s="1">
        <v>0</v>
      </c>
      <c r="H3955" s="1">
        <v>0</v>
      </c>
      <c r="I3955" s="1">
        <v>39391177</v>
      </c>
    </row>
    <row r="3956" spans="1:9" ht="23.25">
      <c r="A3956" s="5" t="s">
        <v>8</v>
      </c>
      <c r="B3956" s="5"/>
      <c r="C3956" s="5" t="s">
        <v>75</v>
      </c>
      <c r="D3956" s="5"/>
      <c r="E3956" s="1">
        <v>0</v>
      </c>
      <c r="F3956" s="1">
        <v>0</v>
      </c>
      <c r="G3956" s="1">
        <v>0</v>
      </c>
      <c r="H3956" s="1">
        <v>0</v>
      </c>
      <c r="I3956" s="1">
        <v>0</v>
      </c>
    </row>
    <row r="3957" spans="1:9" ht="23.25">
      <c r="A3957" s="5" t="s">
        <v>9</v>
      </c>
      <c r="B3957" s="5"/>
      <c r="C3957" s="5" t="s">
        <v>75</v>
      </c>
      <c r="D3957" s="5"/>
      <c r="E3957" s="1">
        <v>0</v>
      </c>
      <c r="F3957" s="1">
        <v>0</v>
      </c>
      <c r="G3957" s="1">
        <v>0</v>
      </c>
      <c r="H3957" s="1">
        <v>0</v>
      </c>
      <c r="I3957" s="1">
        <v>0</v>
      </c>
    </row>
    <row r="3958" spans="1:9" ht="23.25">
      <c r="A3958" s="5" t="s">
        <v>10</v>
      </c>
      <c r="B3958" s="5"/>
      <c r="C3958" s="5" t="s">
        <v>75</v>
      </c>
      <c r="D3958" s="5"/>
      <c r="E3958" s="1">
        <v>0</v>
      </c>
      <c r="F3958" s="1">
        <v>0</v>
      </c>
      <c r="G3958" s="1">
        <v>0</v>
      </c>
      <c r="H3958" s="1">
        <v>0</v>
      </c>
      <c r="I3958" s="1">
        <v>0</v>
      </c>
    </row>
    <row r="3959" spans="1:9" ht="23.25">
      <c r="A3959" s="5" t="s">
        <v>11</v>
      </c>
      <c r="B3959" s="5"/>
      <c r="C3959" s="5" t="s">
        <v>75</v>
      </c>
      <c r="D3959" s="5"/>
      <c r="E3959" s="1">
        <v>0</v>
      </c>
      <c r="F3959" s="1">
        <v>0</v>
      </c>
      <c r="G3959" s="1">
        <v>0</v>
      </c>
      <c r="H3959" s="1">
        <v>0</v>
      </c>
      <c r="I3959" s="1">
        <v>0</v>
      </c>
    </row>
    <row r="3960" spans="1:9" ht="23.25">
      <c r="A3960" s="5" t="s">
        <v>12</v>
      </c>
      <c r="B3960" s="5"/>
      <c r="C3960" s="5" t="s">
        <v>75</v>
      </c>
      <c r="D3960" s="5"/>
      <c r="E3960" s="1">
        <v>0</v>
      </c>
      <c r="F3960" s="1">
        <v>0</v>
      </c>
      <c r="G3960" s="1">
        <v>0</v>
      </c>
      <c r="H3960" s="1">
        <v>0</v>
      </c>
      <c r="I3960" s="1">
        <v>0</v>
      </c>
    </row>
    <row r="3961" spans="1:9" ht="23.25">
      <c r="A3961" s="5" t="s">
        <v>13</v>
      </c>
      <c r="B3961" s="5"/>
      <c r="C3961" s="5" t="s">
        <v>75</v>
      </c>
      <c r="D3961" s="5"/>
      <c r="E3961" s="1">
        <v>0</v>
      </c>
      <c r="F3961" s="1">
        <v>0</v>
      </c>
      <c r="G3961" s="1">
        <v>0</v>
      </c>
      <c r="H3961" s="1">
        <v>0</v>
      </c>
      <c r="I3961" s="1">
        <v>0</v>
      </c>
    </row>
    <row r="3962" spans="1:9" ht="23.25">
      <c r="A3962" s="5" t="s">
        <v>14</v>
      </c>
      <c r="B3962" s="5"/>
      <c r="C3962" s="5" t="s">
        <v>75</v>
      </c>
      <c r="D3962" s="5"/>
      <c r="E3962" s="1">
        <v>0</v>
      </c>
      <c r="F3962" s="1">
        <v>0</v>
      </c>
      <c r="G3962" s="1">
        <v>0</v>
      </c>
      <c r="H3962" s="1">
        <v>0</v>
      </c>
      <c r="I3962" s="1">
        <v>0</v>
      </c>
    </row>
    <row r="3963" spans="1:9" ht="23.25">
      <c r="A3963" s="5" t="s">
        <v>15</v>
      </c>
      <c r="B3963" s="5"/>
      <c r="C3963" s="5" t="s">
        <v>75</v>
      </c>
      <c r="D3963" s="5"/>
      <c r="E3963" s="1">
        <v>0</v>
      </c>
      <c r="F3963" s="1">
        <v>0</v>
      </c>
      <c r="G3963" s="1">
        <v>0</v>
      </c>
      <c r="H3963" s="1">
        <v>0</v>
      </c>
      <c r="I3963" s="1">
        <v>0</v>
      </c>
    </row>
    <row r="3964" spans="1:9" ht="23.25">
      <c r="A3964" s="5" t="s">
        <v>16</v>
      </c>
      <c r="B3964" s="5"/>
      <c r="C3964" s="5" t="s">
        <v>75</v>
      </c>
      <c r="D3964" s="5"/>
      <c r="E3964" s="1">
        <v>3049362</v>
      </c>
      <c r="F3964" s="1">
        <v>76472</v>
      </c>
      <c r="G3964" s="1">
        <v>0</v>
      </c>
      <c r="H3964" s="1">
        <v>6163</v>
      </c>
      <c r="I3964" s="1">
        <v>2010376</v>
      </c>
    </row>
    <row r="3965" spans="1:9" ht="23.25">
      <c r="A3965" s="5" t="s">
        <v>17</v>
      </c>
      <c r="B3965" s="5"/>
      <c r="C3965" s="5" t="s">
        <v>75</v>
      </c>
      <c r="D3965" s="5"/>
      <c r="E3965" s="1">
        <v>0</v>
      </c>
      <c r="F3965" s="1">
        <v>0</v>
      </c>
      <c r="G3965" s="1">
        <v>0</v>
      </c>
      <c r="H3965" s="1">
        <v>0</v>
      </c>
      <c r="I3965" s="1">
        <v>0</v>
      </c>
    </row>
    <row r="3966" spans="1:9" ht="23.25">
      <c r="A3966" s="5" t="s">
        <v>18</v>
      </c>
      <c r="B3966" s="5"/>
      <c r="C3966" s="5" t="s">
        <v>75</v>
      </c>
      <c r="D3966" s="5"/>
      <c r="E3966" s="1">
        <v>3154870</v>
      </c>
      <c r="F3966" s="1">
        <v>151422</v>
      </c>
      <c r="G3966" s="1">
        <v>126971</v>
      </c>
      <c r="H3966" s="1">
        <v>57356</v>
      </c>
      <c r="I3966" s="1">
        <v>1763672</v>
      </c>
    </row>
    <row r="3967" spans="1:9" ht="23.25">
      <c r="A3967" s="5" t="s">
        <v>19</v>
      </c>
      <c r="B3967" s="5"/>
      <c r="C3967" s="5" t="s">
        <v>75</v>
      </c>
      <c r="D3967" s="5"/>
      <c r="E3967" s="1">
        <v>0</v>
      </c>
      <c r="F3967" s="1">
        <v>0</v>
      </c>
      <c r="G3967" s="1">
        <v>0</v>
      </c>
      <c r="H3967" s="1">
        <v>0</v>
      </c>
      <c r="I3967" s="1">
        <v>0</v>
      </c>
    </row>
    <row r="3968" spans="1:9" ht="23.25">
      <c r="A3968" s="5" t="s">
        <v>20</v>
      </c>
      <c r="B3968" s="5"/>
      <c r="C3968" s="5" t="s">
        <v>75</v>
      </c>
      <c r="D3968" s="5"/>
      <c r="E3968" s="1">
        <v>0</v>
      </c>
      <c r="F3968" s="1">
        <v>0</v>
      </c>
      <c r="G3968" s="1">
        <v>0</v>
      </c>
      <c r="H3968" s="1">
        <v>0</v>
      </c>
      <c r="I3968" s="1">
        <v>0</v>
      </c>
    </row>
    <row r="3969" spans="1:9" ht="23.25">
      <c r="A3969" s="5" t="s">
        <v>21</v>
      </c>
      <c r="B3969" s="5"/>
      <c r="C3969" s="5" t="s">
        <v>75</v>
      </c>
      <c r="D3969" s="5"/>
      <c r="E3969" s="1">
        <v>0</v>
      </c>
      <c r="F3969" s="1">
        <v>0</v>
      </c>
      <c r="G3969" s="1">
        <v>0</v>
      </c>
      <c r="H3969" s="1">
        <v>0</v>
      </c>
      <c r="I3969" s="1">
        <v>0</v>
      </c>
    </row>
    <row r="3970" spans="1:9" ht="23.25">
      <c r="A3970" s="5" t="s">
        <v>22</v>
      </c>
      <c r="B3970" s="5"/>
      <c r="C3970" s="5" t="s">
        <v>75</v>
      </c>
      <c r="D3970" s="5"/>
      <c r="E3970" s="1">
        <v>0</v>
      </c>
      <c r="F3970" s="1">
        <v>0</v>
      </c>
      <c r="G3970" s="1">
        <v>0</v>
      </c>
      <c r="H3970" s="1">
        <v>0</v>
      </c>
      <c r="I3970" s="1">
        <v>0</v>
      </c>
    </row>
    <row r="3971" spans="1:9" ht="23.25">
      <c r="A3971" s="5" t="s">
        <v>23</v>
      </c>
      <c r="B3971" s="5"/>
      <c r="C3971" s="5" t="s">
        <v>75</v>
      </c>
      <c r="D3971" s="5"/>
      <c r="E3971" s="1">
        <v>0</v>
      </c>
      <c r="F3971" s="1">
        <v>0</v>
      </c>
      <c r="G3971" s="1">
        <v>0</v>
      </c>
      <c r="H3971" s="1">
        <v>0</v>
      </c>
      <c r="I3971" s="1">
        <v>0</v>
      </c>
    </row>
    <row r="3972" spans="1:9" ht="23.25">
      <c r="A3972" s="5" t="s">
        <v>24</v>
      </c>
      <c r="B3972" s="5"/>
      <c r="C3972" s="5" t="s">
        <v>75</v>
      </c>
      <c r="D3972" s="5"/>
      <c r="E3972" s="1">
        <v>0</v>
      </c>
      <c r="F3972" s="1">
        <v>0</v>
      </c>
      <c r="G3972" s="1">
        <v>0</v>
      </c>
      <c r="H3972" s="1">
        <v>0</v>
      </c>
      <c r="I3972" s="1">
        <v>0</v>
      </c>
    </row>
    <row r="3973" spans="1:9" ht="23.25">
      <c r="A3973" s="5" t="s">
        <v>25</v>
      </c>
      <c r="B3973" s="5"/>
      <c r="C3973" s="5" t="s">
        <v>75</v>
      </c>
      <c r="D3973" s="5"/>
      <c r="E3973" s="1">
        <v>0</v>
      </c>
      <c r="F3973" s="1">
        <v>0</v>
      </c>
      <c r="G3973" s="1">
        <v>0</v>
      </c>
      <c r="H3973" s="1">
        <v>0</v>
      </c>
      <c r="I3973" s="1">
        <v>0</v>
      </c>
    </row>
    <row r="3974" spans="1:9" ht="23.25">
      <c r="A3974" s="5" t="s">
        <v>26</v>
      </c>
      <c r="B3974" s="5"/>
      <c r="C3974" s="5" t="s">
        <v>75</v>
      </c>
      <c r="D3974" s="5"/>
      <c r="E3974" s="1">
        <v>0</v>
      </c>
      <c r="F3974" s="1">
        <v>0</v>
      </c>
      <c r="G3974" s="1">
        <v>0</v>
      </c>
      <c r="H3974" s="1">
        <v>0</v>
      </c>
      <c r="I3974" s="1">
        <v>0</v>
      </c>
    </row>
    <row r="3975" spans="1:9" ht="23.25">
      <c r="A3975" s="5" t="s">
        <v>27</v>
      </c>
      <c r="B3975" s="5"/>
      <c r="C3975" s="5" t="s">
        <v>75</v>
      </c>
      <c r="D3975" s="5"/>
      <c r="E3975" s="1">
        <v>0</v>
      </c>
      <c r="F3975" s="1">
        <v>0</v>
      </c>
      <c r="G3975" s="1">
        <v>0</v>
      </c>
      <c r="H3975" s="1">
        <v>0</v>
      </c>
      <c r="I3975" s="1">
        <v>0</v>
      </c>
    </row>
    <row r="3976" spans="1:9" ht="23.25">
      <c r="A3976" s="5" t="s">
        <v>28</v>
      </c>
      <c r="B3976" s="5"/>
      <c r="C3976" s="5" t="s">
        <v>75</v>
      </c>
      <c r="D3976" s="5"/>
      <c r="E3976" s="1">
        <v>0</v>
      </c>
      <c r="F3976" s="1">
        <v>0</v>
      </c>
      <c r="G3976" s="1">
        <v>0</v>
      </c>
      <c r="H3976" s="1">
        <v>0</v>
      </c>
      <c r="I3976" s="1">
        <v>0</v>
      </c>
    </row>
    <row r="3977" spans="1:9" ht="23.25">
      <c r="A3977" s="5" t="s">
        <v>29</v>
      </c>
      <c r="B3977" s="5"/>
      <c r="C3977" s="5" t="s">
        <v>75</v>
      </c>
      <c r="D3977" s="5"/>
      <c r="E3977" s="1">
        <v>0</v>
      </c>
      <c r="F3977" s="1">
        <v>0</v>
      </c>
      <c r="G3977" s="1">
        <v>0</v>
      </c>
      <c r="H3977" s="1">
        <v>0</v>
      </c>
      <c r="I3977" s="1">
        <v>0</v>
      </c>
    </row>
    <row r="3978" spans="1:9" ht="23.25">
      <c r="A3978" s="5" t="s">
        <v>30</v>
      </c>
      <c r="B3978" s="5"/>
      <c r="C3978" s="5" t="s">
        <v>75</v>
      </c>
      <c r="D3978" s="5"/>
      <c r="E3978" s="1">
        <v>0</v>
      </c>
      <c r="F3978" s="1">
        <v>0</v>
      </c>
      <c r="G3978" s="1">
        <v>0</v>
      </c>
      <c r="H3978" s="1">
        <v>0</v>
      </c>
      <c r="I3978" s="1">
        <v>0</v>
      </c>
    </row>
    <row r="3979" spans="1:9" ht="23.25">
      <c r="A3979" s="5" t="s">
        <v>31</v>
      </c>
      <c r="B3979" s="5"/>
      <c r="C3979" s="5" t="s">
        <v>75</v>
      </c>
      <c r="D3979" s="5"/>
      <c r="E3979" s="1">
        <v>8762791</v>
      </c>
      <c r="F3979" s="1">
        <v>585150</v>
      </c>
      <c r="G3979" s="1">
        <v>589107</v>
      </c>
      <c r="H3979" s="1">
        <v>42312</v>
      </c>
      <c r="I3979" s="1">
        <v>825518</v>
      </c>
    </row>
    <row r="3980" spans="1:9" ht="23.25">
      <c r="A3980" s="5" t="s">
        <v>32</v>
      </c>
      <c r="B3980" s="5"/>
      <c r="C3980" s="5" t="s">
        <v>75</v>
      </c>
      <c r="D3980" s="5"/>
      <c r="E3980" s="1">
        <v>0</v>
      </c>
      <c r="F3980" s="1">
        <v>0</v>
      </c>
      <c r="G3980" s="1">
        <v>0</v>
      </c>
      <c r="H3980" s="1">
        <v>0</v>
      </c>
      <c r="I3980" s="1">
        <v>0</v>
      </c>
    </row>
    <row r="3981" spans="1:9" ht="23.25">
      <c r="A3981" s="5" t="s">
        <v>33</v>
      </c>
      <c r="B3981" s="5"/>
      <c r="C3981" s="5" t="s">
        <v>75</v>
      </c>
      <c r="D3981" s="5"/>
      <c r="E3981" s="1">
        <v>0</v>
      </c>
      <c r="F3981" s="1">
        <v>0</v>
      </c>
      <c r="G3981" s="1">
        <v>0</v>
      </c>
      <c r="H3981" s="1">
        <v>0</v>
      </c>
      <c r="I3981" s="1">
        <v>0</v>
      </c>
    </row>
    <row r="3982" spans="1:9" ht="23.25">
      <c r="A3982" s="5" t="s">
        <v>34</v>
      </c>
      <c r="B3982" s="5"/>
      <c r="C3982" s="5" t="s">
        <v>75</v>
      </c>
      <c r="D3982" s="5"/>
      <c r="E3982" s="1">
        <v>0</v>
      </c>
      <c r="F3982" s="1">
        <v>0</v>
      </c>
      <c r="G3982" s="1">
        <v>0</v>
      </c>
      <c r="H3982" s="1">
        <v>0</v>
      </c>
      <c r="I3982" s="1">
        <v>0</v>
      </c>
    </row>
    <row r="3983" spans="1:9" ht="23.25">
      <c r="A3983" s="5" t="s">
        <v>35</v>
      </c>
      <c r="B3983" s="5"/>
      <c r="C3983" s="5" t="s">
        <v>75</v>
      </c>
      <c r="D3983" s="5"/>
      <c r="E3983" s="1">
        <v>0</v>
      </c>
      <c r="F3983" s="1">
        <v>0</v>
      </c>
      <c r="G3983" s="1">
        <v>0</v>
      </c>
      <c r="H3983" s="1">
        <v>0</v>
      </c>
      <c r="I3983" s="1">
        <v>0</v>
      </c>
    </row>
    <row r="3984" spans="1:9" ht="23.25">
      <c r="A3984" s="5" t="s">
        <v>36</v>
      </c>
      <c r="B3984" s="5"/>
      <c r="C3984" s="5" t="s">
        <v>75</v>
      </c>
      <c r="D3984" s="5"/>
      <c r="E3984" s="1">
        <v>0</v>
      </c>
      <c r="F3984" s="1">
        <v>0</v>
      </c>
      <c r="G3984" s="1">
        <v>0</v>
      </c>
      <c r="H3984" s="1">
        <v>0</v>
      </c>
      <c r="I3984" s="1">
        <v>0</v>
      </c>
    </row>
    <row r="3985" spans="1:9" ht="23.25">
      <c r="A3985" s="5" t="s">
        <v>37</v>
      </c>
      <c r="B3985" s="5"/>
      <c r="C3985" s="5" t="s">
        <v>75</v>
      </c>
      <c r="D3985" s="5"/>
      <c r="E3985" s="1">
        <v>0</v>
      </c>
      <c r="F3985" s="1">
        <v>0</v>
      </c>
      <c r="G3985" s="1">
        <v>0</v>
      </c>
      <c r="H3985" s="1">
        <v>0</v>
      </c>
      <c r="I3985" s="1">
        <v>0</v>
      </c>
    </row>
    <row r="3986" spans="1:9" ht="23.25">
      <c r="A3986" s="5" t="s">
        <v>38</v>
      </c>
      <c r="B3986" s="5"/>
      <c r="C3986" s="5" t="s">
        <v>75</v>
      </c>
      <c r="D3986" s="5"/>
      <c r="E3986" s="1">
        <v>4351757</v>
      </c>
      <c r="F3986" s="1">
        <v>458050</v>
      </c>
      <c r="G3986" s="1">
        <v>663169</v>
      </c>
      <c r="H3986" s="1">
        <v>141520</v>
      </c>
      <c r="I3986" s="1">
        <v>2524226</v>
      </c>
    </row>
    <row r="3987" spans="1:9" ht="23.25">
      <c r="A3987" s="5" t="s">
        <v>39</v>
      </c>
      <c r="B3987" s="5"/>
      <c r="C3987" s="5" t="s">
        <v>75</v>
      </c>
      <c r="D3987" s="5"/>
      <c r="E3987" s="1">
        <v>4859105</v>
      </c>
      <c r="F3987" s="1">
        <v>300522</v>
      </c>
      <c r="G3987" s="1">
        <v>245338</v>
      </c>
      <c r="H3987" s="1">
        <v>38177</v>
      </c>
      <c r="I3987" s="1">
        <v>1354204</v>
      </c>
    </row>
    <row r="3988" spans="1:9" ht="23.25">
      <c r="A3988" s="5" t="s">
        <v>40</v>
      </c>
      <c r="B3988" s="5"/>
      <c r="C3988" s="5" t="s">
        <v>75</v>
      </c>
      <c r="D3988" s="5"/>
      <c r="E3988" s="1">
        <v>0</v>
      </c>
      <c r="F3988" s="1">
        <v>0</v>
      </c>
      <c r="G3988" s="1">
        <v>0</v>
      </c>
      <c r="H3988" s="1">
        <v>0</v>
      </c>
      <c r="I3988" s="1">
        <v>0</v>
      </c>
    </row>
    <row r="3989" spans="1:9" ht="23.25">
      <c r="A3989" s="5" t="s">
        <v>41</v>
      </c>
      <c r="B3989" s="5"/>
      <c r="C3989" s="5" t="s">
        <v>75</v>
      </c>
      <c r="D3989" s="5"/>
      <c r="E3989" s="1">
        <v>24505542</v>
      </c>
      <c r="F3989" s="1">
        <v>1755568</v>
      </c>
      <c r="G3989" s="1">
        <v>1580231</v>
      </c>
      <c r="H3989" s="1">
        <v>286531</v>
      </c>
      <c r="I3989" s="1">
        <v>8057880</v>
      </c>
    </row>
    <row r="3990" spans="1:9" ht="23.25">
      <c r="A3990" s="5" t="s">
        <v>42</v>
      </c>
      <c r="B3990" s="5"/>
      <c r="C3990" s="5" t="s">
        <v>75</v>
      </c>
      <c r="D3990" s="5"/>
      <c r="E3990" s="1">
        <v>0</v>
      </c>
      <c r="F3990" s="1">
        <v>0</v>
      </c>
      <c r="G3990" s="1">
        <v>0</v>
      </c>
      <c r="H3990" s="1">
        <v>0</v>
      </c>
      <c r="I3990" s="1">
        <v>0</v>
      </c>
    </row>
    <row r="3991" spans="1:9" ht="23.25">
      <c r="A3991" s="5" t="s">
        <v>43</v>
      </c>
      <c r="B3991" s="5"/>
      <c r="C3991" s="5" t="s">
        <v>75</v>
      </c>
      <c r="D3991" s="5"/>
      <c r="E3991" s="1">
        <v>0</v>
      </c>
      <c r="F3991" s="1">
        <v>0</v>
      </c>
      <c r="G3991" s="1">
        <v>0</v>
      </c>
      <c r="H3991" s="1">
        <v>0</v>
      </c>
      <c r="I3991" s="1">
        <v>0</v>
      </c>
    </row>
    <row r="3992" spans="1:9" ht="23.25">
      <c r="A3992" s="5" t="s">
        <v>44</v>
      </c>
      <c r="B3992" s="5"/>
      <c r="C3992" s="5" t="s">
        <v>75</v>
      </c>
      <c r="D3992" s="5"/>
      <c r="E3992" s="1">
        <v>87316283</v>
      </c>
      <c r="F3992" s="1">
        <v>1420471</v>
      </c>
      <c r="G3992" s="1">
        <v>4450831</v>
      </c>
      <c r="H3992" s="1">
        <v>280488</v>
      </c>
      <c r="I3992" s="1">
        <v>71553242</v>
      </c>
    </row>
    <row r="3993" spans="1:9" ht="23.25">
      <c r="A3993" s="5" t="s">
        <v>45</v>
      </c>
      <c r="B3993" s="5"/>
      <c r="C3993" s="5" t="s">
        <v>75</v>
      </c>
      <c r="D3993" s="5"/>
      <c r="E3993" s="1">
        <v>414032286</v>
      </c>
      <c r="F3993" s="1">
        <v>30888637</v>
      </c>
      <c r="G3993" s="1">
        <v>27137032</v>
      </c>
      <c r="H3993" s="1">
        <v>4926544</v>
      </c>
      <c r="I3993" s="1">
        <v>315139379</v>
      </c>
    </row>
    <row r="3994" spans="1:9" ht="23.25">
      <c r="A3994" s="5" t="s">
        <v>46</v>
      </c>
      <c r="B3994" s="5"/>
      <c r="C3994" s="5" t="s">
        <v>75</v>
      </c>
      <c r="D3994" s="5"/>
      <c r="E3994" s="1">
        <v>655006360</v>
      </c>
      <c r="F3994" s="1">
        <v>25712634</v>
      </c>
      <c r="G3994" s="1">
        <v>21616380</v>
      </c>
      <c r="H3994" s="1">
        <v>5145031</v>
      </c>
      <c r="I3994" s="1">
        <v>368831969</v>
      </c>
    </row>
    <row r="3995" spans="1:9" ht="23.25">
      <c r="A3995" s="5" t="s">
        <v>47</v>
      </c>
      <c r="B3995" s="5"/>
      <c r="C3995" s="5" t="s">
        <v>75</v>
      </c>
      <c r="D3995" s="5"/>
      <c r="E3995" s="1">
        <v>755219295</v>
      </c>
      <c r="F3995" s="1">
        <v>49384665</v>
      </c>
      <c r="G3995" s="1">
        <v>67689586</v>
      </c>
      <c r="H3995" s="1">
        <v>5255375</v>
      </c>
      <c r="I3995" s="1">
        <v>139287540</v>
      </c>
    </row>
    <row r="3996" spans="1:9" ht="23.25">
      <c r="A3996" s="5" t="s">
        <v>48</v>
      </c>
      <c r="B3996" s="5"/>
      <c r="C3996" s="5" t="s">
        <v>75</v>
      </c>
      <c r="D3996" s="5"/>
      <c r="E3996" s="1">
        <v>114957101</v>
      </c>
      <c r="F3996" s="1">
        <v>5144863</v>
      </c>
      <c r="G3996" s="1">
        <v>800281</v>
      </c>
      <c r="H3996" s="1">
        <v>593437</v>
      </c>
      <c r="I3996" s="1">
        <v>55858143</v>
      </c>
    </row>
    <row r="3997" spans="1:9" ht="23.25">
      <c r="A3997" s="5" t="s">
        <v>49</v>
      </c>
      <c r="B3997" s="5"/>
      <c r="C3997" s="5" t="s">
        <v>75</v>
      </c>
      <c r="D3997" s="5"/>
      <c r="E3997" s="1">
        <v>0</v>
      </c>
      <c r="F3997" s="1">
        <v>0</v>
      </c>
      <c r="G3997" s="1">
        <v>0</v>
      </c>
      <c r="H3997" s="1">
        <v>0</v>
      </c>
      <c r="I3997" s="1">
        <v>0</v>
      </c>
    </row>
    <row r="3998" spans="1:9" ht="23.25">
      <c r="A3998" s="5" t="s">
        <v>50</v>
      </c>
      <c r="B3998" s="5"/>
      <c r="C3998" s="5" t="s">
        <v>75</v>
      </c>
      <c r="D3998" s="5"/>
      <c r="E3998" s="1">
        <v>17271136</v>
      </c>
      <c r="F3998" s="1">
        <v>1272716</v>
      </c>
      <c r="G3998" s="1">
        <v>1377897</v>
      </c>
      <c r="H3998" s="1">
        <v>190788</v>
      </c>
      <c r="I3998" s="1">
        <v>2933570</v>
      </c>
    </row>
    <row r="3999" spans="1:9" ht="23.25">
      <c r="A3999" s="5" t="s">
        <v>51</v>
      </c>
      <c r="B3999" s="5"/>
      <c r="C3999" s="5" t="s">
        <v>75</v>
      </c>
      <c r="D3999" s="5"/>
      <c r="E3999" s="1">
        <v>168232534</v>
      </c>
      <c r="F3999" s="1">
        <v>10012418</v>
      </c>
      <c r="G3999" s="1">
        <v>12480542</v>
      </c>
      <c r="H3999" s="1">
        <v>1476985</v>
      </c>
      <c r="I3999" s="1">
        <v>101682463</v>
      </c>
    </row>
    <row r="4000" spans="1:9" ht="23.25">
      <c r="A4000" s="5" t="s">
        <v>52</v>
      </c>
      <c r="B4000" s="5"/>
      <c r="C4000" s="5" t="s">
        <v>75</v>
      </c>
      <c r="D4000" s="5"/>
      <c r="E4000" s="1">
        <v>0</v>
      </c>
      <c r="F4000" s="1">
        <v>0</v>
      </c>
      <c r="G4000" s="1">
        <v>0</v>
      </c>
      <c r="H4000" s="1">
        <v>0</v>
      </c>
      <c r="I4000" s="1">
        <v>0</v>
      </c>
    </row>
    <row r="4001" spans="1:9" ht="23.25">
      <c r="A4001" s="5" t="s">
        <v>53</v>
      </c>
      <c r="B4001" s="5"/>
      <c r="C4001" s="5" t="s">
        <v>75</v>
      </c>
      <c r="D4001" s="5"/>
      <c r="E4001" s="1">
        <v>0</v>
      </c>
      <c r="F4001" s="1">
        <v>0</v>
      </c>
      <c r="G4001" s="1">
        <v>0</v>
      </c>
      <c r="H4001" s="1">
        <v>0</v>
      </c>
      <c r="I4001" s="1">
        <v>0</v>
      </c>
    </row>
    <row r="4002" spans="1:9" ht="23.25">
      <c r="A4002" s="5" t="s">
        <v>54</v>
      </c>
      <c r="B4002" s="5"/>
      <c r="C4002" s="5" t="s">
        <v>75</v>
      </c>
      <c r="D4002" s="5"/>
      <c r="E4002" s="1">
        <v>571863768</v>
      </c>
      <c r="F4002" s="1">
        <v>0</v>
      </c>
      <c r="G4002" s="1">
        <v>0</v>
      </c>
      <c r="H4002" s="1">
        <v>0</v>
      </c>
      <c r="I4002" s="1">
        <v>0</v>
      </c>
    </row>
    <row r="4003" spans="1:9" ht="23.25">
      <c r="A4003" s="5" t="s">
        <v>55</v>
      </c>
      <c r="B4003" s="5"/>
      <c r="C4003" s="5" t="s">
        <v>75</v>
      </c>
      <c r="D4003" s="5"/>
      <c r="E4003" s="1">
        <v>758113275</v>
      </c>
      <c r="F4003" s="1">
        <v>0</v>
      </c>
      <c r="G4003" s="1">
        <v>0</v>
      </c>
      <c r="H4003" s="1">
        <v>0</v>
      </c>
      <c r="I4003" s="1">
        <v>0</v>
      </c>
    </row>
    <row r="4004" spans="1:9" ht="23.25">
      <c r="A4004" s="5" t="s">
        <v>56</v>
      </c>
      <c r="B4004" s="5"/>
      <c r="C4004" s="5" t="s">
        <v>75</v>
      </c>
      <c r="D4004" s="5"/>
      <c r="E4004" s="1">
        <v>0</v>
      </c>
      <c r="F4004" s="1">
        <v>-127163588</v>
      </c>
      <c r="G4004" s="1">
        <v>-138757365</v>
      </c>
      <c r="H4004" s="1">
        <v>0</v>
      </c>
      <c r="I4004" s="1">
        <v>0</v>
      </c>
    </row>
    <row r="4005" spans="1:9" ht="23.25">
      <c r="A4005" s="5" t="s">
        <v>57</v>
      </c>
      <c r="B4005" s="5"/>
      <c r="C4005" s="5" t="s">
        <v>75</v>
      </c>
      <c r="D4005" s="5"/>
      <c r="E4005" s="1">
        <v>0</v>
      </c>
      <c r="F4005" s="1">
        <v>0</v>
      </c>
      <c r="G4005" s="1">
        <v>0</v>
      </c>
      <c r="H4005" s="1">
        <v>0</v>
      </c>
      <c r="I4005" s="1">
        <v>0</v>
      </c>
    </row>
    <row r="4006" spans="1:9" ht="23.25">
      <c r="A4006" s="5" t="s">
        <v>58</v>
      </c>
      <c r="B4006" s="5"/>
      <c r="C4006" s="5" t="s">
        <v>75</v>
      </c>
      <c r="D4006" s="5"/>
      <c r="E4006" s="1">
        <v>0</v>
      </c>
      <c r="F4006" s="1">
        <v>0</v>
      </c>
      <c r="G4006" s="1">
        <v>0</v>
      </c>
      <c r="H4006" s="1">
        <v>-18440707</v>
      </c>
      <c r="I4006" s="1">
        <v>0</v>
      </c>
    </row>
    <row r="4007" spans="1:9" ht="23.25">
      <c r="A4007" s="5" t="s">
        <v>59</v>
      </c>
      <c r="B4007" s="5"/>
      <c r="C4007" s="5" t="s">
        <v>75</v>
      </c>
      <c r="D4007" s="5"/>
      <c r="E4007" s="1">
        <v>0</v>
      </c>
      <c r="F4007" s="1">
        <v>0</v>
      </c>
      <c r="G4007" s="1">
        <v>0</v>
      </c>
      <c r="H4007" s="1">
        <v>0</v>
      </c>
      <c r="I4007" s="1">
        <v>0</v>
      </c>
    </row>
    <row r="4008" spans="1:9" ht="23.25">
      <c r="A4008" s="5" t="s">
        <v>60</v>
      </c>
      <c r="B4008" s="5"/>
      <c r="C4008" s="5" t="s">
        <v>75</v>
      </c>
      <c r="D4008" s="5"/>
      <c r="E4008" s="1">
        <v>0</v>
      </c>
      <c r="F4008" s="1">
        <v>0</v>
      </c>
      <c r="G4008" s="1">
        <v>0</v>
      </c>
      <c r="H4008" s="1">
        <v>0</v>
      </c>
      <c r="I4008" s="1">
        <v>0</v>
      </c>
    </row>
    <row r="4009" spans="1:9" ht="23.25">
      <c r="A4009" s="5" t="s">
        <v>61</v>
      </c>
      <c r="B4009" s="5"/>
      <c r="C4009" s="5" t="s">
        <v>75</v>
      </c>
      <c r="D4009" s="5"/>
      <c r="E4009" s="1">
        <v>0</v>
      </c>
      <c r="F4009" s="1">
        <v>0</v>
      </c>
      <c r="G4009" s="1">
        <v>0</v>
      </c>
      <c r="H4009" s="1">
        <v>0</v>
      </c>
      <c r="I4009" s="1">
        <v>0</v>
      </c>
    </row>
    <row r="4010" spans="1:9" ht="23.25">
      <c r="A4010" s="5" t="s">
        <v>62</v>
      </c>
      <c r="B4010" s="5"/>
      <c r="C4010" s="5" t="s">
        <v>75</v>
      </c>
      <c r="D4010" s="5"/>
      <c r="E4010" s="1">
        <v>96174705</v>
      </c>
      <c r="F4010" s="1">
        <v>0</v>
      </c>
      <c r="G4010" s="1">
        <v>0</v>
      </c>
      <c r="H4010" s="1">
        <v>0</v>
      </c>
      <c r="I4010" s="1">
        <v>84945926</v>
      </c>
    </row>
    <row r="4011" spans="1:9" ht="23.25">
      <c r="A4011" s="5" t="s">
        <v>63</v>
      </c>
      <c r="B4011" s="5"/>
      <c r="C4011" s="5" t="s">
        <v>75</v>
      </c>
      <c r="D4011" s="5"/>
      <c r="E4011" s="1">
        <v>116357846</v>
      </c>
      <c r="F4011" s="1">
        <v>0</v>
      </c>
      <c r="G4011" s="1">
        <v>0</v>
      </c>
      <c r="H4011" s="1">
        <v>0</v>
      </c>
      <c r="I4011" s="1">
        <v>0</v>
      </c>
    </row>
    <row r="4012" spans="1:9" ht="23.25">
      <c r="A4012" s="5" t="s">
        <v>64</v>
      </c>
      <c r="B4012" s="5"/>
      <c r="C4012" s="5" t="s">
        <v>75</v>
      </c>
      <c r="D4012" s="5"/>
      <c r="E4012" s="1">
        <v>0</v>
      </c>
      <c r="F4012" s="1">
        <v>0</v>
      </c>
      <c r="G4012" s="1">
        <v>0</v>
      </c>
      <c r="H4012" s="1">
        <v>0</v>
      </c>
      <c r="I4012" s="1">
        <v>0</v>
      </c>
    </row>
    <row r="4013" spans="1:9" ht="23.25">
      <c r="A4013" s="5" t="s">
        <v>65</v>
      </c>
      <c r="B4013" s="5"/>
      <c r="C4013" s="5" t="s">
        <v>75</v>
      </c>
      <c r="D4013" s="5"/>
      <c r="E4013" s="1">
        <v>0</v>
      </c>
      <c r="F4013" s="1">
        <v>0</v>
      </c>
      <c r="G4013" s="1">
        <v>0</v>
      </c>
      <c r="H4013" s="1">
        <v>0</v>
      </c>
      <c r="I4013" s="1">
        <v>0</v>
      </c>
    </row>
    <row r="4014" spans="1:9" ht="23.25">
      <c r="A4014" s="5" t="s">
        <v>66</v>
      </c>
      <c r="B4014" s="5"/>
      <c r="C4014" s="5" t="s">
        <v>75</v>
      </c>
      <c r="D4014" s="5"/>
      <c r="E4014" s="1">
        <v>3803228016</v>
      </c>
      <c r="F4014" s="1">
        <v>0</v>
      </c>
      <c r="G4014" s="1">
        <v>0</v>
      </c>
      <c r="H4014" s="1">
        <v>0</v>
      </c>
      <c r="I4014" s="1">
        <v>1156768108</v>
      </c>
    </row>
    <row r="4015" spans="1:9" ht="23.25">
      <c r="A4015" s="5" t="s">
        <v>8</v>
      </c>
      <c r="B4015" s="5"/>
      <c r="C4015" s="5" t="s">
        <v>76</v>
      </c>
      <c r="D4015" s="5"/>
      <c r="E4015" s="1">
        <v>-24818427</v>
      </c>
      <c r="F4015" s="1">
        <v>-3849441</v>
      </c>
      <c r="G4015" s="1">
        <v>-209812</v>
      </c>
      <c r="H4015" s="1">
        <v>-199956</v>
      </c>
      <c r="I4015" s="1">
        <v>0</v>
      </c>
    </row>
    <row r="4016" spans="1:9" ht="23.25">
      <c r="A4016" s="5" t="s">
        <v>9</v>
      </c>
      <c r="B4016" s="5"/>
      <c r="C4016" s="5" t="s">
        <v>76</v>
      </c>
      <c r="D4016" s="5"/>
      <c r="E4016" s="1">
        <v>27353408</v>
      </c>
      <c r="F4016" s="1">
        <v>1163675</v>
      </c>
      <c r="G4016" s="1">
        <v>500580</v>
      </c>
      <c r="H4016" s="1">
        <v>210596</v>
      </c>
      <c r="I4016" s="1">
        <v>557575</v>
      </c>
    </row>
    <row r="4017" spans="1:9" ht="23.25">
      <c r="A4017" s="5" t="s">
        <v>10</v>
      </c>
      <c r="B4017" s="5"/>
      <c r="C4017" s="5" t="s">
        <v>76</v>
      </c>
      <c r="D4017" s="5"/>
      <c r="E4017" s="1">
        <v>12230209</v>
      </c>
      <c r="F4017" s="1">
        <v>553424</v>
      </c>
      <c r="G4017" s="1">
        <v>107822</v>
      </c>
      <c r="H4017" s="1">
        <v>82671</v>
      </c>
      <c r="I4017" s="1">
        <v>0</v>
      </c>
    </row>
    <row r="4018" spans="1:9" ht="23.25">
      <c r="A4018" s="5" t="s">
        <v>11</v>
      </c>
      <c r="B4018" s="5"/>
      <c r="C4018" s="5" t="s">
        <v>76</v>
      </c>
      <c r="D4018" s="5"/>
      <c r="E4018" s="1">
        <v>-288257</v>
      </c>
      <c r="F4018" s="1">
        <v>-6708</v>
      </c>
      <c r="G4018" s="1">
        <v>-4456</v>
      </c>
      <c r="H4018" s="1">
        <v>-701</v>
      </c>
      <c r="I4018" s="1">
        <v>0</v>
      </c>
    </row>
    <row r="4019" spans="1:9" ht="23.25">
      <c r="A4019" s="5" t="s">
        <v>12</v>
      </c>
      <c r="B4019" s="5"/>
      <c r="C4019" s="5" t="s">
        <v>76</v>
      </c>
      <c r="D4019" s="5"/>
      <c r="E4019" s="1">
        <v>0</v>
      </c>
      <c r="F4019" s="1">
        <v>0</v>
      </c>
      <c r="G4019" s="1">
        <v>0</v>
      </c>
      <c r="H4019" s="1">
        <v>0</v>
      </c>
      <c r="I4019" s="1">
        <v>0</v>
      </c>
    </row>
    <row r="4020" spans="1:9" ht="23.25">
      <c r="A4020" s="5" t="s">
        <v>13</v>
      </c>
      <c r="B4020" s="5"/>
      <c r="C4020" s="5" t="s">
        <v>76</v>
      </c>
      <c r="D4020" s="5"/>
      <c r="E4020" s="1">
        <v>0</v>
      </c>
      <c r="F4020" s="1">
        <v>0</v>
      </c>
      <c r="G4020" s="1">
        <v>0</v>
      </c>
      <c r="H4020" s="1">
        <v>0</v>
      </c>
      <c r="I4020" s="1">
        <v>0</v>
      </c>
    </row>
    <row r="4021" spans="1:9" ht="23.25">
      <c r="A4021" s="5" t="s">
        <v>14</v>
      </c>
      <c r="B4021" s="5"/>
      <c r="C4021" s="5" t="s">
        <v>76</v>
      </c>
      <c r="D4021" s="5"/>
      <c r="E4021" s="1">
        <v>67637322</v>
      </c>
      <c r="F4021" s="1">
        <v>2895950</v>
      </c>
      <c r="G4021" s="1">
        <v>0</v>
      </c>
      <c r="H4021" s="1">
        <v>338924</v>
      </c>
      <c r="I4021" s="1">
        <v>0</v>
      </c>
    </row>
    <row r="4022" spans="1:9" ht="23.25">
      <c r="A4022" s="5" t="s">
        <v>15</v>
      </c>
      <c r="B4022" s="5"/>
      <c r="C4022" s="5" t="s">
        <v>76</v>
      </c>
      <c r="D4022" s="5"/>
      <c r="E4022" s="1">
        <v>203793</v>
      </c>
      <c r="F4022" s="1">
        <v>-13403</v>
      </c>
      <c r="G4022" s="1">
        <v>36674</v>
      </c>
      <c r="H4022" s="1">
        <v>5720</v>
      </c>
      <c r="I4022" s="1">
        <v>0</v>
      </c>
    </row>
    <row r="4023" spans="1:9" ht="23.25">
      <c r="A4023" s="5" t="s">
        <v>16</v>
      </c>
      <c r="B4023" s="5"/>
      <c r="C4023" s="5" t="s">
        <v>76</v>
      </c>
      <c r="D4023" s="5"/>
      <c r="E4023" s="1">
        <v>0</v>
      </c>
      <c r="F4023" s="1">
        <v>0</v>
      </c>
      <c r="G4023" s="1">
        <v>0</v>
      </c>
      <c r="H4023" s="1">
        <v>0</v>
      </c>
      <c r="I4023" s="1">
        <v>0</v>
      </c>
    </row>
    <row r="4024" spans="1:9" ht="23.25">
      <c r="A4024" s="5" t="s">
        <v>17</v>
      </c>
      <c r="B4024" s="5"/>
      <c r="C4024" s="5" t="s">
        <v>76</v>
      </c>
      <c r="D4024" s="5"/>
      <c r="E4024" s="1">
        <v>-38847602</v>
      </c>
      <c r="F4024" s="1">
        <v>-704976</v>
      </c>
      <c r="G4024" s="1">
        <v>0</v>
      </c>
      <c r="H4024" s="1">
        <v>-448046</v>
      </c>
      <c r="I4024" s="1">
        <v>0</v>
      </c>
    </row>
    <row r="4025" spans="1:9" ht="23.25">
      <c r="A4025" s="5" t="s">
        <v>18</v>
      </c>
      <c r="B4025" s="5"/>
      <c r="C4025" s="5" t="s">
        <v>76</v>
      </c>
      <c r="D4025" s="5"/>
      <c r="E4025" s="1">
        <v>0</v>
      </c>
      <c r="F4025" s="1">
        <v>0</v>
      </c>
      <c r="G4025" s="1">
        <v>0</v>
      </c>
      <c r="H4025" s="1">
        <v>0</v>
      </c>
      <c r="I4025" s="1">
        <v>0</v>
      </c>
    </row>
    <row r="4026" spans="1:9" ht="23.25">
      <c r="A4026" s="5" t="s">
        <v>19</v>
      </c>
      <c r="B4026" s="5"/>
      <c r="C4026" s="5" t="s">
        <v>76</v>
      </c>
      <c r="D4026" s="5"/>
      <c r="E4026" s="1">
        <v>119611124</v>
      </c>
      <c r="F4026" s="1">
        <v>23140</v>
      </c>
      <c r="G4026" s="1">
        <v>0</v>
      </c>
      <c r="H4026" s="1">
        <v>52086</v>
      </c>
      <c r="I4026" s="1">
        <v>4847781</v>
      </c>
    </row>
    <row r="4027" spans="1:9" ht="23.25">
      <c r="A4027" s="5" t="s">
        <v>20</v>
      </c>
      <c r="B4027" s="5"/>
      <c r="C4027" s="5" t="s">
        <v>76</v>
      </c>
      <c r="D4027" s="5"/>
      <c r="E4027" s="1">
        <v>-10590201</v>
      </c>
      <c r="F4027" s="1">
        <v>-136595</v>
      </c>
      <c r="G4027" s="1">
        <v>0</v>
      </c>
      <c r="H4027" s="1">
        <v>-180595</v>
      </c>
      <c r="I4027" s="1">
        <v>0</v>
      </c>
    </row>
    <row r="4028" spans="1:9" ht="23.25">
      <c r="A4028" s="5" t="s">
        <v>21</v>
      </c>
      <c r="B4028" s="5"/>
      <c r="C4028" s="5" t="s">
        <v>76</v>
      </c>
      <c r="D4028" s="5"/>
      <c r="E4028" s="1">
        <v>-66262088</v>
      </c>
      <c r="F4028" s="1">
        <v>-4088861</v>
      </c>
      <c r="G4028" s="1">
        <v>0</v>
      </c>
      <c r="H4028" s="1">
        <v>-7028773</v>
      </c>
      <c r="I4028" s="1">
        <v>0</v>
      </c>
    </row>
    <row r="4029" spans="1:9" ht="23.25">
      <c r="A4029" s="5" t="s">
        <v>22</v>
      </c>
      <c r="B4029" s="5"/>
      <c r="C4029" s="5" t="s">
        <v>76</v>
      </c>
      <c r="D4029" s="5"/>
      <c r="E4029" s="1">
        <v>0</v>
      </c>
      <c r="F4029" s="1">
        <v>0</v>
      </c>
      <c r="G4029" s="1">
        <v>0</v>
      </c>
      <c r="H4029" s="1">
        <v>0</v>
      </c>
      <c r="I4029" s="1">
        <v>0</v>
      </c>
    </row>
    <row r="4030" spans="1:9" ht="23.25">
      <c r="A4030" s="5" t="s">
        <v>23</v>
      </c>
      <c r="B4030" s="5"/>
      <c r="C4030" s="5" t="s">
        <v>76</v>
      </c>
      <c r="D4030" s="5"/>
      <c r="E4030" s="1">
        <v>57844489</v>
      </c>
      <c r="F4030" s="1">
        <v>1009035</v>
      </c>
      <c r="G4030" s="1">
        <v>2486686</v>
      </c>
      <c r="H4030" s="1">
        <v>501796</v>
      </c>
      <c r="I4030" s="1">
        <v>16703183</v>
      </c>
    </row>
    <row r="4031" spans="1:9" ht="23.25">
      <c r="A4031" s="5" t="s">
        <v>24</v>
      </c>
      <c r="B4031" s="5"/>
      <c r="C4031" s="5" t="s">
        <v>76</v>
      </c>
      <c r="D4031" s="5"/>
      <c r="E4031" s="1">
        <v>-79365247</v>
      </c>
      <c r="F4031" s="1">
        <v>-4078321</v>
      </c>
      <c r="G4031" s="1">
        <v>-3917493</v>
      </c>
      <c r="H4031" s="1">
        <v>-1394476</v>
      </c>
      <c r="I4031" s="1">
        <v>0</v>
      </c>
    </row>
    <row r="4032" spans="1:9" ht="23.25">
      <c r="A4032" s="5" t="s">
        <v>25</v>
      </c>
      <c r="B4032" s="5"/>
      <c r="C4032" s="5" t="s">
        <v>76</v>
      </c>
      <c r="D4032" s="5"/>
      <c r="E4032" s="1">
        <v>-23289063</v>
      </c>
      <c r="F4032" s="1">
        <v>-228577</v>
      </c>
      <c r="G4032" s="1">
        <v>-179031</v>
      </c>
      <c r="H4032" s="1">
        <v>-247801</v>
      </c>
      <c r="I4032" s="1">
        <v>0</v>
      </c>
    </row>
    <row r="4033" spans="1:9" ht="23.25">
      <c r="A4033" s="5" t="s">
        <v>26</v>
      </c>
      <c r="B4033" s="5"/>
      <c r="C4033" s="5" t="s">
        <v>76</v>
      </c>
      <c r="D4033" s="5"/>
      <c r="E4033" s="1">
        <v>-44431677</v>
      </c>
      <c r="F4033" s="1">
        <v>342892</v>
      </c>
      <c r="G4033" s="1">
        <v>563883</v>
      </c>
      <c r="H4033" s="1">
        <v>-593469</v>
      </c>
      <c r="I4033" s="1">
        <v>952921</v>
      </c>
    </row>
    <row r="4034" spans="1:9" ht="23.25">
      <c r="A4034" s="5" t="s">
        <v>27</v>
      </c>
      <c r="B4034" s="5"/>
      <c r="C4034" s="5" t="s">
        <v>76</v>
      </c>
      <c r="D4034" s="5"/>
      <c r="E4034" s="1">
        <v>-54850635</v>
      </c>
      <c r="F4034" s="1">
        <v>-829574</v>
      </c>
      <c r="G4034" s="1">
        <v>-1497251</v>
      </c>
      <c r="H4034" s="1">
        <v>-429962</v>
      </c>
      <c r="I4034" s="1">
        <v>0</v>
      </c>
    </row>
    <row r="4035" spans="1:9" ht="23.25">
      <c r="A4035" s="5" t="s">
        <v>28</v>
      </c>
      <c r="B4035" s="5"/>
      <c r="C4035" s="5" t="s">
        <v>76</v>
      </c>
      <c r="D4035" s="5"/>
      <c r="E4035" s="1">
        <v>113113549</v>
      </c>
      <c r="F4035" s="1">
        <v>2359398</v>
      </c>
      <c r="G4035" s="1">
        <v>1996967</v>
      </c>
      <c r="H4035" s="1">
        <v>987575</v>
      </c>
      <c r="I4035" s="1">
        <v>0</v>
      </c>
    </row>
    <row r="4036" spans="1:9" ht="23.25">
      <c r="A4036" s="5" t="s">
        <v>29</v>
      </c>
      <c r="B4036" s="5"/>
      <c r="C4036" s="5" t="s">
        <v>76</v>
      </c>
      <c r="D4036" s="5"/>
      <c r="E4036" s="1">
        <v>-5612033</v>
      </c>
      <c r="F4036" s="1">
        <v>-267186</v>
      </c>
      <c r="G4036" s="1">
        <v>30126</v>
      </c>
      <c r="H4036" s="1">
        <v>-141449</v>
      </c>
      <c r="I4036" s="1">
        <v>0</v>
      </c>
    </row>
    <row r="4037" spans="1:9" ht="23.25">
      <c r="A4037" s="5" t="s">
        <v>30</v>
      </c>
      <c r="B4037" s="5"/>
      <c r="C4037" s="5" t="s">
        <v>76</v>
      </c>
      <c r="D4037" s="5"/>
      <c r="E4037" s="1">
        <v>9184715</v>
      </c>
      <c r="F4037" s="1">
        <v>446839</v>
      </c>
      <c r="G4037" s="1">
        <v>512739</v>
      </c>
      <c r="H4037" s="1">
        <v>108700</v>
      </c>
      <c r="I4037" s="1">
        <v>614489</v>
      </c>
    </row>
    <row r="4038" spans="1:9" ht="23.25">
      <c r="A4038" s="5" t="s">
        <v>31</v>
      </c>
      <c r="B4038" s="5"/>
      <c r="C4038" s="5" t="s">
        <v>76</v>
      </c>
      <c r="D4038" s="5"/>
      <c r="E4038" s="1">
        <v>4852347</v>
      </c>
      <c r="F4038" s="1">
        <v>1007145</v>
      </c>
      <c r="G4038" s="1">
        <v>1143360</v>
      </c>
      <c r="H4038" s="1">
        <v>-47888</v>
      </c>
      <c r="I4038" s="1">
        <v>4662979</v>
      </c>
    </row>
    <row r="4039" spans="1:9" ht="23.25">
      <c r="A4039" s="5" t="s">
        <v>32</v>
      </c>
      <c r="B4039" s="5"/>
      <c r="C4039" s="5" t="s">
        <v>76</v>
      </c>
      <c r="D4039" s="5"/>
      <c r="E4039" s="1">
        <v>-24589740</v>
      </c>
      <c r="F4039" s="1">
        <v>-950689</v>
      </c>
      <c r="G4039" s="1">
        <v>-211803</v>
      </c>
      <c r="H4039" s="1">
        <v>-118907</v>
      </c>
      <c r="I4039" s="1">
        <v>947897</v>
      </c>
    </row>
    <row r="4040" spans="1:9" ht="23.25">
      <c r="A4040" s="5" t="s">
        <v>33</v>
      </c>
      <c r="B4040" s="5"/>
      <c r="C4040" s="5" t="s">
        <v>76</v>
      </c>
      <c r="D4040" s="5"/>
      <c r="E4040" s="1">
        <v>12135680</v>
      </c>
      <c r="F4040" s="1">
        <v>596085</v>
      </c>
      <c r="G4040" s="1">
        <v>1060275</v>
      </c>
      <c r="H4040" s="1">
        <v>103873</v>
      </c>
      <c r="I4040" s="1">
        <v>2769446</v>
      </c>
    </row>
    <row r="4041" spans="1:9" ht="23.25">
      <c r="A4041" s="5" t="s">
        <v>34</v>
      </c>
      <c r="B4041" s="5"/>
      <c r="C4041" s="5" t="s">
        <v>76</v>
      </c>
      <c r="D4041" s="5"/>
      <c r="E4041" s="1">
        <v>-125251916</v>
      </c>
      <c r="F4041" s="1">
        <v>-7028002</v>
      </c>
      <c r="G4041" s="1">
        <v>-4608418</v>
      </c>
      <c r="H4041" s="1">
        <v>-867119</v>
      </c>
      <c r="I4041" s="1">
        <v>0</v>
      </c>
    </row>
    <row r="4042" spans="1:9" ht="23.25">
      <c r="A4042" s="5" t="s">
        <v>35</v>
      </c>
      <c r="B4042" s="5"/>
      <c r="C4042" s="5" t="s">
        <v>76</v>
      </c>
      <c r="D4042" s="5"/>
      <c r="E4042" s="1">
        <v>-44150296</v>
      </c>
      <c r="F4042" s="1">
        <v>-1725830</v>
      </c>
      <c r="G4042" s="1">
        <v>-2192300</v>
      </c>
      <c r="H4042" s="1">
        <v>-1417399</v>
      </c>
      <c r="I4042" s="1">
        <v>0</v>
      </c>
    </row>
    <row r="4043" spans="1:9" ht="23.25">
      <c r="A4043" s="5" t="s">
        <v>36</v>
      </c>
      <c r="B4043" s="5"/>
      <c r="C4043" s="5" t="s">
        <v>76</v>
      </c>
      <c r="D4043" s="5"/>
      <c r="E4043" s="1">
        <v>-56175188</v>
      </c>
      <c r="F4043" s="1">
        <v>-3562493</v>
      </c>
      <c r="G4043" s="1">
        <v>-1910913</v>
      </c>
      <c r="H4043" s="1">
        <v>-410833</v>
      </c>
      <c r="I4043" s="1">
        <v>0</v>
      </c>
    </row>
    <row r="4044" spans="1:9" ht="23.25">
      <c r="A4044" s="5" t="s">
        <v>37</v>
      </c>
      <c r="B4044" s="5"/>
      <c r="C4044" s="5" t="s">
        <v>76</v>
      </c>
      <c r="D4044" s="5"/>
      <c r="E4044" s="1">
        <v>66954903</v>
      </c>
      <c r="F4044" s="1">
        <v>1779670</v>
      </c>
      <c r="G4044" s="1">
        <v>1905579</v>
      </c>
      <c r="H4044" s="1">
        <v>615045</v>
      </c>
      <c r="I4044" s="1">
        <v>8349885</v>
      </c>
    </row>
    <row r="4045" spans="1:9" ht="23.25">
      <c r="A4045" s="5" t="s">
        <v>38</v>
      </c>
      <c r="B4045" s="5"/>
      <c r="C4045" s="5" t="s">
        <v>76</v>
      </c>
      <c r="D4045" s="5"/>
      <c r="E4045" s="1">
        <v>-111442144</v>
      </c>
      <c r="F4045" s="1">
        <v>-5546125</v>
      </c>
      <c r="G4045" s="1">
        <v>-6383899</v>
      </c>
      <c r="H4045" s="1">
        <v>-2681790</v>
      </c>
      <c r="I4045" s="1">
        <v>0</v>
      </c>
    </row>
    <row r="4046" spans="1:9" ht="23.25">
      <c r="A4046" s="5" t="s">
        <v>39</v>
      </c>
      <c r="B4046" s="5"/>
      <c r="C4046" s="5" t="s">
        <v>76</v>
      </c>
      <c r="D4046" s="5"/>
      <c r="E4046" s="1">
        <v>119902509</v>
      </c>
      <c r="F4046" s="1">
        <v>3800911</v>
      </c>
      <c r="G4046" s="1">
        <v>4949466</v>
      </c>
      <c r="H4046" s="1">
        <v>686700</v>
      </c>
      <c r="I4046" s="1">
        <v>14233352</v>
      </c>
    </row>
    <row r="4047" spans="1:9" ht="23.25">
      <c r="A4047" s="5" t="s">
        <v>40</v>
      </c>
      <c r="B4047" s="5"/>
      <c r="C4047" s="5" t="s">
        <v>76</v>
      </c>
      <c r="D4047" s="5"/>
      <c r="E4047" s="1">
        <v>-28198862</v>
      </c>
      <c r="F4047" s="1">
        <v>-1428997</v>
      </c>
      <c r="G4047" s="1">
        <v>-543332</v>
      </c>
      <c r="H4047" s="1">
        <v>-418304</v>
      </c>
      <c r="I4047" s="1">
        <v>0</v>
      </c>
    </row>
    <row r="4048" spans="1:9" ht="23.25">
      <c r="A4048" s="5" t="s">
        <v>41</v>
      </c>
      <c r="B4048" s="5"/>
      <c r="C4048" s="5" t="s">
        <v>76</v>
      </c>
      <c r="D4048" s="5"/>
      <c r="E4048" s="1">
        <v>14593912</v>
      </c>
      <c r="F4048" s="1">
        <v>983442</v>
      </c>
      <c r="G4048" s="1">
        <v>851740</v>
      </c>
      <c r="H4048" s="1">
        <v>124113</v>
      </c>
      <c r="I4048" s="1">
        <v>2284907</v>
      </c>
    </row>
    <row r="4049" spans="1:9" ht="23.25">
      <c r="A4049" s="5" t="s">
        <v>42</v>
      </c>
      <c r="B4049" s="5"/>
      <c r="C4049" s="5" t="s">
        <v>76</v>
      </c>
      <c r="D4049" s="5"/>
      <c r="E4049" s="1">
        <v>-124444497</v>
      </c>
      <c r="F4049" s="1">
        <v>-5384238</v>
      </c>
      <c r="G4049" s="1">
        <v>-8561549</v>
      </c>
      <c r="H4049" s="1">
        <v>-1417659</v>
      </c>
      <c r="I4049" s="1">
        <v>0</v>
      </c>
    </row>
    <row r="4050" spans="1:9" ht="23.25">
      <c r="A4050" s="5" t="s">
        <v>43</v>
      </c>
      <c r="B4050" s="5"/>
      <c r="C4050" s="5" t="s">
        <v>76</v>
      </c>
      <c r="D4050" s="5"/>
      <c r="E4050" s="1">
        <v>26090084</v>
      </c>
      <c r="F4050" s="1">
        <v>861448</v>
      </c>
      <c r="G4050" s="1">
        <v>576239</v>
      </c>
      <c r="H4050" s="1">
        <v>39094</v>
      </c>
      <c r="I4050" s="1">
        <v>15386588</v>
      </c>
    </row>
    <row r="4051" spans="1:9" ht="23.25">
      <c r="A4051" s="5" t="s">
        <v>44</v>
      </c>
      <c r="B4051" s="5"/>
      <c r="C4051" s="5" t="s">
        <v>76</v>
      </c>
      <c r="D4051" s="5"/>
      <c r="E4051" s="1">
        <v>133976575</v>
      </c>
      <c r="F4051" s="1">
        <v>2649100</v>
      </c>
      <c r="G4051" s="1">
        <v>5748667</v>
      </c>
      <c r="H4051" s="1">
        <v>576550</v>
      </c>
      <c r="I4051" s="1">
        <v>13828551</v>
      </c>
    </row>
    <row r="4052" spans="1:9" ht="23.25">
      <c r="A4052" s="5" t="s">
        <v>45</v>
      </c>
      <c r="B4052" s="5"/>
      <c r="C4052" s="5" t="s">
        <v>76</v>
      </c>
      <c r="D4052" s="5"/>
      <c r="E4052" s="1">
        <v>-78029883</v>
      </c>
      <c r="F4052" s="1">
        <v>-3533942</v>
      </c>
      <c r="G4052" s="1">
        <v>-871784</v>
      </c>
      <c r="H4052" s="1">
        <v>-328353</v>
      </c>
      <c r="I4052" s="1">
        <v>523277</v>
      </c>
    </row>
    <row r="4053" spans="1:9" ht="23.25">
      <c r="A4053" s="5" t="s">
        <v>46</v>
      </c>
      <c r="B4053" s="5"/>
      <c r="C4053" s="5" t="s">
        <v>76</v>
      </c>
      <c r="D4053" s="5"/>
      <c r="E4053" s="1">
        <v>554015860</v>
      </c>
      <c r="F4053" s="1">
        <v>17844340</v>
      </c>
      <c r="G4053" s="1">
        <v>22678797</v>
      </c>
      <c r="H4053" s="1">
        <v>5740747</v>
      </c>
      <c r="I4053" s="1">
        <v>104926960</v>
      </c>
    </row>
    <row r="4054" spans="1:9" ht="23.25">
      <c r="A4054" s="5" t="s">
        <v>47</v>
      </c>
      <c r="B4054" s="5"/>
      <c r="C4054" s="5" t="s">
        <v>76</v>
      </c>
      <c r="D4054" s="5"/>
      <c r="E4054" s="1">
        <v>45949449</v>
      </c>
      <c r="F4054" s="1">
        <v>6204802</v>
      </c>
      <c r="G4054" s="1">
        <v>6516478</v>
      </c>
      <c r="H4054" s="1">
        <v>372289</v>
      </c>
      <c r="I4054" s="1">
        <v>6165051</v>
      </c>
    </row>
    <row r="4055" spans="1:9" ht="23.25">
      <c r="A4055" s="5" t="s">
        <v>48</v>
      </c>
      <c r="B4055" s="5"/>
      <c r="C4055" s="5" t="s">
        <v>76</v>
      </c>
      <c r="D4055" s="5"/>
      <c r="E4055" s="1">
        <v>11923291</v>
      </c>
      <c r="F4055" s="1">
        <v>-389037</v>
      </c>
      <c r="G4055" s="1">
        <v>105193</v>
      </c>
      <c r="H4055" s="1">
        <v>-202911</v>
      </c>
      <c r="I4055" s="1">
        <v>2365096</v>
      </c>
    </row>
    <row r="4056" spans="1:9" ht="23.25">
      <c r="A4056" s="5" t="s">
        <v>49</v>
      </c>
      <c r="B4056" s="5"/>
      <c r="C4056" s="5" t="s">
        <v>76</v>
      </c>
      <c r="D4056" s="5"/>
      <c r="E4056" s="1">
        <v>4230148</v>
      </c>
      <c r="F4056" s="1">
        <v>-1692506</v>
      </c>
      <c r="G4056" s="1">
        <v>204970</v>
      </c>
      <c r="H4056" s="1">
        <v>-87990</v>
      </c>
      <c r="I4056" s="1">
        <v>2744246</v>
      </c>
    </row>
    <row r="4057" spans="1:9" ht="23.25">
      <c r="A4057" s="5" t="s">
        <v>50</v>
      </c>
      <c r="B4057" s="5"/>
      <c r="C4057" s="5" t="s">
        <v>76</v>
      </c>
      <c r="D4057" s="5"/>
      <c r="E4057" s="1">
        <v>82632447</v>
      </c>
      <c r="F4057" s="1">
        <v>3181431</v>
      </c>
      <c r="G4057" s="1">
        <v>1803352</v>
      </c>
      <c r="H4057" s="1">
        <v>792823</v>
      </c>
      <c r="I4057" s="1">
        <v>0</v>
      </c>
    </row>
    <row r="4058" spans="1:9" ht="23.25">
      <c r="A4058" s="5" t="s">
        <v>51</v>
      </c>
      <c r="B4058" s="5"/>
      <c r="C4058" s="5" t="s">
        <v>76</v>
      </c>
      <c r="D4058" s="5"/>
      <c r="E4058" s="1">
        <v>244746842</v>
      </c>
      <c r="F4058" s="1">
        <v>491334</v>
      </c>
      <c r="G4058" s="1">
        <v>4184941</v>
      </c>
      <c r="H4058" s="1">
        <v>-223552</v>
      </c>
      <c r="I4058" s="1">
        <v>13054481</v>
      </c>
    </row>
    <row r="4059" spans="1:9" ht="23.25">
      <c r="A4059" s="5" t="s">
        <v>52</v>
      </c>
      <c r="B4059" s="5"/>
      <c r="C4059" s="5" t="s">
        <v>76</v>
      </c>
      <c r="D4059" s="5"/>
      <c r="E4059" s="1">
        <v>0</v>
      </c>
      <c r="F4059" s="1">
        <v>0</v>
      </c>
      <c r="G4059" s="1">
        <v>0</v>
      </c>
      <c r="H4059" s="1">
        <v>0</v>
      </c>
      <c r="I4059" s="1">
        <v>0</v>
      </c>
    </row>
    <row r="4060" spans="1:9" ht="23.25">
      <c r="A4060" s="5" t="s">
        <v>53</v>
      </c>
      <c r="B4060" s="5"/>
      <c r="C4060" s="5" t="s">
        <v>76</v>
      </c>
      <c r="D4060" s="5"/>
      <c r="E4060" s="1">
        <v>0</v>
      </c>
      <c r="F4060" s="1">
        <v>0</v>
      </c>
      <c r="G4060" s="1">
        <v>0</v>
      </c>
      <c r="H4060" s="1">
        <v>0</v>
      </c>
      <c r="I4060" s="1">
        <v>0</v>
      </c>
    </row>
    <row r="4061" spans="1:9" ht="23.25">
      <c r="A4061" s="5" t="s">
        <v>54</v>
      </c>
      <c r="B4061" s="5"/>
      <c r="C4061" s="5" t="s">
        <v>76</v>
      </c>
      <c r="D4061" s="5"/>
      <c r="E4061" s="1">
        <v>0</v>
      </c>
      <c r="F4061" s="1">
        <v>0</v>
      </c>
      <c r="G4061" s="1">
        <v>0</v>
      </c>
      <c r="H4061" s="1">
        <v>0</v>
      </c>
      <c r="I4061" s="1">
        <v>0</v>
      </c>
    </row>
    <row r="4062" spans="1:9" ht="23.25">
      <c r="A4062" s="5" t="s">
        <v>55</v>
      </c>
      <c r="B4062" s="5"/>
      <c r="C4062" s="5" t="s">
        <v>76</v>
      </c>
      <c r="D4062" s="5"/>
      <c r="E4062" s="1">
        <v>0</v>
      </c>
      <c r="F4062" s="1">
        <v>0</v>
      </c>
      <c r="G4062" s="1">
        <v>0</v>
      </c>
      <c r="H4062" s="1">
        <v>0</v>
      </c>
      <c r="I4062" s="1">
        <v>0</v>
      </c>
    </row>
    <row r="4063" spans="1:9" ht="23.25">
      <c r="A4063" s="5" t="s">
        <v>56</v>
      </c>
      <c r="B4063" s="5"/>
      <c r="C4063" s="5" t="s">
        <v>76</v>
      </c>
      <c r="D4063" s="5"/>
      <c r="E4063" s="1">
        <v>0</v>
      </c>
      <c r="F4063" s="1">
        <v>-2748560</v>
      </c>
      <c r="G4063" s="1">
        <v>-26872493</v>
      </c>
      <c r="H4063" s="1">
        <v>0</v>
      </c>
      <c r="I4063" s="1">
        <v>0</v>
      </c>
    </row>
    <row r="4064" spans="1:9" ht="23.25">
      <c r="A4064" s="5" t="s">
        <v>57</v>
      </c>
      <c r="B4064" s="5"/>
      <c r="C4064" s="5" t="s">
        <v>76</v>
      </c>
      <c r="D4064" s="5"/>
      <c r="E4064" s="1">
        <v>0</v>
      </c>
      <c r="F4064" s="1">
        <v>0</v>
      </c>
      <c r="G4064" s="1">
        <v>0</v>
      </c>
      <c r="H4064" s="1">
        <v>0</v>
      </c>
      <c r="I4064" s="1">
        <v>0</v>
      </c>
    </row>
    <row r="4065" spans="1:9" ht="23.25">
      <c r="A4065" s="5" t="s">
        <v>58</v>
      </c>
      <c r="B4065" s="5"/>
      <c r="C4065" s="5" t="s">
        <v>76</v>
      </c>
      <c r="D4065" s="5"/>
      <c r="E4065" s="1">
        <v>0</v>
      </c>
      <c r="F4065" s="1">
        <v>0</v>
      </c>
      <c r="G4065" s="1">
        <v>0</v>
      </c>
      <c r="H4065" s="1">
        <v>7548631</v>
      </c>
      <c r="I4065" s="1">
        <v>0</v>
      </c>
    </row>
    <row r="4066" spans="1:9" ht="23.25">
      <c r="A4066" s="5" t="s">
        <v>59</v>
      </c>
      <c r="B4066" s="5"/>
      <c r="C4066" s="5" t="s">
        <v>76</v>
      </c>
      <c r="D4066" s="5"/>
      <c r="E4066" s="1">
        <v>0</v>
      </c>
      <c r="F4066" s="1">
        <v>0</v>
      </c>
      <c r="G4066" s="1">
        <v>0</v>
      </c>
      <c r="H4066" s="1">
        <v>0</v>
      </c>
      <c r="I4066" s="1">
        <v>0</v>
      </c>
    </row>
    <row r="4067" spans="1:9" ht="23.25">
      <c r="A4067" s="5" t="s">
        <v>60</v>
      </c>
      <c r="B4067" s="5"/>
      <c r="C4067" s="5" t="s">
        <v>76</v>
      </c>
      <c r="D4067" s="5"/>
      <c r="E4067" s="1">
        <v>0</v>
      </c>
      <c r="F4067" s="1">
        <v>0</v>
      </c>
      <c r="G4067" s="1">
        <v>0</v>
      </c>
      <c r="H4067" s="1">
        <v>0</v>
      </c>
      <c r="I4067" s="1">
        <v>0</v>
      </c>
    </row>
    <row r="4068" spans="1:9" ht="23.25">
      <c r="A4068" s="5" t="s">
        <v>61</v>
      </c>
      <c r="B4068" s="5"/>
      <c r="C4068" s="5" t="s">
        <v>76</v>
      </c>
      <c r="D4068" s="5"/>
      <c r="E4068" s="1">
        <v>0</v>
      </c>
      <c r="F4068" s="1">
        <v>0</v>
      </c>
      <c r="G4068" s="1">
        <v>0</v>
      </c>
      <c r="H4068" s="1">
        <v>0</v>
      </c>
      <c r="I4068" s="1">
        <v>0</v>
      </c>
    </row>
    <row r="4069" spans="1:9" ht="23.25">
      <c r="A4069" s="5" t="s">
        <v>62</v>
      </c>
      <c r="B4069" s="5"/>
      <c r="C4069" s="5" t="s">
        <v>76</v>
      </c>
      <c r="D4069" s="5"/>
      <c r="E4069" s="1">
        <v>0</v>
      </c>
      <c r="F4069" s="1">
        <v>0</v>
      </c>
      <c r="G4069" s="1">
        <v>0</v>
      </c>
      <c r="H4069" s="1">
        <v>0</v>
      </c>
      <c r="I4069" s="1">
        <v>0</v>
      </c>
    </row>
    <row r="4070" spans="1:9" ht="23.25">
      <c r="A4070" s="5" t="s">
        <v>63</v>
      </c>
      <c r="B4070" s="5"/>
      <c r="C4070" s="5" t="s">
        <v>76</v>
      </c>
      <c r="D4070" s="5"/>
      <c r="E4070" s="1">
        <v>0</v>
      </c>
      <c r="F4070" s="1">
        <v>0</v>
      </c>
      <c r="G4070" s="1">
        <v>0</v>
      </c>
      <c r="H4070" s="1">
        <v>0</v>
      </c>
      <c r="I4070" s="1">
        <v>0</v>
      </c>
    </row>
    <row r="4071" spans="1:9" ht="23.25">
      <c r="A4071" s="5" t="s">
        <v>64</v>
      </c>
      <c r="B4071" s="5"/>
      <c r="C4071" s="5" t="s">
        <v>76</v>
      </c>
      <c r="D4071" s="5"/>
      <c r="E4071" s="1">
        <v>0</v>
      </c>
      <c r="F4071" s="1">
        <v>0</v>
      </c>
      <c r="G4071" s="1">
        <v>0</v>
      </c>
      <c r="H4071" s="1">
        <v>0</v>
      </c>
      <c r="I4071" s="1">
        <v>0</v>
      </c>
    </row>
    <row r="4072" spans="1:9" ht="23.25">
      <c r="A4072" s="5" t="s">
        <v>65</v>
      </c>
      <c r="B4072" s="5"/>
      <c r="C4072" s="5" t="s">
        <v>76</v>
      </c>
      <c r="D4072" s="5"/>
      <c r="E4072" s="1">
        <v>71440100</v>
      </c>
      <c r="F4072" s="1">
        <v>0</v>
      </c>
      <c r="G4072" s="1">
        <v>0</v>
      </c>
      <c r="H4072" s="1">
        <v>0</v>
      </c>
      <c r="I4072" s="1">
        <v>0</v>
      </c>
    </row>
    <row r="4073" spans="1:9" ht="23.25">
      <c r="A4073" s="5" t="s">
        <v>66</v>
      </c>
      <c r="B4073" s="5"/>
      <c r="C4073" s="5" t="s">
        <v>76</v>
      </c>
      <c r="D4073" s="5"/>
      <c r="E4073" s="1">
        <v>859985000</v>
      </c>
      <c r="F4073" s="1">
        <v>0</v>
      </c>
      <c r="G4073" s="1">
        <v>0</v>
      </c>
      <c r="H4073" s="1">
        <v>0</v>
      </c>
      <c r="I4073" s="1">
        <v>215918665</v>
      </c>
    </row>
    <row r="4074" spans="1:9" ht="23.25">
      <c r="A4074" s="5" t="s">
        <v>8</v>
      </c>
      <c r="B4074" s="5"/>
      <c r="C4074" s="5" t="s">
        <v>77</v>
      </c>
      <c r="D4074" s="5"/>
      <c r="E4074" s="1">
        <v>15619</v>
      </c>
      <c r="F4074" s="1">
        <v>704</v>
      </c>
      <c r="G4074" s="1">
        <v>0</v>
      </c>
      <c r="H4074" s="1">
        <v>0</v>
      </c>
      <c r="I4074" s="1">
        <v>0</v>
      </c>
    </row>
    <row r="4075" spans="1:9" ht="23.25">
      <c r="A4075" s="5" t="s">
        <v>9</v>
      </c>
      <c r="B4075" s="5"/>
      <c r="C4075" s="5" t="s">
        <v>77</v>
      </c>
      <c r="D4075" s="5"/>
      <c r="E4075" s="1">
        <v>3543545</v>
      </c>
      <c r="F4075" s="1">
        <v>160737</v>
      </c>
      <c r="G4075" s="1">
        <v>0</v>
      </c>
      <c r="H4075" s="1">
        <v>19431</v>
      </c>
      <c r="I4075" s="1">
        <v>0</v>
      </c>
    </row>
    <row r="4076" spans="1:9" ht="23.25">
      <c r="A4076" s="5" t="s">
        <v>10</v>
      </c>
      <c r="B4076" s="5"/>
      <c r="C4076" s="5" t="s">
        <v>77</v>
      </c>
      <c r="D4076" s="5"/>
      <c r="E4076" s="1">
        <v>0</v>
      </c>
      <c r="F4076" s="1">
        <v>0</v>
      </c>
      <c r="G4076" s="1">
        <v>0</v>
      </c>
      <c r="H4076" s="1">
        <v>0</v>
      </c>
      <c r="I4076" s="1">
        <v>0</v>
      </c>
    </row>
    <row r="4077" spans="1:9" ht="23.25">
      <c r="A4077" s="5" t="s">
        <v>11</v>
      </c>
      <c r="B4077" s="5"/>
      <c r="C4077" s="5" t="s">
        <v>77</v>
      </c>
      <c r="D4077" s="5"/>
      <c r="E4077" s="1">
        <v>2149301</v>
      </c>
      <c r="F4077" s="1">
        <v>169237</v>
      </c>
      <c r="G4077" s="1">
        <v>0</v>
      </c>
      <c r="H4077" s="1">
        <v>3492</v>
      </c>
      <c r="I4077" s="1">
        <v>0</v>
      </c>
    </row>
    <row r="4078" spans="1:9" ht="23.25">
      <c r="A4078" s="5" t="s">
        <v>12</v>
      </c>
      <c r="B4078" s="5"/>
      <c r="C4078" s="5" t="s">
        <v>77</v>
      </c>
      <c r="D4078" s="5"/>
      <c r="E4078" s="1">
        <v>165985221</v>
      </c>
      <c r="F4078" s="1">
        <v>24876791</v>
      </c>
      <c r="G4078" s="1">
        <v>0</v>
      </c>
      <c r="H4078" s="1">
        <v>2011665</v>
      </c>
      <c r="I4078" s="1">
        <v>0</v>
      </c>
    </row>
    <row r="4079" spans="1:9" ht="23.25">
      <c r="A4079" s="5" t="s">
        <v>13</v>
      </c>
      <c r="B4079" s="5"/>
      <c r="C4079" s="5" t="s">
        <v>77</v>
      </c>
      <c r="D4079" s="5"/>
      <c r="E4079" s="1">
        <v>96</v>
      </c>
      <c r="F4079" s="1">
        <v>4</v>
      </c>
      <c r="G4079" s="1">
        <v>0</v>
      </c>
      <c r="H4079" s="1">
        <v>1</v>
      </c>
      <c r="I4079" s="1">
        <v>0</v>
      </c>
    </row>
    <row r="4080" spans="1:9" ht="23.25">
      <c r="A4080" s="5" t="s">
        <v>14</v>
      </c>
      <c r="B4080" s="5"/>
      <c r="C4080" s="5" t="s">
        <v>77</v>
      </c>
      <c r="D4080" s="5"/>
      <c r="E4080" s="1">
        <v>52033737</v>
      </c>
      <c r="F4080" s="1">
        <v>3033223</v>
      </c>
      <c r="G4080" s="1">
        <v>0</v>
      </c>
      <c r="H4080" s="1">
        <v>266915</v>
      </c>
      <c r="I4080" s="1">
        <v>0</v>
      </c>
    </row>
    <row r="4081" spans="1:9" ht="23.25">
      <c r="A4081" s="5" t="s">
        <v>15</v>
      </c>
      <c r="B4081" s="5"/>
      <c r="C4081" s="5" t="s">
        <v>77</v>
      </c>
      <c r="D4081" s="5"/>
      <c r="E4081" s="1">
        <v>27642715</v>
      </c>
      <c r="F4081" s="1">
        <v>3397362</v>
      </c>
      <c r="G4081" s="1">
        <v>0</v>
      </c>
      <c r="H4081" s="1">
        <v>387017</v>
      </c>
      <c r="I4081" s="1">
        <v>0</v>
      </c>
    </row>
    <row r="4082" spans="1:9" ht="23.25">
      <c r="A4082" s="5" t="s">
        <v>16</v>
      </c>
      <c r="B4082" s="5"/>
      <c r="C4082" s="5" t="s">
        <v>77</v>
      </c>
      <c r="D4082" s="5"/>
      <c r="E4082" s="1">
        <v>15461511</v>
      </c>
      <c r="F4082" s="1">
        <v>1806379</v>
      </c>
      <c r="G4082" s="1">
        <v>0</v>
      </c>
      <c r="H4082" s="1">
        <v>53363</v>
      </c>
      <c r="I4082" s="1">
        <v>0</v>
      </c>
    </row>
    <row r="4083" spans="1:9" ht="23.25">
      <c r="A4083" s="5" t="s">
        <v>17</v>
      </c>
      <c r="B4083" s="5"/>
      <c r="C4083" s="5" t="s">
        <v>77</v>
      </c>
      <c r="D4083" s="5"/>
      <c r="E4083" s="1">
        <v>9694480</v>
      </c>
      <c r="F4083" s="1">
        <v>506290</v>
      </c>
      <c r="G4083" s="1">
        <v>0</v>
      </c>
      <c r="H4083" s="1">
        <v>115097</v>
      </c>
      <c r="I4083" s="1">
        <v>0</v>
      </c>
    </row>
    <row r="4084" spans="1:9" ht="23.25">
      <c r="A4084" s="5" t="s">
        <v>18</v>
      </c>
      <c r="B4084" s="5"/>
      <c r="C4084" s="5" t="s">
        <v>77</v>
      </c>
      <c r="D4084" s="5"/>
      <c r="E4084" s="1">
        <v>4047601</v>
      </c>
      <c r="F4084" s="1">
        <v>551331</v>
      </c>
      <c r="G4084" s="1">
        <v>0</v>
      </c>
      <c r="H4084" s="1">
        <v>86008</v>
      </c>
      <c r="I4084" s="1">
        <v>0</v>
      </c>
    </row>
    <row r="4085" spans="1:9" ht="23.25">
      <c r="A4085" s="5" t="s">
        <v>19</v>
      </c>
      <c r="B4085" s="5"/>
      <c r="C4085" s="5" t="s">
        <v>77</v>
      </c>
      <c r="D4085" s="5"/>
      <c r="E4085" s="1">
        <v>15399283</v>
      </c>
      <c r="F4085" s="1">
        <v>7842</v>
      </c>
      <c r="G4085" s="1">
        <v>0</v>
      </c>
      <c r="H4085" s="1">
        <v>9685</v>
      </c>
      <c r="I4085" s="1">
        <v>0</v>
      </c>
    </row>
    <row r="4086" spans="1:9" ht="23.25">
      <c r="A4086" s="5" t="s">
        <v>20</v>
      </c>
      <c r="B4086" s="5"/>
      <c r="C4086" s="5" t="s">
        <v>77</v>
      </c>
      <c r="D4086" s="5"/>
      <c r="E4086" s="1">
        <v>4337404</v>
      </c>
      <c r="F4086" s="1">
        <v>224082</v>
      </c>
      <c r="G4086" s="1">
        <v>0</v>
      </c>
      <c r="H4086" s="1">
        <v>82172</v>
      </c>
      <c r="I4086" s="1">
        <v>0</v>
      </c>
    </row>
    <row r="4087" spans="1:9" ht="23.25">
      <c r="A4087" s="5" t="s">
        <v>21</v>
      </c>
      <c r="B4087" s="5"/>
      <c r="C4087" s="5" t="s">
        <v>77</v>
      </c>
      <c r="D4087" s="5"/>
      <c r="E4087" s="1">
        <v>20257280</v>
      </c>
      <c r="F4087" s="1">
        <v>1908479</v>
      </c>
      <c r="G4087" s="1">
        <v>0</v>
      </c>
      <c r="H4087" s="1">
        <v>1724332</v>
      </c>
      <c r="I4087" s="1">
        <v>0</v>
      </c>
    </row>
    <row r="4088" spans="1:9" ht="23.25">
      <c r="A4088" s="5" t="s">
        <v>22</v>
      </c>
      <c r="B4088" s="5"/>
      <c r="C4088" s="5" t="s">
        <v>77</v>
      </c>
      <c r="D4088" s="5"/>
      <c r="E4088" s="1">
        <v>1414190</v>
      </c>
      <c r="F4088" s="1">
        <v>38016</v>
      </c>
      <c r="G4088" s="1">
        <v>0</v>
      </c>
      <c r="H4088" s="1">
        <v>3685</v>
      </c>
      <c r="I4088" s="1">
        <v>0</v>
      </c>
    </row>
    <row r="4089" spans="1:9" ht="23.25">
      <c r="A4089" s="5" t="s">
        <v>23</v>
      </c>
      <c r="B4089" s="5"/>
      <c r="C4089" s="5" t="s">
        <v>77</v>
      </c>
      <c r="D4089" s="5"/>
      <c r="E4089" s="1">
        <v>456662650</v>
      </c>
      <c r="F4089" s="1">
        <v>14964113</v>
      </c>
      <c r="G4089" s="1">
        <v>0</v>
      </c>
      <c r="H4089" s="1">
        <v>2504973</v>
      </c>
      <c r="I4089" s="1">
        <v>0</v>
      </c>
    </row>
    <row r="4090" spans="1:9" ht="23.25">
      <c r="A4090" s="5" t="s">
        <v>24</v>
      </c>
      <c r="B4090" s="5"/>
      <c r="C4090" s="5" t="s">
        <v>77</v>
      </c>
      <c r="D4090" s="5"/>
      <c r="E4090" s="1">
        <v>224554307</v>
      </c>
      <c r="F4090" s="1">
        <v>15069977</v>
      </c>
      <c r="G4090" s="1">
        <v>0</v>
      </c>
      <c r="H4090" s="1">
        <v>3678039</v>
      </c>
      <c r="I4090" s="1">
        <v>0</v>
      </c>
    </row>
    <row r="4091" spans="1:9" ht="23.25">
      <c r="A4091" s="5" t="s">
        <v>25</v>
      </c>
      <c r="B4091" s="5"/>
      <c r="C4091" s="5" t="s">
        <v>77</v>
      </c>
      <c r="D4091" s="5"/>
      <c r="E4091" s="1">
        <v>60233732</v>
      </c>
      <c r="F4091" s="1">
        <v>2001984</v>
      </c>
      <c r="G4091" s="1">
        <v>0</v>
      </c>
      <c r="H4091" s="1">
        <v>808267</v>
      </c>
      <c r="I4091" s="1">
        <v>0</v>
      </c>
    </row>
    <row r="4092" spans="1:9" ht="23.25">
      <c r="A4092" s="5" t="s">
        <v>26</v>
      </c>
      <c r="B4092" s="5"/>
      <c r="C4092" s="5" t="s">
        <v>77</v>
      </c>
      <c r="D4092" s="5"/>
      <c r="E4092" s="1">
        <v>153275469</v>
      </c>
      <c r="F4092" s="1">
        <v>7900843</v>
      </c>
      <c r="G4092" s="1">
        <v>0</v>
      </c>
      <c r="H4092" s="1">
        <v>2104004</v>
      </c>
      <c r="I4092" s="1">
        <v>0</v>
      </c>
    </row>
    <row r="4093" spans="1:9" ht="23.25">
      <c r="A4093" s="5" t="s">
        <v>27</v>
      </c>
      <c r="B4093" s="5"/>
      <c r="C4093" s="5" t="s">
        <v>77</v>
      </c>
      <c r="D4093" s="5"/>
      <c r="E4093" s="1">
        <v>61682867</v>
      </c>
      <c r="F4093" s="1">
        <v>3885870</v>
      </c>
      <c r="G4093" s="1">
        <v>0</v>
      </c>
      <c r="H4093" s="1">
        <v>444190</v>
      </c>
      <c r="I4093" s="1">
        <v>0</v>
      </c>
    </row>
    <row r="4094" spans="1:9" ht="23.25">
      <c r="A4094" s="5" t="s">
        <v>28</v>
      </c>
      <c r="B4094" s="5"/>
      <c r="C4094" s="5" t="s">
        <v>77</v>
      </c>
      <c r="D4094" s="5"/>
      <c r="E4094" s="1">
        <v>55307074</v>
      </c>
      <c r="F4094" s="1">
        <v>5162665</v>
      </c>
      <c r="G4094" s="1">
        <v>0</v>
      </c>
      <c r="H4094" s="1">
        <v>1157015</v>
      </c>
      <c r="I4094" s="1">
        <v>0</v>
      </c>
    </row>
    <row r="4095" spans="1:9" ht="23.25">
      <c r="A4095" s="5" t="s">
        <v>29</v>
      </c>
      <c r="B4095" s="5"/>
      <c r="C4095" s="5" t="s">
        <v>77</v>
      </c>
      <c r="D4095" s="5"/>
      <c r="E4095" s="1">
        <v>6931620</v>
      </c>
      <c r="F4095" s="1">
        <v>741748</v>
      </c>
      <c r="G4095" s="1">
        <v>0</v>
      </c>
      <c r="H4095" s="1">
        <v>89240</v>
      </c>
      <c r="I4095" s="1">
        <v>0</v>
      </c>
    </row>
    <row r="4096" spans="1:9" ht="23.25">
      <c r="A4096" s="5" t="s">
        <v>30</v>
      </c>
      <c r="B4096" s="5"/>
      <c r="C4096" s="5" t="s">
        <v>77</v>
      </c>
      <c r="D4096" s="5"/>
      <c r="E4096" s="1">
        <v>92962136</v>
      </c>
      <c r="F4096" s="1">
        <v>8242713</v>
      </c>
      <c r="G4096" s="1">
        <v>0</v>
      </c>
      <c r="H4096" s="1">
        <v>557533</v>
      </c>
      <c r="I4096" s="1">
        <v>0</v>
      </c>
    </row>
    <row r="4097" spans="1:9" ht="23.25">
      <c r="A4097" s="5" t="s">
        <v>31</v>
      </c>
      <c r="B4097" s="5"/>
      <c r="C4097" s="5" t="s">
        <v>77</v>
      </c>
      <c r="D4097" s="5"/>
      <c r="E4097" s="1">
        <v>127350338</v>
      </c>
      <c r="F4097" s="1">
        <v>6110793</v>
      </c>
      <c r="G4097" s="1">
        <v>0</v>
      </c>
      <c r="H4097" s="1">
        <v>757867</v>
      </c>
      <c r="I4097" s="1">
        <v>0</v>
      </c>
    </row>
    <row r="4098" spans="1:9" ht="23.25">
      <c r="A4098" s="5" t="s">
        <v>32</v>
      </c>
      <c r="B4098" s="5"/>
      <c r="C4098" s="5" t="s">
        <v>77</v>
      </c>
      <c r="D4098" s="5"/>
      <c r="E4098" s="1">
        <v>75003347</v>
      </c>
      <c r="F4098" s="1">
        <v>6371543</v>
      </c>
      <c r="G4098" s="1">
        <v>0</v>
      </c>
      <c r="H4098" s="1">
        <v>1039872</v>
      </c>
      <c r="I4098" s="1">
        <v>0</v>
      </c>
    </row>
    <row r="4099" spans="1:9" ht="23.25">
      <c r="A4099" s="5" t="s">
        <v>33</v>
      </c>
      <c r="B4099" s="5"/>
      <c r="C4099" s="5" t="s">
        <v>77</v>
      </c>
      <c r="D4099" s="5"/>
      <c r="E4099" s="1">
        <v>1814911</v>
      </c>
      <c r="F4099" s="1">
        <v>121436</v>
      </c>
      <c r="G4099" s="1">
        <v>0</v>
      </c>
      <c r="H4099" s="1">
        <v>18471</v>
      </c>
      <c r="I4099" s="1">
        <v>0</v>
      </c>
    </row>
    <row r="4100" spans="1:9" ht="23.25">
      <c r="A4100" s="5" t="s">
        <v>34</v>
      </c>
      <c r="B4100" s="5"/>
      <c r="C4100" s="5" t="s">
        <v>77</v>
      </c>
      <c r="D4100" s="5"/>
      <c r="E4100" s="1">
        <v>720480163</v>
      </c>
      <c r="F4100" s="1">
        <v>80845869</v>
      </c>
      <c r="G4100" s="1">
        <v>0</v>
      </c>
      <c r="H4100" s="1">
        <v>7272710</v>
      </c>
      <c r="I4100" s="1">
        <v>0</v>
      </c>
    </row>
    <row r="4101" spans="1:9" ht="23.25">
      <c r="A4101" s="5" t="s">
        <v>35</v>
      </c>
      <c r="B4101" s="5"/>
      <c r="C4101" s="5" t="s">
        <v>77</v>
      </c>
      <c r="D4101" s="5"/>
      <c r="E4101" s="1">
        <v>20334810</v>
      </c>
      <c r="F4101" s="1">
        <v>1972952</v>
      </c>
      <c r="G4101" s="1">
        <v>0</v>
      </c>
      <c r="H4101" s="1">
        <v>710952</v>
      </c>
      <c r="I4101" s="1">
        <v>0</v>
      </c>
    </row>
    <row r="4102" spans="1:9" ht="23.25">
      <c r="A4102" s="5" t="s">
        <v>36</v>
      </c>
      <c r="B4102" s="5"/>
      <c r="C4102" s="5" t="s">
        <v>77</v>
      </c>
      <c r="D4102" s="5"/>
      <c r="E4102" s="1">
        <v>174834009</v>
      </c>
      <c r="F4102" s="1">
        <v>18537259</v>
      </c>
      <c r="G4102" s="1">
        <v>0</v>
      </c>
      <c r="H4102" s="1">
        <v>1967283</v>
      </c>
      <c r="I4102" s="1">
        <v>0</v>
      </c>
    </row>
    <row r="4103" spans="1:9" ht="23.25">
      <c r="A4103" s="5" t="s">
        <v>37</v>
      </c>
      <c r="B4103" s="5"/>
      <c r="C4103" s="5" t="s">
        <v>77</v>
      </c>
      <c r="D4103" s="5"/>
      <c r="E4103" s="1">
        <v>279068236</v>
      </c>
      <c r="F4103" s="1">
        <v>9650014</v>
      </c>
      <c r="G4103" s="1">
        <v>0</v>
      </c>
      <c r="H4103" s="1">
        <v>2131379</v>
      </c>
      <c r="I4103" s="1">
        <v>0</v>
      </c>
    </row>
    <row r="4104" spans="1:9" ht="23.25">
      <c r="A4104" s="5" t="s">
        <v>38</v>
      </c>
      <c r="B4104" s="5"/>
      <c r="C4104" s="5" t="s">
        <v>77</v>
      </c>
      <c r="D4104" s="5"/>
      <c r="E4104" s="1">
        <v>410804902</v>
      </c>
      <c r="F4104" s="1">
        <v>34974519</v>
      </c>
      <c r="G4104" s="1">
        <v>0</v>
      </c>
      <c r="H4104" s="1">
        <v>8289973</v>
      </c>
      <c r="I4104" s="1">
        <v>0</v>
      </c>
    </row>
    <row r="4105" spans="1:9" ht="23.25">
      <c r="A4105" s="5" t="s">
        <v>39</v>
      </c>
      <c r="B4105" s="5"/>
      <c r="C4105" s="5" t="s">
        <v>77</v>
      </c>
      <c r="D4105" s="5"/>
      <c r="E4105" s="1">
        <v>183756053</v>
      </c>
      <c r="F4105" s="1">
        <v>11233623</v>
      </c>
      <c r="G4105" s="1">
        <v>0</v>
      </c>
      <c r="H4105" s="1">
        <v>1083117</v>
      </c>
      <c r="I4105" s="1">
        <v>0</v>
      </c>
    </row>
    <row r="4106" spans="1:9" ht="23.25">
      <c r="A4106" s="5" t="s">
        <v>40</v>
      </c>
      <c r="B4106" s="5"/>
      <c r="C4106" s="5" t="s">
        <v>77</v>
      </c>
      <c r="D4106" s="5"/>
      <c r="E4106" s="1">
        <v>7783723</v>
      </c>
      <c r="F4106" s="1">
        <v>452660</v>
      </c>
      <c r="G4106" s="1">
        <v>0</v>
      </c>
      <c r="H4106" s="1">
        <v>124543</v>
      </c>
      <c r="I4106" s="1">
        <v>0</v>
      </c>
    </row>
    <row r="4107" spans="1:9" ht="23.25">
      <c r="A4107" s="5" t="s">
        <v>41</v>
      </c>
      <c r="B4107" s="5"/>
      <c r="C4107" s="5" t="s">
        <v>77</v>
      </c>
      <c r="D4107" s="5"/>
      <c r="E4107" s="1">
        <v>76756158</v>
      </c>
      <c r="F4107" s="1">
        <v>5400529</v>
      </c>
      <c r="G4107" s="1">
        <v>0</v>
      </c>
      <c r="H4107" s="1">
        <v>1016292</v>
      </c>
      <c r="I4107" s="1">
        <v>0</v>
      </c>
    </row>
    <row r="4108" spans="1:9" ht="23.25">
      <c r="A4108" s="5" t="s">
        <v>42</v>
      </c>
      <c r="B4108" s="5"/>
      <c r="C4108" s="5" t="s">
        <v>77</v>
      </c>
      <c r="D4108" s="5"/>
      <c r="E4108" s="1">
        <v>90213821</v>
      </c>
      <c r="F4108" s="1">
        <v>5279442</v>
      </c>
      <c r="G4108" s="1">
        <v>0</v>
      </c>
      <c r="H4108" s="1">
        <v>1071193</v>
      </c>
      <c r="I4108" s="1">
        <v>0</v>
      </c>
    </row>
    <row r="4109" spans="1:9" ht="23.25">
      <c r="A4109" s="5" t="s">
        <v>43</v>
      </c>
      <c r="B4109" s="5"/>
      <c r="C4109" s="5" t="s">
        <v>77</v>
      </c>
      <c r="D4109" s="5"/>
      <c r="E4109" s="1">
        <v>218017435</v>
      </c>
      <c r="F4109" s="1">
        <v>6708010</v>
      </c>
      <c r="G4109" s="1">
        <v>0</v>
      </c>
      <c r="H4109" s="1">
        <v>334214</v>
      </c>
      <c r="I4109" s="1">
        <v>173725482</v>
      </c>
    </row>
    <row r="4110" spans="1:9" ht="23.25">
      <c r="A4110" s="5" t="s">
        <v>44</v>
      </c>
      <c r="B4110" s="5"/>
      <c r="C4110" s="5" t="s">
        <v>77</v>
      </c>
      <c r="D4110" s="5"/>
      <c r="E4110" s="1">
        <v>309791435</v>
      </c>
      <c r="F4110" s="1">
        <v>7971842</v>
      </c>
      <c r="G4110" s="1">
        <v>0</v>
      </c>
      <c r="H4110" s="1">
        <v>961786</v>
      </c>
      <c r="I4110" s="1">
        <v>0</v>
      </c>
    </row>
    <row r="4111" spans="1:9" ht="23.25">
      <c r="A4111" s="5" t="s">
        <v>45</v>
      </c>
      <c r="B4111" s="5"/>
      <c r="C4111" s="5" t="s">
        <v>77</v>
      </c>
      <c r="D4111" s="5"/>
      <c r="E4111" s="1">
        <v>472823393</v>
      </c>
      <c r="F4111" s="1">
        <v>40251882</v>
      </c>
      <c r="G4111" s="1">
        <v>0</v>
      </c>
      <c r="H4111" s="1">
        <v>4247602</v>
      </c>
      <c r="I4111" s="1">
        <v>0</v>
      </c>
    </row>
    <row r="4112" spans="1:9" ht="23.25">
      <c r="A4112" s="5" t="s">
        <v>46</v>
      </c>
      <c r="B4112" s="5"/>
      <c r="C4112" s="5" t="s">
        <v>77</v>
      </c>
      <c r="D4112" s="5"/>
      <c r="E4112" s="1">
        <v>2175521572</v>
      </c>
      <c r="F4112" s="1">
        <v>104727427</v>
      </c>
      <c r="G4112" s="1">
        <v>0</v>
      </c>
      <c r="H4112" s="1">
        <v>18311246</v>
      </c>
      <c r="I4112" s="1">
        <v>0</v>
      </c>
    </row>
    <row r="4113" spans="1:9" ht="23.25">
      <c r="A4113" s="5" t="s">
        <v>47</v>
      </c>
      <c r="B4113" s="5"/>
      <c r="C4113" s="5" t="s">
        <v>77</v>
      </c>
      <c r="D4113" s="5"/>
      <c r="E4113" s="1">
        <v>1027702174</v>
      </c>
      <c r="F4113" s="1">
        <v>47491960</v>
      </c>
      <c r="G4113" s="1">
        <v>0</v>
      </c>
      <c r="H4113" s="1">
        <v>8164543</v>
      </c>
      <c r="I4113" s="1">
        <v>0</v>
      </c>
    </row>
    <row r="4114" spans="1:9" ht="23.25">
      <c r="A4114" s="5" t="s">
        <v>48</v>
      </c>
      <c r="B4114" s="5"/>
      <c r="C4114" s="5" t="s">
        <v>77</v>
      </c>
      <c r="D4114" s="5"/>
      <c r="E4114" s="1">
        <v>34122492</v>
      </c>
      <c r="F4114" s="1">
        <v>1371356</v>
      </c>
      <c r="G4114" s="1">
        <v>0</v>
      </c>
      <c r="H4114" s="1">
        <v>414091</v>
      </c>
      <c r="I4114" s="1">
        <v>0</v>
      </c>
    </row>
    <row r="4115" spans="1:9" ht="23.25">
      <c r="A4115" s="5" t="s">
        <v>49</v>
      </c>
      <c r="B4115" s="5"/>
      <c r="C4115" s="5" t="s">
        <v>77</v>
      </c>
      <c r="D4115" s="5"/>
      <c r="E4115" s="1">
        <v>55757274</v>
      </c>
      <c r="F4115" s="1">
        <v>3287627</v>
      </c>
      <c r="G4115" s="1">
        <v>0</v>
      </c>
      <c r="H4115" s="1">
        <v>353382</v>
      </c>
      <c r="I4115" s="1">
        <v>0</v>
      </c>
    </row>
    <row r="4116" spans="1:9" ht="23.25">
      <c r="A4116" s="5" t="s">
        <v>50</v>
      </c>
      <c r="B4116" s="5"/>
      <c r="C4116" s="5" t="s">
        <v>77</v>
      </c>
      <c r="D4116" s="5"/>
      <c r="E4116" s="1">
        <v>100669375</v>
      </c>
      <c r="F4116" s="1">
        <v>7522745</v>
      </c>
      <c r="G4116" s="1">
        <v>0</v>
      </c>
      <c r="H4116" s="1">
        <v>870096</v>
      </c>
      <c r="I4116" s="1">
        <v>0</v>
      </c>
    </row>
    <row r="4117" spans="1:9" ht="23.25">
      <c r="A4117" s="5" t="s">
        <v>51</v>
      </c>
      <c r="B4117" s="5"/>
      <c r="C4117" s="5" t="s">
        <v>77</v>
      </c>
      <c r="D4117" s="5"/>
      <c r="E4117" s="1">
        <v>564184975</v>
      </c>
      <c r="F4117" s="1">
        <v>32749421</v>
      </c>
      <c r="G4117" s="1">
        <v>0</v>
      </c>
      <c r="H4117" s="1">
        <v>2565251</v>
      </c>
      <c r="I4117" s="1">
        <v>0</v>
      </c>
    </row>
    <row r="4118" spans="1:9" ht="23.25">
      <c r="A4118" s="5" t="s">
        <v>52</v>
      </c>
      <c r="B4118" s="5"/>
      <c r="C4118" s="5" t="s">
        <v>77</v>
      </c>
      <c r="D4118" s="5"/>
      <c r="E4118" s="1">
        <v>8557486</v>
      </c>
      <c r="F4118" s="1">
        <v>42868</v>
      </c>
      <c r="G4118" s="1">
        <v>0</v>
      </c>
      <c r="H4118" s="1">
        <v>7914</v>
      </c>
      <c r="I4118" s="1">
        <v>0</v>
      </c>
    </row>
    <row r="4119" spans="1:9" ht="23.25">
      <c r="A4119" s="5" t="s">
        <v>53</v>
      </c>
      <c r="B4119" s="5"/>
      <c r="C4119" s="5" t="s">
        <v>77</v>
      </c>
      <c r="D4119" s="5"/>
      <c r="E4119" s="1">
        <v>0</v>
      </c>
      <c r="F4119" s="1">
        <v>0</v>
      </c>
      <c r="G4119" s="1">
        <v>0</v>
      </c>
      <c r="H4119" s="1">
        <v>0</v>
      </c>
      <c r="I4119" s="1">
        <v>0</v>
      </c>
    </row>
    <row r="4120" spans="1:9" ht="23.25">
      <c r="A4120" s="5" t="s">
        <v>54</v>
      </c>
      <c r="B4120" s="5"/>
      <c r="C4120" s="5" t="s">
        <v>77</v>
      </c>
      <c r="D4120" s="5"/>
      <c r="E4120" s="1">
        <v>0</v>
      </c>
      <c r="F4120" s="1">
        <v>0</v>
      </c>
      <c r="G4120" s="1">
        <v>0</v>
      </c>
      <c r="H4120" s="1">
        <v>0</v>
      </c>
      <c r="I4120" s="1">
        <v>0</v>
      </c>
    </row>
    <row r="4121" spans="1:9" ht="23.25">
      <c r="A4121" s="5" t="s">
        <v>55</v>
      </c>
      <c r="B4121" s="5"/>
      <c r="C4121" s="5" t="s">
        <v>77</v>
      </c>
      <c r="D4121" s="5"/>
      <c r="E4121" s="1">
        <v>0</v>
      </c>
      <c r="F4121" s="1">
        <v>0</v>
      </c>
      <c r="G4121" s="1">
        <v>0</v>
      </c>
      <c r="H4121" s="1">
        <v>0</v>
      </c>
      <c r="I4121" s="1">
        <v>0</v>
      </c>
    </row>
    <row r="4122" spans="1:9" ht="23.25">
      <c r="A4122" s="5" t="s">
        <v>56</v>
      </c>
      <c r="B4122" s="5"/>
      <c r="C4122" s="5" t="s">
        <v>77</v>
      </c>
      <c r="D4122" s="5"/>
      <c r="E4122" s="1">
        <v>0</v>
      </c>
      <c r="F4122" s="1">
        <v>-527726167</v>
      </c>
      <c r="G4122" s="1">
        <v>0</v>
      </c>
      <c r="H4122" s="1">
        <v>0</v>
      </c>
      <c r="I4122" s="1">
        <v>0</v>
      </c>
    </row>
    <row r="4123" spans="1:9" ht="23.25">
      <c r="A4123" s="5" t="s">
        <v>57</v>
      </c>
      <c r="B4123" s="5"/>
      <c r="C4123" s="5" t="s">
        <v>77</v>
      </c>
      <c r="D4123" s="5"/>
      <c r="E4123" s="1">
        <v>0</v>
      </c>
      <c r="F4123" s="1">
        <v>0</v>
      </c>
      <c r="G4123" s="1">
        <v>0</v>
      </c>
      <c r="H4123" s="1">
        <v>0</v>
      </c>
      <c r="I4123" s="1">
        <v>0</v>
      </c>
    </row>
    <row r="4124" spans="1:9" ht="23.25">
      <c r="A4124" s="5" t="s">
        <v>58</v>
      </c>
      <c r="B4124" s="5"/>
      <c r="C4124" s="5" t="s">
        <v>77</v>
      </c>
      <c r="D4124" s="5"/>
      <c r="E4124" s="1">
        <v>0</v>
      </c>
      <c r="F4124" s="1">
        <v>0</v>
      </c>
      <c r="G4124" s="1">
        <v>0</v>
      </c>
      <c r="H4124" s="1">
        <v>-77819901</v>
      </c>
      <c r="I4124" s="1">
        <v>0</v>
      </c>
    </row>
    <row r="4125" spans="1:9" ht="23.25">
      <c r="A4125" s="5" t="s">
        <v>59</v>
      </c>
      <c r="B4125" s="5"/>
      <c r="C4125" s="5" t="s">
        <v>77</v>
      </c>
      <c r="D4125" s="5"/>
      <c r="E4125" s="1">
        <v>0</v>
      </c>
      <c r="F4125" s="1">
        <v>0</v>
      </c>
      <c r="G4125" s="1">
        <v>0</v>
      </c>
      <c r="H4125" s="1">
        <v>0</v>
      </c>
      <c r="I4125" s="1">
        <v>0</v>
      </c>
    </row>
    <row r="4126" spans="1:9" ht="23.25">
      <c r="A4126" s="5" t="s">
        <v>60</v>
      </c>
      <c r="B4126" s="5"/>
      <c r="C4126" s="5" t="s">
        <v>77</v>
      </c>
      <c r="D4126" s="5"/>
      <c r="E4126" s="1">
        <v>0</v>
      </c>
      <c r="F4126" s="1">
        <v>0</v>
      </c>
      <c r="G4126" s="1">
        <v>0</v>
      </c>
      <c r="H4126" s="1">
        <v>0</v>
      </c>
      <c r="I4126" s="1">
        <v>0</v>
      </c>
    </row>
    <row r="4127" spans="1:9" ht="23.25">
      <c r="A4127" s="5" t="s">
        <v>61</v>
      </c>
      <c r="B4127" s="5"/>
      <c r="C4127" s="5" t="s">
        <v>77</v>
      </c>
      <c r="D4127" s="5"/>
      <c r="E4127" s="1">
        <v>0</v>
      </c>
      <c r="F4127" s="1">
        <v>0</v>
      </c>
      <c r="G4127" s="1">
        <v>0</v>
      </c>
      <c r="H4127" s="1">
        <v>0</v>
      </c>
      <c r="I4127" s="1">
        <v>0</v>
      </c>
    </row>
    <row r="4128" spans="1:9" ht="23.25">
      <c r="A4128" s="5" t="s">
        <v>62</v>
      </c>
      <c r="B4128" s="5"/>
      <c r="C4128" s="5" t="s">
        <v>77</v>
      </c>
      <c r="D4128" s="5"/>
      <c r="E4128" s="1">
        <v>0</v>
      </c>
      <c r="F4128" s="1">
        <v>0</v>
      </c>
      <c r="G4128" s="1">
        <v>0</v>
      </c>
      <c r="H4128" s="1">
        <v>0</v>
      </c>
      <c r="I4128" s="1">
        <v>0</v>
      </c>
    </row>
    <row r="4129" spans="1:9" ht="23.25">
      <c r="A4129" s="5" t="s">
        <v>63</v>
      </c>
      <c r="B4129" s="5"/>
      <c r="C4129" s="5" t="s">
        <v>77</v>
      </c>
      <c r="D4129" s="5"/>
      <c r="E4129" s="1">
        <v>0</v>
      </c>
      <c r="F4129" s="1">
        <v>0</v>
      </c>
      <c r="G4129" s="1">
        <v>0</v>
      </c>
      <c r="H4129" s="1">
        <v>0</v>
      </c>
      <c r="I4129" s="1">
        <v>0</v>
      </c>
    </row>
    <row r="4130" spans="1:9" ht="23.25">
      <c r="A4130" s="5" t="s">
        <v>64</v>
      </c>
      <c r="B4130" s="5"/>
      <c r="C4130" s="5" t="s">
        <v>77</v>
      </c>
      <c r="D4130" s="5"/>
      <c r="E4130" s="1">
        <v>0</v>
      </c>
      <c r="F4130" s="1">
        <v>0</v>
      </c>
      <c r="G4130" s="1">
        <v>0</v>
      </c>
      <c r="H4130" s="1">
        <v>0</v>
      </c>
      <c r="I4130" s="1">
        <v>0</v>
      </c>
    </row>
    <row r="4131" spans="1:9" ht="23.25">
      <c r="A4131" s="5" t="s">
        <v>65</v>
      </c>
      <c r="B4131" s="5"/>
      <c r="C4131" s="5" t="s">
        <v>77</v>
      </c>
      <c r="D4131" s="5"/>
      <c r="E4131" s="1">
        <v>0</v>
      </c>
      <c r="F4131" s="1">
        <v>0</v>
      </c>
      <c r="G4131" s="1">
        <v>0</v>
      </c>
      <c r="H4131" s="1">
        <v>0</v>
      </c>
      <c r="I4131" s="1">
        <v>0</v>
      </c>
    </row>
    <row r="4132" spans="1:9" ht="23.25">
      <c r="A4132" s="5" t="s">
        <v>66</v>
      </c>
      <c r="B4132" s="5"/>
      <c r="C4132" s="5" t="s">
        <v>77</v>
      </c>
      <c r="D4132" s="5"/>
      <c r="E4132" s="1">
        <v>8568939920</v>
      </c>
      <c r="F4132" s="1">
        <v>0</v>
      </c>
      <c r="G4132" s="1">
        <v>0</v>
      </c>
      <c r="H4132" s="1">
        <v>0</v>
      </c>
      <c r="I4132" s="1">
        <v>173725482</v>
      </c>
    </row>
    <row r="4133" spans="1:9" ht="23.25">
      <c r="A4133" s="5" t="s">
        <v>8</v>
      </c>
      <c r="B4133" s="5"/>
      <c r="C4133" s="5" t="s">
        <v>78</v>
      </c>
      <c r="D4133" s="5"/>
      <c r="E4133" s="1">
        <v>0</v>
      </c>
      <c r="F4133" s="1">
        <v>0</v>
      </c>
      <c r="G4133" s="1">
        <v>0</v>
      </c>
      <c r="H4133" s="1">
        <v>0</v>
      </c>
      <c r="I4133" s="1">
        <v>0</v>
      </c>
    </row>
    <row r="4134" spans="1:9" ht="23.25">
      <c r="A4134" s="5" t="s">
        <v>9</v>
      </c>
      <c r="B4134" s="5"/>
      <c r="C4134" s="5" t="s">
        <v>78</v>
      </c>
      <c r="D4134" s="5"/>
      <c r="E4134" s="1">
        <v>0</v>
      </c>
      <c r="F4134" s="1">
        <v>0</v>
      </c>
      <c r="G4134" s="1">
        <v>0</v>
      </c>
      <c r="H4134" s="1">
        <v>0</v>
      </c>
      <c r="I4134" s="1">
        <v>0</v>
      </c>
    </row>
    <row r="4135" spans="1:9" ht="23.25">
      <c r="A4135" s="5" t="s">
        <v>10</v>
      </c>
      <c r="B4135" s="5"/>
      <c r="C4135" s="5" t="s">
        <v>78</v>
      </c>
      <c r="D4135" s="5"/>
      <c r="E4135" s="1">
        <v>0</v>
      </c>
      <c r="F4135" s="1">
        <v>0</v>
      </c>
      <c r="G4135" s="1">
        <v>0</v>
      </c>
      <c r="H4135" s="1">
        <v>0</v>
      </c>
      <c r="I4135" s="1">
        <v>0</v>
      </c>
    </row>
    <row r="4136" spans="1:9" ht="23.25">
      <c r="A4136" s="5" t="s">
        <v>11</v>
      </c>
      <c r="B4136" s="5"/>
      <c r="C4136" s="5" t="s">
        <v>78</v>
      </c>
      <c r="D4136" s="5"/>
      <c r="E4136" s="1">
        <v>0</v>
      </c>
      <c r="F4136" s="1">
        <v>0</v>
      </c>
      <c r="G4136" s="1">
        <v>0</v>
      </c>
      <c r="H4136" s="1">
        <v>0</v>
      </c>
      <c r="I4136" s="1">
        <v>0</v>
      </c>
    </row>
    <row r="4137" spans="1:9" ht="23.25">
      <c r="A4137" s="5" t="s">
        <v>12</v>
      </c>
      <c r="B4137" s="5"/>
      <c r="C4137" s="5" t="s">
        <v>78</v>
      </c>
      <c r="D4137" s="5"/>
      <c r="E4137" s="1">
        <v>2304919</v>
      </c>
      <c r="F4137" s="1">
        <v>121464</v>
      </c>
      <c r="G4137" s="1">
        <v>352385</v>
      </c>
      <c r="H4137" s="1">
        <v>16293</v>
      </c>
      <c r="I4137" s="1">
        <v>0</v>
      </c>
    </row>
    <row r="4138" spans="1:9" ht="23.25">
      <c r="A4138" s="5" t="s">
        <v>13</v>
      </c>
      <c r="B4138" s="5"/>
      <c r="C4138" s="5" t="s">
        <v>78</v>
      </c>
      <c r="D4138" s="5"/>
      <c r="E4138" s="1">
        <v>0</v>
      </c>
      <c r="F4138" s="1">
        <v>0</v>
      </c>
      <c r="G4138" s="1">
        <v>0</v>
      </c>
      <c r="H4138" s="1">
        <v>0</v>
      </c>
      <c r="I4138" s="1">
        <v>0</v>
      </c>
    </row>
    <row r="4139" spans="1:9" ht="23.25">
      <c r="A4139" s="5" t="s">
        <v>14</v>
      </c>
      <c r="B4139" s="5"/>
      <c r="C4139" s="5" t="s">
        <v>78</v>
      </c>
      <c r="D4139" s="5"/>
      <c r="E4139" s="1">
        <v>0</v>
      </c>
      <c r="F4139" s="1">
        <v>0</v>
      </c>
      <c r="G4139" s="1">
        <v>0</v>
      </c>
      <c r="H4139" s="1">
        <v>0</v>
      </c>
      <c r="I4139" s="1">
        <v>0</v>
      </c>
    </row>
    <row r="4140" spans="1:9" ht="23.25">
      <c r="A4140" s="5" t="s">
        <v>15</v>
      </c>
      <c r="B4140" s="5"/>
      <c r="C4140" s="5" t="s">
        <v>78</v>
      </c>
      <c r="D4140" s="5"/>
      <c r="E4140" s="1">
        <v>0</v>
      </c>
      <c r="F4140" s="1">
        <v>0</v>
      </c>
      <c r="G4140" s="1">
        <v>0</v>
      </c>
      <c r="H4140" s="1">
        <v>0</v>
      </c>
      <c r="I4140" s="1">
        <v>0</v>
      </c>
    </row>
    <row r="4141" spans="1:9" ht="23.25">
      <c r="A4141" s="5" t="s">
        <v>16</v>
      </c>
      <c r="B4141" s="5"/>
      <c r="C4141" s="5" t="s">
        <v>78</v>
      </c>
      <c r="D4141" s="5"/>
      <c r="E4141" s="1">
        <v>0</v>
      </c>
      <c r="F4141" s="1">
        <v>0</v>
      </c>
      <c r="G4141" s="1">
        <v>0</v>
      </c>
      <c r="H4141" s="1">
        <v>0</v>
      </c>
      <c r="I4141" s="1">
        <v>0</v>
      </c>
    </row>
    <row r="4142" spans="1:9" ht="23.25">
      <c r="A4142" s="5" t="s">
        <v>17</v>
      </c>
      <c r="B4142" s="5"/>
      <c r="C4142" s="5" t="s">
        <v>78</v>
      </c>
      <c r="D4142" s="5"/>
      <c r="E4142" s="1">
        <v>0</v>
      </c>
      <c r="F4142" s="1">
        <v>0</v>
      </c>
      <c r="G4142" s="1">
        <v>0</v>
      </c>
      <c r="H4142" s="1">
        <v>0</v>
      </c>
      <c r="I4142" s="1">
        <v>0</v>
      </c>
    </row>
    <row r="4143" spans="1:9" ht="23.25">
      <c r="A4143" s="5" t="s">
        <v>18</v>
      </c>
      <c r="B4143" s="5"/>
      <c r="C4143" s="5" t="s">
        <v>78</v>
      </c>
      <c r="D4143" s="5"/>
      <c r="E4143" s="1">
        <v>0</v>
      </c>
      <c r="F4143" s="1">
        <v>0</v>
      </c>
      <c r="G4143" s="1">
        <v>0</v>
      </c>
      <c r="H4143" s="1">
        <v>0</v>
      </c>
      <c r="I4143" s="1">
        <v>0</v>
      </c>
    </row>
    <row r="4144" spans="1:9" ht="23.25">
      <c r="A4144" s="5" t="s">
        <v>19</v>
      </c>
      <c r="B4144" s="5"/>
      <c r="C4144" s="5" t="s">
        <v>78</v>
      </c>
      <c r="D4144" s="5"/>
      <c r="E4144" s="1">
        <v>0</v>
      </c>
      <c r="F4144" s="1">
        <v>0</v>
      </c>
      <c r="G4144" s="1">
        <v>0</v>
      </c>
      <c r="H4144" s="1">
        <v>0</v>
      </c>
      <c r="I4144" s="1">
        <v>0</v>
      </c>
    </row>
    <row r="4145" spans="1:9" ht="23.25">
      <c r="A4145" s="5" t="s">
        <v>20</v>
      </c>
      <c r="B4145" s="5"/>
      <c r="C4145" s="5" t="s">
        <v>78</v>
      </c>
      <c r="D4145" s="5"/>
      <c r="E4145" s="1">
        <v>0</v>
      </c>
      <c r="F4145" s="1">
        <v>0</v>
      </c>
      <c r="G4145" s="1">
        <v>0</v>
      </c>
      <c r="H4145" s="1">
        <v>0</v>
      </c>
      <c r="I4145" s="1">
        <v>0</v>
      </c>
    </row>
    <row r="4146" spans="1:9" ht="23.25">
      <c r="A4146" s="5" t="s">
        <v>21</v>
      </c>
      <c r="B4146" s="5"/>
      <c r="C4146" s="5" t="s">
        <v>78</v>
      </c>
      <c r="D4146" s="5"/>
      <c r="E4146" s="1">
        <v>0</v>
      </c>
      <c r="F4146" s="1">
        <v>0</v>
      </c>
      <c r="G4146" s="1">
        <v>0</v>
      </c>
      <c r="H4146" s="1">
        <v>0</v>
      </c>
      <c r="I4146" s="1">
        <v>0</v>
      </c>
    </row>
    <row r="4147" spans="1:9" ht="23.25">
      <c r="A4147" s="5" t="s">
        <v>22</v>
      </c>
      <c r="B4147" s="5"/>
      <c r="C4147" s="5" t="s">
        <v>78</v>
      </c>
      <c r="D4147" s="5"/>
      <c r="E4147" s="1">
        <v>0</v>
      </c>
      <c r="F4147" s="1">
        <v>0</v>
      </c>
      <c r="G4147" s="1">
        <v>0</v>
      </c>
      <c r="H4147" s="1">
        <v>0</v>
      </c>
      <c r="I4147" s="1">
        <v>0</v>
      </c>
    </row>
    <row r="4148" spans="1:9" ht="23.25">
      <c r="A4148" s="5" t="s">
        <v>23</v>
      </c>
      <c r="B4148" s="5"/>
      <c r="C4148" s="5" t="s">
        <v>78</v>
      </c>
      <c r="D4148" s="5"/>
      <c r="E4148" s="1">
        <v>2736921</v>
      </c>
      <c r="F4148" s="1">
        <v>119189</v>
      </c>
      <c r="G4148" s="1">
        <v>136364</v>
      </c>
      <c r="H4148" s="1">
        <v>25365</v>
      </c>
      <c r="I4148" s="1">
        <v>0</v>
      </c>
    </row>
    <row r="4149" spans="1:9" ht="23.25">
      <c r="A4149" s="5" t="s">
        <v>24</v>
      </c>
      <c r="B4149" s="5"/>
      <c r="C4149" s="5" t="s">
        <v>78</v>
      </c>
      <c r="D4149" s="5"/>
      <c r="E4149" s="1">
        <v>804</v>
      </c>
      <c r="F4149" s="1">
        <v>47</v>
      </c>
      <c r="G4149" s="1">
        <v>61</v>
      </c>
      <c r="H4149" s="1">
        <v>14</v>
      </c>
      <c r="I4149" s="1">
        <v>0</v>
      </c>
    </row>
    <row r="4150" spans="1:9" ht="23.25">
      <c r="A4150" s="5" t="s">
        <v>25</v>
      </c>
      <c r="B4150" s="5"/>
      <c r="C4150" s="5" t="s">
        <v>78</v>
      </c>
      <c r="D4150" s="5"/>
      <c r="E4150" s="1">
        <v>0</v>
      </c>
      <c r="F4150" s="1">
        <v>0</v>
      </c>
      <c r="G4150" s="1">
        <v>0</v>
      </c>
      <c r="H4150" s="1">
        <v>0</v>
      </c>
      <c r="I4150" s="1">
        <v>0</v>
      </c>
    </row>
    <row r="4151" spans="1:9" ht="23.25">
      <c r="A4151" s="5" t="s">
        <v>26</v>
      </c>
      <c r="B4151" s="5"/>
      <c r="C4151" s="5" t="s">
        <v>78</v>
      </c>
      <c r="D4151" s="5"/>
      <c r="E4151" s="1">
        <v>4260765</v>
      </c>
      <c r="F4151" s="1">
        <v>99420</v>
      </c>
      <c r="G4151" s="1">
        <v>202141</v>
      </c>
      <c r="H4151" s="1">
        <v>35642</v>
      </c>
      <c r="I4151" s="1">
        <v>0</v>
      </c>
    </row>
    <row r="4152" spans="1:9" ht="23.25">
      <c r="A4152" s="5" t="s">
        <v>27</v>
      </c>
      <c r="B4152" s="5"/>
      <c r="C4152" s="5" t="s">
        <v>78</v>
      </c>
      <c r="D4152" s="5"/>
      <c r="E4152" s="1">
        <v>0</v>
      </c>
      <c r="F4152" s="1">
        <v>0</v>
      </c>
      <c r="G4152" s="1">
        <v>0</v>
      </c>
      <c r="H4152" s="1">
        <v>0</v>
      </c>
      <c r="I4152" s="1">
        <v>0</v>
      </c>
    </row>
    <row r="4153" spans="1:9" ht="23.25">
      <c r="A4153" s="5" t="s">
        <v>28</v>
      </c>
      <c r="B4153" s="5"/>
      <c r="C4153" s="5" t="s">
        <v>78</v>
      </c>
      <c r="D4153" s="5"/>
      <c r="E4153" s="1">
        <v>2898841</v>
      </c>
      <c r="F4153" s="1">
        <v>231883</v>
      </c>
      <c r="G4153" s="1">
        <v>266903</v>
      </c>
      <c r="H4153" s="1">
        <v>41210</v>
      </c>
      <c r="I4153" s="1">
        <v>0</v>
      </c>
    </row>
    <row r="4154" spans="1:9" ht="23.25">
      <c r="A4154" s="5" t="s">
        <v>29</v>
      </c>
      <c r="B4154" s="5"/>
      <c r="C4154" s="5" t="s">
        <v>78</v>
      </c>
      <c r="D4154" s="5"/>
      <c r="E4154" s="1">
        <v>776644</v>
      </c>
      <c r="F4154" s="1">
        <v>61599</v>
      </c>
      <c r="G4154" s="1">
        <v>51983</v>
      </c>
      <c r="H4154" s="1">
        <v>8400</v>
      </c>
      <c r="I4154" s="1">
        <v>0</v>
      </c>
    </row>
    <row r="4155" spans="1:9" ht="23.25">
      <c r="A4155" s="5" t="s">
        <v>30</v>
      </c>
      <c r="B4155" s="5"/>
      <c r="C4155" s="5" t="s">
        <v>78</v>
      </c>
      <c r="D4155" s="5"/>
      <c r="E4155" s="1">
        <v>21234</v>
      </c>
      <c r="F4155" s="1">
        <v>1535</v>
      </c>
      <c r="G4155" s="1">
        <v>1813</v>
      </c>
      <c r="H4155" s="1">
        <v>325</v>
      </c>
      <c r="I4155" s="1">
        <v>0</v>
      </c>
    </row>
    <row r="4156" spans="1:9" ht="23.25">
      <c r="A4156" s="5" t="s">
        <v>31</v>
      </c>
      <c r="B4156" s="5"/>
      <c r="C4156" s="5" t="s">
        <v>78</v>
      </c>
      <c r="D4156" s="5"/>
      <c r="E4156" s="1">
        <v>8648857</v>
      </c>
      <c r="F4156" s="1">
        <v>786533</v>
      </c>
      <c r="G4156" s="1">
        <v>1026555</v>
      </c>
      <c r="H4156" s="1">
        <v>40180</v>
      </c>
      <c r="I4156" s="1">
        <v>0</v>
      </c>
    </row>
    <row r="4157" spans="1:9" ht="23.25">
      <c r="A4157" s="5" t="s">
        <v>32</v>
      </c>
      <c r="B4157" s="5"/>
      <c r="C4157" s="5" t="s">
        <v>78</v>
      </c>
      <c r="D4157" s="5"/>
      <c r="E4157" s="1">
        <v>5624</v>
      </c>
      <c r="F4157" s="1">
        <v>403</v>
      </c>
      <c r="G4157" s="1">
        <v>343</v>
      </c>
      <c r="H4157" s="1">
        <v>65</v>
      </c>
      <c r="I4157" s="1">
        <v>0</v>
      </c>
    </row>
    <row r="4158" spans="1:9" ht="23.25">
      <c r="A4158" s="5" t="s">
        <v>33</v>
      </c>
      <c r="B4158" s="5"/>
      <c r="C4158" s="5" t="s">
        <v>78</v>
      </c>
      <c r="D4158" s="5"/>
      <c r="E4158" s="1">
        <v>16230929</v>
      </c>
      <c r="F4158" s="1">
        <v>933040</v>
      </c>
      <c r="G4158" s="1">
        <v>1488467</v>
      </c>
      <c r="H4158" s="1">
        <v>122763</v>
      </c>
      <c r="I4158" s="1">
        <v>0</v>
      </c>
    </row>
    <row r="4159" spans="1:9" ht="23.25">
      <c r="A4159" s="5" t="s">
        <v>34</v>
      </c>
      <c r="B4159" s="5"/>
      <c r="C4159" s="5" t="s">
        <v>78</v>
      </c>
      <c r="D4159" s="5"/>
      <c r="E4159" s="1">
        <v>0</v>
      </c>
      <c r="F4159" s="1">
        <v>0</v>
      </c>
      <c r="G4159" s="1">
        <v>0</v>
      </c>
      <c r="H4159" s="1">
        <v>0</v>
      </c>
      <c r="I4159" s="1">
        <v>0</v>
      </c>
    </row>
    <row r="4160" spans="1:9" ht="23.25">
      <c r="A4160" s="5" t="s">
        <v>35</v>
      </c>
      <c r="B4160" s="5"/>
      <c r="C4160" s="5" t="s">
        <v>78</v>
      </c>
      <c r="D4160" s="5"/>
      <c r="E4160" s="1">
        <v>0</v>
      </c>
      <c r="F4160" s="1">
        <v>0</v>
      </c>
      <c r="G4160" s="1">
        <v>0</v>
      </c>
      <c r="H4160" s="1">
        <v>0</v>
      </c>
      <c r="I4160" s="1">
        <v>0</v>
      </c>
    </row>
    <row r="4161" spans="1:9" ht="23.25">
      <c r="A4161" s="5" t="s">
        <v>36</v>
      </c>
      <c r="B4161" s="5"/>
      <c r="C4161" s="5" t="s">
        <v>78</v>
      </c>
      <c r="D4161" s="5"/>
      <c r="E4161" s="1">
        <v>3936462</v>
      </c>
      <c r="F4161" s="1">
        <v>197443</v>
      </c>
      <c r="G4161" s="1">
        <v>241493</v>
      </c>
      <c r="H4161" s="1">
        <v>67211</v>
      </c>
      <c r="I4161" s="1">
        <v>0</v>
      </c>
    </row>
    <row r="4162" spans="1:9" ht="23.25">
      <c r="A4162" s="5" t="s">
        <v>37</v>
      </c>
      <c r="B4162" s="5"/>
      <c r="C4162" s="5" t="s">
        <v>78</v>
      </c>
      <c r="D4162" s="5"/>
      <c r="E4162" s="1">
        <v>38030322</v>
      </c>
      <c r="F4162" s="1">
        <v>2552185</v>
      </c>
      <c r="G4162" s="1">
        <v>3623998</v>
      </c>
      <c r="H4162" s="1">
        <v>362241</v>
      </c>
      <c r="I4162" s="1">
        <v>0</v>
      </c>
    </row>
    <row r="4163" spans="1:9" ht="23.25">
      <c r="A4163" s="5" t="s">
        <v>38</v>
      </c>
      <c r="B4163" s="5"/>
      <c r="C4163" s="5" t="s">
        <v>78</v>
      </c>
      <c r="D4163" s="5"/>
      <c r="E4163" s="1">
        <v>0</v>
      </c>
      <c r="F4163" s="1">
        <v>0</v>
      </c>
      <c r="G4163" s="1">
        <v>0</v>
      </c>
      <c r="H4163" s="1">
        <v>0</v>
      </c>
      <c r="I4163" s="1">
        <v>0</v>
      </c>
    </row>
    <row r="4164" spans="1:9" ht="23.25">
      <c r="A4164" s="5" t="s">
        <v>39</v>
      </c>
      <c r="B4164" s="5"/>
      <c r="C4164" s="5" t="s">
        <v>78</v>
      </c>
      <c r="D4164" s="5"/>
      <c r="E4164" s="1">
        <v>38472</v>
      </c>
      <c r="F4164" s="1">
        <v>718</v>
      </c>
      <c r="G4164" s="1">
        <v>563</v>
      </c>
      <c r="H4164" s="1">
        <v>243</v>
      </c>
      <c r="I4164" s="1">
        <v>0</v>
      </c>
    </row>
    <row r="4165" spans="1:9" ht="23.25">
      <c r="A4165" s="5" t="s">
        <v>40</v>
      </c>
      <c r="B4165" s="5"/>
      <c r="C4165" s="5" t="s">
        <v>78</v>
      </c>
      <c r="D4165" s="5"/>
      <c r="E4165" s="1">
        <v>0</v>
      </c>
      <c r="F4165" s="1">
        <v>0</v>
      </c>
      <c r="G4165" s="1">
        <v>0</v>
      </c>
      <c r="H4165" s="1">
        <v>0</v>
      </c>
      <c r="I4165" s="1">
        <v>0</v>
      </c>
    </row>
    <row r="4166" spans="1:9" ht="23.25">
      <c r="A4166" s="5" t="s">
        <v>41</v>
      </c>
      <c r="B4166" s="5"/>
      <c r="C4166" s="5" t="s">
        <v>78</v>
      </c>
      <c r="D4166" s="5"/>
      <c r="E4166" s="1">
        <v>58528</v>
      </c>
      <c r="F4166" s="1">
        <v>4471</v>
      </c>
      <c r="G4166" s="1">
        <v>3778</v>
      </c>
      <c r="H4166" s="1">
        <v>801</v>
      </c>
      <c r="I4166" s="1">
        <v>0</v>
      </c>
    </row>
    <row r="4167" spans="1:9" ht="23.25">
      <c r="A4167" s="5" t="s">
        <v>42</v>
      </c>
      <c r="B4167" s="5"/>
      <c r="C4167" s="5" t="s">
        <v>78</v>
      </c>
      <c r="D4167" s="5"/>
      <c r="E4167" s="1">
        <v>0</v>
      </c>
      <c r="F4167" s="1">
        <v>0</v>
      </c>
      <c r="G4167" s="1">
        <v>0</v>
      </c>
      <c r="H4167" s="1">
        <v>0</v>
      </c>
      <c r="I4167" s="1">
        <v>0</v>
      </c>
    </row>
    <row r="4168" spans="1:9" ht="23.25">
      <c r="A4168" s="5" t="s">
        <v>43</v>
      </c>
      <c r="B4168" s="5"/>
      <c r="C4168" s="5" t="s">
        <v>78</v>
      </c>
      <c r="D4168" s="5"/>
      <c r="E4168" s="1">
        <v>0</v>
      </c>
      <c r="F4168" s="1">
        <v>0</v>
      </c>
      <c r="G4168" s="1">
        <v>0</v>
      </c>
      <c r="H4168" s="1">
        <v>0</v>
      </c>
      <c r="I4168" s="1">
        <v>0</v>
      </c>
    </row>
    <row r="4169" spans="1:9" ht="23.25">
      <c r="A4169" s="5" t="s">
        <v>44</v>
      </c>
      <c r="B4169" s="5"/>
      <c r="C4169" s="5" t="s">
        <v>78</v>
      </c>
      <c r="D4169" s="5"/>
      <c r="E4169" s="1">
        <v>51557</v>
      </c>
      <c r="F4169" s="1">
        <v>334</v>
      </c>
      <c r="G4169" s="1">
        <v>1380</v>
      </c>
      <c r="H4169" s="1">
        <v>91</v>
      </c>
      <c r="I4169" s="1">
        <v>0</v>
      </c>
    </row>
    <row r="4170" spans="1:9" ht="23.25">
      <c r="A4170" s="5" t="s">
        <v>45</v>
      </c>
      <c r="B4170" s="5"/>
      <c r="C4170" s="5" t="s">
        <v>78</v>
      </c>
      <c r="D4170" s="5"/>
      <c r="E4170" s="1">
        <v>0</v>
      </c>
      <c r="F4170" s="1">
        <v>0</v>
      </c>
      <c r="G4170" s="1">
        <v>0</v>
      </c>
      <c r="H4170" s="1">
        <v>0</v>
      </c>
      <c r="I4170" s="1">
        <v>0</v>
      </c>
    </row>
    <row r="4171" spans="1:9" ht="23.25">
      <c r="A4171" s="5" t="s">
        <v>46</v>
      </c>
      <c r="B4171" s="5"/>
      <c r="C4171" s="5" t="s">
        <v>78</v>
      </c>
      <c r="D4171" s="5"/>
      <c r="E4171" s="1">
        <v>1002657</v>
      </c>
      <c r="F4171" s="1">
        <v>48154</v>
      </c>
      <c r="G4171" s="1">
        <v>68646</v>
      </c>
      <c r="H4171" s="1">
        <v>9075</v>
      </c>
      <c r="I4171" s="1">
        <v>0</v>
      </c>
    </row>
    <row r="4172" spans="1:9" ht="23.25">
      <c r="A4172" s="5" t="s">
        <v>47</v>
      </c>
      <c r="B4172" s="5"/>
      <c r="C4172" s="5" t="s">
        <v>78</v>
      </c>
      <c r="D4172" s="5"/>
      <c r="E4172" s="1">
        <v>0</v>
      </c>
      <c r="F4172" s="1">
        <v>0</v>
      </c>
      <c r="G4172" s="1">
        <v>0</v>
      </c>
      <c r="H4172" s="1">
        <v>0</v>
      </c>
      <c r="I4172" s="1">
        <v>0</v>
      </c>
    </row>
    <row r="4173" spans="1:9" ht="23.25">
      <c r="A4173" s="5" t="s">
        <v>48</v>
      </c>
      <c r="B4173" s="5"/>
      <c r="C4173" s="5" t="s">
        <v>78</v>
      </c>
      <c r="D4173" s="5"/>
      <c r="E4173" s="1">
        <v>0</v>
      </c>
      <c r="F4173" s="1">
        <v>0</v>
      </c>
      <c r="G4173" s="1">
        <v>0</v>
      </c>
      <c r="H4173" s="1">
        <v>0</v>
      </c>
      <c r="I4173" s="1">
        <v>0</v>
      </c>
    </row>
    <row r="4174" spans="1:9" ht="23.25">
      <c r="A4174" s="5" t="s">
        <v>49</v>
      </c>
      <c r="B4174" s="5"/>
      <c r="C4174" s="5" t="s">
        <v>78</v>
      </c>
      <c r="D4174" s="5"/>
      <c r="E4174" s="1">
        <v>1715154</v>
      </c>
      <c r="F4174" s="1">
        <v>79953</v>
      </c>
      <c r="G4174" s="1">
        <v>125763</v>
      </c>
      <c r="H4174" s="1">
        <v>11558</v>
      </c>
      <c r="I4174" s="1">
        <v>0</v>
      </c>
    </row>
    <row r="4175" spans="1:9" ht="23.25">
      <c r="A4175" s="5" t="s">
        <v>50</v>
      </c>
      <c r="B4175" s="5"/>
      <c r="C4175" s="5" t="s">
        <v>78</v>
      </c>
      <c r="D4175" s="5"/>
      <c r="E4175" s="1">
        <v>75464</v>
      </c>
      <c r="F4175" s="1">
        <v>2024</v>
      </c>
      <c r="G4175" s="1">
        <v>9054</v>
      </c>
      <c r="H4175" s="1">
        <v>547</v>
      </c>
      <c r="I4175" s="1">
        <v>0</v>
      </c>
    </row>
    <row r="4176" spans="1:9" ht="23.25">
      <c r="A4176" s="5" t="s">
        <v>51</v>
      </c>
      <c r="B4176" s="5"/>
      <c r="C4176" s="5" t="s">
        <v>78</v>
      </c>
      <c r="D4176" s="5"/>
      <c r="E4176" s="1">
        <v>5374352</v>
      </c>
      <c r="F4176" s="1">
        <v>377252</v>
      </c>
      <c r="G4176" s="1">
        <v>597900</v>
      </c>
      <c r="H4176" s="1">
        <v>35997</v>
      </c>
      <c r="I4176" s="1">
        <v>0</v>
      </c>
    </row>
    <row r="4177" spans="1:9" ht="23.25">
      <c r="A4177" s="5" t="s">
        <v>52</v>
      </c>
      <c r="B4177" s="5"/>
      <c r="C4177" s="5" t="s">
        <v>78</v>
      </c>
      <c r="D4177" s="5"/>
      <c r="E4177" s="1">
        <v>1061</v>
      </c>
      <c r="F4177" s="1">
        <v>0</v>
      </c>
      <c r="G4177" s="1">
        <v>0</v>
      </c>
      <c r="H4177" s="1">
        <v>0</v>
      </c>
      <c r="I4177" s="1">
        <v>0</v>
      </c>
    </row>
    <row r="4178" spans="1:9" ht="23.25">
      <c r="A4178" s="5" t="s">
        <v>53</v>
      </c>
      <c r="B4178" s="5"/>
      <c r="C4178" s="5" t="s">
        <v>78</v>
      </c>
      <c r="D4178" s="5"/>
      <c r="E4178" s="1">
        <v>0</v>
      </c>
      <c r="F4178" s="1">
        <v>0</v>
      </c>
      <c r="G4178" s="1">
        <v>0</v>
      </c>
      <c r="H4178" s="1">
        <v>0</v>
      </c>
      <c r="I4178" s="1">
        <v>0</v>
      </c>
    </row>
    <row r="4179" spans="1:9" ht="23.25">
      <c r="A4179" s="5" t="s">
        <v>54</v>
      </c>
      <c r="B4179" s="5"/>
      <c r="C4179" s="5" t="s">
        <v>78</v>
      </c>
      <c r="D4179" s="5"/>
      <c r="E4179" s="1">
        <v>0</v>
      </c>
      <c r="F4179" s="1">
        <v>0</v>
      </c>
      <c r="G4179" s="1">
        <v>0</v>
      </c>
      <c r="H4179" s="1">
        <v>0</v>
      </c>
      <c r="I4179" s="1">
        <v>0</v>
      </c>
    </row>
    <row r="4180" spans="1:9" ht="23.25">
      <c r="A4180" s="5" t="s">
        <v>55</v>
      </c>
      <c r="B4180" s="5"/>
      <c r="C4180" s="5" t="s">
        <v>78</v>
      </c>
      <c r="D4180" s="5"/>
      <c r="E4180" s="1">
        <v>0</v>
      </c>
      <c r="F4180" s="1">
        <v>0</v>
      </c>
      <c r="G4180" s="1">
        <v>0</v>
      </c>
      <c r="H4180" s="1">
        <v>0</v>
      </c>
      <c r="I4180" s="1">
        <v>0</v>
      </c>
    </row>
    <row r="4181" spans="1:9" ht="23.25">
      <c r="A4181" s="5" t="s">
        <v>56</v>
      </c>
      <c r="B4181" s="5"/>
      <c r="C4181" s="5" t="s">
        <v>78</v>
      </c>
      <c r="D4181" s="5"/>
      <c r="E4181" s="1">
        <v>0</v>
      </c>
      <c r="F4181" s="1">
        <v>-5617647</v>
      </c>
      <c r="G4181" s="1">
        <v>-8199590</v>
      </c>
      <c r="H4181" s="1">
        <v>0</v>
      </c>
      <c r="I4181" s="1">
        <v>0</v>
      </c>
    </row>
    <row r="4182" spans="1:9" ht="23.25">
      <c r="A4182" s="5" t="s">
        <v>57</v>
      </c>
      <c r="B4182" s="5"/>
      <c r="C4182" s="5" t="s">
        <v>78</v>
      </c>
      <c r="D4182" s="5"/>
      <c r="E4182" s="1">
        <v>102435752</v>
      </c>
      <c r="F4182" s="1">
        <v>0</v>
      </c>
      <c r="G4182" s="1">
        <v>0</v>
      </c>
      <c r="H4182" s="1">
        <v>0</v>
      </c>
      <c r="I4182" s="1">
        <v>0</v>
      </c>
    </row>
    <row r="4183" spans="1:9" ht="23.25">
      <c r="A4183" s="5" t="s">
        <v>58</v>
      </c>
      <c r="B4183" s="5"/>
      <c r="C4183" s="5" t="s">
        <v>78</v>
      </c>
      <c r="D4183" s="5"/>
      <c r="E4183" s="1">
        <v>250913871</v>
      </c>
      <c r="F4183" s="1">
        <v>0</v>
      </c>
      <c r="G4183" s="1">
        <v>0</v>
      </c>
      <c r="H4183" s="1">
        <v>-778021</v>
      </c>
      <c r="I4183" s="1">
        <v>0</v>
      </c>
    </row>
    <row r="4184" spans="1:9" ht="23.25">
      <c r="A4184" s="5" t="s">
        <v>59</v>
      </c>
      <c r="B4184" s="5"/>
      <c r="C4184" s="5" t="s">
        <v>78</v>
      </c>
      <c r="D4184" s="5"/>
      <c r="E4184" s="1">
        <v>26928955</v>
      </c>
      <c r="F4184" s="1">
        <v>0</v>
      </c>
      <c r="G4184" s="1">
        <v>0</v>
      </c>
      <c r="H4184" s="1">
        <v>0</v>
      </c>
      <c r="I4184" s="1">
        <v>0</v>
      </c>
    </row>
    <row r="4185" spans="1:9" ht="23.25">
      <c r="A4185" s="5" t="s">
        <v>60</v>
      </c>
      <c r="B4185" s="5"/>
      <c r="C4185" s="5" t="s">
        <v>78</v>
      </c>
      <c r="D4185" s="5"/>
      <c r="E4185" s="1">
        <v>41559726</v>
      </c>
      <c r="F4185" s="1">
        <v>0</v>
      </c>
      <c r="G4185" s="1">
        <v>0</v>
      </c>
      <c r="H4185" s="1">
        <v>0</v>
      </c>
      <c r="I4185" s="1">
        <v>0</v>
      </c>
    </row>
    <row r="4186" spans="1:9" ht="23.25">
      <c r="A4186" s="5" t="s">
        <v>61</v>
      </c>
      <c r="B4186" s="5"/>
      <c r="C4186" s="5" t="s">
        <v>78</v>
      </c>
      <c r="D4186" s="5"/>
      <c r="E4186" s="1">
        <v>75641619</v>
      </c>
      <c r="F4186" s="1">
        <v>0</v>
      </c>
      <c r="G4186" s="1">
        <v>0</v>
      </c>
      <c r="H4186" s="1">
        <v>0</v>
      </c>
      <c r="I4186" s="1">
        <v>0</v>
      </c>
    </row>
    <row r="4187" spans="1:9" ht="23.25">
      <c r="A4187" s="5" t="s">
        <v>62</v>
      </c>
      <c r="B4187" s="5"/>
      <c r="C4187" s="5" t="s">
        <v>78</v>
      </c>
      <c r="D4187" s="5"/>
      <c r="E4187" s="1">
        <v>129997742</v>
      </c>
      <c r="F4187" s="1">
        <v>0</v>
      </c>
      <c r="G4187" s="1">
        <v>0</v>
      </c>
      <c r="H4187" s="1">
        <v>0</v>
      </c>
      <c r="I4187" s="1">
        <v>0</v>
      </c>
    </row>
    <row r="4188" spans="1:9" ht="23.25">
      <c r="A4188" s="5" t="s">
        <v>63</v>
      </c>
      <c r="B4188" s="5"/>
      <c r="C4188" s="5" t="s">
        <v>78</v>
      </c>
      <c r="D4188" s="5"/>
      <c r="E4188" s="1">
        <v>46839615</v>
      </c>
      <c r="F4188" s="1">
        <v>0</v>
      </c>
      <c r="G4188" s="1">
        <v>0</v>
      </c>
      <c r="H4188" s="1">
        <v>0</v>
      </c>
      <c r="I4188" s="1">
        <v>0</v>
      </c>
    </row>
    <row r="4189" spans="1:9" ht="23.25">
      <c r="A4189" s="5" t="s">
        <v>64</v>
      </c>
      <c r="B4189" s="5"/>
      <c r="C4189" s="5" t="s">
        <v>78</v>
      </c>
      <c r="D4189" s="5"/>
      <c r="E4189" s="1">
        <v>43461509</v>
      </c>
      <c r="F4189" s="1">
        <v>0</v>
      </c>
      <c r="G4189" s="1">
        <v>0</v>
      </c>
      <c r="H4189" s="1">
        <v>0</v>
      </c>
      <c r="I4189" s="1">
        <v>0</v>
      </c>
    </row>
    <row r="4190" spans="1:9" ht="23.25">
      <c r="A4190" s="5" t="s">
        <v>65</v>
      </c>
      <c r="B4190" s="5"/>
      <c r="C4190" s="5" t="s">
        <v>78</v>
      </c>
      <c r="D4190" s="5"/>
      <c r="E4190" s="1">
        <v>7791194</v>
      </c>
      <c r="F4190" s="1">
        <v>0</v>
      </c>
      <c r="G4190" s="1">
        <v>0</v>
      </c>
      <c r="H4190" s="1">
        <v>0</v>
      </c>
      <c r="I4190" s="1">
        <v>0</v>
      </c>
    </row>
    <row r="4191" spans="1:9" ht="23.25">
      <c r="A4191" s="5" t="s">
        <v>66</v>
      </c>
      <c r="B4191" s="5"/>
      <c r="C4191" s="5" t="s">
        <v>78</v>
      </c>
      <c r="D4191" s="5"/>
      <c r="E4191" s="1">
        <v>813739550</v>
      </c>
      <c r="F4191" s="1">
        <v>0</v>
      </c>
      <c r="G4191" s="1">
        <v>0</v>
      </c>
      <c r="H4191" s="1">
        <v>0</v>
      </c>
      <c r="I4191" s="1">
        <v>0</v>
      </c>
    </row>
    <row r="4192" spans="1:9" ht="23.25">
      <c r="A4192" s="5" t="s">
        <v>8</v>
      </c>
      <c r="B4192" s="5"/>
      <c r="C4192" s="5" t="s">
        <v>79</v>
      </c>
      <c r="D4192" s="5"/>
      <c r="E4192" s="1">
        <v>-24575572</v>
      </c>
      <c r="F4192" s="1">
        <v>-3807671</v>
      </c>
      <c r="G4192" s="1">
        <v>-209294</v>
      </c>
      <c r="H4192" s="1">
        <v>-196141</v>
      </c>
      <c r="I4192" s="1">
        <v>0</v>
      </c>
    </row>
    <row r="4193" spans="1:9" ht="23.25">
      <c r="A4193" s="5" t="s">
        <v>9</v>
      </c>
      <c r="B4193" s="5"/>
      <c r="C4193" s="5" t="s">
        <v>79</v>
      </c>
      <c r="D4193" s="5"/>
      <c r="E4193" s="1">
        <v>31986101</v>
      </c>
      <c r="F4193" s="1">
        <v>1351673</v>
      </c>
      <c r="G4193" s="1">
        <v>505640</v>
      </c>
      <c r="H4193" s="1">
        <v>238299</v>
      </c>
      <c r="I4193" s="1">
        <v>673959</v>
      </c>
    </row>
    <row r="4194" spans="1:9" ht="23.25">
      <c r="A4194" s="5" t="s">
        <v>10</v>
      </c>
      <c r="B4194" s="5"/>
      <c r="C4194" s="5" t="s">
        <v>79</v>
      </c>
      <c r="D4194" s="5"/>
      <c r="E4194" s="1">
        <v>12753168</v>
      </c>
      <c r="F4194" s="1">
        <v>565231</v>
      </c>
      <c r="G4194" s="1">
        <v>109090</v>
      </c>
      <c r="H4194" s="1">
        <v>86026</v>
      </c>
      <c r="I4194" s="1">
        <v>0</v>
      </c>
    </row>
    <row r="4195" spans="1:9" ht="23.25">
      <c r="A4195" s="5" t="s">
        <v>11</v>
      </c>
      <c r="B4195" s="5"/>
      <c r="C4195" s="5" t="s">
        <v>79</v>
      </c>
      <c r="D4195" s="5"/>
      <c r="E4195" s="1">
        <v>3191168</v>
      </c>
      <c r="F4195" s="1">
        <v>221895</v>
      </c>
      <c r="G4195" s="1">
        <v>52844</v>
      </c>
      <c r="H4195" s="1">
        <v>5303</v>
      </c>
      <c r="I4195" s="1">
        <v>1065143</v>
      </c>
    </row>
    <row r="4196" spans="1:9" ht="23.25">
      <c r="A4196" s="5" t="s">
        <v>12</v>
      </c>
      <c r="B4196" s="5"/>
      <c r="C4196" s="5" t="s">
        <v>79</v>
      </c>
      <c r="D4196" s="5"/>
      <c r="E4196" s="1">
        <v>755453033</v>
      </c>
      <c r="F4196" s="1">
        <v>101464433</v>
      </c>
      <c r="G4196" s="1">
        <v>118757016</v>
      </c>
      <c r="H4196" s="1">
        <v>12421364</v>
      </c>
      <c r="I4196" s="1">
        <v>42902095</v>
      </c>
    </row>
    <row r="4197" spans="1:9" ht="23.25">
      <c r="A4197" s="5" t="s">
        <v>13</v>
      </c>
      <c r="B4197" s="5"/>
      <c r="C4197" s="5" t="s">
        <v>79</v>
      </c>
      <c r="D4197" s="5"/>
      <c r="E4197" s="1">
        <v>7135</v>
      </c>
      <c r="F4197" s="1">
        <v>167</v>
      </c>
      <c r="G4197" s="1">
        <v>1535</v>
      </c>
      <c r="H4197" s="1">
        <v>172</v>
      </c>
      <c r="I4197" s="1">
        <v>0</v>
      </c>
    </row>
    <row r="4198" spans="1:9" ht="23.25">
      <c r="A4198" s="5" t="s">
        <v>14</v>
      </c>
      <c r="B4198" s="5"/>
      <c r="C4198" s="5" t="s">
        <v>79</v>
      </c>
      <c r="D4198" s="5"/>
      <c r="E4198" s="1">
        <v>119686844</v>
      </c>
      <c r="F4198" s="1">
        <v>5929679</v>
      </c>
      <c r="G4198" s="1">
        <v>0</v>
      </c>
      <c r="H4198" s="1">
        <v>605929</v>
      </c>
      <c r="I4198" s="1">
        <v>0</v>
      </c>
    </row>
    <row r="4199" spans="1:9" ht="23.25">
      <c r="A4199" s="5" t="s">
        <v>15</v>
      </c>
      <c r="B4199" s="5"/>
      <c r="C4199" s="5" t="s">
        <v>79</v>
      </c>
      <c r="D4199" s="5"/>
      <c r="E4199" s="1">
        <v>33990692</v>
      </c>
      <c r="F4199" s="1">
        <v>4326450</v>
      </c>
      <c r="G4199" s="1">
        <v>994862</v>
      </c>
      <c r="H4199" s="1">
        <v>494610</v>
      </c>
      <c r="I4199" s="1">
        <v>1765302</v>
      </c>
    </row>
    <row r="4200" spans="1:9" ht="23.25">
      <c r="A4200" s="5" t="s">
        <v>16</v>
      </c>
      <c r="B4200" s="5"/>
      <c r="C4200" s="5" t="s">
        <v>79</v>
      </c>
      <c r="D4200" s="5"/>
      <c r="E4200" s="1">
        <v>94798974</v>
      </c>
      <c r="F4200" s="1">
        <v>5289745</v>
      </c>
      <c r="G4200" s="1">
        <v>3581997</v>
      </c>
      <c r="H4200" s="1">
        <v>625917</v>
      </c>
      <c r="I4200" s="1">
        <v>2181490</v>
      </c>
    </row>
    <row r="4201" spans="1:9" ht="23.25">
      <c r="A4201" s="5" t="s">
        <v>17</v>
      </c>
      <c r="B4201" s="5"/>
      <c r="C4201" s="5" t="s">
        <v>79</v>
      </c>
      <c r="D4201" s="5"/>
      <c r="E4201" s="1">
        <v>-18671133</v>
      </c>
      <c r="F4201" s="1">
        <v>733330</v>
      </c>
      <c r="G4201" s="1">
        <v>1228522</v>
      </c>
      <c r="H4201" s="1">
        <v>-270928</v>
      </c>
      <c r="I4201" s="1">
        <v>503581</v>
      </c>
    </row>
    <row r="4202" spans="1:9" ht="23.25">
      <c r="A4202" s="5" t="s">
        <v>18</v>
      </c>
      <c r="B4202" s="5"/>
      <c r="C4202" s="5" t="s">
        <v>79</v>
      </c>
      <c r="D4202" s="5"/>
      <c r="E4202" s="1">
        <v>114634445</v>
      </c>
      <c r="F4202" s="1">
        <v>13899968</v>
      </c>
      <c r="G4202" s="1">
        <v>15285187</v>
      </c>
      <c r="H4202" s="1">
        <v>2321745</v>
      </c>
      <c r="I4202" s="1">
        <v>7682764</v>
      </c>
    </row>
    <row r="4203" spans="1:9" ht="23.25">
      <c r="A4203" s="5" t="s">
        <v>19</v>
      </c>
      <c r="B4203" s="5"/>
      <c r="C4203" s="5" t="s">
        <v>79</v>
      </c>
      <c r="D4203" s="5"/>
      <c r="E4203" s="1">
        <v>135010407</v>
      </c>
      <c r="F4203" s="1">
        <v>30982</v>
      </c>
      <c r="G4203" s="1">
        <v>0</v>
      </c>
      <c r="H4203" s="1">
        <v>61771</v>
      </c>
      <c r="I4203" s="1">
        <v>4847781</v>
      </c>
    </row>
    <row r="4204" spans="1:9" ht="23.25">
      <c r="A4204" s="5" t="s">
        <v>20</v>
      </c>
      <c r="B4204" s="5"/>
      <c r="C4204" s="5" t="s">
        <v>79</v>
      </c>
      <c r="D4204" s="5"/>
      <c r="E4204" s="1">
        <v>-6252797</v>
      </c>
      <c r="F4204" s="1">
        <v>87487</v>
      </c>
      <c r="G4204" s="1">
        <v>0</v>
      </c>
      <c r="H4204" s="1">
        <v>-98423</v>
      </c>
      <c r="I4204" s="1">
        <v>0</v>
      </c>
    </row>
    <row r="4205" spans="1:9" ht="23.25">
      <c r="A4205" s="5" t="s">
        <v>21</v>
      </c>
      <c r="B4205" s="5"/>
      <c r="C4205" s="5" t="s">
        <v>79</v>
      </c>
      <c r="D4205" s="5"/>
      <c r="E4205" s="1">
        <v>-46004808</v>
      </c>
      <c r="F4205" s="1">
        <v>-2180382</v>
      </c>
      <c r="G4205" s="1">
        <v>0</v>
      </c>
      <c r="H4205" s="1">
        <v>-5304441</v>
      </c>
      <c r="I4205" s="1">
        <v>0</v>
      </c>
    </row>
    <row r="4206" spans="1:9" ht="23.25">
      <c r="A4206" s="5" t="s">
        <v>22</v>
      </c>
      <c r="B4206" s="5"/>
      <c r="C4206" s="5" t="s">
        <v>79</v>
      </c>
      <c r="D4206" s="5"/>
      <c r="E4206" s="1">
        <v>330098204</v>
      </c>
      <c r="F4206" s="1">
        <v>9078886</v>
      </c>
      <c r="G4206" s="1">
        <v>15504985</v>
      </c>
      <c r="H4206" s="1">
        <v>1049449</v>
      </c>
      <c r="I4206" s="1">
        <v>170979</v>
      </c>
    </row>
    <row r="4207" spans="1:9" ht="23.25">
      <c r="A4207" s="5" t="s">
        <v>23</v>
      </c>
      <c r="B4207" s="5"/>
      <c r="C4207" s="5" t="s">
        <v>79</v>
      </c>
      <c r="D4207" s="5"/>
      <c r="E4207" s="1">
        <v>835611277</v>
      </c>
      <c r="F4207" s="1">
        <v>33341604</v>
      </c>
      <c r="G4207" s="1">
        <v>25361284</v>
      </c>
      <c r="H4207" s="1">
        <v>6366990</v>
      </c>
      <c r="I4207" s="1">
        <v>107853243</v>
      </c>
    </row>
    <row r="4208" spans="1:9" ht="23.25">
      <c r="A4208" s="5" t="s">
        <v>24</v>
      </c>
      <c r="B4208" s="5"/>
      <c r="C4208" s="5" t="s">
        <v>79</v>
      </c>
      <c r="D4208" s="5"/>
      <c r="E4208" s="1">
        <v>478530559</v>
      </c>
      <c r="F4208" s="1">
        <v>30755834</v>
      </c>
      <c r="G4208" s="1">
        <v>31496091</v>
      </c>
      <c r="H4208" s="1">
        <v>8896485</v>
      </c>
      <c r="I4208" s="1">
        <v>1880023</v>
      </c>
    </row>
    <row r="4209" spans="1:9" ht="23.25">
      <c r="A4209" s="5" t="s">
        <v>25</v>
      </c>
      <c r="B4209" s="5"/>
      <c r="C4209" s="5" t="s">
        <v>79</v>
      </c>
      <c r="D4209" s="5"/>
      <c r="E4209" s="1">
        <v>67292481</v>
      </c>
      <c r="F4209" s="1">
        <v>2938246</v>
      </c>
      <c r="G4209" s="1">
        <v>1082119</v>
      </c>
      <c r="H4209" s="1">
        <v>959645</v>
      </c>
      <c r="I4209" s="1">
        <v>1339243</v>
      </c>
    </row>
    <row r="4210" spans="1:9" ht="23.25">
      <c r="A4210" s="5" t="s">
        <v>26</v>
      </c>
      <c r="B4210" s="5"/>
      <c r="C4210" s="5" t="s">
        <v>79</v>
      </c>
      <c r="D4210" s="5"/>
      <c r="E4210" s="1">
        <v>293865642</v>
      </c>
      <c r="F4210" s="1">
        <v>18698513</v>
      </c>
      <c r="G4210" s="1">
        <v>14717003</v>
      </c>
      <c r="H4210" s="1">
        <v>4415104</v>
      </c>
      <c r="I4210" s="1">
        <v>37533568</v>
      </c>
    </row>
    <row r="4211" spans="1:9" ht="23.25">
      <c r="A4211" s="5" t="s">
        <v>27</v>
      </c>
      <c r="B4211" s="5"/>
      <c r="C4211" s="5" t="s">
        <v>79</v>
      </c>
      <c r="D4211" s="5"/>
      <c r="E4211" s="1">
        <v>11678438</v>
      </c>
      <c r="F4211" s="1">
        <v>3523514</v>
      </c>
      <c r="G4211" s="1">
        <v>-1053874</v>
      </c>
      <c r="H4211" s="1">
        <v>63479</v>
      </c>
      <c r="I4211" s="1">
        <v>2178321</v>
      </c>
    </row>
    <row r="4212" spans="1:9" ht="23.25">
      <c r="A4212" s="5" t="s">
        <v>28</v>
      </c>
      <c r="B4212" s="5"/>
      <c r="C4212" s="5" t="s">
        <v>79</v>
      </c>
      <c r="D4212" s="5"/>
      <c r="E4212" s="1">
        <v>461453850</v>
      </c>
      <c r="F4212" s="1">
        <v>26662179</v>
      </c>
      <c r="G4212" s="1">
        <v>29172578</v>
      </c>
      <c r="H4212" s="1">
        <v>6328161</v>
      </c>
      <c r="I4212" s="1">
        <v>11366446</v>
      </c>
    </row>
    <row r="4213" spans="1:9" ht="23.25">
      <c r="A4213" s="5" t="s">
        <v>29</v>
      </c>
      <c r="B4213" s="5"/>
      <c r="C4213" s="5" t="s">
        <v>79</v>
      </c>
      <c r="D4213" s="5"/>
      <c r="E4213" s="1">
        <v>70146629</v>
      </c>
      <c r="F4213" s="1">
        <v>4317209</v>
      </c>
      <c r="G4213" s="1">
        <v>5037779</v>
      </c>
      <c r="H4213" s="1">
        <v>537016</v>
      </c>
      <c r="I4213" s="1">
        <v>17804969</v>
      </c>
    </row>
    <row r="4214" spans="1:9" ht="23.25">
      <c r="A4214" s="5" t="s">
        <v>30</v>
      </c>
      <c r="B4214" s="5"/>
      <c r="C4214" s="5" t="s">
        <v>79</v>
      </c>
      <c r="D4214" s="5"/>
      <c r="E4214" s="1">
        <v>104370606</v>
      </c>
      <c r="F4214" s="1">
        <v>8803603</v>
      </c>
      <c r="G4214" s="1">
        <v>636846</v>
      </c>
      <c r="H4214" s="1">
        <v>697235</v>
      </c>
      <c r="I4214" s="1">
        <v>1092973</v>
      </c>
    </row>
    <row r="4215" spans="1:9" ht="23.25">
      <c r="A4215" s="5" t="s">
        <v>31</v>
      </c>
      <c r="B4215" s="5"/>
      <c r="C4215" s="5" t="s">
        <v>79</v>
      </c>
      <c r="D4215" s="5"/>
      <c r="E4215" s="1">
        <v>396301589</v>
      </c>
      <c r="F4215" s="1">
        <v>24416095</v>
      </c>
      <c r="G4215" s="1">
        <v>28435984</v>
      </c>
      <c r="H4215" s="1">
        <v>2012476</v>
      </c>
      <c r="I4215" s="1">
        <v>78446392</v>
      </c>
    </row>
    <row r="4216" spans="1:9" ht="23.25">
      <c r="A4216" s="5" t="s">
        <v>32</v>
      </c>
      <c r="B4216" s="5"/>
      <c r="C4216" s="5" t="s">
        <v>79</v>
      </c>
      <c r="D4216" s="5"/>
      <c r="E4216" s="1">
        <v>90839589</v>
      </c>
      <c r="F4216" s="1">
        <v>7456622</v>
      </c>
      <c r="G4216" s="1">
        <v>1366525</v>
      </c>
      <c r="H4216" s="1">
        <v>1254899</v>
      </c>
      <c r="I4216" s="1">
        <v>10584186</v>
      </c>
    </row>
    <row r="4217" spans="1:9" ht="23.25">
      <c r="A4217" s="5" t="s">
        <v>33</v>
      </c>
      <c r="B4217" s="5"/>
      <c r="C4217" s="5" t="s">
        <v>79</v>
      </c>
      <c r="D4217" s="5"/>
      <c r="E4217" s="1">
        <v>87303431</v>
      </c>
      <c r="F4217" s="1">
        <v>4490911</v>
      </c>
      <c r="G4217" s="1">
        <v>7531917</v>
      </c>
      <c r="H4217" s="1">
        <v>729348</v>
      </c>
      <c r="I4217" s="1">
        <v>31942505</v>
      </c>
    </row>
    <row r="4218" spans="1:9" ht="23.25">
      <c r="A4218" s="5" t="s">
        <v>34</v>
      </c>
      <c r="B4218" s="5"/>
      <c r="C4218" s="5" t="s">
        <v>79</v>
      </c>
      <c r="D4218" s="5"/>
      <c r="E4218" s="1">
        <v>595502766</v>
      </c>
      <c r="F4218" s="1">
        <v>73824290</v>
      </c>
      <c r="G4218" s="1">
        <v>-4594394</v>
      </c>
      <c r="H4218" s="1">
        <v>6410313</v>
      </c>
      <c r="I4218" s="1">
        <v>141053</v>
      </c>
    </row>
    <row r="4219" spans="1:9" ht="23.25">
      <c r="A4219" s="5" t="s">
        <v>35</v>
      </c>
      <c r="B4219" s="5"/>
      <c r="C4219" s="5" t="s">
        <v>79</v>
      </c>
      <c r="D4219" s="5"/>
      <c r="E4219" s="1">
        <v>-20761590</v>
      </c>
      <c r="F4219" s="1">
        <v>601146</v>
      </c>
      <c r="G4219" s="1">
        <v>-1845300</v>
      </c>
      <c r="H4219" s="1">
        <v>-596983</v>
      </c>
      <c r="I4219" s="1">
        <v>1451241</v>
      </c>
    </row>
    <row r="4220" spans="1:9" ht="23.25">
      <c r="A4220" s="5" t="s">
        <v>36</v>
      </c>
      <c r="B4220" s="5"/>
      <c r="C4220" s="5" t="s">
        <v>79</v>
      </c>
      <c r="D4220" s="5"/>
      <c r="E4220" s="1">
        <v>452461974</v>
      </c>
      <c r="F4220" s="1">
        <v>56311130</v>
      </c>
      <c r="G4220" s="1">
        <v>52868708</v>
      </c>
      <c r="H4220" s="1">
        <v>4947238</v>
      </c>
      <c r="I4220" s="1">
        <v>128025187</v>
      </c>
    </row>
    <row r="4221" spans="1:9" ht="23.25">
      <c r="A4221" s="5" t="s">
        <v>37</v>
      </c>
      <c r="B4221" s="5"/>
      <c r="C4221" s="5" t="s">
        <v>79</v>
      </c>
      <c r="D4221" s="5"/>
      <c r="E4221" s="1">
        <v>758129184</v>
      </c>
      <c r="F4221" s="1">
        <v>40571028</v>
      </c>
      <c r="G4221" s="1">
        <v>37341799</v>
      </c>
      <c r="H4221" s="1">
        <v>6575207</v>
      </c>
      <c r="I4221" s="1">
        <v>77395599</v>
      </c>
    </row>
    <row r="4222" spans="1:9" ht="23.25">
      <c r="A4222" s="5" t="s">
        <v>38</v>
      </c>
      <c r="B4222" s="5"/>
      <c r="C4222" s="5" t="s">
        <v>79</v>
      </c>
      <c r="D4222" s="5"/>
      <c r="E4222" s="1">
        <v>327823446</v>
      </c>
      <c r="F4222" s="1">
        <v>32199768</v>
      </c>
      <c r="G4222" s="1">
        <v>-10701</v>
      </c>
      <c r="H4222" s="1">
        <v>6112581</v>
      </c>
      <c r="I4222" s="1">
        <v>10700525</v>
      </c>
    </row>
    <row r="4223" spans="1:9" ht="23.25">
      <c r="A4223" s="5" t="s">
        <v>39</v>
      </c>
      <c r="B4223" s="5"/>
      <c r="C4223" s="5" t="s">
        <v>79</v>
      </c>
      <c r="D4223" s="5"/>
      <c r="E4223" s="1">
        <v>329475943</v>
      </c>
      <c r="F4223" s="1">
        <v>16112725</v>
      </c>
      <c r="G4223" s="1">
        <v>6389956</v>
      </c>
      <c r="H4223" s="1">
        <v>1966994</v>
      </c>
      <c r="I4223" s="1">
        <v>23441426</v>
      </c>
    </row>
    <row r="4224" spans="1:9" ht="23.25">
      <c r="A4224" s="5" t="s">
        <v>40</v>
      </c>
      <c r="B4224" s="5"/>
      <c r="C4224" s="5" t="s">
        <v>79</v>
      </c>
      <c r="D4224" s="5"/>
      <c r="E4224" s="1">
        <v>-19165165</v>
      </c>
      <c r="F4224" s="1">
        <v>-924195</v>
      </c>
      <c r="G4224" s="1">
        <v>-508784</v>
      </c>
      <c r="H4224" s="1">
        <v>-277060</v>
      </c>
      <c r="I4224" s="1">
        <v>0</v>
      </c>
    </row>
    <row r="4225" spans="1:9" ht="23.25">
      <c r="A4225" s="5" t="s">
        <v>41</v>
      </c>
      <c r="B4225" s="5"/>
      <c r="C4225" s="5" t="s">
        <v>79</v>
      </c>
      <c r="D4225" s="5"/>
      <c r="E4225" s="1">
        <v>151651613</v>
      </c>
      <c r="F4225" s="1">
        <v>10307521</v>
      </c>
      <c r="G4225" s="1">
        <v>4708614</v>
      </c>
      <c r="H4225" s="1">
        <v>1958590</v>
      </c>
      <c r="I4225" s="1">
        <v>12410114</v>
      </c>
    </row>
    <row r="4226" spans="1:9" ht="23.25">
      <c r="A4226" s="5" t="s">
        <v>42</v>
      </c>
      <c r="B4226" s="5"/>
      <c r="C4226" s="5" t="s">
        <v>79</v>
      </c>
      <c r="D4226" s="5"/>
      <c r="E4226" s="1">
        <v>-34198952</v>
      </c>
      <c r="F4226" s="1">
        <v>-104796</v>
      </c>
      <c r="G4226" s="1">
        <v>-8561549</v>
      </c>
      <c r="H4226" s="1">
        <v>-346466</v>
      </c>
      <c r="I4226" s="1">
        <v>0</v>
      </c>
    </row>
    <row r="4227" spans="1:9" ht="23.25">
      <c r="A4227" s="5" t="s">
        <v>43</v>
      </c>
      <c r="B4227" s="5"/>
      <c r="C4227" s="5" t="s">
        <v>79</v>
      </c>
      <c r="D4227" s="5"/>
      <c r="E4227" s="1">
        <v>244107519</v>
      </c>
      <c r="F4227" s="1">
        <v>7569458</v>
      </c>
      <c r="G4227" s="1">
        <v>576239</v>
      </c>
      <c r="H4227" s="1">
        <v>373308</v>
      </c>
      <c r="I4227" s="1">
        <v>189112070</v>
      </c>
    </row>
    <row r="4228" spans="1:9" ht="23.25">
      <c r="A4228" s="5" t="s">
        <v>44</v>
      </c>
      <c r="B4228" s="5"/>
      <c r="C4228" s="5" t="s">
        <v>79</v>
      </c>
      <c r="D4228" s="5"/>
      <c r="E4228" s="1">
        <v>591402122</v>
      </c>
      <c r="F4228" s="1">
        <v>14089831</v>
      </c>
      <c r="G4228" s="1">
        <v>14344553</v>
      </c>
      <c r="H4228" s="1">
        <v>2145458</v>
      </c>
      <c r="I4228" s="1">
        <v>118447755</v>
      </c>
    </row>
    <row r="4229" spans="1:9" ht="23.25">
      <c r="A4229" s="5" t="s">
        <v>45</v>
      </c>
      <c r="B4229" s="5"/>
      <c r="C4229" s="5" t="s">
        <v>79</v>
      </c>
      <c r="D4229" s="5"/>
      <c r="E4229" s="1">
        <v>818810716</v>
      </c>
      <c r="F4229" s="1">
        <v>67931258</v>
      </c>
      <c r="G4229" s="1">
        <v>26336923</v>
      </c>
      <c r="H4229" s="1">
        <v>8925046</v>
      </c>
      <c r="I4229" s="1">
        <v>316673476</v>
      </c>
    </row>
    <row r="4230" spans="1:9" ht="23.25">
      <c r="A4230" s="5" t="s">
        <v>46</v>
      </c>
      <c r="B4230" s="5"/>
      <c r="C4230" s="5" t="s">
        <v>79</v>
      </c>
      <c r="D4230" s="5"/>
      <c r="E4230" s="1">
        <v>3626675109</v>
      </c>
      <c r="F4230" s="1">
        <v>162821938</v>
      </c>
      <c r="G4230" s="1">
        <v>60784957</v>
      </c>
      <c r="H4230" s="1">
        <v>30879850</v>
      </c>
      <c r="I4230" s="1">
        <v>611374316</v>
      </c>
    </row>
    <row r="4231" spans="1:9" ht="23.25">
      <c r="A4231" s="5" t="s">
        <v>47</v>
      </c>
      <c r="B4231" s="5"/>
      <c r="C4231" s="5" t="s">
        <v>79</v>
      </c>
      <c r="D4231" s="5"/>
      <c r="E4231" s="1">
        <v>2207509776</v>
      </c>
      <c r="F4231" s="1">
        <v>133180116</v>
      </c>
      <c r="G4231" s="1">
        <v>110436374</v>
      </c>
      <c r="H4231" s="1">
        <v>16076810</v>
      </c>
      <c r="I4231" s="1">
        <v>179565309</v>
      </c>
    </row>
    <row r="4232" spans="1:9" ht="23.25">
      <c r="A4232" s="5" t="s">
        <v>48</v>
      </c>
      <c r="B4232" s="5"/>
      <c r="C4232" s="5" t="s">
        <v>79</v>
      </c>
      <c r="D4232" s="5"/>
      <c r="E4232" s="1">
        <v>161332980</v>
      </c>
      <c r="F4232" s="1">
        <v>6134375</v>
      </c>
      <c r="G4232" s="1">
        <v>906130</v>
      </c>
      <c r="H4232" s="1">
        <v>807737</v>
      </c>
      <c r="I4232" s="1">
        <v>58294157</v>
      </c>
    </row>
    <row r="4233" spans="1:9" ht="23.25">
      <c r="A4233" s="5" t="s">
        <v>49</v>
      </c>
      <c r="B4233" s="5"/>
      <c r="C4233" s="5" t="s">
        <v>79</v>
      </c>
      <c r="D4233" s="5"/>
      <c r="E4233" s="1">
        <v>136033493</v>
      </c>
      <c r="F4233" s="1">
        <v>7439912</v>
      </c>
      <c r="G4233" s="1">
        <v>7583785</v>
      </c>
      <c r="H4233" s="1">
        <v>752915</v>
      </c>
      <c r="I4233" s="1">
        <v>37134052</v>
      </c>
    </row>
    <row r="4234" spans="1:9" ht="23.25">
      <c r="A4234" s="5" t="s">
        <v>50</v>
      </c>
      <c r="B4234" s="5"/>
      <c r="C4234" s="5" t="s">
        <v>79</v>
      </c>
      <c r="D4234" s="5"/>
      <c r="E4234" s="1">
        <v>222881264</v>
      </c>
      <c r="F4234" s="1">
        <v>14294927</v>
      </c>
      <c r="G4234" s="1">
        <v>5892157</v>
      </c>
      <c r="H4234" s="1">
        <v>2090077</v>
      </c>
      <c r="I4234" s="1">
        <v>3730057</v>
      </c>
    </row>
    <row r="4235" spans="1:9" ht="23.25">
      <c r="A4235" s="5" t="s">
        <v>51</v>
      </c>
      <c r="B4235" s="5"/>
      <c r="C4235" s="5" t="s">
        <v>79</v>
      </c>
      <c r="D4235" s="5"/>
      <c r="E4235" s="1">
        <v>1217317774</v>
      </c>
      <c r="F4235" s="1">
        <v>56630693</v>
      </c>
      <c r="G4235" s="1">
        <v>37670403</v>
      </c>
      <c r="H4235" s="1">
        <v>4722019</v>
      </c>
      <c r="I4235" s="1">
        <v>151438890</v>
      </c>
    </row>
    <row r="4236" spans="1:9" ht="23.25">
      <c r="A4236" s="5" t="s">
        <v>52</v>
      </c>
      <c r="B4236" s="5"/>
      <c r="C4236" s="5" t="s">
        <v>79</v>
      </c>
      <c r="D4236" s="5"/>
      <c r="E4236" s="1">
        <v>415577590</v>
      </c>
      <c r="F4236" s="1">
        <v>846299</v>
      </c>
      <c r="G4236" s="1">
        <v>1169213</v>
      </c>
      <c r="H4236" s="1">
        <v>366081</v>
      </c>
      <c r="I4236" s="1">
        <v>0</v>
      </c>
    </row>
    <row r="4237" spans="1:9" ht="23.25">
      <c r="A4237" s="5" t="s">
        <v>53</v>
      </c>
      <c r="B4237" s="5"/>
      <c r="C4237" s="5" t="s">
        <v>79</v>
      </c>
      <c r="D4237" s="5"/>
      <c r="E4237" s="1">
        <v>44330883</v>
      </c>
      <c r="F4237" s="1">
        <v>0</v>
      </c>
      <c r="G4237" s="1">
        <v>0</v>
      </c>
      <c r="H4237" s="1">
        <v>0</v>
      </c>
      <c r="I4237" s="1">
        <v>0</v>
      </c>
    </row>
    <row r="4238" spans="1:9" ht="23.25">
      <c r="A4238" s="5" t="s">
        <v>54</v>
      </c>
      <c r="B4238" s="5"/>
      <c r="C4238" s="5" t="s">
        <v>79</v>
      </c>
      <c r="D4238" s="5"/>
      <c r="E4238" s="1">
        <v>582724406</v>
      </c>
      <c r="F4238" s="1">
        <v>0</v>
      </c>
      <c r="G4238" s="1">
        <v>0</v>
      </c>
      <c r="H4238" s="1">
        <v>3674</v>
      </c>
      <c r="I4238" s="1">
        <v>0</v>
      </c>
    </row>
    <row r="4239" spans="1:9" ht="23.25">
      <c r="A4239" s="5" t="s">
        <v>55</v>
      </c>
      <c r="B4239" s="5"/>
      <c r="C4239" s="5" t="s">
        <v>79</v>
      </c>
      <c r="D4239" s="5"/>
      <c r="E4239" s="1">
        <v>758113275</v>
      </c>
      <c r="F4239" s="1">
        <v>0</v>
      </c>
      <c r="G4239" s="1">
        <v>0</v>
      </c>
      <c r="H4239" s="1">
        <v>0</v>
      </c>
      <c r="I4239" s="1">
        <v>0</v>
      </c>
    </row>
    <row r="4240" spans="1:9" ht="23.25">
      <c r="A4240" s="5" t="s">
        <v>56</v>
      </c>
      <c r="B4240" s="5"/>
      <c r="C4240" s="5" t="s">
        <v>79</v>
      </c>
      <c r="D4240" s="5"/>
      <c r="E4240" s="1">
        <v>11026474</v>
      </c>
      <c r="F4240" s="1">
        <v>-1002233627</v>
      </c>
      <c r="G4240" s="1">
        <v>-651085719</v>
      </c>
      <c r="H4240" s="1">
        <v>0</v>
      </c>
      <c r="I4240" s="1">
        <v>0</v>
      </c>
    </row>
    <row r="4241" spans="1:9" ht="23.25">
      <c r="A4241" s="5" t="s">
        <v>57</v>
      </c>
      <c r="B4241" s="5"/>
      <c r="C4241" s="5" t="s">
        <v>79</v>
      </c>
      <c r="D4241" s="5"/>
      <c r="E4241" s="1">
        <v>1186369359</v>
      </c>
      <c r="F4241" s="1">
        <v>0</v>
      </c>
      <c r="G4241" s="1">
        <v>0</v>
      </c>
      <c r="H4241" s="1">
        <v>0</v>
      </c>
      <c r="I4241" s="1">
        <v>65700431</v>
      </c>
    </row>
    <row r="4242" spans="1:9" ht="23.25">
      <c r="A4242" s="5" t="s">
        <v>58</v>
      </c>
      <c r="B4242" s="5"/>
      <c r="C4242" s="5" t="s">
        <v>79</v>
      </c>
      <c r="D4242" s="5"/>
      <c r="E4242" s="1">
        <v>592590431</v>
      </c>
      <c r="F4242" s="1">
        <v>0</v>
      </c>
      <c r="G4242" s="1">
        <v>0</v>
      </c>
      <c r="H4242" s="1">
        <v>-138194879</v>
      </c>
      <c r="I4242" s="1">
        <v>75072113</v>
      </c>
    </row>
    <row r="4243" spans="1:9" ht="23.25">
      <c r="A4243" s="5" t="s">
        <v>59</v>
      </c>
      <c r="B4243" s="5"/>
      <c r="C4243" s="5" t="s">
        <v>79</v>
      </c>
      <c r="D4243" s="5"/>
      <c r="E4243" s="1">
        <v>323485494</v>
      </c>
      <c r="F4243" s="1">
        <v>0</v>
      </c>
      <c r="G4243" s="1">
        <v>0</v>
      </c>
      <c r="H4243" s="1">
        <v>0</v>
      </c>
      <c r="I4243" s="1">
        <v>55188867</v>
      </c>
    </row>
    <row r="4244" spans="1:9" ht="23.25">
      <c r="A4244" s="5" t="s">
        <v>60</v>
      </c>
      <c r="B4244" s="5"/>
      <c r="C4244" s="5" t="s">
        <v>79</v>
      </c>
      <c r="D4244" s="5"/>
      <c r="E4244" s="1">
        <v>768572528</v>
      </c>
      <c r="F4244" s="1">
        <v>0</v>
      </c>
      <c r="G4244" s="1">
        <v>0</v>
      </c>
      <c r="H4244" s="1">
        <v>0</v>
      </c>
      <c r="I4244" s="1">
        <v>67215167</v>
      </c>
    </row>
    <row r="4245" spans="1:9" ht="23.25">
      <c r="A4245" s="5" t="s">
        <v>61</v>
      </c>
      <c r="B4245" s="5"/>
      <c r="C4245" s="5" t="s">
        <v>79</v>
      </c>
      <c r="D4245" s="5"/>
      <c r="E4245" s="1">
        <v>653809393</v>
      </c>
      <c r="F4245" s="1">
        <v>0</v>
      </c>
      <c r="G4245" s="1">
        <v>0</v>
      </c>
      <c r="H4245" s="1">
        <v>0</v>
      </c>
      <c r="I4245" s="1">
        <v>101724443</v>
      </c>
    </row>
    <row r="4246" spans="1:9" ht="23.25">
      <c r="A4246" s="5" t="s">
        <v>62</v>
      </c>
      <c r="B4246" s="5"/>
      <c r="C4246" s="5" t="s">
        <v>79</v>
      </c>
      <c r="D4246" s="5"/>
      <c r="E4246" s="1">
        <v>501539515</v>
      </c>
      <c r="F4246" s="1">
        <v>0</v>
      </c>
      <c r="G4246" s="1">
        <v>0</v>
      </c>
      <c r="H4246" s="1">
        <v>0</v>
      </c>
      <c r="I4246" s="1">
        <v>128978367</v>
      </c>
    </row>
    <row r="4247" spans="1:9" ht="23.25">
      <c r="A4247" s="5" t="s">
        <v>63</v>
      </c>
      <c r="B4247" s="5"/>
      <c r="C4247" s="5" t="s">
        <v>79</v>
      </c>
      <c r="D4247" s="5"/>
      <c r="E4247" s="1">
        <v>2863068982</v>
      </c>
      <c r="F4247" s="1">
        <v>0</v>
      </c>
      <c r="G4247" s="1">
        <v>0</v>
      </c>
      <c r="H4247" s="1">
        <v>0</v>
      </c>
      <c r="I4247" s="1">
        <v>86220627</v>
      </c>
    </row>
    <row r="4248" spans="1:9" ht="23.25">
      <c r="A4248" s="5" t="s">
        <v>64</v>
      </c>
      <c r="B4248" s="5"/>
      <c r="C4248" s="5" t="s">
        <v>79</v>
      </c>
      <c r="D4248" s="5"/>
      <c r="E4248" s="1">
        <v>742401950</v>
      </c>
      <c r="F4248" s="1">
        <v>0</v>
      </c>
      <c r="G4248" s="1">
        <v>0</v>
      </c>
      <c r="H4248" s="1">
        <v>0</v>
      </c>
      <c r="I4248" s="1">
        <v>16876564</v>
      </c>
    </row>
    <row r="4249" spans="1:9" ht="23.25">
      <c r="A4249" s="5" t="s">
        <v>65</v>
      </c>
      <c r="B4249" s="5"/>
      <c r="C4249" s="5" t="s">
        <v>79</v>
      </c>
      <c r="D4249" s="5"/>
      <c r="E4249" s="1">
        <v>139701239</v>
      </c>
      <c r="F4249" s="1">
        <v>0</v>
      </c>
      <c r="G4249" s="1">
        <v>0</v>
      </c>
      <c r="H4249" s="1">
        <v>0</v>
      </c>
      <c r="I4249" s="1">
        <v>6653397</v>
      </c>
    </row>
    <row r="4250" spans="1:9" ht="23.25">
      <c r="A4250" s="5" t="s">
        <v>66</v>
      </c>
      <c r="B4250" s="5"/>
      <c r="C4250" s="5" t="s">
        <v>79</v>
      </c>
      <c r="D4250" s="5"/>
      <c r="E4250" s="1">
        <v>25783801443</v>
      </c>
      <c r="F4250" s="1">
        <v>0</v>
      </c>
      <c r="G4250" s="1">
        <v>0</v>
      </c>
      <c r="H4250" s="1">
        <v>0</v>
      </c>
      <c r="I4250" s="1">
        <v>2886780166</v>
      </c>
    </row>
    <row r="4251" spans="1:9" ht="23.25">
      <c r="A4251" s="5" t="s">
        <v>8</v>
      </c>
      <c r="B4251" s="5"/>
      <c r="C4251" s="5" t="s">
        <v>80</v>
      </c>
      <c r="D4251" s="5"/>
      <c r="E4251" s="1">
        <v>314114660</v>
      </c>
      <c r="F4251" s="1">
        <v>10756134</v>
      </c>
      <c r="G4251" s="1">
        <v>676903</v>
      </c>
      <c r="H4251" s="1">
        <v>1876161</v>
      </c>
      <c r="I4251" s="1">
        <v>5</v>
      </c>
    </row>
    <row r="4252" spans="1:9" ht="23.25">
      <c r="A4252" s="5" t="s">
        <v>9</v>
      </c>
      <c r="B4252" s="5"/>
      <c r="C4252" s="5" t="s">
        <v>80</v>
      </c>
      <c r="D4252" s="5"/>
      <c r="E4252" s="1">
        <v>60227026</v>
      </c>
      <c r="F4252" s="1">
        <v>2251541</v>
      </c>
      <c r="G4252" s="1">
        <v>555919</v>
      </c>
      <c r="H4252" s="1">
        <v>480603</v>
      </c>
      <c r="I4252" s="1">
        <v>15030908</v>
      </c>
    </row>
    <row r="4253" spans="1:9" ht="23.25">
      <c r="A4253" s="5" t="s">
        <v>10</v>
      </c>
      <c r="B4253" s="5"/>
      <c r="C4253" s="5" t="s">
        <v>80</v>
      </c>
      <c r="D4253" s="5"/>
      <c r="E4253" s="1">
        <v>76818426</v>
      </c>
      <c r="F4253" s="1">
        <v>2122820</v>
      </c>
      <c r="G4253" s="1">
        <v>174398</v>
      </c>
      <c r="H4253" s="1">
        <v>520955</v>
      </c>
      <c r="I4253" s="1">
        <v>0</v>
      </c>
    </row>
    <row r="4254" spans="1:9" ht="23.25">
      <c r="A4254" s="5" t="s">
        <v>11</v>
      </c>
      <c r="B4254" s="5"/>
      <c r="C4254" s="5" t="s">
        <v>80</v>
      </c>
      <c r="D4254" s="5"/>
      <c r="E4254" s="1">
        <v>50605970</v>
      </c>
      <c r="F4254" s="1">
        <v>1122621</v>
      </c>
      <c r="G4254" s="1">
        <v>949787</v>
      </c>
      <c r="H4254" s="1">
        <v>76695</v>
      </c>
      <c r="I4254" s="1">
        <v>44074229</v>
      </c>
    </row>
    <row r="4255" spans="1:9" ht="23.25">
      <c r="A4255" s="5" t="s">
        <v>12</v>
      </c>
      <c r="B4255" s="5"/>
      <c r="C4255" s="5" t="s">
        <v>80</v>
      </c>
      <c r="D4255" s="5"/>
      <c r="E4255" s="1">
        <v>969181190</v>
      </c>
      <c r="F4255" s="1">
        <v>114494467</v>
      </c>
      <c r="G4255" s="1">
        <v>139827431</v>
      </c>
      <c r="H4255" s="1">
        <v>15436605</v>
      </c>
      <c r="I4255" s="1">
        <v>53783216</v>
      </c>
    </row>
    <row r="4256" spans="1:9" ht="23.25">
      <c r="A4256" s="5" t="s">
        <v>13</v>
      </c>
      <c r="B4256" s="5"/>
      <c r="C4256" s="5" t="s">
        <v>80</v>
      </c>
      <c r="D4256" s="5"/>
      <c r="E4256" s="1">
        <v>73397766</v>
      </c>
      <c r="F4256" s="1">
        <v>3338345</v>
      </c>
      <c r="G4256" s="1">
        <v>1849</v>
      </c>
      <c r="H4256" s="1">
        <v>2252169</v>
      </c>
      <c r="I4256" s="1">
        <v>2</v>
      </c>
    </row>
    <row r="4257" spans="1:9" ht="23.25">
      <c r="A4257" s="5" t="s">
        <v>14</v>
      </c>
      <c r="B4257" s="5"/>
      <c r="C4257" s="5" t="s">
        <v>80</v>
      </c>
      <c r="D4257" s="5"/>
      <c r="E4257" s="1">
        <v>235773619</v>
      </c>
      <c r="F4257" s="1">
        <v>13165354</v>
      </c>
      <c r="G4257" s="1">
        <v>0</v>
      </c>
      <c r="H4257" s="1">
        <v>1416395</v>
      </c>
      <c r="I4257" s="1">
        <v>149467</v>
      </c>
    </row>
    <row r="4258" spans="1:9" ht="23.25">
      <c r="A4258" s="5" t="s">
        <v>15</v>
      </c>
      <c r="B4258" s="5"/>
      <c r="C4258" s="5" t="s">
        <v>80</v>
      </c>
      <c r="D4258" s="5"/>
      <c r="E4258" s="1">
        <v>278736828</v>
      </c>
      <c r="F4258" s="1">
        <v>14993310</v>
      </c>
      <c r="G4258" s="1">
        <v>8180463</v>
      </c>
      <c r="H4258" s="1">
        <v>3058595</v>
      </c>
      <c r="I4258" s="1">
        <v>53774415</v>
      </c>
    </row>
    <row r="4259" spans="1:9" ht="23.25">
      <c r="A4259" s="5" t="s">
        <v>16</v>
      </c>
      <c r="B4259" s="5"/>
      <c r="C4259" s="5" t="s">
        <v>80</v>
      </c>
      <c r="D4259" s="5"/>
      <c r="E4259" s="1">
        <v>464109557</v>
      </c>
      <c r="F4259" s="1">
        <v>36985660</v>
      </c>
      <c r="G4259" s="1">
        <v>4414998</v>
      </c>
      <c r="H4259" s="1">
        <v>2394924</v>
      </c>
      <c r="I4259" s="1">
        <v>5733873</v>
      </c>
    </row>
    <row r="4260" spans="1:9" ht="23.25">
      <c r="A4260" s="5" t="s">
        <v>17</v>
      </c>
      <c r="B4260" s="5"/>
      <c r="C4260" s="5" t="s">
        <v>80</v>
      </c>
      <c r="D4260" s="5"/>
      <c r="E4260" s="1">
        <v>33164828</v>
      </c>
      <c r="F4260" s="1">
        <v>4021847</v>
      </c>
      <c r="G4260" s="1">
        <v>1697316</v>
      </c>
      <c r="H4260" s="1">
        <v>479105</v>
      </c>
      <c r="I4260" s="1">
        <v>2931772</v>
      </c>
    </row>
    <row r="4261" spans="1:9" ht="23.25">
      <c r="A4261" s="5" t="s">
        <v>18</v>
      </c>
      <c r="B4261" s="5"/>
      <c r="C4261" s="5" t="s">
        <v>80</v>
      </c>
      <c r="D4261" s="5"/>
      <c r="E4261" s="1">
        <v>279317969</v>
      </c>
      <c r="F4261" s="1">
        <v>31308028</v>
      </c>
      <c r="G4261" s="1">
        <v>31178009</v>
      </c>
      <c r="H4261" s="1">
        <v>5422074</v>
      </c>
      <c r="I4261" s="1">
        <v>11403238</v>
      </c>
    </row>
    <row r="4262" spans="1:9" ht="23.25">
      <c r="A4262" s="5" t="s">
        <v>19</v>
      </c>
      <c r="B4262" s="5"/>
      <c r="C4262" s="5" t="s">
        <v>80</v>
      </c>
      <c r="D4262" s="5"/>
      <c r="E4262" s="1">
        <v>1382442221</v>
      </c>
      <c r="F4262" s="1">
        <v>877229</v>
      </c>
      <c r="G4262" s="1">
        <v>0</v>
      </c>
      <c r="H4262" s="1">
        <v>819088</v>
      </c>
      <c r="I4262" s="1">
        <v>1014344238</v>
      </c>
    </row>
    <row r="4263" spans="1:9" ht="23.25">
      <c r="A4263" s="5" t="s">
        <v>20</v>
      </c>
      <c r="B4263" s="5"/>
      <c r="C4263" s="5" t="s">
        <v>80</v>
      </c>
      <c r="D4263" s="5"/>
      <c r="E4263" s="1">
        <v>21099117</v>
      </c>
      <c r="F4263" s="1">
        <v>1297161</v>
      </c>
      <c r="G4263" s="1">
        <v>0</v>
      </c>
      <c r="H4263" s="1">
        <v>543782</v>
      </c>
      <c r="I4263" s="1">
        <v>19069227</v>
      </c>
    </row>
    <row r="4264" spans="1:9" ht="23.25">
      <c r="A4264" s="5" t="s">
        <v>21</v>
      </c>
      <c r="B4264" s="5"/>
      <c r="C4264" s="5" t="s">
        <v>80</v>
      </c>
      <c r="D4264" s="5"/>
      <c r="E4264" s="1">
        <v>171200786</v>
      </c>
      <c r="F4264" s="1">
        <v>9157107</v>
      </c>
      <c r="G4264" s="1">
        <v>1920783</v>
      </c>
      <c r="H4264" s="1">
        <v>20416045</v>
      </c>
      <c r="I4264" s="1">
        <v>11087069</v>
      </c>
    </row>
    <row r="4265" spans="1:9" ht="23.25">
      <c r="A4265" s="5" t="s">
        <v>22</v>
      </c>
      <c r="B4265" s="5"/>
      <c r="C4265" s="5" t="s">
        <v>80</v>
      </c>
      <c r="D4265" s="5"/>
      <c r="E4265" s="1">
        <v>565111080</v>
      </c>
      <c r="F4265" s="1">
        <v>13084995</v>
      </c>
      <c r="G4265" s="1">
        <v>21152829</v>
      </c>
      <c r="H4265" s="1">
        <v>1655254</v>
      </c>
      <c r="I4265" s="1">
        <v>509394</v>
      </c>
    </row>
    <row r="4266" spans="1:9" ht="23.25">
      <c r="A4266" s="5" t="s">
        <v>23</v>
      </c>
      <c r="B4266" s="5"/>
      <c r="C4266" s="5" t="s">
        <v>80</v>
      </c>
      <c r="D4266" s="5"/>
      <c r="E4266" s="1">
        <v>1125490532</v>
      </c>
      <c r="F4266" s="1">
        <v>39816180</v>
      </c>
      <c r="G4266" s="1">
        <v>34044951</v>
      </c>
      <c r="H4266" s="1">
        <v>8879747</v>
      </c>
      <c r="I4266" s="1">
        <v>271840804</v>
      </c>
    </row>
    <row r="4267" spans="1:9" ht="23.25">
      <c r="A4267" s="5" t="s">
        <v>24</v>
      </c>
      <c r="B4267" s="5"/>
      <c r="C4267" s="5" t="s">
        <v>80</v>
      </c>
      <c r="D4267" s="5"/>
      <c r="E4267" s="1">
        <v>648884751</v>
      </c>
      <c r="F4267" s="1">
        <v>36096656</v>
      </c>
      <c r="G4267" s="1">
        <v>39116970</v>
      </c>
      <c r="H4267" s="1">
        <v>11495429</v>
      </c>
      <c r="I4267" s="1">
        <v>35342525</v>
      </c>
    </row>
    <row r="4268" spans="1:9" ht="23.25">
      <c r="A4268" s="5" t="s">
        <v>25</v>
      </c>
      <c r="B4268" s="5"/>
      <c r="C4268" s="5" t="s">
        <v>80</v>
      </c>
      <c r="D4268" s="5"/>
      <c r="E4268" s="1">
        <v>176821558</v>
      </c>
      <c r="F4268" s="1">
        <v>5296688</v>
      </c>
      <c r="G4268" s="1">
        <v>4788649</v>
      </c>
      <c r="H4268" s="1">
        <v>2408655</v>
      </c>
      <c r="I4268" s="1">
        <v>14196220</v>
      </c>
    </row>
    <row r="4269" spans="1:9" ht="23.25">
      <c r="A4269" s="5" t="s">
        <v>26</v>
      </c>
      <c r="B4269" s="5"/>
      <c r="C4269" s="5" t="s">
        <v>80</v>
      </c>
      <c r="D4269" s="5"/>
      <c r="E4269" s="1">
        <v>449556715</v>
      </c>
      <c r="F4269" s="1">
        <v>25110643</v>
      </c>
      <c r="G4269" s="1">
        <v>24109300</v>
      </c>
      <c r="H4269" s="1">
        <v>6751606</v>
      </c>
      <c r="I4269" s="1">
        <v>89411754</v>
      </c>
    </row>
    <row r="4270" spans="1:9" ht="23.25">
      <c r="A4270" s="5" t="s">
        <v>27</v>
      </c>
      <c r="B4270" s="5"/>
      <c r="C4270" s="5" t="s">
        <v>80</v>
      </c>
      <c r="D4270" s="5"/>
      <c r="E4270" s="1">
        <v>114752442</v>
      </c>
      <c r="F4270" s="1">
        <v>8690674</v>
      </c>
      <c r="G4270" s="1">
        <v>7305285</v>
      </c>
      <c r="H4270" s="1">
        <v>1073127</v>
      </c>
      <c r="I4270" s="1">
        <v>26374473</v>
      </c>
    </row>
    <row r="4271" spans="1:9" ht="23.25">
      <c r="A4271" s="5" t="s">
        <v>28</v>
      </c>
      <c r="B4271" s="5"/>
      <c r="C4271" s="5" t="s">
        <v>80</v>
      </c>
      <c r="D4271" s="5"/>
      <c r="E4271" s="1">
        <v>671594046</v>
      </c>
      <c r="F4271" s="1">
        <v>41800787</v>
      </c>
      <c r="G4271" s="1">
        <v>38776919</v>
      </c>
      <c r="H4271" s="1">
        <v>9290670</v>
      </c>
      <c r="I4271" s="1">
        <v>23779347</v>
      </c>
    </row>
    <row r="4272" spans="1:9" ht="23.25">
      <c r="A4272" s="5" t="s">
        <v>29</v>
      </c>
      <c r="B4272" s="5"/>
      <c r="C4272" s="5" t="s">
        <v>80</v>
      </c>
      <c r="D4272" s="5"/>
      <c r="E4272" s="1">
        <v>78889014</v>
      </c>
      <c r="F4272" s="1">
        <v>4814026</v>
      </c>
      <c r="G4272" s="1">
        <v>5310511</v>
      </c>
      <c r="H4272" s="1">
        <v>700887</v>
      </c>
      <c r="I4272" s="1">
        <v>17947685</v>
      </c>
    </row>
    <row r="4273" spans="1:9" ht="23.25">
      <c r="A4273" s="5" t="s">
        <v>30</v>
      </c>
      <c r="B4273" s="5"/>
      <c r="C4273" s="5" t="s">
        <v>80</v>
      </c>
      <c r="D4273" s="5"/>
      <c r="E4273" s="1">
        <v>310797091</v>
      </c>
      <c r="F4273" s="1">
        <v>27553924</v>
      </c>
      <c r="G4273" s="1">
        <v>13813345</v>
      </c>
      <c r="H4273" s="1">
        <v>2551180</v>
      </c>
      <c r="I4273" s="1">
        <v>79058399</v>
      </c>
    </row>
    <row r="4274" spans="1:9" ht="23.25">
      <c r="A4274" s="5" t="s">
        <v>31</v>
      </c>
      <c r="B4274" s="5"/>
      <c r="C4274" s="5" t="s">
        <v>80</v>
      </c>
      <c r="D4274" s="5"/>
      <c r="E4274" s="1">
        <v>450664857</v>
      </c>
      <c r="F4274" s="1">
        <v>26922463</v>
      </c>
      <c r="G4274" s="1">
        <v>33332153</v>
      </c>
      <c r="H4274" s="1">
        <v>2338715</v>
      </c>
      <c r="I4274" s="1">
        <v>96241121</v>
      </c>
    </row>
    <row r="4275" spans="1:9" ht="23.25">
      <c r="A4275" s="5" t="s">
        <v>32</v>
      </c>
      <c r="B4275" s="5"/>
      <c r="C4275" s="5" t="s">
        <v>80</v>
      </c>
      <c r="D4275" s="5"/>
      <c r="E4275" s="1">
        <v>363003408</v>
      </c>
      <c r="F4275" s="1">
        <v>30012818</v>
      </c>
      <c r="G4275" s="1">
        <v>17781873</v>
      </c>
      <c r="H4275" s="1">
        <v>5439285</v>
      </c>
      <c r="I4275" s="1">
        <v>109186861</v>
      </c>
    </row>
    <row r="4276" spans="1:9" ht="23.25">
      <c r="A4276" s="5" t="s">
        <v>33</v>
      </c>
      <c r="B4276" s="5"/>
      <c r="C4276" s="5" t="s">
        <v>80</v>
      </c>
      <c r="D4276" s="5"/>
      <c r="E4276" s="1">
        <v>167420709</v>
      </c>
      <c r="F4276" s="1">
        <v>9395166</v>
      </c>
      <c r="G4276" s="1">
        <v>15207647</v>
      </c>
      <c r="H4276" s="1">
        <v>1355216</v>
      </c>
      <c r="I4276" s="1">
        <v>63147360</v>
      </c>
    </row>
    <row r="4277" spans="1:9" ht="23.25">
      <c r="A4277" s="5" t="s">
        <v>34</v>
      </c>
      <c r="B4277" s="5"/>
      <c r="C4277" s="5" t="s">
        <v>80</v>
      </c>
      <c r="D4277" s="5"/>
      <c r="E4277" s="1">
        <v>1676868384</v>
      </c>
      <c r="F4277" s="1">
        <v>160445953</v>
      </c>
      <c r="G4277" s="1">
        <v>39163725</v>
      </c>
      <c r="H4277" s="1">
        <v>20603146</v>
      </c>
      <c r="I4277" s="1">
        <v>621492716</v>
      </c>
    </row>
    <row r="4278" spans="1:9" ht="23.25">
      <c r="A4278" s="5" t="s">
        <v>35</v>
      </c>
      <c r="B4278" s="5"/>
      <c r="C4278" s="5" t="s">
        <v>80</v>
      </c>
      <c r="D4278" s="5"/>
      <c r="E4278" s="1">
        <v>227652074</v>
      </c>
      <c r="F4278" s="1">
        <v>25406707</v>
      </c>
      <c r="G4278" s="1">
        <v>21075109</v>
      </c>
      <c r="H4278" s="1">
        <v>8023767</v>
      </c>
      <c r="I4278" s="1">
        <v>102906459</v>
      </c>
    </row>
    <row r="4279" spans="1:9" ht="23.25">
      <c r="A4279" s="5" t="s">
        <v>36</v>
      </c>
      <c r="B4279" s="5"/>
      <c r="C4279" s="5" t="s">
        <v>80</v>
      </c>
      <c r="D4279" s="5"/>
      <c r="E4279" s="1">
        <v>1091115403</v>
      </c>
      <c r="F4279" s="1">
        <v>115310141</v>
      </c>
      <c r="G4279" s="1">
        <v>117133478</v>
      </c>
      <c r="H4279" s="1">
        <v>11180022</v>
      </c>
      <c r="I4279" s="1">
        <v>374734940</v>
      </c>
    </row>
    <row r="4280" spans="1:9" ht="23.25">
      <c r="A4280" s="5" t="s">
        <v>37</v>
      </c>
      <c r="B4280" s="5"/>
      <c r="C4280" s="5" t="s">
        <v>80</v>
      </c>
      <c r="D4280" s="5"/>
      <c r="E4280" s="1">
        <v>1729939893</v>
      </c>
      <c r="F4280" s="1">
        <v>91155724</v>
      </c>
      <c r="G4280" s="1">
        <v>86904200</v>
      </c>
      <c r="H4280" s="1">
        <v>15207914</v>
      </c>
      <c r="I4280" s="1">
        <v>274197987</v>
      </c>
    </row>
    <row r="4281" spans="1:9" ht="23.25">
      <c r="A4281" s="5" t="s">
        <v>38</v>
      </c>
      <c r="B4281" s="5"/>
      <c r="C4281" s="5" t="s">
        <v>80</v>
      </c>
      <c r="D4281" s="5"/>
      <c r="E4281" s="1">
        <v>506144746</v>
      </c>
      <c r="F4281" s="1">
        <v>47807100</v>
      </c>
      <c r="G4281" s="1">
        <v>20352697</v>
      </c>
      <c r="H4281" s="1">
        <v>10175798</v>
      </c>
      <c r="I4281" s="1">
        <v>62448315</v>
      </c>
    </row>
    <row r="4282" spans="1:9" ht="23.25">
      <c r="A4282" s="5" t="s">
        <v>39</v>
      </c>
      <c r="B4282" s="5"/>
      <c r="C4282" s="5" t="s">
        <v>80</v>
      </c>
      <c r="D4282" s="5"/>
      <c r="E4282" s="1">
        <v>727085374</v>
      </c>
      <c r="F4282" s="1">
        <v>29728449</v>
      </c>
      <c r="G4282" s="1">
        <v>24963693</v>
      </c>
      <c r="H4282" s="1">
        <v>5002813</v>
      </c>
      <c r="I4282" s="1">
        <v>166461222</v>
      </c>
    </row>
    <row r="4283" spans="1:9" ht="23.25">
      <c r="A4283" s="5" t="s">
        <v>40</v>
      </c>
      <c r="B4283" s="5"/>
      <c r="C4283" s="5" t="s">
        <v>80</v>
      </c>
      <c r="D4283" s="5"/>
      <c r="E4283" s="1">
        <v>237126133</v>
      </c>
      <c r="F4283" s="1">
        <v>13607989</v>
      </c>
      <c r="G4283" s="1">
        <v>11373117</v>
      </c>
      <c r="H4283" s="1">
        <v>3640001</v>
      </c>
      <c r="I4283" s="1">
        <v>2272390</v>
      </c>
    </row>
    <row r="4284" spans="1:9" ht="23.25">
      <c r="A4284" s="5" t="s">
        <v>41</v>
      </c>
      <c r="B4284" s="5"/>
      <c r="C4284" s="5" t="s">
        <v>80</v>
      </c>
      <c r="D4284" s="5"/>
      <c r="E4284" s="1">
        <v>412214399</v>
      </c>
      <c r="F4284" s="1">
        <v>27842213</v>
      </c>
      <c r="G4284" s="1">
        <v>20112761</v>
      </c>
      <c r="H4284" s="1">
        <v>5063986</v>
      </c>
      <c r="I4284" s="1">
        <v>77561476</v>
      </c>
    </row>
    <row r="4285" spans="1:9" ht="23.25">
      <c r="A4285" s="5" t="s">
        <v>42</v>
      </c>
      <c r="B4285" s="5"/>
      <c r="C4285" s="5" t="s">
        <v>80</v>
      </c>
      <c r="D4285" s="5"/>
      <c r="E4285" s="1">
        <v>946395279</v>
      </c>
      <c r="F4285" s="1">
        <v>39355111</v>
      </c>
      <c r="G4285" s="1">
        <v>30488443</v>
      </c>
      <c r="H4285" s="1">
        <v>8720267</v>
      </c>
      <c r="I4285" s="1">
        <v>606077811</v>
      </c>
    </row>
    <row r="4286" spans="1:9" ht="23.25">
      <c r="A4286" s="5" t="s">
        <v>43</v>
      </c>
      <c r="B4286" s="5"/>
      <c r="C4286" s="5" t="s">
        <v>80</v>
      </c>
      <c r="D4286" s="5"/>
      <c r="E4286" s="1">
        <v>880644663</v>
      </c>
      <c r="F4286" s="1">
        <v>39762234</v>
      </c>
      <c r="G4286" s="1">
        <v>17618090</v>
      </c>
      <c r="H4286" s="1">
        <v>1384258</v>
      </c>
      <c r="I4286" s="1">
        <v>683456919</v>
      </c>
    </row>
    <row r="4287" spans="1:9" ht="23.25">
      <c r="A4287" s="5" t="s">
        <v>44</v>
      </c>
      <c r="B4287" s="5"/>
      <c r="C4287" s="5" t="s">
        <v>80</v>
      </c>
      <c r="D4287" s="5"/>
      <c r="E4287" s="1">
        <v>941671386</v>
      </c>
      <c r="F4287" s="1">
        <v>20892489</v>
      </c>
      <c r="G4287" s="1">
        <v>29468338</v>
      </c>
      <c r="H4287" s="1">
        <v>3033144</v>
      </c>
      <c r="I4287" s="1">
        <v>378158131</v>
      </c>
    </row>
    <row r="4288" spans="1:9" ht="23.25">
      <c r="A4288" s="5" t="s">
        <v>45</v>
      </c>
      <c r="B4288" s="5"/>
      <c r="C4288" s="5" t="s">
        <v>80</v>
      </c>
      <c r="D4288" s="5"/>
      <c r="E4288" s="1">
        <v>1305168018</v>
      </c>
      <c r="F4288" s="1">
        <v>102624075</v>
      </c>
      <c r="G4288" s="1">
        <v>37200798</v>
      </c>
      <c r="H4288" s="1">
        <v>12953748</v>
      </c>
      <c r="I4288" s="1">
        <v>577672991</v>
      </c>
    </row>
    <row r="4289" spans="1:9" ht="23.25">
      <c r="A4289" s="5" t="s">
        <v>46</v>
      </c>
      <c r="B4289" s="5"/>
      <c r="C4289" s="5" t="s">
        <v>80</v>
      </c>
      <c r="D4289" s="5"/>
      <c r="E4289" s="1">
        <v>6032701958</v>
      </c>
      <c r="F4289" s="1">
        <v>303621563</v>
      </c>
      <c r="G4289" s="1">
        <v>226256260</v>
      </c>
      <c r="H4289" s="1">
        <v>47314118</v>
      </c>
      <c r="I4289" s="1">
        <v>2048258372</v>
      </c>
    </row>
    <row r="4290" spans="1:9" ht="23.25">
      <c r="A4290" s="5" t="s">
        <v>47</v>
      </c>
      <c r="B4290" s="5"/>
      <c r="C4290" s="5" t="s">
        <v>80</v>
      </c>
      <c r="D4290" s="5"/>
      <c r="E4290" s="1">
        <v>2977430413</v>
      </c>
      <c r="F4290" s="1">
        <v>160472892</v>
      </c>
      <c r="G4290" s="1">
        <v>157814937</v>
      </c>
      <c r="H4290" s="1">
        <v>20049789</v>
      </c>
      <c r="I4290" s="1">
        <v>455890940</v>
      </c>
    </row>
    <row r="4291" spans="1:9" ht="23.25">
      <c r="A4291" s="5" t="s">
        <v>48</v>
      </c>
      <c r="B4291" s="5"/>
      <c r="C4291" s="5" t="s">
        <v>80</v>
      </c>
      <c r="D4291" s="5"/>
      <c r="E4291" s="1">
        <v>192156038</v>
      </c>
      <c r="F4291" s="1">
        <v>7145384</v>
      </c>
      <c r="G4291" s="1">
        <v>990883</v>
      </c>
      <c r="H4291" s="1">
        <v>1164748</v>
      </c>
      <c r="I4291" s="1">
        <v>69828366</v>
      </c>
    </row>
    <row r="4292" spans="1:9" ht="23.25">
      <c r="A4292" s="5" t="s">
        <v>49</v>
      </c>
      <c r="B4292" s="5"/>
      <c r="C4292" s="5" t="s">
        <v>80</v>
      </c>
      <c r="D4292" s="5"/>
      <c r="E4292" s="1">
        <v>172664285</v>
      </c>
      <c r="F4292" s="1">
        <v>10045245</v>
      </c>
      <c r="G4292" s="1">
        <v>9326243</v>
      </c>
      <c r="H4292" s="1">
        <v>941154</v>
      </c>
      <c r="I4292" s="1">
        <v>64863839</v>
      </c>
    </row>
    <row r="4293" spans="1:9" ht="23.25">
      <c r="A4293" s="5" t="s">
        <v>50</v>
      </c>
      <c r="B4293" s="5"/>
      <c r="C4293" s="5" t="s">
        <v>80</v>
      </c>
      <c r="D4293" s="5"/>
      <c r="E4293" s="1">
        <v>344259749</v>
      </c>
      <c r="F4293" s="1">
        <v>28799344</v>
      </c>
      <c r="G4293" s="1">
        <v>22976201</v>
      </c>
      <c r="H4293" s="1">
        <v>3114669</v>
      </c>
      <c r="I4293" s="1">
        <v>23122978</v>
      </c>
    </row>
    <row r="4294" spans="1:9" ht="23.25">
      <c r="A4294" s="5" t="s">
        <v>51</v>
      </c>
      <c r="B4294" s="5"/>
      <c r="C4294" s="5" t="s">
        <v>80</v>
      </c>
      <c r="D4294" s="5"/>
      <c r="E4294" s="1">
        <v>1899033406</v>
      </c>
      <c r="F4294" s="1">
        <v>96610091</v>
      </c>
      <c r="G4294" s="1">
        <v>109460565</v>
      </c>
      <c r="H4294" s="1">
        <v>7589209</v>
      </c>
      <c r="I4294" s="1">
        <v>391997376</v>
      </c>
    </row>
    <row r="4295" spans="1:9" ht="23.25">
      <c r="A4295" s="5" t="s">
        <v>52</v>
      </c>
      <c r="B4295" s="5"/>
      <c r="C4295" s="5" t="s">
        <v>80</v>
      </c>
      <c r="D4295" s="5"/>
      <c r="E4295" s="1">
        <v>1697164809</v>
      </c>
      <c r="F4295" s="1">
        <v>5223352</v>
      </c>
      <c r="G4295" s="1">
        <v>7959250</v>
      </c>
      <c r="H4295" s="1">
        <v>1341292</v>
      </c>
      <c r="I4295" s="1">
        <v>142248466</v>
      </c>
    </row>
    <row r="4296" spans="1:9" ht="23.25">
      <c r="A4296" s="5" t="s">
        <v>53</v>
      </c>
      <c r="B4296" s="5"/>
      <c r="C4296" s="5" t="s">
        <v>80</v>
      </c>
      <c r="D4296" s="5"/>
      <c r="E4296" s="1">
        <v>71263534</v>
      </c>
      <c r="F4296" s="1">
        <v>0</v>
      </c>
      <c r="G4296" s="1">
        <v>0</v>
      </c>
      <c r="H4296" s="1">
        <v>0</v>
      </c>
      <c r="I4296" s="1">
        <v>0</v>
      </c>
    </row>
    <row r="4297" spans="1:9" ht="23.25">
      <c r="A4297" s="5" t="s">
        <v>54</v>
      </c>
      <c r="B4297" s="5"/>
      <c r="C4297" s="5" t="s">
        <v>80</v>
      </c>
      <c r="D4297" s="5"/>
      <c r="E4297" s="1">
        <v>612716974</v>
      </c>
      <c r="F4297" s="1">
        <v>0</v>
      </c>
      <c r="G4297" s="1">
        <v>0</v>
      </c>
      <c r="H4297" s="1">
        <v>3674</v>
      </c>
      <c r="I4297" s="1">
        <v>0</v>
      </c>
    </row>
    <row r="4298" spans="1:9" ht="23.25">
      <c r="A4298" s="5" t="s">
        <v>55</v>
      </c>
      <c r="B4298" s="5"/>
      <c r="C4298" s="5" t="s">
        <v>80</v>
      </c>
      <c r="D4298" s="5"/>
      <c r="E4298" s="1">
        <v>758113275</v>
      </c>
      <c r="F4298" s="1">
        <v>0</v>
      </c>
      <c r="G4298" s="1">
        <v>0</v>
      </c>
      <c r="H4298" s="1">
        <v>0</v>
      </c>
      <c r="I4298" s="1">
        <v>0</v>
      </c>
    </row>
    <row r="4299" spans="1:9" ht="23.25">
      <c r="A4299" s="5" t="s">
        <v>56</v>
      </c>
      <c r="B4299" s="5"/>
      <c r="C4299" s="5" t="s">
        <v>80</v>
      </c>
      <c r="D4299" s="5"/>
      <c r="E4299" s="1">
        <v>11026474</v>
      </c>
      <c r="F4299" s="1">
        <v>-1840342700</v>
      </c>
      <c r="G4299" s="1">
        <v>-1434957076</v>
      </c>
      <c r="H4299" s="1">
        <v>0</v>
      </c>
      <c r="I4299" s="1">
        <v>0</v>
      </c>
    </row>
    <row r="4300" spans="1:9" ht="23.25">
      <c r="A4300" s="5" t="s">
        <v>57</v>
      </c>
      <c r="B4300" s="5"/>
      <c r="C4300" s="5" t="s">
        <v>80</v>
      </c>
      <c r="D4300" s="5"/>
      <c r="E4300" s="1">
        <v>1358333734</v>
      </c>
      <c r="F4300" s="1">
        <v>0</v>
      </c>
      <c r="G4300" s="1">
        <v>0</v>
      </c>
      <c r="H4300" s="1">
        <v>0</v>
      </c>
      <c r="I4300" s="1">
        <v>65700431</v>
      </c>
    </row>
    <row r="4301" spans="1:9" ht="23.25">
      <c r="A4301" s="5" t="s">
        <v>58</v>
      </c>
      <c r="B4301" s="5"/>
      <c r="C4301" s="5" t="s">
        <v>80</v>
      </c>
      <c r="D4301" s="5"/>
      <c r="E4301" s="1">
        <v>1029127687</v>
      </c>
      <c r="F4301" s="1">
        <v>0</v>
      </c>
      <c r="G4301" s="1">
        <v>0</v>
      </c>
      <c r="H4301" s="1">
        <v>-295640484</v>
      </c>
      <c r="I4301" s="1">
        <v>117143924</v>
      </c>
    </row>
    <row r="4302" spans="1:9" ht="23.25">
      <c r="A4302" s="5" t="s">
        <v>59</v>
      </c>
      <c r="B4302" s="5"/>
      <c r="C4302" s="5" t="s">
        <v>80</v>
      </c>
      <c r="D4302" s="5"/>
      <c r="E4302" s="1">
        <v>638994895</v>
      </c>
      <c r="F4302" s="1">
        <v>0</v>
      </c>
      <c r="G4302" s="1">
        <v>0</v>
      </c>
      <c r="H4302" s="1">
        <v>0</v>
      </c>
      <c r="I4302" s="1">
        <v>55188867</v>
      </c>
    </row>
    <row r="4303" spans="1:9" ht="23.25">
      <c r="A4303" s="5" t="s">
        <v>60</v>
      </c>
      <c r="B4303" s="5"/>
      <c r="C4303" s="5" t="s">
        <v>80</v>
      </c>
      <c r="D4303" s="5"/>
      <c r="E4303" s="1">
        <v>1808671266</v>
      </c>
      <c r="F4303" s="1">
        <v>0</v>
      </c>
      <c r="G4303" s="1">
        <v>0</v>
      </c>
      <c r="H4303" s="1">
        <v>0</v>
      </c>
      <c r="I4303" s="1">
        <v>81709813</v>
      </c>
    </row>
    <row r="4304" spans="1:9" ht="23.25">
      <c r="A4304" s="5" t="s">
        <v>61</v>
      </c>
      <c r="B4304" s="5"/>
      <c r="C4304" s="5" t="s">
        <v>80</v>
      </c>
      <c r="D4304" s="5"/>
      <c r="E4304" s="1">
        <v>753318923</v>
      </c>
      <c r="F4304" s="1">
        <v>0</v>
      </c>
      <c r="G4304" s="1">
        <v>0</v>
      </c>
      <c r="H4304" s="1">
        <v>0</v>
      </c>
      <c r="I4304" s="1">
        <v>101724443</v>
      </c>
    </row>
    <row r="4305" spans="1:9" ht="23.25">
      <c r="A4305" s="5" t="s">
        <v>62</v>
      </c>
      <c r="B4305" s="5"/>
      <c r="C4305" s="5" t="s">
        <v>80</v>
      </c>
      <c r="D4305" s="5"/>
      <c r="E4305" s="1">
        <v>1552222836</v>
      </c>
      <c r="F4305" s="1">
        <v>0</v>
      </c>
      <c r="G4305" s="1">
        <v>0</v>
      </c>
      <c r="H4305" s="1">
        <v>0</v>
      </c>
      <c r="I4305" s="1">
        <v>318173520</v>
      </c>
    </row>
    <row r="4306" spans="1:9" ht="23.25">
      <c r="A4306" s="5" t="s">
        <v>63</v>
      </c>
      <c r="B4306" s="5"/>
      <c r="C4306" s="5" t="s">
        <v>80</v>
      </c>
      <c r="D4306" s="5"/>
      <c r="E4306" s="1">
        <v>2930261796</v>
      </c>
      <c r="F4306" s="1">
        <v>0</v>
      </c>
      <c r="G4306" s="1">
        <v>0</v>
      </c>
      <c r="H4306" s="1">
        <v>0</v>
      </c>
      <c r="I4306" s="1">
        <v>86220627</v>
      </c>
    </row>
    <row r="4307" spans="1:9" ht="23.25">
      <c r="A4307" s="5" t="s">
        <v>64</v>
      </c>
      <c r="B4307" s="5"/>
      <c r="C4307" s="5" t="s">
        <v>80</v>
      </c>
      <c r="D4307" s="5"/>
      <c r="E4307" s="1">
        <v>999051935</v>
      </c>
      <c r="F4307" s="1">
        <v>0</v>
      </c>
      <c r="G4307" s="1">
        <v>0</v>
      </c>
      <c r="H4307" s="1">
        <v>0</v>
      </c>
      <c r="I4307" s="1">
        <v>16876564</v>
      </c>
    </row>
    <row r="4308" spans="1:9" ht="23.25">
      <c r="A4308" s="5" t="s">
        <v>65</v>
      </c>
      <c r="B4308" s="5"/>
      <c r="C4308" s="5" t="s">
        <v>80</v>
      </c>
      <c r="D4308" s="5"/>
      <c r="E4308" s="1">
        <v>294303940</v>
      </c>
      <c r="F4308" s="1">
        <v>0</v>
      </c>
      <c r="G4308" s="1">
        <v>0</v>
      </c>
      <c r="H4308" s="1">
        <v>0</v>
      </c>
      <c r="I4308" s="1">
        <v>21911156</v>
      </c>
    </row>
    <row r="4309" spans="1:9" ht="23.25">
      <c r="A4309" s="5" t="s">
        <v>66</v>
      </c>
      <c r="B4309" s="5"/>
      <c r="C4309" s="5" t="s">
        <v>80</v>
      </c>
      <c r="D4309" s="5"/>
      <c r="E4309" s="1">
        <v>46348019845</v>
      </c>
      <c r="F4309" s="1">
        <v>0</v>
      </c>
      <c r="G4309" s="1">
        <v>0</v>
      </c>
      <c r="H4309" s="1">
        <v>0</v>
      </c>
      <c r="I4309" s="1">
        <v>10046718641</v>
      </c>
    </row>
    <row r="4310" spans="1:9" ht="23.25">
      <c r="A4310" s="5" t="s">
        <v>8</v>
      </c>
      <c r="B4310" s="5"/>
      <c r="C4310" s="5" t="s">
        <v>81</v>
      </c>
      <c r="D4310" s="5"/>
      <c r="E4310" s="1">
        <v>-5</v>
      </c>
      <c r="F4310" s="1">
        <v>0</v>
      </c>
      <c r="G4310" s="1">
        <v>0</v>
      </c>
      <c r="H4310" s="1">
        <v>0</v>
      </c>
      <c r="I4310" s="1">
        <v>-5</v>
      </c>
    </row>
    <row r="4311" spans="1:9" ht="23.25">
      <c r="A4311" s="5" t="s">
        <v>9</v>
      </c>
      <c r="B4311" s="5"/>
      <c r="C4311" s="5" t="s">
        <v>81</v>
      </c>
      <c r="D4311" s="5"/>
      <c r="E4311" s="1">
        <v>-13906462</v>
      </c>
      <c r="F4311" s="1">
        <v>0</v>
      </c>
      <c r="G4311" s="1">
        <v>0</v>
      </c>
      <c r="H4311" s="1">
        <v>0</v>
      </c>
      <c r="I4311" s="1">
        <v>-13906462</v>
      </c>
    </row>
    <row r="4312" spans="1:9" ht="23.25">
      <c r="A4312" s="5" t="s">
        <v>10</v>
      </c>
      <c r="B4312" s="5"/>
      <c r="C4312" s="5" t="s">
        <v>81</v>
      </c>
      <c r="D4312" s="5"/>
      <c r="E4312" s="1">
        <v>0</v>
      </c>
      <c r="F4312" s="1">
        <v>0</v>
      </c>
      <c r="G4312" s="1">
        <v>0</v>
      </c>
      <c r="H4312" s="1">
        <v>0</v>
      </c>
      <c r="I4312" s="1">
        <v>0</v>
      </c>
    </row>
    <row r="4313" spans="1:9" ht="23.25">
      <c r="A4313" s="5" t="s">
        <v>11</v>
      </c>
      <c r="B4313" s="5"/>
      <c r="C4313" s="5" t="s">
        <v>81</v>
      </c>
      <c r="D4313" s="5"/>
      <c r="E4313" s="1">
        <v>-43130296</v>
      </c>
      <c r="F4313" s="1">
        <v>0</v>
      </c>
      <c r="G4313" s="1">
        <v>0</v>
      </c>
      <c r="H4313" s="1">
        <v>0</v>
      </c>
      <c r="I4313" s="1">
        <v>-43130296</v>
      </c>
    </row>
    <row r="4314" spans="1:9" ht="23.25">
      <c r="A4314" s="5" t="s">
        <v>12</v>
      </c>
      <c r="B4314" s="5"/>
      <c r="C4314" s="5" t="s">
        <v>81</v>
      </c>
      <c r="D4314" s="5"/>
      <c r="E4314" s="1">
        <v>-48485134</v>
      </c>
      <c r="F4314" s="1">
        <v>0</v>
      </c>
      <c r="G4314" s="1">
        <v>0</v>
      </c>
      <c r="H4314" s="1">
        <v>0</v>
      </c>
      <c r="I4314" s="1">
        <v>-48485134</v>
      </c>
    </row>
    <row r="4315" spans="1:9" ht="23.25">
      <c r="A4315" s="5" t="s">
        <v>13</v>
      </c>
      <c r="B4315" s="5"/>
      <c r="C4315" s="5" t="s">
        <v>81</v>
      </c>
      <c r="D4315" s="5"/>
      <c r="E4315" s="1">
        <v>-2</v>
      </c>
      <c r="F4315" s="1">
        <v>0</v>
      </c>
      <c r="G4315" s="1">
        <v>0</v>
      </c>
      <c r="H4315" s="1">
        <v>0</v>
      </c>
      <c r="I4315" s="1">
        <v>-2</v>
      </c>
    </row>
    <row r="4316" spans="1:9" ht="23.25">
      <c r="A4316" s="5" t="s">
        <v>14</v>
      </c>
      <c r="B4316" s="5"/>
      <c r="C4316" s="5" t="s">
        <v>81</v>
      </c>
      <c r="D4316" s="5"/>
      <c r="E4316" s="1">
        <v>-140664</v>
      </c>
      <c r="F4316" s="1">
        <v>0</v>
      </c>
      <c r="G4316" s="1">
        <v>0</v>
      </c>
      <c r="H4316" s="1">
        <v>0</v>
      </c>
      <c r="I4316" s="1">
        <v>-140664</v>
      </c>
    </row>
    <row r="4317" spans="1:9" ht="23.25">
      <c r="A4317" s="5" t="s">
        <v>15</v>
      </c>
      <c r="B4317" s="5"/>
      <c r="C4317" s="5" t="s">
        <v>81</v>
      </c>
      <c r="D4317" s="5"/>
      <c r="E4317" s="1">
        <v>-51624855</v>
      </c>
      <c r="F4317" s="1">
        <v>0</v>
      </c>
      <c r="G4317" s="1">
        <v>0</v>
      </c>
      <c r="H4317" s="1">
        <v>0</v>
      </c>
      <c r="I4317" s="1">
        <v>-51624855</v>
      </c>
    </row>
    <row r="4318" spans="1:9" ht="23.25">
      <c r="A4318" s="5" t="s">
        <v>16</v>
      </c>
      <c r="B4318" s="5"/>
      <c r="C4318" s="5" t="s">
        <v>81</v>
      </c>
      <c r="D4318" s="5"/>
      <c r="E4318" s="1">
        <v>-5602028</v>
      </c>
      <c r="F4318" s="1">
        <v>0</v>
      </c>
      <c r="G4318" s="1">
        <v>0</v>
      </c>
      <c r="H4318" s="1">
        <v>0</v>
      </c>
      <c r="I4318" s="1">
        <v>-5602028</v>
      </c>
    </row>
    <row r="4319" spans="1:9" ht="23.25">
      <c r="A4319" s="5" t="s">
        <v>17</v>
      </c>
      <c r="B4319" s="5"/>
      <c r="C4319" s="5" t="s">
        <v>81</v>
      </c>
      <c r="D4319" s="5"/>
      <c r="E4319" s="1">
        <v>-2716606</v>
      </c>
      <c r="F4319" s="1">
        <v>0</v>
      </c>
      <c r="G4319" s="1">
        <v>0</v>
      </c>
      <c r="H4319" s="1">
        <v>0</v>
      </c>
      <c r="I4319" s="1">
        <v>-2716606</v>
      </c>
    </row>
    <row r="4320" spans="1:9" ht="23.25">
      <c r="A4320" s="5" t="s">
        <v>18</v>
      </c>
      <c r="B4320" s="5"/>
      <c r="C4320" s="5" t="s">
        <v>81</v>
      </c>
      <c r="D4320" s="5"/>
      <c r="E4320" s="1">
        <v>-11276066</v>
      </c>
      <c r="F4320" s="1">
        <v>0</v>
      </c>
      <c r="G4320" s="1">
        <v>0</v>
      </c>
      <c r="H4320" s="1">
        <v>0</v>
      </c>
      <c r="I4320" s="1">
        <v>-11276066</v>
      </c>
    </row>
    <row r="4321" spans="1:9" ht="23.25">
      <c r="A4321" s="5" t="s">
        <v>19</v>
      </c>
      <c r="B4321" s="5"/>
      <c r="C4321" s="5" t="s">
        <v>81</v>
      </c>
      <c r="D4321" s="5"/>
      <c r="E4321" s="1">
        <v>-935241246</v>
      </c>
      <c r="F4321" s="1">
        <v>0</v>
      </c>
      <c r="G4321" s="1">
        <v>0</v>
      </c>
      <c r="H4321" s="1">
        <v>0</v>
      </c>
      <c r="I4321" s="1">
        <v>-935241246</v>
      </c>
    </row>
    <row r="4322" spans="1:9" ht="23.25">
      <c r="A4322" s="5" t="s">
        <v>20</v>
      </c>
      <c r="B4322" s="5"/>
      <c r="C4322" s="5" t="s">
        <v>81</v>
      </c>
      <c r="D4322" s="5"/>
      <c r="E4322" s="1">
        <v>-18036490</v>
      </c>
      <c r="F4322" s="1">
        <v>0</v>
      </c>
      <c r="G4322" s="1">
        <v>0</v>
      </c>
      <c r="H4322" s="1">
        <v>0</v>
      </c>
      <c r="I4322" s="1">
        <v>-18036490</v>
      </c>
    </row>
    <row r="4323" spans="1:9" ht="23.25">
      <c r="A4323" s="5" t="s">
        <v>21</v>
      </c>
      <c r="B4323" s="5"/>
      <c r="C4323" s="5" t="s">
        <v>81</v>
      </c>
      <c r="D4323" s="5"/>
      <c r="E4323" s="1">
        <v>-10363439</v>
      </c>
      <c r="F4323" s="1">
        <v>0</v>
      </c>
      <c r="G4323" s="1">
        <v>0</v>
      </c>
      <c r="H4323" s="1">
        <v>0</v>
      </c>
      <c r="I4323" s="1">
        <v>-10363439</v>
      </c>
    </row>
    <row r="4324" spans="1:9" ht="23.25">
      <c r="A4324" s="5" t="s">
        <v>22</v>
      </c>
      <c r="B4324" s="5"/>
      <c r="C4324" s="5" t="s">
        <v>81</v>
      </c>
      <c r="D4324" s="5"/>
      <c r="E4324" s="1">
        <v>-482092</v>
      </c>
      <c r="F4324" s="1">
        <v>0</v>
      </c>
      <c r="G4324" s="1">
        <v>0</v>
      </c>
      <c r="H4324" s="1">
        <v>0</v>
      </c>
      <c r="I4324" s="1">
        <v>-482092</v>
      </c>
    </row>
    <row r="4325" spans="1:9" ht="23.25">
      <c r="A4325" s="5" t="s">
        <v>23</v>
      </c>
      <c r="B4325" s="5"/>
      <c r="C4325" s="5" t="s">
        <v>81</v>
      </c>
      <c r="D4325" s="5"/>
      <c r="E4325" s="1">
        <v>-254790929</v>
      </c>
      <c r="F4325" s="1">
        <v>0</v>
      </c>
      <c r="G4325" s="1">
        <v>0</v>
      </c>
      <c r="H4325" s="1">
        <v>0</v>
      </c>
      <c r="I4325" s="1">
        <v>-254790929</v>
      </c>
    </row>
    <row r="4326" spans="1:9" ht="23.25">
      <c r="A4326" s="5" t="s">
        <v>24</v>
      </c>
      <c r="B4326" s="5"/>
      <c r="C4326" s="5" t="s">
        <v>81</v>
      </c>
      <c r="D4326" s="5"/>
      <c r="E4326" s="1">
        <v>-32743287</v>
      </c>
      <c r="F4326" s="1">
        <v>0</v>
      </c>
      <c r="G4326" s="1">
        <v>0</v>
      </c>
      <c r="H4326" s="1">
        <v>0</v>
      </c>
      <c r="I4326" s="1">
        <v>-32743287</v>
      </c>
    </row>
    <row r="4327" spans="1:9" ht="23.25">
      <c r="A4327" s="5" t="s">
        <v>25</v>
      </c>
      <c r="B4327" s="5"/>
      <c r="C4327" s="5" t="s">
        <v>81</v>
      </c>
      <c r="D4327" s="5"/>
      <c r="E4327" s="1">
        <v>-12872471</v>
      </c>
      <c r="F4327" s="1">
        <v>0</v>
      </c>
      <c r="G4327" s="1">
        <v>0</v>
      </c>
      <c r="H4327" s="1">
        <v>0</v>
      </c>
      <c r="I4327" s="1">
        <v>-12872471</v>
      </c>
    </row>
    <row r="4328" spans="1:9" ht="23.25">
      <c r="A4328" s="5" t="s">
        <v>26</v>
      </c>
      <c r="B4328" s="5"/>
      <c r="C4328" s="5" t="s">
        <v>81</v>
      </c>
      <c r="D4328" s="5"/>
      <c r="E4328" s="1">
        <v>-80824919</v>
      </c>
      <c r="F4328" s="1">
        <v>0</v>
      </c>
      <c r="G4328" s="1">
        <v>0</v>
      </c>
      <c r="H4328" s="1">
        <v>0</v>
      </c>
      <c r="I4328" s="1">
        <v>-80824919</v>
      </c>
    </row>
    <row r="4329" spans="1:9" ht="23.25">
      <c r="A4329" s="5" t="s">
        <v>27</v>
      </c>
      <c r="B4329" s="5"/>
      <c r="C4329" s="5" t="s">
        <v>81</v>
      </c>
      <c r="D4329" s="5"/>
      <c r="E4329" s="1">
        <v>-25943065</v>
      </c>
      <c r="F4329" s="1">
        <v>0</v>
      </c>
      <c r="G4329" s="1">
        <v>0</v>
      </c>
      <c r="H4329" s="1">
        <v>0</v>
      </c>
      <c r="I4329" s="1">
        <v>-25943065</v>
      </c>
    </row>
    <row r="4330" spans="1:9" ht="23.25">
      <c r="A4330" s="5" t="s">
        <v>28</v>
      </c>
      <c r="B4330" s="5"/>
      <c r="C4330" s="5" t="s">
        <v>81</v>
      </c>
      <c r="D4330" s="5"/>
      <c r="E4330" s="1">
        <v>-12962302</v>
      </c>
      <c r="F4330" s="1">
        <v>0</v>
      </c>
      <c r="G4330" s="1">
        <v>0</v>
      </c>
      <c r="H4330" s="1">
        <v>0</v>
      </c>
      <c r="I4330" s="1">
        <v>-12962302</v>
      </c>
    </row>
    <row r="4331" spans="1:9" ht="23.25">
      <c r="A4331" s="5" t="s">
        <v>29</v>
      </c>
      <c r="B4331" s="5"/>
      <c r="C4331" s="5" t="s">
        <v>81</v>
      </c>
      <c r="D4331" s="5"/>
      <c r="E4331" s="1">
        <v>-9290534</v>
      </c>
      <c r="F4331" s="1">
        <v>0</v>
      </c>
      <c r="G4331" s="1">
        <v>0</v>
      </c>
      <c r="H4331" s="1">
        <v>0</v>
      </c>
      <c r="I4331" s="1">
        <v>-9290534</v>
      </c>
    </row>
    <row r="4332" spans="1:9" ht="23.25">
      <c r="A4332" s="5" t="s">
        <v>30</v>
      </c>
      <c r="B4332" s="5"/>
      <c r="C4332" s="5" t="s">
        <v>81</v>
      </c>
      <c r="D4332" s="5"/>
      <c r="E4332" s="1">
        <v>-75153585</v>
      </c>
      <c r="F4332" s="1">
        <v>0</v>
      </c>
      <c r="G4332" s="1">
        <v>0</v>
      </c>
      <c r="H4332" s="1">
        <v>0</v>
      </c>
      <c r="I4332" s="1">
        <v>-75153585</v>
      </c>
    </row>
    <row r="4333" spans="1:9" ht="23.25">
      <c r="A4333" s="5" t="s">
        <v>31</v>
      </c>
      <c r="B4333" s="5"/>
      <c r="C4333" s="5" t="s">
        <v>81</v>
      </c>
      <c r="D4333" s="5"/>
      <c r="E4333" s="1">
        <v>-79834315</v>
      </c>
      <c r="F4333" s="1">
        <v>0</v>
      </c>
      <c r="G4333" s="1">
        <v>0</v>
      </c>
      <c r="H4333" s="1">
        <v>0</v>
      </c>
      <c r="I4333" s="1">
        <v>-79834315</v>
      </c>
    </row>
    <row r="4334" spans="1:9" ht="23.25">
      <c r="A4334" s="5" t="s">
        <v>32</v>
      </c>
      <c r="B4334" s="5"/>
      <c r="C4334" s="5" t="s">
        <v>81</v>
      </c>
      <c r="D4334" s="5"/>
      <c r="E4334" s="1">
        <v>-102164013</v>
      </c>
      <c r="F4334" s="1">
        <v>0</v>
      </c>
      <c r="G4334" s="1">
        <v>0</v>
      </c>
      <c r="H4334" s="1">
        <v>0</v>
      </c>
      <c r="I4334" s="1">
        <v>-102164013</v>
      </c>
    </row>
    <row r="4335" spans="1:9" ht="23.25">
      <c r="A4335" s="5" t="s">
        <v>33</v>
      </c>
      <c r="B4335" s="5"/>
      <c r="C4335" s="5" t="s">
        <v>81</v>
      </c>
      <c r="D4335" s="5"/>
      <c r="E4335" s="1">
        <v>-8490858</v>
      </c>
      <c r="F4335" s="1">
        <v>0</v>
      </c>
      <c r="G4335" s="1">
        <v>0</v>
      </c>
      <c r="H4335" s="1">
        <v>0</v>
      </c>
      <c r="I4335" s="1">
        <v>-8490858</v>
      </c>
    </row>
    <row r="4336" spans="1:9" ht="23.25">
      <c r="A4336" s="5" t="s">
        <v>34</v>
      </c>
      <c r="B4336" s="5"/>
      <c r="C4336" s="5" t="s">
        <v>81</v>
      </c>
      <c r="D4336" s="5"/>
      <c r="E4336" s="1">
        <v>-593269412</v>
      </c>
      <c r="F4336" s="1">
        <v>0</v>
      </c>
      <c r="G4336" s="1">
        <v>0</v>
      </c>
      <c r="H4336" s="1">
        <v>0</v>
      </c>
      <c r="I4336" s="1">
        <v>-593269412</v>
      </c>
    </row>
    <row r="4337" spans="1:9" ht="23.25">
      <c r="A4337" s="5" t="s">
        <v>35</v>
      </c>
      <c r="B4337" s="5"/>
      <c r="C4337" s="5" t="s">
        <v>81</v>
      </c>
      <c r="D4337" s="5"/>
      <c r="E4337" s="1">
        <v>-102136987</v>
      </c>
      <c r="F4337" s="1">
        <v>0</v>
      </c>
      <c r="G4337" s="1">
        <v>0</v>
      </c>
      <c r="H4337" s="1">
        <v>0</v>
      </c>
      <c r="I4337" s="1">
        <v>-102136987</v>
      </c>
    </row>
    <row r="4338" spans="1:9" ht="23.25">
      <c r="A4338" s="5" t="s">
        <v>36</v>
      </c>
      <c r="B4338" s="5"/>
      <c r="C4338" s="5" t="s">
        <v>81</v>
      </c>
      <c r="D4338" s="5"/>
      <c r="E4338" s="1">
        <v>-348900139</v>
      </c>
      <c r="F4338" s="1">
        <v>0</v>
      </c>
      <c r="G4338" s="1">
        <v>0</v>
      </c>
      <c r="H4338" s="1">
        <v>0</v>
      </c>
      <c r="I4338" s="1">
        <v>-348900139</v>
      </c>
    </row>
    <row r="4339" spans="1:9" ht="23.25">
      <c r="A4339" s="5" t="s">
        <v>37</v>
      </c>
      <c r="B4339" s="5"/>
      <c r="C4339" s="5" t="s">
        <v>81</v>
      </c>
      <c r="D4339" s="5"/>
      <c r="E4339" s="1">
        <v>-188138394</v>
      </c>
      <c r="F4339" s="1">
        <v>0</v>
      </c>
      <c r="G4339" s="1">
        <v>0</v>
      </c>
      <c r="H4339" s="1">
        <v>0</v>
      </c>
      <c r="I4339" s="1">
        <v>-188138394</v>
      </c>
    </row>
    <row r="4340" spans="1:9" ht="23.25">
      <c r="A4340" s="5" t="s">
        <v>38</v>
      </c>
      <c r="B4340" s="5"/>
      <c r="C4340" s="5" t="s">
        <v>81</v>
      </c>
      <c r="D4340" s="5"/>
      <c r="E4340" s="1">
        <v>-58387485</v>
      </c>
      <c r="F4340" s="1">
        <v>0</v>
      </c>
      <c r="G4340" s="1">
        <v>0</v>
      </c>
      <c r="H4340" s="1">
        <v>0</v>
      </c>
      <c r="I4340" s="1">
        <v>-58387485</v>
      </c>
    </row>
    <row r="4341" spans="1:9" ht="23.25">
      <c r="A4341" s="5" t="s">
        <v>39</v>
      </c>
      <c r="B4341" s="5"/>
      <c r="C4341" s="5" t="s">
        <v>81</v>
      </c>
      <c r="D4341" s="5"/>
      <c r="E4341" s="1">
        <v>-158537682</v>
      </c>
      <c r="F4341" s="1">
        <v>0</v>
      </c>
      <c r="G4341" s="1">
        <v>0</v>
      </c>
      <c r="H4341" s="1">
        <v>0</v>
      </c>
      <c r="I4341" s="1">
        <v>-158537682</v>
      </c>
    </row>
    <row r="4342" spans="1:9" ht="23.25">
      <c r="A4342" s="5" t="s">
        <v>40</v>
      </c>
      <c r="B4342" s="5"/>
      <c r="C4342" s="5" t="s">
        <v>81</v>
      </c>
      <c r="D4342" s="5"/>
      <c r="E4342" s="1">
        <v>-2075810</v>
      </c>
      <c r="F4342" s="1">
        <v>0</v>
      </c>
      <c r="G4342" s="1">
        <v>0</v>
      </c>
      <c r="H4342" s="1">
        <v>0</v>
      </c>
      <c r="I4342" s="1">
        <v>-2075810</v>
      </c>
    </row>
    <row r="4343" spans="1:9" ht="23.25">
      <c r="A4343" s="5" t="s">
        <v>41</v>
      </c>
      <c r="B4343" s="5"/>
      <c r="C4343" s="5" t="s">
        <v>81</v>
      </c>
      <c r="D4343" s="5"/>
      <c r="E4343" s="1">
        <v>-72575949</v>
      </c>
      <c r="F4343" s="1">
        <v>0</v>
      </c>
      <c r="G4343" s="1">
        <v>0</v>
      </c>
      <c r="H4343" s="1">
        <v>0</v>
      </c>
      <c r="I4343" s="1">
        <v>-72575949</v>
      </c>
    </row>
    <row r="4344" spans="1:9" ht="23.25">
      <c r="A4344" s="5" t="s">
        <v>42</v>
      </c>
      <c r="B4344" s="5"/>
      <c r="C4344" s="5" t="s">
        <v>81</v>
      </c>
      <c r="D4344" s="5"/>
      <c r="E4344" s="1">
        <v>-577226627</v>
      </c>
      <c r="F4344" s="1">
        <v>0</v>
      </c>
      <c r="G4344" s="1">
        <v>0</v>
      </c>
      <c r="H4344" s="1">
        <v>0</v>
      </c>
      <c r="I4344" s="1">
        <v>-577226627</v>
      </c>
    </row>
    <row r="4345" spans="1:9" ht="23.25">
      <c r="A4345" s="5" t="s">
        <v>43</v>
      </c>
      <c r="B4345" s="5"/>
      <c r="C4345" s="5" t="s">
        <v>81</v>
      </c>
      <c r="D4345" s="5"/>
      <c r="E4345" s="1">
        <v>-656503565</v>
      </c>
      <c r="F4345" s="1">
        <v>0</v>
      </c>
      <c r="G4345" s="1">
        <v>0</v>
      </c>
      <c r="H4345" s="1">
        <v>0</v>
      </c>
      <c r="I4345" s="1">
        <v>-656503565</v>
      </c>
    </row>
    <row r="4346" spans="1:9" ht="23.25">
      <c r="A4346" s="5" t="s">
        <v>44</v>
      </c>
      <c r="B4346" s="5"/>
      <c r="C4346" s="5" t="s">
        <v>81</v>
      </c>
      <c r="D4346" s="5"/>
      <c r="E4346" s="1">
        <v>-359829221</v>
      </c>
      <c r="F4346" s="1">
        <v>0</v>
      </c>
      <c r="G4346" s="1">
        <v>0</v>
      </c>
      <c r="H4346" s="1">
        <v>0</v>
      </c>
      <c r="I4346" s="1">
        <v>-359829221</v>
      </c>
    </row>
    <row r="4347" spans="1:9" ht="23.25">
      <c r="A4347" s="5" t="s">
        <v>45</v>
      </c>
      <c r="B4347" s="5"/>
      <c r="C4347" s="5" t="s">
        <v>81</v>
      </c>
      <c r="D4347" s="5"/>
      <c r="E4347" s="1">
        <v>-549904371</v>
      </c>
      <c r="F4347" s="1">
        <v>0</v>
      </c>
      <c r="G4347" s="1">
        <v>0</v>
      </c>
      <c r="H4347" s="1">
        <v>0</v>
      </c>
      <c r="I4347" s="1">
        <v>-549904371</v>
      </c>
    </row>
    <row r="4348" spans="1:9" ht="23.25">
      <c r="A4348" s="5" t="s">
        <v>46</v>
      </c>
      <c r="B4348" s="5"/>
      <c r="C4348" s="5" t="s">
        <v>81</v>
      </c>
      <c r="D4348" s="5"/>
      <c r="E4348" s="1">
        <v>-1993006357</v>
      </c>
      <c r="F4348" s="1">
        <v>0</v>
      </c>
      <c r="G4348" s="1">
        <v>0</v>
      </c>
      <c r="H4348" s="1">
        <v>0</v>
      </c>
      <c r="I4348" s="1">
        <v>-1993006357</v>
      </c>
    </row>
    <row r="4349" spans="1:9" ht="23.25">
      <c r="A4349" s="5" t="s">
        <v>47</v>
      </c>
      <c r="B4349" s="5"/>
      <c r="C4349" s="5" t="s">
        <v>81</v>
      </c>
      <c r="D4349" s="5"/>
      <c r="E4349" s="1">
        <v>-382559680</v>
      </c>
      <c r="F4349" s="1">
        <v>0</v>
      </c>
      <c r="G4349" s="1">
        <v>0</v>
      </c>
      <c r="H4349" s="1">
        <v>0</v>
      </c>
      <c r="I4349" s="1">
        <v>-382559680</v>
      </c>
    </row>
    <row r="4350" spans="1:9" ht="23.25">
      <c r="A4350" s="5" t="s">
        <v>48</v>
      </c>
      <c r="B4350" s="5"/>
      <c r="C4350" s="5" t="s">
        <v>81</v>
      </c>
      <c r="D4350" s="5"/>
      <c r="E4350" s="1">
        <v>-67945117</v>
      </c>
      <c r="F4350" s="1">
        <v>0</v>
      </c>
      <c r="G4350" s="1">
        <v>0</v>
      </c>
      <c r="H4350" s="1">
        <v>0</v>
      </c>
      <c r="I4350" s="1">
        <v>-67945117</v>
      </c>
    </row>
    <row r="4351" spans="1:9" ht="23.25">
      <c r="A4351" s="5" t="s">
        <v>49</v>
      </c>
      <c r="B4351" s="5"/>
      <c r="C4351" s="5" t="s">
        <v>81</v>
      </c>
      <c r="D4351" s="5"/>
      <c r="E4351" s="1">
        <v>-60167939</v>
      </c>
      <c r="F4351" s="1">
        <v>0</v>
      </c>
      <c r="G4351" s="1">
        <v>0</v>
      </c>
      <c r="H4351" s="1">
        <v>0</v>
      </c>
      <c r="I4351" s="1">
        <v>-60167939</v>
      </c>
    </row>
    <row r="4352" spans="1:9" ht="23.25">
      <c r="A4352" s="5" t="s">
        <v>50</v>
      </c>
      <c r="B4352" s="5"/>
      <c r="C4352" s="5" t="s">
        <v>81</v>
      </c>
      <c r="D4352" s="5"/>
      <c r="E4352" s="1">
        <v>-21342735</v>
      </c>
      <c r="F4352" s="1">
        <v>0</v>
      </c>
      <c r="G4352" s="1">
        <v>0</v>
      </c>
      <c r="H4352" s="1">
        <v>0</v>
      </c>
      <c r="I4352" s="1">
        <v>-21342735</v>
      </c>
    </row>
    <row r="4353" spans="1:9" ht="23.25">
      <c r="A4353" s="5" t="s">
        <v>51</v>
      </c>
      <c r="B4353" s="5"/>
      <c r="C4353" s="5" t="s">
        <v>81</v>
      </c>
      <c r="D4353" s="5"/>
      <c r="E4353" s="1">
        <v>-364884998</v>
      </c>
      <c r="F4353" s="1">
        <v>0</v>
      </c>
      <c r="G4353" s="1">
        <v>0</v>
      </c>
      <c r="H4353" s="1">
        <v>0</v>
      </c>
      <c r="I4353" s="1">
        <v>-364884998</v>
      </c>
    </row>
    <row r="4354" spans="1:9" ht="23.25">
      <c r="A4354" s="5" t="s">
        <v>52</v>
      </c>
      <c r="B4354" s="5"/>
      <c r="C4354" s="5" t="s">
        <v>81</v>
      </c>
      <c r="D4354" s="5"/>
      <c r="E4354" s="1">
        <v>-132116469</v>
      </c>
      <c r="F4354" s="1">
        <v>0</v>
      </c>
      <c r="G4354" s="1">
        <v>0</v>
      </c>
      <c r="H4354" s="1">
        <v>0</v>
      </c>
      <c r="I4354" s="1">
        <v>-132116469</v>
      </c>
    </row>
    <row r="4355" spans="1:9" ht="23.25">
      <c r="A4355" s="5" t="s">
        <v>53</v>
      </c>
      <c r="B4355" s="5"/>
      <c r="C4355" s="5" t="s">
        <v>81</v>
      </c>
      <c r="D4355" s="5"/>
      <c r="E4355" s="1">
        <v>0</v>
      </c>
      <c r="F4355" s="1">
        <v>0</v>
      </c>
      <c r="G4355" s="1">
        <v>0</v>
      </c>
      <c r="H4355" s="1">
        <v>0</v>
      </c>
      <c r="I4355" s="1">
        <v>0</v>
      </c>
    </row>
    <row r="4356" spans="1:9" ht="23.25">
      <c r="A4356" s="5" t="s">
        <v>54</v>
      </c>
      <c r="B4356" s="5"/>
      <c r="C4356" s="5" t="s">
        <v>81</v>
      </c>
      <c r="D4356" s="5"/>
      <c r="E4356" s="1">
        <v>0</v>
      </c>
      <c r="F4356" s="1">
        <v>0</v>
      </c>
      <c r="G4356" s="1">
        <v>0</v>
      </c>
      <c r="H4356" s="1">
        <v>0</v>
      </c>
      <c r="I4356" s="1">
        <v>0</v>
      </c>
    </row>
    <row r="4357" spans="1:9" ht="23.25">
      <c r="A4357" s="5" t="s">
        <v>55</v>
      </c>
      <c r="B4357" s="5"/>
      <c r="C4357" s="5" t="s">
        <v>81</v>
      </c>
      <c r="D4357" s="5"/>
      <c r="E4357" s="1">
        <v>0</v>
      </c>
      <c r="F4357" s="1">
        <v>0</v>
      </c>
      <c r="G4357" s="1">
        <v>0</v>
      </c>
      <c r="H4357" s="1">
        <v>0</v>
      </c>
      <c r="I4357" s="1">
        <v>0</v>
      </c>
    </row>
    <row r="4358" spans="1:9" ht="23.25">
      <c r="A4358" s="5" t="s">
        <v>56</v>
      </c>
      <c r="B4358" s="5"/>
      <c r="C4358" s="5" t="s">
        <v>81</v>
      </c>
      <c r="D4358" s="5"/>
      <c r="E4358" s="1">
        <v>0</v>
      </c>
      <c r="F4358" s="1">
        <v>0</v>
      </c>
      <c r="G4358" s="1">
        <v>0</v>
      </c>
      <c r="H4358" s="1">
        <v>0</v>
      </c>
      <c r="I4358" s="1">
        <v>0</v>
      </c>
    </row>
    <row r="4359" spans="1:9" ht="23.25">
      <c r="A4359" s="5" t="s">
        <v>57</v>
      </c>
      <c r="B4359" s="5"/>
      <c r="C4359" s="5" t="s">
        <v>81</v>
      </c>
      <c r="D4359" s="5"/>
      <c r="E4359" s="1">
        <v>0</v>
      </c>
      <c r="F4359" s="1">
        <v>0</v>
      </c>
      <c r="G4359" s="1">
        <v>0</v>
      </c>
      <c r="H4359" s="1">
        <v>0</v>
      </c>
      <c r="I4359" s="1">
        <v>0</v>
      </c>
    </row>
    <row r="4360" spans="1:9" ht="23.25">
      <c r="A4360" s="5" t="s">
        <v>58</v>
      </c>
      <c r="B4360" s="5"/>
      <c r="C4360" s="5" t="s">
        <v>81</v>
      </c>
      <c r="D4360" s="5"/>
      <c r="E4360" s="1">
        <v>0</v>
      </c>
      <c r="F4360" s="1">
        <v>0</v>
      </c>
      <c r="G4360" s="1">
        <v>0</v>
      </c>
      <c r="H4360" s="1">
        <v>0</v>
      </c>
      <c r="I4360" s="1">
        <v>0</v>
      </c>
    </row>
    <row r="4361" spans="1:9" ht="23.25">
      <c r="A4361" s="5" t="s">
        <v>59</v>
      </c>
      <c r="B4361" s="5"/>
      <c r="C4361" s="5" t="s">
        <v>81</v>
      </c>
      <c r="D4361" s="5"/>
      <c r="E4361" s="1">
        <v>0</v>
      </c>
      <c r="F4361" s="1">
        <v>0</v>
      </c>
      <c r="G4361" s="1">
        <v>0</v>
      </c>
      <c r="H4361" s="1">
        <v>0</v>
      </c>
      <c r="I4361" s="1">
        <v>0</v>
      </c>
    </row>
    <row r="4362" spans="1:9" ht="23.25">
      <c r="A4362" s="5" t="s">
        <v>60</v>
      </c>
      <c r="B4362" s="5"/>
      <c r="C4362" s="5" t="s">
        <v>81</v>
      </c>
      <c r="D4362" s="5"/>
      <c r="E4362" s="1">
        <v>0</v>
      </c>
      <c r="F4362" s="1">
        <v>0</v>
      </c>
      <c r="G4362" s="1">
        <v>0</v>
      </c>
      <c r="H4362" s="1">
        <v>0</v>
      </c>
      <c r="I4362" s="1">
        <v>0</v>
      </c>
    </row>
    <row r="4363" spans="1:9" ht="23.25">
      <c r="A4363" s="5" t="s">
        <v>61</v>
      </c>
      <c r="B4363" s="5"/>
      <c r="C4363" s="5" t="s">
        <v>81</v>
      </c>
      <c r="D4363" s="5"/>
      <c r="E4363" s="1">
        <v>0</v>
      </c>
      <c r="F4363" s="1">
        <v>0</v>
      </c>
      <c r="G4363" s="1">
        <v>0</v>
      </c>
      <c r="H4363" s="1">
        <v>0</v>
      </c>
      <c r="I4363" s="1">
        <v>0</v>
      </c>
    </row>
    <row r="4364" spans="1:9" ht="23.25">
      <c r="A4364" s="5" t="s">
        <v>62</v>
      </c>
      <c r="B4364" s="5"/>
      <c r="C4364" s="5" t="s">
        <v>81</v>
      </c>
      <c r="D4364" s="5"/>
      <c r="E4364" s="1">
        <v>0</v>
      </c>
      <c r="F4364" s="1">
        <v>0</v>
      </c>
      <c r="G4364" s="1">
        <v>0</v>
      </c>
      <c r="H4364" s="1">
        <v>0</v>
      </c>
      <c r="I4364" s="1">
        <v>0</v>
      </c>
    </row>
    <row r="4365" spans="1:9" ht="23.25">
      <c r="A4365" s="5" t="s">
        <v>63</v>
      </c>
      <c r="B4365" s="5"/>
      <c r="C4365" s="5" t="s">
        <v>81</v>
      </c>
      <c r="D4365" s="5"/>
      <c r="E4365" s="1">
        <v>0</v>
      </c>
      <c r="F4365" s="1">
        <v>0</v>
      </c>
      <c r="G4365" s="1">
        <v>0</v>
      </c>
      <c r="H4365" s="1">
        <v>0</v>
      </c>
      <c r="I4365" s="1">
        <v>0</v>
      </c>
    </row>
    <row r="4366" spans="1:9" ht="23.25">
      <c r="A4366" s="5" t="s">
        <v>64</v>
      </c>
      <c r="B4366" s="5"/>
      <c r="C4366" s="5" t="s">
        <v>81</v>
      </c>
      <c r="D4366" s="5"/>
      <c r="E4366" s="1">
        <v>0</v>
      </c>
      <c r="F4366" s="1">
        <v>0</v>
      </c>
      <c r="G4366" s="1">
        <v>0</v>
      </c>
      <c r="H4366" s="1">
        <v>0</v>
      </c>
      <c r="I4366" s="1">
        <v>0</v>
      </c>
    </row>
    <row r="4367" spans="1:9" ht="23.25">
      <c r="A4367" s="5" t="s">
        <v>65</v>
      </c>
      <c r="B4367" s="5"/>
      <c r="C4367" s="5" t="s">
        <v>81</v>
      </c>
      <c r="D4367" s="5"/>
      <c r="E4367" s="1">
        <v>0</v>
      </c>
      <c r="F4367" s="1">
        <v>0</v>
      </c>
      <c r="G4367" s="1">
        <v>0</v>
      </c>
      <c r="H4367" s="1">
        <v>0</v>
      </c>
      <c r="I4367" s="1">
        <v>0</v>
      </c>
    </row>
    <row r="4368" spans="1:9" ht="23.25">
      <c r="A4368" s="5" t="s">
        <v>66</v>
      </c>
      <c r="B4368" s="5"/>
      <c r="C4368" s="5" t="s">
        <v>81</v>
      </c>
      <c r="D4368" s="5"/>
      <c r="E4368" s="1">
        <v>-8525584600</v>
      </c>
      <c r="F4368" s="1">
        <v>0</v>
      </c>
      <c r="G4368" s="1">
        <v>0</v>
      </c>
      <c r="H4368" s="1">
        <v>0</v>
      </c>
      <c r="I4368" s="1">
        <v>-8525584600</v>
      </c>
    </row>
    <row r="4369" spans="1:9" ht="23.25">
      <c r="A4369" s="5" t="s">
        <v>8</v>
      </c>
      <c r="B4369" s="5"/>
      <c r="C4369" s="5" t="s">
        <v>82</v>
      </c>
      <c r="D4369" s="5"/>
      <c r="E4369" s="1">
        <v>0</v>
      </c>
      <c r="F4369" s="1">
        <v>0</v>
      </c>
      <c r="G4369" s="1">
        <v>0</v>
      </c>
      <c r="H4369" s="1">
        <v>0</v>
      </c>
      <c r="I4369" s="1">
        <v>0</v>
      </c>
    </row>
    <row r="4370" spans="1:9" ht="23.25">
      <c r="A4370" s="5" t="s">
        <v>9</v>
      </c>
      <c r="B4370" s="5"/>
      <c r="C4370" s="5" t="s">
        <v>82</v>
      </c>
      <c r="D4370" s="5"/>
      <c r="E4370" s="1">
        <v>-1124378</v>
      </c>
      <c r="F4370" s="1">
        <v>0</v>
      </c>
      <c r="G4370" s="1">
        <v>0</v>
      </c>
      <c r="H4370" s="1">
        <v>0</v>
      </c>
      <c r="I4370" s="1">
        <v>-1124378</v>
      </c>
    </row>
    <row r="4371" spans="1:9" ht="23.25">
      <c r="A4371" s="5" t="s">
        <v>10</v>
      </c>
      <c r="B4371" s="5"/>
      <c r="C4371" s="5" t="s">
        <v>82</v>
      </c>
      <c r="D4371" s="5"/>
      <c r="E4371" s="1">
        <v>0</v>
      </c>
      <c r="F4371" s="1">
        <v>0</v>
      </c>
      <c r="G4371" s="1">
        <v>0</v>
      </c>
      <c r="H4371" s="1">
        <v>0</v>
      </c>
      <c r="I4371" s="1">
        <v>0</v>
      </c>
    </row>
    <row r="4372" spans="1:9" ht="23.25">
      <c r="A4372" s="5" t="s">
        <v>11</v>
      </c>
      <c r="B4372" s="5"/>
      <c r="C4372" s="5" t="s">
        <v>82</v>
      </c>
      <c r="D4372" s="5"/>
      <c r="E4372" s="1">
        <v>-928667</v>
      </c>
      <c r="F4372" s="1">
        <v>0</v>
      </c>
      <c r="G4372" s="1">
        <v>0</v>
      </c>
      <c r="H4372" s="1">
        <v>0</v>
      </c>
      <c r="I4372" s="1">
        <v>-928667</v>
      </c>
    </row>
    <row r="4373" spans="1:9" ht="23.25">
      <c r="A4373" s="5" t="s">
        <v>12</v>
      </c>
      <c r="B4373" s="5"/>
      <c r="C4373" s="5" t="s">
        <v>82</v>
      </c>
      <c r="D4373" s="5"/>
      <c r="E4373" s="1">
        <v>-3764461</v>
      </c>
      <c r="F4373" s="1">
        <v>0</v>
      </c>
      <c r="G4373" s="1">
        <v>0</v>
      </c>
      <c r="H4373" s="1">
        <v>0</v>
      </c>
      <c r="I4373" s="1">
        <v>-3764461</v>
      </c>
    </row>
    <row r="4374" spans="1:9" ht="23.25">
      <c r="A4374" s="5" t="s">
        <v>13</v>
      </c>
      <c r="B4374" s="5"/>
      <c r="C4374" s="5" t="s">
        <v>82</v>
      </c>
      <c r="D4374" s="5"/>
      <c r="E4374" s="1">
        <v>0</v>
      </c>
      <c r="F4374" s="1">
        <v>0</v>
      </c>
      <c r="G4374" s="1">
        <v>0</v>
      </c>
      <c r="H4374" s="1">
        <v>0</v>
      </c>
      <c r="I4374" s="1">
        <v>0</v>
      </c>
    </row>
    <row r="4375" spans="1:9" ht="23.25">
      <c r="A4375" s="5" t="s">
        <v>14</v>
      </c>
      <c r="B4375" s="5"/>
      <c r="C4375" s="5" t="s">
        <v>82</v>
      </c>
      <c r="D4375" s="5"/>
      <c r="E4375" s="1">
        <v>0</v>
      </c>
      <c r="F4375" s="1">
        <v>0</v>
      </c>
      <c r="G4375" s="1">
        <v>0</v>
      </c>
      <c r="H4375" s="1">
        <v>0</v>
      </c>
      <c r="I4375" s="1">
        <v>0</v>
      </c>
    </row>
    <row r="4376" spans="1:9" ht="23.25">
      <c r="A4376" s="5" t="s">
        <v>15</v>
      </c>
      <c r="B4376" s="5"/>
      <c r="C4376" s="5" t="s">
        <v>82</v>
      </c>
      <c r="D4376" s="5"/>
      <c r="E4376" s="1">
        <v>-1700242</v>
      </c>
      <c r="F4376" s="1">
        <v>0</v>
      </c>
      <c r="G4376" s="1">
        <v>0</v>
      </c>
      <c r="H4376" s="1">
        <v>0</v>
      </c>
      <c r="I4376" s="1">
        <v>-1700242</v>
      </c>
    </row>
    <row r="4377" spans="1:9" ht="23.25">
      <c r="A4377" s="5" t="s">
        <v>16</v>
      </c>
      <c r="B4377" s="5"/>
      <c r="C4377" s="5" t="s">
        <v>82</v>
      </c>
      <c r="D4377" s="5"/>
      <c r="E4377" s="1">
        <v>-3501</v>
      </c>
      <c r="F4377" s="1">
        <v>0</v>
      </c>
      <c r="G4377" s="1">
        <v>0</v>
      </c>
      <c r="H4377" s="1">
        <v>0</v>
      </c>
      <c r="I4377" s="1">
        <v>-3501</v>
      </c>
    </row>
    <row r="4378" spans="1:9" ht="23.25">
      <c r="A4378" s="5" t="s">
        <v>17</v>
      </c>
      <c r="B4378" s="5"/>
      <c r="C4378" s="5" t="s">
        <v>82</v>
      </c>
      <c r="D4378" s="5"/>
      <c r="E4378" s="1">
        <v>-12523</v>
      </c>
      <c r="F4378" s="1">
        <v>0</v>
      </c>
      <c r="G4378" s="1">
        <v>0</v>
      </c>
      <c r="H4378" s="1">
        <v>0</v>
      </c>
      <c r="I4378" s="1">
        <v>-12523</v>
      </c>
    </row>
    <row r="4379" spans="1:9" ht="23.25">
      <c r="A4379" s="5" t="s">
        <v>18</v>
      </c>
      <c r="B4379" s="5"/>
      <c r="C4379" s="5" t="s">
        <v>82</v>
      </c>
      <c r="D4379" s="5"/>
      <c r="E4379" s="1">
        <v>-108065</v>
      </c>
      <c r="F4379" s="1">
        <v>0</v>
      </c>
      <c r="G4379" s="1">
        <v>0</v>
      </c>
      <c r="H4379" s="1">
        <v>0</v>
      </c>
      <c r="I4379" s="1">
        <v>-108065</v>
      </c>
    </row>
    <row r="4380" spans="1:9" ht="23.25">
      <c r="A4380" s="5" t="s">
        <v>19</v>
      </c>
      <c r="B4380" s="5"/>
      <c r="C4380" s="5" t="s">
        <v>82</v>
      </c>
      <c r="D4380" s="5"/>
      <c r="E4380" s="1">
        <v>0</v>
      </c>
      <c r="F4380" s="1">
        <v>0</v>
      </c>
      <c r="G4380" s="1">
        <v>0</v>
      </c>
      <c r="H4380" s="1">
        <v>0</v>
      </c>
      <c r="I4380" s="1">
        <v>0</v>
      </c>
    </row>
    <row r="4381" spans="1:9" ht="23.25">
      <c r="A4381" s="5" t="s">
        <v>20</v>
      </c>
      <c r="B4381" s="5"/>
      <c r="C4381" s="5" t="s">
        <v>82</v>
      </c>
      <c r="D4381" s="5"/>
      <c r="E4381" s="1">
        <v>0</v>
      </c>
      <c r="F4381" s="1">
        <v>0</v>
      </c>
      <c r="G4381" s="1">
        <v>0</v>
      </c>
      <c r="H4381" s="1">
        <v>0</v>
      </c>
      <c r="I4381" s="1">
        <v>0</v>
      </c>
    </row>
    <row r="4382" spans="1:9" ht="23.25">
      <c r="A4382" s="5" t="s">
        <v>21</v>
      </c>
      <c r="B4382" s="5"/>
      <c r="C4382" s="5" t="s">
        <v>82</v>
      </c>
      <c r="D4382" s="5"/>
      <c r="E4382" s="1">
        <v>-19442</v>
      </c>
      <c r="F4382" s="1">
        <v>0</v>
      </c>
      <c r="G4382" s="1">
        <v>0</v>
      </c>
      <c r="H4382" s="1">
        <v>0</v>
      </c>
      <c r="I4382" s="1">
        <v>-19442</v>
      </c>
    </row>
    <row r="4383" spans="1:9" ht="23.25">
      <c r="A4383" s="5" t="s">
        <v>22</v>
      </c>
      <c r="B4383" s="5"/>
      <c r="C4383" s="5" t="s">
        <v>82</v>
      </c>
      <c r="D4383" s="5"/>
      <c r="E4383" s="1">
        <v>-18484</v>
      </c>
      <c r="F4383" s="1">
        <v>0</v>
      </c>
      <c r="G4383" s="1">
        <v>0</v>
      </c>
      <c r="H4383" s="1">
        <v>0</v>
      </c>
      <c r="I4383" s="1">
        <v>-18484</v>
      </c>
    </row>
    <row r="4384" spans="1:9" ht="23.25">
      <c r="A4384" s="5" t="s">
        <v>23</v>
      </c>
      <c r="B4384" s="5"/>
      <c r="C4384" s="5" t="s">
        <v>82</v>
      </c>
      <c r="D4384" s="5"/>
      <c r="E4384" s="1">
        <v>-6056811</v>
      </c>
      <c r="F4384" s="1">
        <v>0</v>
      </c>
      <c r="G4384" s="1">
        <v>0</v>
      </c>
      <c r="H4384" s="1">
        <v>0</v>
      </c>
      <c r="I4384" s="1">
        <v>-6056811</v>
      </c>
    </row>
    <row r="4385" spans="1:9" ht="23.25">
      <c r="A4385" s="5" t="s">
        <v>24</v>
      </c>
      <c r="B4385" s="5"/>
      <c r="C4385" s="5" t="s">
        <v>82</v>
      </c>
      <c r="D4385" s="5"/>
      <c r="E4385" s="1">
        <v>-1390266</v>
      </c>
      <c r="F4385" s="1">
        <v>0</v>
      </c>
      <c r="G4385" s="1">
        <v>0</v>
      </c>
      <c r="H4385" s="1">
        <v>0</v>
      </c>
      <c r="I4385" s="1">
        <v>-1390266</v>
      </c>
    </row>
    <row r="4386" spans="1:9" ht="23.25">
      <c r="A4386" s="5" t="s">
        <v>25</v>
      </c>
      <c r="B4386" s="5"/>
      <c r="C4386" s="5" t="s">
        <v>82</v>
      </c>
      <c r="D4386" s="5"/>
      <c r="E4386" s="1">
        <v>-254227</v>
      </c>
      <c r="F4386" s="1">
        <v>0</v>
      </c>
      <c r="G4386" s="1">
        <v>0</v>
      </c>
      <c r="H4386" s="1">
        <v>0</v>
      </c>
      <c r="I4386" s="1">
        <v>-254227</v>
      </c>
    </row>
    <row r="4387" spans="1:9" ht="23.25">
      <c r="A4387" s="5" t="s">
        <v>26</v>
      </c>
      <c r="B4387" s="5"/>
      <c r="C4387" s="5" t="s">
        <v>82</v>
      </c>
      <c r="D4387" s="5"/>
      <c r="E4387" s="1">
        <v>-2564895</v>
      </c>
      <c r="F4387" s="1">
        <v>0</v>
      </c>
      <c r="G4387" s="1">
        <v>0</v>
      </c>
      <c r="H4387" s="1">
        <v>0</v>
      </c>
      <c r="I4387" s="1">
        <v>-2564895</v>
      </c>
    </row>
    <row r="4388" spans="1:9" ht="23.25">
      <c r="A4388" s="5" t="s">
        <v>27</v>
      </c>
      <c r="B4388" s="5"/>
      <c r="C4388" s="5" t="s">
        <v>82</v>
      </c>
      <c r="D4388" s="5"/>
      <c r="E4388" s="1">
        <v>-408342</v>
      </c>
      <c r="F4388" s="1">
        <v>0</v>
      </c>
      <c r="G4388" s="1">
        <v>0</v>
      </c>
      <c r="H4388" s="1">
        <v>0</v>
      </c>
      <c r="I4388" s="1">
        <v>-408342</v>
      </c>
    </row>
    <row r="4389" spans="1:9" ht="23.25">
      <c r="A4389" s="5" t="s">
        <v>28</v>
      </c>
      <c r="B4389" s="5"/>
      <c r="C4389" s="5" t="s">
        <v>82</v>
      </c>
      <c r="D4389" s="5"/>
      <c r="E4389" s="1">
        <v>-1196297</v>
      </c>
      <c r="F4389" s="1">
        <v>0</v>
      </c>
      <c r="G4389" s="1">
        <v>0</v>
      </c>
      <c r="H4389" s="1">
        <v>0</v>
      </c>
      <c r="I4389" s="1">
        <v>-1196297</v>
      </c>
    </row>
    <row r="4390" spans="1:9" ht="23.25">
      <c r="A4390" s="5" t="s">
        <v>29</v>
      </c>
      <c r="B4390" s="5"/>
      <c r="C4390" s="5" t="s">
        <v>82</v>
      </c>
      <c r="D4390" s="5"/>
      <c r="E4390" s="1">
        <v>-1188020</v>
      </c>
      <c r="F4390" s="1">
        <v>0</v>
      </c>
      <c r="G4390" s="1">
        <v>0</v>
      </c>
      <c r="H4390" s="1">
        <v>0</v>
      </c>
      <c r="I4390" s="1">
        <v>-1188020</v>
      </c>
    </row>
    <row r="4391" spans="1:9" ht="23.25">
      <c r="A4391" s="5" t="s">
        <v>30</v>
      </c>
      <c r="B4391" s="5"/>
      <c r="C4391" s="5" t="s">
        <v>82</v>
      </c>
      <c r="D4391" s="5"/>
      <c r="E4391" s="1">
        <v>-730071</v>
      </c>
      <c r="F4391" s="1">
        <v>0</v>
      </c>
      <c r="G4391" s="1">
        <v>0</v>
      </c>
      <c r="H4391" s="1">
        <v>0</v>
      </c>
      <c r="I4391" s="1">
        <v>-730071</v>
      </c>
    </row>
    <row r="4392" spans="1:9" ht="23.25">
      <c r="A4392" s="5" t="s">
        <v>31</v>
      </c>
      <c r="B4392" s="5"/>
      <c r="C4392" s="5" t="s">
        <v>82</v>
      </c>
      <c r="D4392" s="5"/>
      <c r="E4392" s="1">
        <v>-3163301</v>
      </c>
      <c r="F4392" s="1">
        <v>0</v>
      </c>
      <c r="G4392" s="1">
        <v>0</v>
      </c>
      <c r="H4392" s="1">
        <v>0</v>
      </c>
      <c r="I4392" s="1">
        <v>-3163301</v>
      </c>
    </row>
    <row r="4393" spans="1:9" ht="23.25">
      <c r="A4393" s="5" t="s">
        <v>32</v>
      </c>
      <c r="B4393" s="5"/>
      <c r="C4393" s="5" t="s">
        <v>82</v>
      </c>
      <c r="D4393" s="5"/>
      <c r="E4393" s="1">
        <v>-663596</v>
      </c>
      <c r="F4393" s="1">
        <v>0</v>
      </c>
      <c r="G4393" s="1">
        <v>0</v>
      </c>
      <c r="H4393" s="1">
        <v>0</v>
      </c>
      <c r="I4393" s="1">
        <v>-663596</v>
      </c>
    </row>
    <row r="4394" spans="1:9" ht="23.25">
      <c r="A4394" s="5" t="s">
        <v>33</v>
      </c>
      <c r="B4394" s="5"/>
      <c r="C4394" s="5" t="s">
        <v>82</v>
      </c>
      <c r="D4394" s="5"/>
      <c r="E4394" s="1">
        <v>-125726</v>
      </c>
      <c r="F4394" s="1">
        <v>0</v>
      </c>
      <c r="G4394" s="1">
        <v>0</v>
      </c>
      <c r="H4394" s="1">
        <v>0</v>
      </c>
      <c r="I4394" s="1">
        <v>-125726</v>
      </c>
    </row>
    <row r="4395" spans="1:9" ht="23.25">
      <c r="A4395" s="5" t="s">
        <v>34</v>
      </c>
      <c r="B4395" s="5"/>
      <c r="C4395" s="5" t="s">
        <v>82</v>
      </c>
      <c r="D4395" s="5"/>
      <c r="E4395" s="1">
        <v>-2665585</v>
      </c>
      <c r="F4395" s="1">
        <v>0</v>
      </c>
      <c r="G4395" s="1">
        <v>0</v>
      </c>
      <c r="H4395" s="1">
        <v>0</v>
      </c>
      <c r="I4395" s="1">
        <v>-2665585</v>
      </c>
    </row>
    <row r="4396" spans="1:9" ht="23.25">
      <c r="A4396" s="5" t="s">
        <v>35</v>
      </c>
      <c r="B4396" s="5"/>
      <c r="C4396" s="5" t="s">
        <v>82</v>
      </c>
      <c r="D4396" s="5"/>
      <c r="E4396" s="1">
        <v>-436584</v>
      </c>
      <c r="F4396" s="1">
        <v>0</v>
      </c>
      <c r="G4396" s="1">
        <v>0</v>
      </c>
      <c r="H4396" s="1">
        <v>0</v>
      </c>
      <c r="I4396" s="1">
        <v>-436584</v>
      </c>
    </row>
    <row r="4397" spans="1:9" ht="23.25">
      <c r="A4397" s="5" t="s">
        <v>36</v>
      </c>
      <c r="B4397" s="5"/>
      <c r="C4397" s="5" t="s">
        <v>82</v>
      </c>
      <c r="D4397" s="5"/>
      <c r="E4397" s="1">
        <v>-4554188</v>
      </c>
      <c r="F4397" s="1">
        <v>0</v>
      </c>
      <c r="G4397" s="1">
        <v>0</v>
      </c>
      <c r="H4397" s="1">
        <v>0</v>
      </c>
      <c r="I4397" s="1">
        <v>-4554188</v>
      </c>
    </row>
    <row r="4398" spans="1:9" ht="23.25">
      <c r="A4398" s="5" t="s">
        <v>37</v>
      </c>
      <c r="B4398" s="5"/>
      <c r="C4398" s="5" t="s">
        <v>82</v>
      </c>
      <c r="D4398" s="5"/>
      <c r="E4398" s="1">
        <v>-2236282</v>
      </c>
      <c r="F4398" s="1">
        <v>0</v>
      </c>
      <c r="G4398" s="1">
        <v>0</v>
      </c>
      <c r="H4398" s="1">
        <v>0</v>
      </c>
      <c r="I4398" s="1">
        <v>-2236282</v>
      </c>
    </row>
    <row r="4399" spans="1:9" ht="23.25">
      <c r="A4399" s="5" t="s">
        <v>38</v>
      </c>
      <c r="B4399" s="5"/>
      <c r="C4399" s="5" t="s">
        <v>82</v>
      </c>
      <c r="D4399" s="5"/>
      <c r="E4399" s="1">
        <v>-1122417</v>
      </c>
      <c r="F4399" s="1">
        <v>0</v>
      </c>
      <c r="G4399" s="1">
        <v>0</v>
      </c>
      <c r="H4399" s="1">
        <v>0</v>
      </c>
      <c r="I4399" s="1">
        <v>-1122417</v>
      </c>
    </row>
    <row r="4400" spans="1:9" ht="23.25">
      <c r="A4400" s="5" t="s">
        <v>39</v>
      </c>
      <c r="B4400" s="5"/>
      <c r="C4400" s="5" t="s">
        <v>82</v>
      </c>
      <c r="D4400" s="5"/>
      <c r="E4400" s="1">
        <v>-3382920</v>
      </c>
      <c r="F4400" s="1">
        <v>0</v>
      </c>
      <c r="G4400" s="1">
        <v>0</v>
      </c>
      <c r="H4400" s="1">
        <v>0</v>
      </c>
      <c r="I4400" s="1">
        <v>-3382920</v>
      </c>
    </row>
    <row r="4401" spans="1:9" ht="23.25">
      <c r="A4401" s="5" t="s">
        <v>40</v>
      </c>
      <c r="B4401" s="5"/>
      <c r="C4401" s="5" t="s">
        <v>82</v>
      </c>
      <c r="D4401" s="5"/>
      <c r="E4401" s="1">
        <v>-41829</v>
      </c>
      <c r="F4401" s="1">
        <v>0</v>
      </c>
      <c r="G4401" s="1">
        <v>0</v>
      </c>
      <c r="H4401" s="1">
        <v>0</v>
      </c>
      <c r="I4401" s="1">
        <v>-41829</v>
      </c>
    </row>
    <row r="4402" spans="1:9" ht="23.25">
      <c r="A4402" s="5" t="s">
        <v>41</v>
      </c>
      <c r="B4402" s="5"/>
      <c r="C4402" s="5" t="s">
        <v>82</v>
      </c>
      <c r="D4402" s="5"/>
      <c r="E4402" s="1">
        <v>-1816603</v>
      </c>
      <c r="F4402" s="1">
        <v>0</v>
      </c>
      <c r="G4402" s="1">
        <v>0</v>
      </c>
      <c r="H4402" s="1">
        <v>0</v>
      </c>
      <c r="I4402" s="1">
        <v>-1816603</v>
      </c>
    </row>
    <row r="4403" spans="1:9" ht="23.25">
      <c r="A4403" s="5" t="s">
        <v>42</v>
      </c>
      <c r="B4403" s="5"/>
      <c r="C4403" s="5" t="s">
        <v>82</v>
      </c>
      <c r="D4403" s="5"/>
      <c r="E4403" s="1">
        <v>-4899726</v>
      </c>
      <c r="F4403" s="1">
        <v>0</v>
      </c>
      <c r="G4403" s="1">
        <v>0</v>
      </c>
      <c r="H4403" s="1">
        <v>0</v>
      </c>
      <c r="I4403" s="1">
        <v>-4899726</v>
      </c>
    </row>
    <row r="4404" spans="1:9" ht="23.25">
      <c r="A4404" s="5" t="s">
        <v>43</v>
      </c>
      <c r="B4404" s="5"/>
      <c r="C4404" s="5" t="s">
        <v>82</v>
      </c>
      <c r="D4404" s="5"/>
      <c r="E4404" s="1">
        <v>-669420</v>
      </c>
      <c r="F4404" s="1">
        <v>0</v>
      </c>
      <c r="G4404" s="1">
        <v>0</v>
      </c>
      <c r="H4404" s="1">
        <v>0</v>
      </c>
      <c r="I4404" s="1">
        <v>-669420</v>
      </c>
    </row>
    <row r="4405" spans="1:9" ht="23.25">
      <c r="A4405" s="5" t="s">
        <v>44</v>
      </c>
      <c r="B4405" s="5"/>
      <c r="C4405" s="5" t="s">
        <v>82</v>
      </c>
      <c r="D4405" s="5"/>
      <c r="E4405" s="1">
        <v>-6704091</v>
      </c>
      <c r="F4405" s="1">
        <v>0</v>
      </c>
      <c r="G4405" s="1">
        <v>0</v>
      </c>
      <c r="H4405" s="1">
        <v>0</v>
      </c>
      <c r="I4405" s="1">
        <v>-6704091</v>
      </c>
    </row>
    <row r="4406" spans="1:9" ht="23.25">
      <c r="A4406" s="5" t="s">
        <v>45</v>
      </c>
      <c r="B4406" s="5"/>
      <c r="C4406" s="5" t="s">
        <v>82</v>
      </c>
      <c r="D4406" s="5"/>
      <c r="E4406" s="1">
        <v>-4788506</v>
      </c>
      <c r="F4406" s="1">
        <v>0</v>
      </c>
      <c r="G4406" s="1">
        <v>0</v>
      </c>
      <c r="H4406" s="1">
        <v>0</v>
      </c>
      <c r="I4406" s="1">
        <v>-4788506</v>
      </c>
    </row>
    <row r="4407" spans="1:9" ht="23.25">
      <c r="A4407" s="5" t="s">
        <v>46</v>
      </c>
      <c r="B4407" s="5"/>
      <c r="C4407" s="5" t="s">
        <v>82</v>
      </c>
      <c r="D4407" s="5"/>
      <c r="E4407" s="1">
        <v>-15307320</v>
      </c>
      <c r="F4407" s="1">
        <v>0</v>
      </c>
      <c r="G4407" s="1">
        <v>0</v>
      </c>
      <c r="H4407" s="1">
        <v>0</v>
      </c>
      <c r="I4407" s="1">
        <v>-15307320</v>
      </c>
    </row>
    <row r="4408" spans="1:9" ht="23.25">
      <c r="A4408" s="5" t="s">
        <v>47</v>
      </c>
      <c r="B4408" s="5"/>
      <c r="C4408" s="5" t="s">
        <v>82</v>
      </c>
      <c r="D4408" s="5"/>
      <c r="E4408" s="1">
        <v>-22378296</v>
      </c>
      <c r="F4408" s="1">
        <v>0</v>
      </c>
      <c r="G4408" s="1">
        <v>0</v>
      </c>
      <c r="H4408" s="1">
        <v>0</v>
      </c>
      <c r="I4408" s="1">
        <v>-22378296</v>
      </c>
    </row>
    <row r="4409" spans="1:9" ht="23.25">
      <c r="A4409" s="5" t="s">
        <v>48</v>
      </c>
      <c r="B4409" s="5"/>
      <c r="C4409" s="5" t="s">
        <v>82</v>
      </c>
      <c r="D4409" s="5"/>
      <c r="E4409" s="1">
        <v>-562370</v>
      </c>
      <c r="F4409" s="1">
        <v>0</v>
      </c>
      <c r="G4409" s="1">
        <v>0</v>
      </c>
      <c r="H4409" s="1">
        <v>0</v>
      </c>
      <c r="I4409" s="1">
        <v>-562370</v>
      </c>
    </row>
    <row r="4410" spans="1:9" ht="23.25">
      <c r="A4410" s="5" t="s">
        <v>49</v>
      </c>
      <c r="B4410" s="5"/>
      <c r="C4410" s="5" t="s">
        <v>82</v>
      </c>
      <c r="D4410" s="5"/>
      <c r="E4410" s="1">
        <v>-1882149</v>
      </c>
      <c r="F4410" s="1">
        <v>0</v>
      </c>
      <c r="G4410" s="1">
        <v>0</v>
      </c>
      <c r="H4410" s="1">
        <v>0</v>
      </c>
      <c r="I4410" s="1">
        <v>-1882149</v>
      </c>
    </row>
    <row r="4411" spans="1:9" ht="23.25">
      <c r="A4411" s="5" t="s">
        <v>50</v>
      </c>
      <c r="B4411" s="5"/>
      <c r="C4411" s="5" t="s">
        <v>82</v>
      </c>
      <c r="D4411" s="5"/>
      <c r="E4411" s="1">
        <v>-343084</v>
      </c>
      <c r="F4411" s="1">
        <v>0</v>
      </c>
      <c r="G4411" s="1">
        <v>0</v>
      </c>
      <c r="H4411" s="1">
        <v>0</v>
      </c>
      <c r="I4411" s="1">
        <v>-343084</v>
      </c>
    </row>
    <row r="4412" spans="1:9" ht="23.25">
      <c r="A4412" s="5" t="s">
        <v>51</v>
      </c>
      <c r="B4412" s="5"/>
      <c r="C4412" s="5" t="s">
        <v>82</v>
      </c>
      <c r="D4412" s="5"/>
      <c r="E4412" s="1">
        <v>-2854316</v>
      </c>
      <c r="F4412" s="1">
        <v>0</v>
      </c>
      <c r="G4412" s="1">
        <v>0</v>
      </c>
      <c r="H4412" s="1">
        <v>0</v>
      </c>
      <c r="I4412" s="1">
        <v>-2854316</v>
      </c>
    </row>
    <row r="4413" spans="1:9" ht="23.25">
      <c r="A4413" s="5" t="s">
        <v>52</v>
      </c>
      <c r="B4413" s="5"/>
      <c r="C4413" s="5" t="s">
        <v>82</v>
      </c>
      <c r="D4413" s="5"/>
      <c r="E4413" s="1">
        <v>0</v>
      </c>
      <c r="F4413" s="1">
        <v>0</v>
      </c>
      <c r="G4413" s="1">
        <v>0</v>
      </c>
      <c r="H4413" s="1">
        <v>0</v>
      </c>
      <c r="I4413" s="1">
        <v>0</v>
      </c>
    </row>
    <row r="4414" spans="1:9" ht="23.25">
      <c r="A4414" s="5" t="s">
        <v>53</v>
      </c>
      <c r="B4414" s="5"/>
      <c r="C4414" s="5" t="s">
        <v>82</v>
      </c>
      <c r="D4414" s="5"/>
      <c r="E4414" s="1">
        <v>0</v>
      </c>
      <c r="F4414" s="1">
        <v>0</v>
      </c>
      <c r="G4414" s="1">
        <v>0</v>
      </c>
      <c r="H4414" s="1">
        <v>0</v>
      </c>
      <c r="I4414" s="1">
        <v>0</v>
      </c>
    </row>
    <row r="4415" spans="1:9" ht="23.25">
      <c r="A4415" s="5" t="s">
        <v>54</v>
      </c>
      <c r="B4415" s="5"/>
      <c r="C4415" s="5" t="s">
        <v>82</v>
      </c>
      <c r="D4415" s="5"/>
      <c r="E4415" s="1">
        <v>0</v>
      </c>
      <c r="F4415" s="1">
        <v>0</v>
      </c>
      <c r="G4415" s="1">
        <v>0</v>
      </c>
      <c r="H4415" s="1">
        <v>0</v>
      </c>
      <c r="I4415" s="1">
        <v>0</v>
      </c>
    </row>
    <row r="4416" spans="1:9" ht="23.25">
      <c r="A4416" s="5" t="s">
        <v>55</v>
      </c>
      <c r="B4416" s="5"/>
      <c r="C4416" s="5" t="s">
        <v>82</v>
      </c>
      <c r="D4416" s="5"/>
      <c r="E4416" s="1">
        <v>0</v>
      </c>
      <c r="F4416" s="1">
        <v>0</v>
      </c>
      <c r="G4416" s="1">
        <v>0</v>
      </c>
      <c r="H4416" s="1">
        <v>0</v>
      </c>
      <c r="I4416" s="1">
        <v>0</v>
      </c>
    </row>
    <row r="4417" spans="1:9" ht="23.25">
      <c r="A4417" s="5" t="s">
        <v>56</v>
      </c>
      <c r="B4417" s="5"/>
      <c r="C4417" s="5" t="s">
        <v>82</v>
      </c>
      <c r="D4417" s="5"/>
      <c r="E4417" s="1">
        <v>0</v>
      </c>
      <c r="F4417" s="1">
        <v>0</v>
      </c>
      <c r="G4417" s="1">
        <v>0</v>
      </c>
      <c r="H4417" s="1">
        <v>0</v>
      </c>
      <c r="I4417" s="1">
        <v>0</v>
      </c>
    </row>
    <row r="4418" spans="1:9" ht="23.25">
      <c r="A4418" s="5" t="s">
        <v>57</v>
      </c>
      <c r="B4418" s="5"/>
      <c r="C4418" s="5" t="s">
        <v>82</v>
      </c>
      <c r="D4418" s="5"/>
      <c r="E4418" s="1">
        <v>0</v>
      </c>
      <c r="F4418" s="1">
        <v>0</v>
      </c>
      <c r="G4418" s="1">
        <v>0</v>
      </c>
      <c r="H4418" s="1">
        <v>0</v>
      </c>
      <c r="I4418" s="1">
        <v>0</v>
      </c>
    </row>
    <row r="4419" spans="1:9" ht="23.25">
      <c r="A4419" s="5" t="s">
        <v>58</v>
      </c>
      <c r="B4419" s="5"/>
      <c r="C4419" s="5" t="s">
        <v>82</v>
      </c>
      <c r="D4419" s="5"/>
      <c r="E4419" s="1">
        <v>0</v>
      </c>
      <c r="F4419" s="1">
        <v>0</v>
      </c>
      <c r="G4419" s="1">
        <v>0</v>
      </c>
      <c r="H4419" s="1">
        <v>0</v>
      </c>
      <c r="I4419" s="1">
        <v>0</v>
      </c>
    </row>
    <row r="4420" spans="1:9" ht="23.25">
      <c r="A4420" s="5" t="s">
        <v>59</v>
      </c>
      <c r="B4420" s="5"/>
      <c r="C4420" s="5" t="s">
        <v>82</v>
      </c>
      <c r="D4420" s="5"/>
      <c r="E4420" s="1">
        <v>0</v>
      </c>
      <c r="F4420" s="1">
        <v>0</v>
      </c>
      <c r="G4420" s="1">
        <v>0</v>
      </c>
      <c r="H4420" s="1">
        <v>0</v>
      </c>
      <c r="I4420" s="1">
        <v>0</v>
      </c>
    </row>
    <row r="4421" spans="1:9" ht="23.25">
      <c r="A4421" s="5" t="s">
        <v>60</v>
      </c>
      <c r="B4421" s="5"/>
      <c r="C4421" s="5" t="s">
        <v>82</v>
      </c>
      <c r="D4421" s="5"/>
      <c r="E4421" s="1">
        <v>0</v>
      </c>
      <c r="F4421" s="1">
        <v>0</v>
      </c>
      <c r="G4421" s="1">
        <v>0</v>
      </c>
      <c r="H4421" s="1">
        <v>0</v>
      </c>
      <c r="I4421" s="1">
        <v>0</v>
      </c>
    </row>
    <row r="4422" spans="1:9" ht="23.25">
      <c r="A4422" s="5" t="s">
        <v>61</v>
      </c>
      <c r="B4422" s="5"/>
      <c r="C4422" s="5" t="s">
        <v>82</v>
      </c>
      <c r="D4422" s="5"/>
      <c r="E4422" s="1">
        <v>0</v>
      </c>
      <c r="F4422" s="1">
        <v>0</v>
      </c>
      <c r="G4422" s="1">
        <v>0</v>
      </c>
      <c r="H4422" s="1">
        <v>0</v>
      </c>
      <c r="I4422" s="1">
        <v>0</v>
      </c>
    </row>
    <row r="4423" spans="1:9" ht="23.25">
      <c r="A4423" s="5" t="s">
        <v>62</v>
      </c>
      <c r="B4423" s="5"/>
      <c r="C4423" s="5" t="s">
        <v>82</v>
      </c>
      <c r="D4423" s="5"/>
      <c r="E4423" s="1">
        <v>0</v>
      </c>
      <c r="F4423" s="1">
        <v>0</v>
      </c>
      <c r="G4423" s="1">
        <v>0</v>
      </c>
      <c r="H4423" s="1">
        <v>0</v>
      </c>
      <c r="I4423" s="1">
        <v>0</v>
      </c>
    </row>
    <row r="4424" spans="1:9" ht="23.25">
      <c r="A4424" s="5" t="s">
        <v>63</v>
      </c>
      <c r="B4424" s="5"/>
      <c r="C4424" s="5" t="s">
        <v>82</v>
      </c>
      <c r="D4424" s="5"/>
      <c r="E4424" s="1">
        <v>0</v>
      </c>
      <c r="F4424" s="1">
        <v>0</v>
      </c>
      <c r="G4424" s="1">
        <v>0</v>
      </c>
      <c r="H4424" s="1">
        <v>0</v>
      </c>
      <c r="I4424" s="1">
        <v>0</v>
      </c>
    </row>
    <row r="4425" spans="1:9" ht="23.25">
      <c r="A4425" s="5" t="s">
        <v>64</v>
      </c>
      <c r="B4425" s="5"/>
      <c r="C4425" s="5" t="s">
        <v>82</v>
      </c>
      <c r="D4425" s="5"/>
      <c r="E4425" s="1">
        <v>0</v>
      </c>
      <c r="F4425" s="1">
        <v>0</v>
      </c>
      <c r="G4425" s="1">
        <v>0</v>
      </c>
      <c r="H4425" s="1">
        <v>0</v>
      </c>
      <c r="I4425" s="1">
        <v>0</v>
      </c>
    </row>
    <row r="4426" spans="1:9" ht="23.25">
      <c r="A4426" s="5" t="s">
        <v>65</v>
      </c>
      <c r="B4426" s="5"/>
      <c r="C4426" s="5" t="s">
        <v>82</v>
      </c>
      <c r="D4426" s="5"/>
      <c r="E4426" s="1">
        <v>0</v>
      </c>
      <c r="F4426" s="1">
        <v>0</v>
      </c>
      <c r="G4426" s="1">
        <v>0</v>
      </c>
      <c r="H4426" s="1">
        <v>0</v>
      </c>
      <c r="I4426" s="1">
        <v>0</v>
      </c>
    </row>
    <row r="4427" spans="1:9" ht="23.25">
      <c r="A4427" s="5" t="s">
        <v>66</v>
      </c>
      <c r="B4427" s="5"/>
      <c r="C4427" s="5" t="s">
        <v>82</v>
      </c>
      <c r="D4427" s="5"/>
      <c r="E4427" s="1">
        <v>-102067001</v>
      </c>
      <c r="F4427" s="1">
        <v>0</v>
      </c>
      <c r="G4427" s="1">
        <v>0</v>
      </c>
      <c r="H4427" s="1">
        <v>0</v>
      </c>
      <c r="I4427" s="1">
        <v>-102067001</v>
      </c>
    </row>
    <row r="4428" spans="1:9" ht="23.25">
      <c r="A4428" s="5" t="s">
        <v>8</v>
      </c>
      <c r="B4428" s="5"/>
      <c r="C4428" s="5" t="s">
        <v>83</v>
      </c>
      <c r="D4428" s="5"/>
      <c r="E4428" s="1">
        <v>0</v>
      </c>
      <c r="F4428" s="1">
        <v>0</v>
      </c>
      <c r="G4428" s="1">
        <v>0</v>
      </c>
      <c r="H4428" s="1">
        <v>0</v>
      </c>
      <c r="I4428" s="1">
        <v>0</v>
      </c>
    </row>
    <row r="4429" spans="1:9" ht="23.25">
      <c r="A4429" s="5" t="s">
        <v>9</v>
      </c>
      <c r="B4429" s="5"/>
      <c r="C4429" s="5" t="s">
        <v>83</v>
      </c>
      <c r="D4429" s="5"/>
      <c r="E4429" s="1">
        <v>-68</v>
      </c>
      <c r="F4429" s="1">
        <v>0</v>
      </c>
      <c r="G4429" s="1">
        <v>0</v>
      </c>
      <c r="H4429" s="1">
        <v>0</v>
      </c>
      <c r="I4429" s="1">
        <v>-68</v>
      </c>
    </row>
    <row r="4430" spans="1:9" ht="23.25">
      <c r="A4430" s="5" t="s">
        <v>10</v>
      </c>
      <c r="B4430" s="5"/>
      <c r="C4430" s="5" t="s">
        <v>83</v>
      </c>
      <c r="D4430" s="5"/>
      <c r="E4430" s="1">
        <v>0</v>
      </c>
      <c r="F4430" s="1">
        <v>0</v>
      </c>
      <c r="G4430" s="1">
        <v>0</v>
      </c>
      <c r="H4430" s="1">
        <v>0</v>
      </c>
      <c r="I4430" s="1">
        <v>0</v>
      </c>
    </row>
    <row r="4431" spans="1:9" ht="23.25">
      <c r="A4431" s="5" t="s">
        <v>11</v>
      </c>
      <c r="B4431" s="5"/>
      <c r="C4431" s="5" t="s">
        <v>83</v>
      </c>
      <c r="D4431" s="5"/>
      <c r="E4431" s="1">
        <v>-15266</v>
      </c>
      <c r="F4431" s="1">
        <v>0</v>
      </c>
      <c r="G4431" s="1">
        <v>0</v>
      </c>
      <c r="H4431" s="1">
        <v>0</v>
      </c>
      <c r="I4431" s="1">
        <v>-15266</v>
      </c>
    </row>
    <row r="4432" spans="1:9" ht="23.25">
      <c r="A4432" s="5" t="s">
        <v>12</v>
      </c>
      <c r="B4432" s="5"/>
      <c r="C4432" s="5" t="s">
        <v>83</v>
      </c>
      <c r="D4432" s="5"/>
      <c r="E4432" s="1">
        <v>-96691</v>
      </c>
      <c r="F4432" s="1">
        <v>0</v>
      </c>
      <c r="G4432" s="1">
        <v>0</v>
      </c>
      <c r="H4432" s="1">
        <v>0</v>
      </c>
      <c r="I4432" s="1">
        <v>-96691</v>
      </c>
    </row>
    <row r="4433" spans="1:9" ht="23.25">
      <c r="A4433" s="5" t="s">
        <v>13</v>
      </c>
      <c r="B4433" s="5"/>
      <c r="C4433" s="5" t="s">
        <v>83</v>
      </c>
      <c r="D4433" s="5"/>
      <c r="E4433" s="1">
        <v>0</v>
      </c>
      <c r="F4433" s="1">
        <v>0</v>
      </c>
      <c r="G4433" s="1">
        <v>0</v>
      </c>
      <c r="H4433" s="1">
        <v>0</v>
      </c>
      <c r="I4433" s="1">
        <v>0</v>
      </c>
    </row>
    <row r="4434" spans="1:9" ht="23.25">
      <c r="A4434" s="5" t="s">
        <v>14</v>
      </c>
      <c r="B4434" s="5"/>
      <c r="C4434" s="5" t="s">
        <v>83</v>
      </c>
      <c r="D4434" s="5"/>
      <c r="E4434" s="1">
        <v>-8803</v>
      </c>
      <c r="F4434" s="1">
        <v>0</v>
      </c>
      <c r="G4434" s="1">
        <v>0</v>
      </c>
      <c r="H4434" s="1">
        <v>0</v>
      </c>
      <c r="I4434" s="1">
        <v>-8803</v>
      </c>
    </row>
    <row r="4435" spans="1:9" ht="23.25">
      <c r="A4435" s="5" t="s">
        <v>15</v>
      </c>
      <c r="B4435" s="5"/>
      <c r="C4435" s="5" t="s">
        <v>83</v>
      </c>
      <c r="D4435" s="5"/>
      <c r="E4435" s="1">
        <v>-444317</v>
      </c>
      <c r="F4435" s="1">
        <v>0</v>
      </c>
      <c r="G4435" s="1">
        <v>0</v>
      </c>
      <c r="H4435" s="1">
        <v>0</v>
      </c>
      <c r="I4435" s="1">
        <v>-444317</v>
      </c>
    </row>
    <row r="4436" spans="1:9" ht="23.25">
      <c r="A4436" s="5" t="s">
        <v>16</v>
      </c>
      <c r="B4436" s="5"/>
      <c r="C4436" s="5" t="s">
        <v>83</v>
      </c>
      <c r="D4436" s="5"/>
      <c r="E4436" s="1">
        <v>-128344</v>
      </c>
      <c r="F4436" s="1">
        <v>0</v>
      </c>
      <c r="G4436" s="1">
        <v>0</v>
      </c>
      <c r="H4436" s="1">
        <v>0</v>
      </c>
      <c r="I4436" s="1">
        <v>-128344</v>
      </c>
    </row>
    <row r="4437" spans="1:9" ht="23.25">
      <c r="A4437" s="5" t="s">
        <v>17</v>
      </c>
      <c r="B4437" s="5"/>
      <c r="C4437" s="5" t="s">
        <v>83</v>
      </c>
      <c r="D4437" s="5"/>
      <c r="E4437" s="1">
        <v>-202643</v>
      </c>
      <c r="F4437" s="1">
        <v>0</v>
      </c>
      <c r="G4437" s="1">
        <v>0</v>
      </c>
      <c r="H4437" s="1">
        <v>0</v>
      </c>
      <c r="I4437" s="1">
        <v>-202643</v>
      </c>
    </row>
    <row r="4438" spans="1:9" ht="23.25">
      <c r="A4438" s="5" t="s">
        <v>18</v>
      </c>
      <c r="B4438" s="5"/>
      <c r="C4438" s="5" t="s">
        <v>83</v>
      </c>
      <c r="D4438" s="5"/>
      <c r="E4438" s="1">
        <v>-19107</v>
      </c>
      <c r="F4438" s="1">
        <v>0</v>
      </c>
      <c r="G4438" s="1">
        <v>0</v>
      </c>
      <c r="H4438" s="1">
        <v>0</v>
      </c>
      <c r="I4438" s="1">
        <v>-19107</v>
      </c>
    </row>
    <row r="4439" spans="1:9" ht="23.25">
      <c r="A4439" s="5" t="s">
        <v>19</v>
      </c>
      <c r="B4439" s="5"/>
      <c r="C4439" s="5" t="s">
        <v>83</v>
      </c>
      <c r="D4439" s="5"/>
      <c r="E4439" s="1">
        <v>-79102992</v>
      </c>
      <c r="F4439" s="1">
        <v>0</v>
      </c>
      <c r="G4439" s="1">
        <v>0</v>
      </c>
      <c r="H4439" s="1">
        <v>0</v>
      </c>
      <c r="I4439" s="1">
        <v>-79102992</v>
      </c>
    </row>
    <row r="4440" spans="1:9" ht="23.25">
      <c r="A4440" s="5" t="s">
        <v>20</v>
      </c>
      <c r="B4440" s="5"/>
      <c r="C4440" s="5" t="s">
        <v>83</v>
      </c>
      <c r="D4440" s="5"/>
      <c r="E4440" s="1">
        <v>-1032737</v>
      </c>
      <c r="F4440" s="1">
        <v>0</v>
      </c>
      <c r="G4440" s="1">
        <v>0</v>
      </c>
      <c r="H4440" s="1">
        <v>0</v>
      </c>
      <c r="I4440" s="1">
        <v>-1032737</v>
      </c>
    </row>
    <row r="4441" spans="1:9" ht="23.25">
      <c r="A4441" s="5" t="s">
        <v>21</v>
      </c>
      <c r="B4441" s="5"/>
      <c r="C4441" s="5" t="s">
        <v>83</v>
      </c>
      <c r="D4441" s="5"/>
      <c r="E4441" s="1">
        <v>-704188</v>
      </c>
      <c r="F4441" s="1">
        <v>0</v>
      </c>
      <c r="G4441" s="1">
        <v>0</v>
      </c>
      <c r="H4441" s="1">
        <v>0</v>
      </c>
      <c r="I4441" s="1">
        <v>-704188</v>
      </c>
    </row>
    <row r="4442" spans="1:9" ht="23.25">
      <c r="A4442" s="5" t="s">
        <v>22</v>
      </c>
      <c r="B4442" s="5"/>
      <c r="C4442" s="5" t="s">
        <v>83</v>
      </c>
      <c r="D4442" s="5"/>
      <c r="E4442" s="1">
        <v>-8818</v>
      </c>
      <c r="F4442" s="1">
        <v>0</v>
      </c>
      <c r="G4442" s="1">
        <v>0</v>
      </c>
      <c r="H4442" s="1">
        <v>0</v>
      </c>
      <c r="I4442" s="1">
        <v>-8818</v>
      </c>
    </row>
    <row r="4443" spans="1:9" ht="23.25">
      <c r="A4443" s="5" t="s">
        <v>23</v>
      </c>
      <c r="B4443" s="5"/>
      <c r="C4443" s="5" t="s">
        <v>83</v>
      </c>
      <c r="D4443" s="5"/>
      <c r="E4443" s="1">
        <v>-10067923</v>
      </c>
      <c r="F4443" s="1">
        <v>0</v>
      </c>
      <c r="G4443" s="1">
        <v>0</v>
      </c>
      <c r="H4443" s="1">
        <v>0</v>
      </c>
      <c r="I4443" s="1">
        <v>-10067923</v>
      </c>
    </row>
    <row r="4444" spans="1:9" ht="23.25">
      <c r="A4444" s="5" t="s">
        <v>24</v>
      </c>
      <c r="B4444" s="5"/>
      <c r="C4444" s="5" t="s">
        <v>83</v>
      </c>
      <c r="D4444" s="5"/>
      <c r="E4444" s="1">
        <v>-1208972</v>
      </c>
      <c r="F4444" s="1">
        <v>0</v>
      </c>
      <c r="G4444" s="1">
        <v>0</v>
      </c>
      <c r="H4444" s="1">
        <v>0</v>
      </c>
      <c r="I4444" s="1">
        <v>-1208972</v>
      </c>
    </row>
    <row r="4445" spans="1:9" ht="23.25">
      <c r="A4445" s="5" t="s">
        <v>25</v>
      </c>
      <c r="B4445" s="5"/>
      <c r="C4445" s="5" t="s">
        <v>83</v>
      </c>
      <c r="D4445" s="5"/>
      <c r="E4445" s="1">
        <v>-1069522</v>
      </c>
      <c r="F4445" s="1">
        <v>0</v>
      </c>
      <c r="G4445" s="1">
        <v>0</v>
      </c>
      <c r="H4445" s="1">
        <v>0</v>
      </c>
      <c r="I4445" s="1">
        <v>-1069522</v>
      </c>
    </row>
    <row r="4446" spans="1:9" ht="23.25">
      <c r="A4446" s="5" t="s">
        <v>26</v>
      </c>
      <c r="B4446" s="5"/>
      <c r="C4446" s="5" t="s">
        <v>83</v>
      </c>
      <c r="D4446" s="5"/>
      <c r="E4446" s="1">
        <v>-5876886</v>
      </c>
      <c r="F4446" s="1">
        <v>0</v>
      </c>
      <c r="G4446" s="1">
        <v>0</v>
      </c>
      <c r="H4446" s="1">
        <v>0</v>
      </c>
      <c r="I4446" s="1">
        <v>-5876886</v>
      </c>
    </row>
    <row r="4447" spans="1:9" ht="23.25">
      <c r="A4447" s="5" t="s">
        <v>27</v>
      </c>
      <c r="B4447" s="5"/>
      <c r="C4447" s="5" t="s">
        <v>83</v>
      </c>
      <c r="D4447" s="5"/>
      <c r="E4447" s="1">
        <v>-23066</v>
      </c>
      <c r="F4447" s="1">
        <v>0</v>
      </c>
      <c r="G4447" s="1">
        <v>0</v>
      </c>
      <c r="H4447" s="1">
        <v>0</v>
      </c>
      <c r="I4447" s="1">
        <v>-23066</v>
      </c>
    </row>
    <row r="4448" spans="1:9" ht="23.25">
      <c r="A4448" s="5" t="s">
        <v>28</v>
      </c>
      <c r="B4448" s="5"/>
      <c r="C4448" s="5" t="s">
        <v>83</v>
      </c>
      <c r="D4448" s="5"/>
      <c r="E4448" s="1">
        <v>-6040042</v>
      </c>
      <c r="F4448" s="1">
        <v>0</v>
      </c>
      <c r="G4448" s="1">
        <v>0</v>
      </c>
      <c r="H4448" s="1">
        <v>0</v>
      </c>
      <c r="I4448" s="1">
        <v>-6040042</v>
      </c>
    </row>
    <row r="4449" spans="1:9" ht="23.25">
      <c r="A4449" s="5" t="s">
        <v>29</v>
      </c>
      <c r="B4449" s="5"/>
      <c r="C4449" s="5" t="s">
        <v>83</v>
      </c>
      <c r="D4449" s="5"/>
      <c r="E4449" s="1">
        <v>-7347184</v>
      </c>
      <c r="F4449" s="1">
        <v>0</v>
      </c>
      <c r="G4449" s="1">
        <v>0</v>
      </c>
      <c r="H4449" s="1">
        <v>0</v>
      </c>
      <c r="I4449" s="1">
        <v>-7347184</v>
      </c>
    </row>
    <row r="4450" spans="1:9" ht="23.25">
      <c r="A4450" s="5" t="s">
        <v>30</v>
      </c>
      <c r="B4450" s="5"/>
      <c r="C4450" s="5" t="s">
        <v>83</v>
      </c>
      <c r="D4450" s="5"/>
      <c r="E4450" s="1">
        <v>-3174697</v>
      </c>
      <c r="F4450" s="1">
        <v>0</v>
      </c>
      <c r="G4450" s="1">
        <v>0</v>
      </c>
      <c r="H4450" s="1">
        <v>0</v>
      </c>
      <c r="I4450" s="1">
        <v>-3174697</v>
      </c>
    </row>
    <row r="4451" spans="1:9" ht="23.25">
      <c r="A4451" s="5" t="s">
        <v>31</v>
      </c>
      <c r="B4451" s="5"/>
      <c r="C4451" s="5" t="s">
        <v>83</v>
      </c>
      <c r="D4451" s="5"/>
      <c r="E4451" s="1">
        <v>-3484287</v>
      </c>
      <c r="F4451" s="1">
        <v>0</v>
      </c>
      <c r="G4451" s="1">
        <v>0</v>
      </c>
      <c r="H4451" s="1">
        <v>0</v>
      </c>
      <c r="I4451" s="1">
        <v>-3484287</v>
      </c>
    </row>
    <row r="4452" spans="1:9" ht="23.25">
      <c r="A4452" s="5" t="s">
        <v>32</v>
      </c>
      <c r="B4452" s="5"/>
      <c r="C4452" s="5" t="s">
        <v>83</v>
      </c>
      <c r="D4452" s="5"/>
      <c r="E4452" s="1">
        <v>-6359252</v>
      </c>
      <c r="F4452" s="1">
        <v>0</v>
      </c>
      <c r="G4452" s="1">
        <v>0</v>
      </c>
      <c r="H4452" s="1">
        <v>0</v>
      </c>
      <c r="I4452" s="1">
        <v>-6359252</v>
      </c>
    </row>
    <row r="4453" spans="1:9" ht="23.25">
      <c r="A4453" s="5" t="s">
        <v>33</v>
      </c>
      <c r="B4453" s="5"/>
      <c r="C4453" s="5" t="s">
        <v>83</v>
      </c>
      <c r="D4453" s="5"/>
      <c r="E4453" s="1">
        <v>-242828</v>
      </c>
      <c r="F4453" s="1">
        <v>0</v>
      </c>
      <c r="G4453" s="1">
        <v>0</v>
      </c>
      <c r="H4453" s="1">
        <v>0</v>
      </c>
      <c r="I4453" s="1">
        <v>-242828</v>
      </c>
    </row>
    <row r="4454" spans="1:9" ht="23.25">
      <c r="A4454" s="5" t="s">
        <v>34</v>
      </c>
      <c r="B4454" s="5"/>
      <c r="C4454" s="5" t="s">
        <v>83</v>
      </c>
      <c r="D4454" s="5"/>
      <c r="E4454" s="1">
        <v>-25557719</v>
      </c>
      <c r="F4454" s="1">
        <v>0</v>
      </c>
      <c r="G4454" s="1">
        <v>0</v>
      </c>
      <c r="H4454" s="1">
        <v>0</v>
      </c>
      <c r="I4454" s="1">
        <v>-25557719</v>
      </c>
    </row>
    <row r="4455" spans="1:9" ht="23.25">
      <c r="A4455" s="5" t="s">
        <v>35</v>
      </c>
      <c r="B4455" s="5"/>
      <c r="C4455" s="5" t="s">
        <v>83</v>
      </c>
      <c r="D4455" s="5"/>
      <c r="E4455" s="1">
        <v>-332888</v>
      </c>
      <c r="F4455" s="1">
        <v>0</v>
      </c>
      <c r="G4455" s="1">
        <v>0</v>
      </c>
      <c r="H4455" s="1">
        <v>0</v>
      </c>
      <c r="I4455" s="1">
        <v>-332888</v>
      </c>
    </row>
    <row r="4456" spans="1:9" ht="23.25">
      <c r="A4456" s="5" t="s">
        <v>36</v>
      </c>
      <c r="B4456" s="5"/>
      <c r="C4456" s="5" t="s">
        <v>83</v>
      </c>
      <c r="D4456" s="5"/>
      <c r="E4456" s="1">
        <v>-18623034</v>
      </c>
      <c r="F4456" s="1">
        <v>0</v>
      </c>
      <c r="G4456" s="1">
        <v>0</v>
      </c>
      <c r="H4456" s="1">
        <v>0</v>
      </c>
      <c r="I4456" s="1">
        <v>-18623034</v>
      </c>
    </row>
    <row r="4457" spans="1:9" ht="23.25">
      <c r="A4457" s="5" t="s">
        <v>37</v>
      </c>
      <c r="B4457" s="5"/>
      <c r="C4457" s="5" t="s">
        <v>83</v>
      </c>
      <c r="D4457" s="5"/>
      <c r="E4457" s="1">
        <v>-24633562</v>
      </c>
      <c r="F4457" s="1">
        <v>0</v>
      </c>
      <c r="G4457" s="1">
        <v>0</v>
      </c>
      <c r="H4457" s="1">
        <v>0</v>
      </c>
      <c r="I4457" s="1">
        <v>-24633562</v>
      </c>
    </row>
    <row r="4458" spans="1:9" ht="23.25">
      <c r="A4458" s="5" t="s">
        <v>38</v>
      </c>
      <c r="B4458" s="5"/>
      <c r="C4458" s="5" t="s">
        <v>83</v>
      </c>
      <c r="D4458" s="5"/>
      <c r="E4458" s="1">
        <v>-2938413</v>
      </c>
      <c r="F4458" s="1">
        <v>0</v>
      </c>
      <c r="G4458" s="1">
        <v>0</v>
      </c>
      <c r="H4458" s="1">
        <v>0</v>
      </c>
      <c r="I4458" s="1">
        <v>-2938413</v>
      </c>
    </row>
    <row r="4459" spans="1:9" ht="23.25">
      <c r="A4459" s="5" t="s">
        <v>39</v>
      </c>
      <c r="B4459" s="5"/>
      <c r="C4459" s="5" t="s">
        <v>83</v>
      </c>
      <c r="D4459" s="5"/>
      <c r="E4459" s="1">
        <v>-4540620</v>
      </c>
      <c r="F4459" s="1">
        <v>0</v>
      </c>
      <c r="G4459" s="1">
        <v>0</v>
      </c>
      <c r="H4459" s="1">
        <v>0</v>
      </c>
      <c r="I4459" s="1">
        <v>-4540620</v>
      </c>
    </row>
    <row r="4460" spans="1:9" ht="23.25">
      <c r="A4460" s="5" t="s">
        <v>40</v>
      </c>
      <c r="B4460" s="5"/>
      <c r="C4460" s="5" t="s">
        <v>83</v>
      </c>
      <c r="D4460" s="5"/>
      <c r="E4460" s="1">
        <v>-154751</v>
      </c>
      <c r="F4460" s="1">
        <v>0</v>
      </c>
      <c r="G4460" s="1">
        <v>0</v>
      </c>
      <c r="H4460" s="1">
        <v>0</v>
      </c>
      <c r="I4460" s="1">
        <v>-154751</v>
      </c>
    </row>
    <row r="4461" spans="1:9" ht="23.25">
      <c r="A4461" s="5" t="s">
        <v>41</v>
      </c>
      <c r="B4461" s="5"/>
      <c r="C4461" s="5" t="s">
        <v>83</v>
      </c>
      <c r="D4461" s="5"/>
      <c r="E4461" s="1">
        <v>-2359786</v>
      </c>
      <c r="F4461" s="1">
        <v>0</v>
      </c>
      <c r="G4461" s="1">
        <v>0</v>
      </c>
      <c r="H4461" s="1">
        <v>0</v>
      </c>
      <c r="I4461" s="1">
        <v>-2359786</v>
      </c>
    </row>
    <row r="4462" spans="1:9" ht="23.25">
      <c r="A4462" s="5" t="s">
        <v>42</v>
      </c>
      <c r="B4462" s="5"/>
      <c r="C4462" s="5" t="s">
        <v>83</v>
      </c>
      <c r="D4462" s="5"/>
      <c r="E4462" s="1">
        <v>-23951458</v>
      </c>
      <c r="F4462" s="1">
        <v>0</v>
      </c>
      <c r="G4462" s="1">
        <v>0</v>
      </c>
      <c r="H4462" s="1">
        <v>0</v>
      </c>
      <c r="I4462" s="1">
        <v>-23951458</v>
      </c>
    </row>
    <row r="4463" spans="1:9" ht="23.25">
      <c r="A4463" s="5" t="s">
        <v>43</v>
      </c>
      <c r="B4463" s="5"/>
      <c r="C4463" s="5" t="s">
        <v>83</v>
      </c>
      <c r="D4463" s="5"/>
      <c r="E4463" s="1">
        <v>-26283934</v>
      </c>
      <c r="F4463" s="1">
        <v>0</v>
      </c>
      <c r="G4463" s="1">
        <v>0</v>
      </c>
      <c r="H4463" s="1">
        <v>0</v>
      </c>
      <c r="I4463" s="1">
        <v>-26283934</v>
      </c>
    </row>
    <row r="4464" spans="1:9" ht="23.25">
      <c r="A4464" s="5" t="s">
        <v>44</v>
      </c>
      <c r="B4464" s="5"/>
      <c r="C4464" s="5" t="s">
        <v>83</v>
      </c>
      <c r="D4464" s="5"/>
      <c r="E4464" s="1">
        <v>-11624819</v>
      </c>
      <c r="F4464" s="1">
        <v>0</v>
      </c>
      <c r="G4464" s="1">
        <v>0</v>
      </c>
      <c r="H4464" s="1">
        <v>0</v>
      </c>
      <c r="I4464" s="1">
        <v>-11624819</v>
      </c>
    </row>
    <row r="4465" spans="1:9" ht="23.25">
      <c r="A4465" s="5" t="s">
        <v>45</v>
      </c>
      <c r="B4465" s="5"/>
      <c r="C4465" s="5" t="s">
        <v>83</v>
      </c>
      <c r="D4465" s="5"/>
      <c r="E4465" s="1">
        <v>-22980114</v>
      </c>
      <c r="F4465" s="1">
        <v>0</v>
      </c>
      <c r="G4465" s="1">
        <v>0</v>
      </c>
      <c r="H4465" s="1">
        <v>0</v>
      </c>
      <c r="I4465" s="1">
        <v>-22980114</v>
      </c>
    </row>
    <row r="4466" spans="1:9" ht="23.25">
      <c r="A4466" s="5" t="s">
        <v>46</v>
      </c>
      <c r="B4466" s="5"/>
      <c r="C4466" s="5" t="s">
        <v>83</v>
      </c>
      <c r="D4466" s="5"/>
      <c r="E4466" s="1">
        <v>-37966412</v>
      </c>
      <c r="F4466" s="1">
        <v>0</v>
      </c>
      <c r="G4466" s="1">
        <v>0</v>
      </c>
      <c r="H4466" s="1">
        <v>0</v>
      </c>
      <c r="I4466" s="1">
        <v>-37966412</v>
      </c>
    </row>
    <row r="4467" spans="1:9" ht="23.25">
      <c r="A4467" s="5" t="s">
        <v>47</v>
      </c>
      <c r="B4467" s="5"/>
      <c r="C4467" s="5" t="s">
        <v>83</v>
      </c>
      <c r="D4467" s="5"/>
      <c r="E4467" s="1">
        <v>-50952964</v>
      </c>
      <c r="F4467" s="1">
        <v>0</v>
      </c>
      <c r="G4467" s="1">
        <v>0</v>
      </c>
      <c r="H4467" s="1">
        <v>0</v>
      </c>
      <c r="I4467" s="1">
        <v>-50952964</v>
      </c>
    </row>
    <row r="4468" spans="1:9" ht="23.25">
      <c r="A4468" s="5" t="s">
        <v>48</v>
      </c>
      <c r="B4468" s="5"/>
      <c r="C4468" s="5" t="s">
        <v>83</v>
      </c>
      <c r="D4468" s="5"/>
      <c r="E4468" s="1">
        <v>-1320879</v>
      </c>
      <c r="F4468" s="1">
        <v>0</v>
      </c>
      <c r="G4468" s="1">
        <v>0</v>
      </c>
      <c r="H4468" s="1">
        <v>0</v>
      </c>
      <c r="I4468" s="1">
        <v>-1320879</v>
      </c>
    </row>
    <row r="4469" spans="1:9" ht="23.25">
      <c r="A4469" s="5" t="s">
        <v>49</v>
      </c>
      <c r="B4469" s="5"/>
      <c r="C4469" s="5" t="s">
        <v>83</v>
      </c>
      <c r="D4469" s="5"/>
      <c r="E4469" s="1">
        <v>-2225741</v>
      </c>
      <c r="F4469" s="1">
        <v>0</v>
      </c>
      <c r="G4469" s="1">
        <v>0</v>
      </c>
      <c r="H4469" s="1">
        <v>0</v>
      </c>
      <c r="I4469" s="1">
        <v>-2225741</v>
      </c>
    </row>
    <row r="4470" spans="1:9" ht="23.25">
      <c r="A4470" s="5" t="s">
        <v>50</v>
      </c>
      <c r="B4470" s="5"/>
      <c r="C4470" s="5" t="s">
        <v>83</v>
      </c>
      <c r="D4470" s="5"/>
      <c r="E4470" s="1">
        <v>-1436560</v>
      </c>
      <c r="F4470" s="1">
        <v>0</v>
      </c>
      <c r="G4470" s="1">
        <v>0</v>
      </c>
      <c r="H4470" s="1">
        <v>0</v>
      </c>
      <c r="I4470" s="1">
        <v>-1436560</v>
      </c>
    </row>
    <row r="4471" spans="1:9" ht="23.25">
      <c r="A4471" s="5" t="s">
        <v>51</v>
      </c>
      <c r="B4471" s="5"/>
      <c r="C4471" s="5" t="s">
        <v>83</v>
      </c>
      <c r="D4471" s="5"/>
      <c r="E4471" s="1">
        <v>-17835771</v>
      </c>
      <c r="F4471" s="1">
        <v>0</v>
      </c>
      <c r="G4471" s="1">
        <v>0</v>
      </c>
      <c r="H4471" s="1">
        <v>0</v>
      </c>
      <c r="I4471" s="1">
        <v>-17835771</v>
      </c>
    </row>
    <row r="4472" spans="1:9" ht="23.25">
      <c r="A4472" s="5" t="s">
        <v>52</v>
      </c>
      <c r="B4472" s="5"/>
      <c r="C4472" s="5" t="s">
        <v>83</v>
      </c>
      <c r="D4472" s="5"/>
      <c r="E4472" s="1">
        <v>-10131237</v>
      </c>
      <c r="F4472" s="1">
        <v>0</v>
      </c>
      <c r="G4472" s="1">
        <v>0</v>
      </c>
      <c r="H4472" s="1">
        <v>0</v>
      </c>
      <c r="I4472" s="1">
        <v>-10131237</v>
      </c>
    </row>
    <row r="4473" spans="1:9" ht="23.25">
      <c r="A4473" s="5" t="s">
        <v>53</v>
      </c>
      <c r="B4473" s="5"/>
      <c r="C4473" s="5" t="s">
        <v>83</v>
      </c>
      <c r="D4473" s="5"/>
      <c r="E4473" s="1">
        <v>0</v>
      </c>
      <c r="F4473" s="1">
        <v>0</v>
      </c>
      <c r="G4473" s="1">
        <v>0</v>
      </c>
      <c r="H4473" s="1">
        <v>0</v>
      </c>
      <c r="I4473" s="1">
        <v>0</v>
      </c>
    </row>
    <row r="4474" spans="1:9" ht="23.25">
      <c r="A4474" s="5" t="s">
        <v>54</v>
      </c>
      <c r="B4474" s="5"/>
      <c r="C4474" s="5" t="s">
        <v>83</v>
      </c>
      <c r="D4474" s="5"/>
      <c r="E4474" s="1">
        <v>0</v>
      </c>
      <c r="F4474" s="1">
        <v>0</v>
      </c>
      <c r="G4474" s="1">
        <v>0</v>
      </c>
      <c r="H4474" s="1">
        <v>0</v>
      </c>
      <c r="I4474" s="1">
        <v>0</v>
      </c>
    </row>
    <row r="4475" spans="1:9" ht="23.25">
      <c r="A4475" s="5" t="s">
        <v>55</v>
      </c>
      <c r="B4475" s="5"/>
      <c r="C4475" s="5" t="s">
        <v>83</v>
      </c>
      <c r="D4475" s="5"/>
      <c r="E4475" s="1">
        <v>0</v>
      </c>
      <c r="F4475" s="1">
        <v>0</v>
      </c>
      <c r="G4475" s="1">
        <v>0</v>
      </c>
      <c r="H4475" s="1">
        <v>0</v>
      </c>
      <c r="I4475" s="1">
        <v>0</v>
      </c>
    </row>
    <row r="4476" spans="1:9" ht="23.25">
      <c r="A4476" s="5" t="s">
        <v>56</v>
      </c>
      <c r="B4476" s="5"/>
      <c r="C4476" s="5" t="s">
        <v>83</v>
      </c>
      <c r="D4476" s="5"/>
      <c r="E4476" s="1">
        <v>0</v>
      </c>
      <c r="F4476" s="1">
        <v>0</v>
      </c>
      <c r="G4476" s="1">
        <v>0</v>
      </c>
      <c r="H4476" s="1">
        <v>0</v>
      </c>
      <c r="I4476" s="1">
        <v>0</v>
      </c>
    </row>
    <row r="4477" spans="1:9" ht="23.25">
      <c r="A4477" s="5" t="s">
        <v>57</v>
      </c>
      <c r="B4477" s="5"/>
      <c r="C4477" s="5" t="s">
        <v>83</v>
      </c>
      <c r="D4477" s="5"/>
      <c r="E4477" s="1">
        <v>0</v>
      </c>
      <c r="F4477" s="1">
        <v>0</v>
      </c>
      <c r="G4477" s="1">
        <v>0</v>
      </c>
      <c r="H4477" s="1">
        <v>0</v>
      </c>
      <c r="I4477" s="1">
        <v>0</v>
      </c>
    </row>
    <row r="4478" spans="1:9" ht="23.25">
      <c r="A4478" s="5" t="s">
        <v>58</v>
      </c>
      <c r="B4478" s="5"/>
      <c r="C4478" s="5" t="s">
        <v>83</v>
      </c>
      <c r="D4478" s="5"/>
      <c r="E4478" s="1">
        <v>0</v>
      </c>
      <c r="F4478" s="1">
        <v>0</v>
      </c>
      <c r="G4478" s="1">
        <v>0</v>
      </c>
      <c r="H4478" s="1">
        <v>0</v>
      </c>
      <c r="I4478" s="1">
        <v>0</v>
      </c>
    </row>
    <row r="4479" spans="1:9" ht="23.25">
      <c r="A4479" s="5" t="s">
        <v>59</v>
      </c>
      <c r="B4479" s="5"/>
      <c r="C4479" s="5" t="s">
        <v>83</v>
      </c>
      <c r="D4479" s="5"/>
      <c r="E4479" s="1">
        <v>0</v>
      </c>
      <c r="F4479" s="1">
        <v>0</v>
      </c>
      <c r="G4479" s="1">
        <v>0</v>
      </c>
      <c r="H4479" s="1">
        <v>0</v>
      </c>
      <c r="I4479" s="1">
        <v>0</v>
      </c>
    </row>
    <row r="4480" spans="1:9" ht="23.25">
      <c r="A4480" s="5" t="s">
        <v>60</v>
      </c>
      <c r="B4480" s="5"/>
      <c r="C4480" s="5" t="s">
        <v>83</v>
      </c>
      <c r="D4480" s="5"/>
      <c r="E4480" s="1">
        <v>0</v>
      </c>
      <c r="F4480" s="1">
        <v>0</v>
      </c>
      <c r="G4480" s="1">
        <v>0</v>
      </c>
      <c r="H4480" s="1">
        <v>0</v>
      </c>
      <c r="I4480" s="1">
        <v>0</v>
      </c>
    </row>
    <row r="4481" spans="1:9" ht="23.25">
      <c r="A4481" s="5" t="s">
        <v>61</v>
      </c>
      <c r="B4481" s="5"/>
      <c r="C4481" s="5" t="s">
        <v>83</v>
      </c>
      <c r="D4481" s="5"/>
      <c r="E4481" s="1">
        <v>0</v>
      </c>
      <c r="F4481" s="1">
        <v>0</v>
      </c>
      <c r="G4481" s="1">
        <v>0</v>
      </c>
      <c r="H4481" s="1">
        <v>0</v>
      </c>
      <c r="I4481" s="1">
        <v>0</v>
      </c>
    </row>
    <row r="4482" spans="1:9" ht="23.25">
      <c r="A4482" s="5" t="s">
        <v>62</v>
      </c>
      <c r="B4482" s="5"/>
      <c r="C4482" s="5" t="s">
        <v>83</v>
      </c>
      <c r="D4482" s="5"/>
      <c r="E4482" s="1">
        <v>0</v>
      </c>
      <c r="F4482" s="1">
        <v>0</v>
      </c>
      <c r="G4482" s="1">
        <v>0</v>
      </c>
      <c r="H4482" s="1">
        <v>0</v>
      </c>
      <c r="I4482" s="1">
        <v>0</v>
      </c>
    </row>
    <row r="4483" spans="1:9" ht="23.25">
      <c r="A4483" s="5" t="s">
        <v>63</v>
      </c>
      <c r="B4483" s="5"/>
      <c r="C4483" s="5" t="s">
        <v>83</v>
      </c>
      <c r="D4483" s="5"/>
      <c r="E4483" s="1">
        <v>0</v>
      </c>
      <c r="F4483" s="1">
        <v>0</v>
      </c>
      <c r="G4483" s="1">
        <v>0</v>
      </c>
      <c r="H4483" s="1">
        <v>0</v>
      </c>
      <c r="I4483" s="1">
        <v>0</v>
      </c>
    </row>
    <row r="4484" spans="1:9" ht="23.25">
      <c r="A4484" s="5" t="s">
        <v>64</v>
      </c>
      <c r="B4484" s="5"/>
      <c r="C4484" s="5" t="s">
        <v>83</v>
      </c>
      <c r="D4484" s="5"/>
      <c r="E4484" s="1">
        <v>0</v>
      </c>
      <c r="F4484" s="1">
        <v>0</v>
      </c>
      <c r="G4484" s="1">
        <v>0</v>
      </c>
      <c r="H4484" s="1">
        <v>0</v>
      </c>
      <c r="I4484" s="1">
        <v>0</v>
      </c>
    </row>
    <row r="4485" spans="1:9" ht="23.25">
      <c r="A4485" s="5" t="s">
        <v>65</v>
      </c>
      <c r="B4485" s="5"/>
      <c r="C4485" s="5" t="s">
        <v>83</v>
      </c>
      <c r="D4485" s="5"/>
      <c r="E4485" s="1">
        <v>0</v>
      </c>
      <c r="F4485" s="1">
        <v>0</v>
      </c>
      <c r="G4485" s="1">
        <v>0</v>
      </c>
      <c r="H4485" s="1">
        <v>0</v>
      </c>
      <c r="I4485" s="1">
        <v>0</v>
      </c>
    </row>
    <row r="4486" spans="1:9" ht="23.25">
      <c r="A4486" s="5" t="s">
        <v>66</v>
      </c>
      <c r="B4486" s="5"/>
      <c r="C4486" s="5" t="s">
        <v>83</v>
      </c>
      <c r="D4486" s="5"/>
      <c r="E4486" s="1">
        <v>-412509295</v>
      </c>
      <c r="F4486" s="1">
        <v>0</v>
      </c>
      <c r="G4486" s="1">
        <v>0</v>
      </c>
      <c r="H4486" s="1">
        <v>0</v>
      </c>
      <c r="I4486" s="1">
        <v>-412509295</v>
      </c>
    </row>
    <row r="4487" spans="1:9" ht="23.25">
      <c r="A4487" s="5" t="s">
        <v>8</v>
      </c>
      <c r="B4487" s="5"/>
      <c r="C4487" s="5" t="s">
        <v>84</v>
      </c>
      <c r="D4487" s="5"/>
      <c r="E4487" s="1">
        <v>0</v>
      </c>
      <c r="F4487" s="1">
        <v>0</v>
      </c>
      <c r="G4487" s="1">
        <v>0</v>
      </c>
      <c r="H4487" s="1">
        <v>0</v>
      </c>
      <c r="I4487" s="1">
        <v>0</v>
      </c>
    </row>
    <row r="4488" spans="1:9" ht="23.25">
      <c r="A4488" s="5" t="s">
        <v>9</v>
      </c>
      <c r="B4488" s="5"/>
      <c r="C4488" s="5" t="s">
        <v>84</v>
      </c>
      <c r="D4488" s="5"/>
      <c r="E4488" s="1">
        <v>0</v>
      </c>
      <c r="F4488" s="1">
        <v>0</v>
      </c>
      <c r="G4488" s="1">
        <v>0</v>
      </c>
      <c r="H4488" s="1">
        <v>0</v>
      </c>
      <c r="I4488" s="1">
        <v>0</v>
      </c>
    </row>
    <row r="4489" spans="1:9" ht="23.25">
      <c r="A4489" s="5" t="s">
        <v>10</v>
      </c>
      <c r="B4489" s="5"/>
      <c r="C4489" s="5" t="s">
        <v>84</v>
      </c>
      <c r="D4489" s="5"/>
      <c r="E4489" s="1">
        <v>0</v>
      </c>
      <c r="F4489" s="1">
        <v>0</v>
      </c>
      <c r="G4489" s="1">
        <v>0</v>
      </c>
      <c r="H4489" s="1">
        <v>0</v>
      </c>
      <c r="I4489" s="1">
        <v>0</v>
      </c>
    </row>
    <row r="4490" spans="1:9" ht="23.25">
      <c r="A4490" s="5" t="s">
        <v>11</v>
      </c>
      <c r="B4490" s="5"/>
      <c r="C4490" s="5" t="s">
        <v>84</v>
      </c>
      <c r="D4490" s="5"/>
      <c r="E4490" s="1">
        <v>0</v>
      </c>
      <c r="F4490" s="1">
        <v>0</v>
      </c>
      <c r="G4490" s="1">
        <v>0</v>
      </c>
      <c r="H4490" s="1">
        <v>0</v>
      </c>
      <c r="I4490" s="1">
        <v>0</v>
      </c>
    </row>
    <row r="4491" spans="1:9" ht="23.25">
      <c r="A4491" s="5" t="s">
        <v>12</v>
      </c>
      <c r="B4491" s="5"/>
      <c r="C4491" s="5" t="s">
        <v>84</v>
      </c>
      <c r="D4491" s="5"/>
      <c r="E4491" s="1">
        <v>-1436930</v>
      </c>
      <c r="F4491" s="1">
        <v>0</v>
      </c>
      <c r="G4491" s="1">
        <v>0</v>
      </c>
      <c r="H4491" s="1">
        <v>0</v>
      </c>
      <c r="I4491" s="1">
        <v>-1436930</v>
      </c>
    </row>
    <row r="4492" spans="1:9" ht="23.25">
      <c r="A4492" s="5" t="s">
        <v>13</v>
      </c>
      <c r="B4492" s="5"/>
      <c r="C4492" s="5" t="s">
        <v>84</v>
      </c>
      <c r="D4492" s="5"/>
      <c r="E4492" s="1">
        <v>0</v>
      </c>
      <c r="F4492" s="1">
        <v>0</v>
      </c>
      <c r="G4492" s="1">
        <v>0</v>
      </c>
      <c r="H4492" s="1">
        <v>0</v>
      </c>
      <c r="I4492" s="1">
        <v>0</v>
      </c>
    </row>
    <row r="4493" spans="1:9" ht="23.25">
      <c r="A4493" s="5" t="s">
        <v>14</v>
      </c>
      <c r="B4493" s="5"/>
      <c r="C4493" s="5" t="s">
        <v>84</v>
      </c>
      <c r="D4493" s="5"/>
      <c r="E4493" s="1">
        <v>0</v>
      </c>
      <c r="F4493" s="1">
        <v>0</v>
      </c>
      <c r="G4493" s="1">
        <v>0</v>
      </c>
      <c r="H4493" s="1">
        <v>0</v>
      </c>
      <c r="I4493" s="1">
        <v>0</v>
      </c>
    </row>
    <row r="4494" spans="1:9" ht="23.25">
      <c r="A4494" s="5" t="s">
        <v>15</v>
      </c>
      <c r="B4494" s="5"/>
      <c r="C4494" s="5" t="s">
        <v>84</v>
      </c>
      <c r="D4494" s="5"/>
      <c r="E4494" s="1">
        <v>-5001</v>
      </c>
      <c r="F4494" s="1">
        <v>0</v>
      </c>
      <c r="G4494" s="1">
        <v>0</v>
      </c>
      <c r="H4494" s="1">
        <v>0</v>
      </c>
      <c r="I4494" s="1">
        <v>-5001</v>
      </c>
    </row>
    <row r="4495" spans="1:9" ht="23.25">
      <c r="A4495" s="5" t="s">
        <v>16</v>
      </c>
      <c r="B4495" s="5"/>
      <c r="C4495" s="5" t="s">
        <v>84</v>
      </c>
      <c r="D4495" s="5"/>
      <c r="E4495" s="1">
        <v>0</v>
      </c>
      <c r="F4495" s="1">
        <v>0</v>
      </c>
      <c r="G4495" s="1">
        <v>0</v>
      </c>
      <c r="H4495" s="1">
        <v>0</v>
      </c>
      <c r="I4495" s="1">
        <v>0</v>
      </c>
    </row>
    <row r="4496" spans="1:9" ht="23.25">
      <c r="A4496" s="5" t="s">
        <v>17</v>
      </c>
      <c r="B4496" s="5"/>
      <c r="C4496" s="5" t="s">
        <v>84</v>
      </c>
      <c r="D4496" s="5"/>
      <c r="E4496" s="1">
        <v>0</v>
      </c>
      <c r="F4496" s="1">
        <v>0</v>
      </c>
      <c r="G4496" s="1">
        <v>0</v>
      </c>
      <c r="H4496" s="1">
        <v>0</v>
      </c>
      <c r="I4496" s="1">
        <v>0</v>
      </c>
    </row>
    <row r="4497" spans="1:9" ht="23.25">
      <c r="A4497" s="5" t="s">
        <v>18</v>
      </c>
      <c r="B4497" s="5"/>
      <c r="C4497" s="5" t="s">
        <v>84</v>
      </c>
      <c r="D4497" s="5"/>
      <c r="E4497" s="1">
        <v>0</v>
      </c>
      <c r="F4497" s="1">
        <v>0</v>
      </c>
      <c r="G4497" s="1">
        <v>0</v>
      </c>
      <c r="H4497" s="1">
        <v>0</v>
      </c>
      <c r="I4497" s="1">
        <v>0</v>
      </c>
    </row>
    <row r="4498" spans="1:9" ht="23.25">
      <c r="A4498" s="5" t="s">
        <v>19</v>
      </c>
      <c r="B4498" s="5"/>
      <c r="C4498" s="5" t="s">
        <v>84</v>
      </c>
      <c r="D4498" s="5"/>
      <c r="E4498" s="1">
        <v>0</v>
      </c>
      <c r="F4498" s="1">
        <v>0</v>
      </c>
      <c r="G4498" s="1">
        <v>0</v>
      </c>
      <c r="H4498" s="1">
        <v>0</v>
      </c>
      <c r="I4498" s="1">
        <v>0</v>
      </c>
    </row>
    <row r="4499" spans="1:9" ht="23.25">
      <c r="A4499" s="5" t="s">
        <v>20</v>
      </c>
      <c r="B4499" s="5"/>
      <c r="C4499" s="5" t="s">
        <v>84</v>
      </c>
      <c r="D4499" s="5"/>
      <c r="E4499" s="1">
        <v>0</v>
      </c>
      <c r="F4499" s="1">
        <v>0</v>
      </c>
      <c r="G4499" s="1">
        <v>0</v>
      </c>
      <c r="H4499" s="1">
        <v>0</v>
      </c>
      <c r="I4499" s="1">
        <v>0</v>
      </c>
    </row>
    <row r="4500" spans="1:9" ht="23.25">
      <c r="A4500" s="5" t="s">
        <v>21</v>
      </c>
      <c r="B4500" s="5"/>
      <c r="C4500" s="5" t="s">
        <v>84</v>
      </c>
      <c r="D4500" s="5"/>
      <c r="E4500" s="1">
        <v>0</v>
      </c>
      <c r="F4500" s="1">
        <v>0</v>
      </c>
      <c r="G4500" s="1">
        <v>0</v>
      </c>
      <c r="H4500" s="1">
        <v>0</v>
      </c>
      <c r="I4500" s="1">
        <v>0</v>
      </c>
    </row>
    <row r="4501" spans="1:9" ht="23.25">
      <c r="A4501" s="5" t="s">
        <v>22</v>
      </c>
      <c r="B4501" s="5"/>
      <c r="C4501" s="5" t="s">
        <v>84</v>
      </c>
      <c r="D4501" s="5"/>
      <c r="E4501" s="1">
        <v>0</v>
      </c>
      <c r="F4501" s="1">
        <v>0</v>
      </c>
      <c r="G4501" s="1">
        <v>0</v>
      </c>
      <c r="H4501" s="1">
        <v>0</v>
      </c>
      <c r="I4501" s="1">
        <v>0</v>
      </c>
    </row>
    <row r="4502" spans="1:9" ht="23.25">
      <c r="A4502" s="5" t="s">
        <v>23</v>
      </c>
      <c r="B4502" s="5"/>
      <c r="C4502" s="5" t="s">
        <v>84</v>
      </c>
      <c r="D4502" s="5"/>
      <c r="E4502" s="1">
        <v>-925141</v>
      </c>
      <c r="F4502" s="1">
        <v>0</v>
      </c>
      <c r="G4502" s="1">
        <v>0</v>
      </c>
      <c r="H4502" s="1">
        <v>0</v>
      </c>
      <c r="I4502" s="1">
        <v>-925141</v>
      </c>
    </row>
    <row r="4503" spans="1:9" ht="23.25">
      <c r="A4503" s="5" t="s">
        <v>24</v>
      </c>
      <c r="B4503" s="5"/>
      <c r="C4503" s="5" t="s">
        <v>84</v>
      </c>
      <c r="D4503" s="5"/>
      <c r="E4503" s="1">
        <v>0</v>
      </c>
      <c r="F4503" s="1">
        <v>0</v>
      </c>
      <c r="G4503" s="1">
        <v>0</v>
      </c>
      <c r="H4503" s="1">
        <v>0</v>
      </c>
      <c r="I4503" s="1">
        <v>0</v>
      </c>
    </row>
    <row r="4504" spans="1:9" ht="23.25">
      <c r="A4504" s="5" t="s">
        <v>25</v>
      </c>
      <c r="B4504" s="5"/>
      <c r="C4504" s="5" t="s">
        <v>84</v>
      </c>
      <c r="D4504" s="5"/>
      <c r="E4504" s="1">
        <v>0</v>
      </c>
      <c r="F4504" s="1">
        <v>0</v>
      </c>
      <c r="G4504" s="1">
        <v>0</v>
      </c>
      <c r="H4504" s="1">
        <v>0</v>
      </c>
      <c r="I4504" s="1">
        <v>0</v>
      </c>
    </row>
    <row r="4505" spans="1:9" ht="23.25">
      <c r="A4505" s="5" t="s">
        <v>26</v>
      </c>
      <c r="B4505" s="5"/>
      <c r="C4505" s="5" t="s">
        <v>84</v>
      </c>
      <c r="D4505" s="5"/>
      <c r="E4505" s="1">
        <v>-145054</v>
      </c>
      <c r="F4505" s="1">
        <v>0</v>
      </c>
      <c r="G4505" s="1">
        <v>0</v>
      </c>
      <c r="H4505" s="1">
        <v>0</v>
      </c>
      <c r="I4505" s="1">
        <v>-145054</v>
      </c>
    </row>
    <row r="4506" spans="1:9" ht="23.25">
      <c r="A4506" s="5" t="s">
        <v>27</v>
      </c>
      <c r="B4506" s="5"/>
      <c r="C4506" s="5" t="s">
        <v>84</v>
      </c>
      <c r="D4506" s="5"/>
      <c r="E4506" s="1">
        <v>0</v>
      </c>
      <c r="F4506" s="1">
        <v>0</v>
      </c>
      <c r="G4506" s="1">
        <v>0</v>
      </c>
      <c r="H4506" s="1">
        <v>0</v>
      </c>
      <c r="I4506" s="1">
        <v>0</v>
      </c>
    </row>
    <row r="4507" spans="1:9" ht="23.25">
      <c r="A4507" s="5" t="s">
        <v>28</v>
      </c>
      <c r="B4507" s="5"/>
      <c r="C4507" s="5" t="s">
        <v>84</v>
      </c>
      <c r="D4507" s="5"/>
      <c r="E4507" s="1">
        <v>-3580706</v>
      </c>
      <c r="F4507" s="1">
        <v>0</v>
      </c>
      <c r="G4507" s="1">
        <v>0</v>
      </c>
      <c r="H4507" s="1">
        <v>0</v>
      </c>
      <c r="I4507" s="1">
        <v>-3580706</v>
      </c>
    </row>
    <row r="4508" spans="1:9" ht="23.25">
      <c r="A4508" s="5" t="s">
        <v>29</v>
      </c>
      <c r="B4508" s="5"/>
      <c r="C4508" s="5" t="s">
        <v>84</v>
      </c>
      <c r="D4508" s="5"/>
      <c r="E4508" s="1">
        <v>-121947</v>
      </c>
      <c r="F4508" s="1">
        <v>0</v>
      </c>
      <c r="G4508" s="1">
        <v>0</v>
      </c>
      <c r="H4508" s="1">
        <v>0</v>
      </c>
      <c r="I4508" s="1">
        <v>-121947</v>
      </c>
    </row>
    <row r="4509" spans="1:9" ht="23.25">
      <c r="A4509" s="5" t="s">
        <v>30</v>
      </c>
      <c r="B4509" s="5"/>
      <c r="C4509" s="5" t="s">
        <v>84</v>
      </c>
      <c r="D4509" s="5"/>
      <c r="E4509" s="1">
        <v>-46</v>
      </c>
      <c r="F4509" s="1">
        <v>0</v>
      </c>
      <c r="G4509" s="1">
        <v>0</v>
      </c>
      <c r="H4509" s="1">
        <v>0</v>
      </c>
      <c r="I4509" s="1">
        <v>-46</v>
      </c>
    </row>
    <row r="4510" spans="1:9" ht="23.25">
      <c r="A4510" s="5" t="s">
        <v>31</v>
      </c>
      <c r="B4510" s="5"/>
      <c r="C4510" s="5" t="s">
        <v>84</v>
      </c>
      <c r="D4510" s="5"/>
      <c r="E4510" s="1">
        <v>-9759218</v>
      </c>
      <c r="F4510" s="1">
        <v>0</v>
      </c>
      <c r="G4510" s="1">
        <v>0</v>
      </c>
      <c r="H4510" s="1">
        <v>0</v>
      </c>
      <c r="I4510" s="1">
        <v>-9759218</v>
      </c>
    </row>
    <row r="4511" spans="1:9" ht="23.25">
      <c r="A4511" s="5" t="s">
        <v>32</v>
      </c>
      <c r="B4511" s="5"/>
      <c r="C4511" s="5" t="s">
        <v>84</v>
      </c>
      <c r="D4511" s="5"/>
      <c r="E4511" s="1">
        <v>0</v>
      </c>
      <c r="F4511" s="1">
        <v>0</v>
      </c>
      <c r="G4511" s="1">
        <v>0</v>
      </c>
      <c r="H4511" s="1">
        <v>0</v>
      </c>
      <c r="I4511" s="1">
        <v>0</v>
      </c>
    </row>
    <row r="4512" spans="1:9" ht="23.25">
      <c r="A4512" s="5" t="s">
        <v>33</v>
      </c>
      <c r="B4512" s="5"/>
      <c r="C4512" s="5" t="s">
        <v>84</v>
      </c>
      <c r="D4512" s="5"/>
      <c r="E4512" s="1">
        <v>-54287948</v>
      </c>
      <c r="F4512" s="1">
        <v>0</v>
      </c>
      <c r="G4512" s="1">
        <v>0</v>
      </c>
      <c r="H4512" s="1">
        <v>0</v>
      </c>
      <c r="I4512" s="1">
        <v>-54287948</v>
      </c>
    </row>
    <row r="4513" spans="1:9" ht="23.25">
      <c r="A4513" s="5" t="s">
        <v>34</v>
      </c>
      <c r="B4513" s="5"/>
      <c r="C4513" s="5" t="s">
        <v>84</v>
      </c>
      <c r="D4513" s="5"/>
      <c r="E4513" s="1">
        <v>0</v>
      </c>
      <c r="F4513" s="1">
        <v>0</v>
      </c>
      <c r="G4513" s="1">
        <v>0</v>
      </c>
      <c r="H4513" s="1">
        <v>0</v>
      </c>
      <c r="I4513" s="1">
        <v>0</v>
      </c>
    </row>
    <row r="4514" spans="1:9" ht="23.25">
      <c r="A4514" s="5" t="s">
        <v>35</v>
      </c>
      <c r="B4514" s="5"/>
      <c r="C4514" s="5" t="s">
        <v>84</v>
      </c>
      <c r="D4514" s="5"/>
      <c r="E4514" s="1">
        <v>0</v>
      </c>
      <c r="F4514" s="1">
        <v>0</v>
      </c>
      <c r="G4514" s="1">
        <v>0</v>
      </c>
      <c r="H4514" s="1">
        <v>0</v>
      </c>
      <c r="I4514" s="1">
        <v>0</v>
      </c>
    </row>
    <row r="4515" spans="1:9" ht="23.25">
      <c r="A4515" s="5" t="s">
        <v>36</v>
      </c>
      <c r="B4515" s="5"/>
      <c r="C4515" s="5" t="s">
        <v>84</v>
      </c>
      <c r="D4515" s="5"/>
      <c r="E4515" s="1">
        <v>-2657579</v>
      </c>
      <c r="F4515" s="1">
        <v>0</v>
      </c>
      <c r="G4515" s="1">
        <v>0</v>
      </c>
      <c r="H4515" s="1">
        <v>0</v>
      </c>
      <c r="I4515" s="1">
        <v>-2657579</v>
      </c>
    </row>
    <row r="4516" spans="1:9" ht="23.25">
      <c r="A4516" s="5" t="s">
        <v>37</v>
      </c>
      <c r="B4516" s="5"/>
      <c r="C4516" s="5" t="s">
        <v>84</v>
      </c>
      <c r="D4516" s="5"/>
      <c r="E4516" s="1">
        <v>-59189749</v>
      </c>
      <c r="F4516" s="1">
        <v>0</v>
      </c>
      <c r="G4516" s="1">
        <v>0</v>
      </c>
      <c r="H4516" s="1">
        <v>0</v>
      </c>
      <c r="I4516" s="1">
        <v>-59189749</v>
      </c>
    </row>
    <row r="4517" spans="1:9" ht="23.25">
      <c r="A4517" s="5" t="s">
        <v>38</v>
      </c>
      <c r="B4517" s="5"/>
      <c r="C4517" s="5" t="s">
        <v>84</v>
      </c>
      <c r="D4517" s="5"/>
      <c r="E4517" s="1">
        <v>0</v>
      </c>
      <c r="F4517" s="1">
        <v>0</v>
      </c>
      <c r="G4517" s="1">
        <v>0</v>
      </c>
      <c r="H4517" s="1">
        <v>0</v>
      </c>
      <c r="I4517" s="1">
        <v>0</v>
      </c>
    </row>
    <row r="4518" spans="1:9" ht="23.25">
      <c r="A4518" s="5" t="s">
        <v>39</v>
      </c>
      <c r="B4518" s="5"/>
      <c r="C4518" s="5" t="s">
        <v>84</v>
      </c>
      <c r="D4518" s="5"/>
      <c r="E4518" s="1">
        <v>0</v>
      </c>
      <c r="F4518" s="1">
        <v>0</v>
      </c>
      <c r="G4518" s="1">
        <v>0</v>
      </c>
      <c r="H4518" s="1">
        <v>0</v>
      </c>
      <c r="I4518" s="1">
        <v>0</v>
      </c>
    </row>
    <row r="4519" spans="1:9" ht="23.25">
      <c r="A4519" s="5" t="s">
        <v>40</v>
      </c>
      <c r="B4519" s="5"/>
      <c r="C4519" s="5" t="s">
        <v>84</v>
      </c>
      <c r="D4519" s="5"/>
      <c r="E4519" s="1">
        <v>0</v>
      </c>
      <c r="F4519" s="1">
        <v>0</v>
      </c>
      <c r="G4519" s="1">
        <v>0</v>
      </c>
      <c r="H4519" s="1">
        <v>0</v>
      </c>
      <c r="I4519" s="1">
        <v>0</v>
      </c>
    </row>
    <row r="4520" spans="1:9" ht="23.25">
      <c r="A4520" s="5" t="s">
        <v>41</v>
      </c>
      <c r="B4520" s="5"/>
      <c r="C4520" s="5" t="s">
        <v>84</v>
      </c>
      <c r="D4520" s="5"/>
      <c r="E4520" s="1">
        <v>-809138</v>
      </c>
      <c r="F4520" s="1">
        <v>0</v>
      </c>
      <c r="G4520" s="1">
        <v>0</v>
      </c>
      <c r="H4520" s="1">
        <v>0</v>
      </c>
      <c r="I4520" s="1">
        <v>-809138</v>
      </c>
    </row>
    <row r="4521" spans="1:9" ht="23.25">
      <c r="A4521" s="5" t="s">
        <v>42</v>
      </c>
      <c r="B4521" s="5"/>
      <c r="C4521" s="5" t="s">
        <v>84</v>
      </c>
      <c r="D4521" s="5"/>
      <c r="E4521" s="1">
        <v>0</v>
      </c>
      <c r="F4521" s="1">
        <v>0</v>
      </c>
      <c r="G4521" s="1">
        <v>0</v>
      </c>
      <c r="H4521" s="1">
        <v>0</v>
      </c>
      <c r="I4521" s="1">
        <v>0</v>
      </c>
    </row>
    <row r="4522" spans="1:9" ht="23.25">
      <c r="A4522" s="5" t="s">
        <v>43</v>
      </c>
      <c r="B4522" s="5"/>
      <c r="C4522" s="5" t="s">
        <v>84</v>
      </c>
      <c r="D4522" s="5"/>
      <c r="E4522" s="1">
        <v>0</v>
      </c>
      <c r="F4522" s="1">
        <v>0</v>
      </c>
      <c r="G4522" s="1">
        <v>0</v>
      </c>
      <c r="H4522" s="1">
        <v>0</v>
      </c>
      <c r="I4522" s="1">
        <v>0</v>
      </c>
    </row>
    <row r="4523" spans="1:9" ht="23.25">
      <c r="A4523" s="5" t="s">
        <v>44</v>
      </c>
      <c r="B4523" s="5"/>
      <c r="C4523" s="5" t="s">
        <v>84</v>
      </c>
      <c r="D4523" s="5"/>
      <c r="E4523" s="1">
        <v>0</v>
      </c>
      <c r="F4523" s="1">
        <v>0</v>
      </c>
      <c r="G4523" s="1">
        <v>0</v>
      </c>
      <c r="H4523" s="1">
        <v>0</v>
      </c>
      <c r="I4523" s="1">
        <v>0</v>
      </c>
    </row>
    <row r="4524" spans="1:9" ht="23.25">
      <c r="A4524" s="5" t="s">
        <v>45</v>
      </c>
      <c r="B4524" s="5"/>
      <c r="C4524" s="5" t="s">
        <v>84</v>
      </c>
      <c r="D4524" s="5"/>
      <c r="E4524" s="1">
        <v>0</v>
      </c>
      <c r="F4524" s="1">
        <v>0</v>
      </c>
      <c r="G4524" s="1">
        <v>0</v>
      </c>
      <c r="H4524" s="1">
        <v>0</v>
      </c>
      <c r="I4524" s="1">
        <v>0</v>
      </c>
    </row>
    <row r="4525" spans="1:9" ht="23.25">
      <c r="A4525" s="5" t="s">
        <v>46</v>
      </c>
      <c r="B4525" s="5"/>
      <c r="C4525" s="5" t="s">
        <v>84</v>
      </c>
      <c r="D4525" s="5"/>
      <c r="E4525" s="1">
        <v>-1978283</v>
      </c>
      <c r="F4525" s="1">
        <v>0</v>
      </c>
      <c r="G4525" s="1">
        <v>0</v>
      </c>
      <c r="H4525" s="1">
        <v>0</v>
      </c>
      <c r="I4525" s="1">
        <v>-1978283</v>
      </c>
    </row>
    <row r="4526" spans="1:9" ht="23.25">
      <c r="A4526" s="5" t="s">
        <v>47</v>
      </c>
      <c r="B4526" s="5"/>
      <c r="C4526" s="5" t="s">
        <v>84</v>
      </c>
      <c r="D4526" s="5"/>
      <c r="E4526" s="1">
        <v>0</v>
      </c>
      <c r="F4526" s="1">
        <v>0</v>
      </c>
      <c r="G4526" s="1">
        <v>0</v>
      </c>
      <c r="H4526" s="1">
        <v>0</v>
      </c>
      <c r="I4526" s="1">
        <v>0</v>
      </c>
    </row>
    <row r="4527" spans="1:9" ht="23.25">
      <c r="A4527" s="5" t="s">
        <v>48</v>
      </c>
      <c r="B4527" s="5"/>
      <c r="C4527" s="5" t="s">
        <v>84</v>
      </c>
      <c r="D4527" s="5"/>
      <c r="E4527" s="1">
        <v>0</v>
      </c>
      <c r="F4527" s="1">
        <v>0</v>
      </c>
      <c r="G4527" s="1">
        <v>0</v>
      </c>
      <c r="H4527" s="1">
        <v>0</v>
      </c>
      <c r="I4527" s="1">
        <v>0</v>
      </c>
    </row>
    <row r="4528" spans="1:9" ht="23.25">
      <c r="A4528" s="5" t="s">
        <v>49</v>
      </c>
      <c r="B4528" s="5"/>
      <c r="C4528" s="5" t="s">
        <v>84</v>
      </c>
      <c r="D4528" s="5"/>
      <c r="E4528" s="1">
        <v>-588010</v>
      </c>
      <c r="F4528" s="1">
        <v>0</v>
      </c>
      <c r="G4528" s="1">
        <v>0</v>
      </c>
      <c r="H4528" s="1">
        <v>0</v>
      </c>
      <c r="I4528" s="1">
        <v>-588010</v>
      </c>
    </row>
    <row r="4529" spans="1:9" ht="23.25">
      <c r="A4529" s="5" t="s">
        <v>50</v>
      </c>
      <c r="B4529" s="5"/>
      <c r="C4529" s="5" t="s">
        <v>84</v>
      </c>
      <c r="D4529" s="5"/>
      <c r="E4529" s="1">
        <v>-599</v>
      </c>
      <c r="F4529" s="1">
        <v>0</v>
      </c>
      <c r="G4529" s="1">
        <v>0</v>
      </c>
      <c r="H4529" s="1">
        <v>0</v>
      </c>
      <c r="I4529" s="1">
        <v>-599</v>
      </c>
    </row>
    <row r="4530" spans="1:9" ht="23.25">
      <c r="A4530" s="5" t="s">
        <v>51</v>
      </c>
      <c r="B4530" s="5"/>
      <c r="C4530" s="5" t="s">
        <v>84</v>
      </c>
      <c r="D4530" s="5"/>
      <c r="E4530" s="1">
        <v>-6422291</v>
      </c>
      <c r="F4530" s="1">
        <v>0</v>
      </c>
      <c r="G4530" s="1">
        <v>0</v>
      </c>
      <c r="H4530" s="1">
        <v>0</v>
      </c>
      <c r="I4530" s="1">
        <v>-6422291</v>
      </c>
    </row>
    <row r="4531" spans="1:9" ht="23.25">
      <c r="A4531" s="5" t="s">
        <v>52</v>
      </c>
      <c r="B4531" s="5"/>
      <c r="C4531" s="5" t="s">
        <v>84</v>
      </c>
      <c r="D4531" s="5"/>
      <c r="E4531" s="1">
        <v>-760</v>
      </c>
      <c r="F4531" s="1">
        <v>0</v>
      </c>
      <c r="G4531" s="1">
        <v>0</v>
      </c>
      <c r="H4531" s="1">
        <v>0</v>
      </c>
      <c r="I4531" s="1">
        <v>-760</v>
      </c>
    </row>
    <row r="4532" spans="1:9" ht="23.25">
      <c r="A4532" s="5" t="s">
        <v>53</v>
      </c>
      <c r="B4532" s="5"/>
      <c r="C4532" s="5" t="s">
        <v>84</v>
      </c>
      <c r="D4532" s="5"/>
      <c r="E4532" s="1">
        <v>0</v>
      </c>
      <c r="F4532" s="1">
        <v>0</v>
      </c>
      <c r="G4532" s="1">
        <v>0</v>
      </c>
      <c r="H4532" s="1">
        <v>0</v>
      </c>
      <c r="I4532" s="1">
        <v>0</v>
      </c>
    </row>
    <row r="4533" spans="1:9" ht="23.25">
      <c r="A4533" s="5" t="s">
        <v>54</v>
      </c>
      <c r="B4533" s="5"/>
      <c r="C4533" s="5" t="s">
        <v>84</v>
      </c>
      <c r="D4533" s="5"/>
      <c r="E4533" s="1">
        <v>0</v>
      </c>
      <c r="F4533" s="1">
        <v>0</v>
      </c>
      <c r="G4533" s="1">
        <v>0</v>
      </c>
      <c r="H4533" s="1">
        <v>0</v>
      </c>
      <c r="I4533" s="1">
        <v>0</v>
      </c>
    </row>
    <row r="4534" spans="1:9" ht="23.25">
      <c r="A4534" s="5" t="s">
        <v>55</v>
      </c>
      <c r="B4534" s="5"/>
      <c r="C4534" s="5" t="s">
        <v>84</v>
      </c>
      <c r="D4534" s="5"/>
      <c r="E4534" s="1">
        <v>0</v>
      </c>
      <c r="F4534" s="1">
        <v>0</v>
      </c>
      <c r="G4534" s="1">
        <v>0</v>
      </c>
      <c r="H4534" s="1">
        <v>0</v>
      </c>
      <c r="I4534" s="1">
        <v>0</v>
      </c>
    </row>
    <row r="4535" spans="1:9" ht="23.25">
      <c r="A4535" s="5" t="s">
        <v>56</v>
      </c>
      <c r="B4535" s="5"/>
      <c r="C4535" s="5" t="s">
        <v>84</v>
      </c>
      <c r="D4535" s="5"/>
      <c r="E4535" s="1">
        <v>0</v>
      </c>
      <c r="F4535" s="1">
        <v>0</v>
      </c>
      <c r="G4535" s="1">
        <v>0</v>
      </c>
      <c r="H4535" s="1">
        <v>0</v>
      </c>
      <c r="I4535" s="1">
        <v>0</v>
      </c>
    </row>
    <row r="4536" spans="1:9" ht="23.25">
      <c r="A4536" s="5" t="s">
        <v>57</v>
      </c>
      <c r="B4536" s="5"/>
      <c r="C4536" s="5" t="s">
        <v>84</v>
      </c>
      <c r="D4536" s="5"/>
      <c r="E4536" s="1">
        <v>-65700431</v>
      </c>
      <c r="F4536" s="1">
        <v>0</v>
      </c>
      <c r="G4536" s="1">
        <v>0</v>
      </c>
      <c r="H4536" s="1">
        <v>0</v>
      </c>
      <c r="I4536" s="1">
        <v>-65700431</v>
      </c>
    </row>
    <row r="4537" spans="1:9" ht="23.25">
      <c r="A4537" s="5" t="s">
        <v>58</v>
      </c>
      <c r="B4537" s="5"/>
      <c r="C4537" s="5" t="s">
        <v>84</v>
      </c>
      <c r="D4537" s="5"/>
      <c r="E4537" s="1">
        <v>-117143924</v>
      </c>
      <c r="F4537" s="1">
        <v>0</v>
      </c>
      <c r="G4537" s="1">
        <v>0</v>
      </c>
      <c r="H4537" s="1">
        <v>0</v>
      </c>
      <c r="I4537" s="1">
        <v>-117143924</v>
      </c>
    </row>
    <row r="4538" spans="1:9" ht="23.25">
      <c r="A4538" s="5" t="s">
        <v>59</v>
      </c>
      <c r="B4538" s="5"/>
      <c r="C4538" s="5" t="s">
        <v>84</v>
      </c>
      <c r="D4538" s="5"/>
      <c r="E4538" s="1">
        <v>-55188867</v>
      </c>
      <c r="F4538" s="1">
        <v>0</v>
      </c>
      <c r="G4538" s="1">
        <v>0</v>
      </c>
      <c r="H4538" s="1">
        <v>0</v>
      </c>
      <c r="I4538" s="1">
        <v>-55188867</v>
      </c>
    </row>
    <row r="4539" spans="1:9" ht="23.25">
      <c r="A4539" s="5" t="s">
        <v>60</v>
      </c>
      <c r="B4539" s="5"/>
      <c r="C4539" s="5" t="s">
        <v>84</v>
      </c>
      <c r="D4539" s="5"/>
      <c r="E4539" s="1">
        <v>-81709813</v>
      </c>
      <c r="F4539" s="1">
        <v>0</v>
      </c>
      <c r="G4539" s="1">
        <v>0</v>
      </c>
      <c r="H4539" s="1">
        <v>0</v>
      </c>
      <c r="I4539" s="1">
        <v>-81709813</v>
      </c>
    </row>
    <row r="4540" spans="1:9" ht="23.25">
      <c r="A4540" s="5" t="s">
        <v>61</v>
      </c>
      <c r="B4540" s="5"/>
      <c r="C4540" s="5" t="s">
        <v>84</v>
      </c>
      <c r="D4540" s="5"/>
      <c r="E4540" s="1">
        <v>-101724443</v>
      </c>
      <c r="F4540" s="1">
        <v>0</v>
      </c>
      <c r="G4540" s="1">
        <v>0</v>
      </c>
      <c r="H4540" s="1">
        <v>0</v>
      </c>
      <c r="I4540" s="1">
        <v>-101724443</v>
      </c>
    </row>
    <row r="4541" spans="1:9" ht="23.25">
      <c r="A4541" s="5" t="s">
        <v>62</v>
      </c>
      <c r="B4541" s="5"/>
      <c r="C4541" s="5" t="s">
        <v>84</v>
      </c>
      <c r="D4541" s="5"/>
      <c r="E4541" s="1">
        <v>-318173520</v>
      </c>
      <c r="F4541" s="1">
        <v>0</v>
      </c>
      <c r="G4541" s="1">
        <v>0</v>
      </c>
      <c r="H4541" s="1">
        <v>0</v>
      </c>
      <c r="I4541" s="1">
        <v>-318173520</v>
      </c>
    </row>
    <row r="4542" spans="1:9" ht="23.25">
      <c r="A4542" s="5" t="s">
        <v>63</v>
      </c>
      <c r="B4542" s="5"/>
      <c r="C4542" s="5" t="s">
        <v>84</v>
      </c>
      <c r="D4542" s="5"/>
      <c r="E4542" s="1">
        <v>-86220627</v>
      </c>
      <c r="F4542" s="1">
        <v>0</v>
      </c>
      <c r="G4542" s="1">
        <v>0</v>
      </c>
      <c r="H4542" s="1">
        <v>0</v>
      </c>
      <c r="I4542" s="1">
        <v>-86220627</v>
      </c>
    </row>
    <row r="4543" spans="1:9" ht="23.25">
      <c r="A4543" s="5" t="s">
        <v>64</v>
      </c>
      <c r="B4543" s="5"/>
      <c r="C4543" s="5" t="s">
        <v>84</v>
      </c>
      <c r="D4543" s="5"/>
      <c r="E4543" s="1">
        <v>-16876564</v>
      </c>
      <c r="F4543" s="1">
        <v>0</v>
      </c>
      <c r="G4543" s="1">
        <v>0</v>
      </c>
      <c r="H4543" s="1">
        <v>0</v>
      </c>
      <c r="I4543" s="1">
        <v>-16876564</v>
      </c>
    </row>
    <row r="4544" spans="1:9" ht="23.25">
      <c r="A4544" s="5" t="s">
        <v>65</v>
      </c>
      <c r="B4544" s="5"/>
      <c r="C4544" s="5" t="s">
        <v>84</v>
      </c>
      <c r="D4544" s="5"/>
      <c r="E4544" s="1">
        <v>-21911156</v>
      </c>
      <c r="F4544" s="1">
        <v>0</v>
      </c>
      <c r="G4544" s="1">
        <v>0</v>
      </c>
      <c r="H4544" s="1">
        <v>0</v>
      </c>
      <c r="I4544" s="1">
        <v>-21911156</v>
      </c>
    </row>
    <row r="4545" spans="1:9" ht="23.25">
      <c r="A4545" s="5" t="s">
        <v>66</v>
      </c>
      <c r="B4545" s="5"/>
      <c r="C4545" s="5" t="s">
        <v>84</v>
      </c>
      <c r="D4545" s="5"/>
      <c r="E4545" s="1">
        <v>-1006557745</v>
      </c>
      <c r="F4545" s="1">
        <v>0</v>
      </c>
      <c r="G4545" s="1">
        <v>0</v>
      </c>
      <c r="H4545" s="1">
        <v>0</v>
      </c>
      <c r="I4545" s="1">
        <v>-1006557745</v>
      </c>
    </row>
    <row r="4546" spans="1:9" ht="23.25">
      <c r="A4546" s="5" t="s">
        <v>8</v>
      </c>
      <c r="B4546" s="5"/>
      <c r="C4546" s="5" t="s">
        <v>85</v>
      </c>
      <c r="D4546" s="5"/>
      <c r="E4546" s="1">
        <v>-5</v>
      </c>
      <c r="F4546" s="1">
        <v>0</v>
      </c>
      <c r="G4546" s="1">
        <v>0</v>
      </c>
      <c r="H4546" s="1">
        <v>0</v>
      </c>
      <c r="I4546" s="1">
        <v>-5</v>
      </c>
    </row>
    <row r="4547" spans="1:9" ht="23.25">
      <c r="A4547" s="5" t="s">
        <v>9</v>
      </c>
      <c r="B4547" s="5"/>
      <c r="C4547" s="5" t="s">
        <v>85</v>
      </c>
      <c r="D4547" s="5"/>
      <c r="E4547" s="1">
        <v>-15030908</v>
      </c>
      <c r="F4547" s="1">
        <v>0</v>
      </c>
      <c r="G4547" s="1">
        <v>0</v>
      </c>
      <c r="H4547" s="1">
        <v>0</v>
      </c>
      <c r="I4547" s="1">
        <v>-15030908</v>
      </c>
    </row>
    <row r="4548" spans="1:9" ht="23.25">
      <c r="A4548" s="5" t="s">
        <v>10</v>
      </c>
      <c r="B4548" s="5"/>
      <c r="C4548" s="5" t="s">
        <v>85</v>
      </c>
      <c r="D4548" s="5"/>
      <c r="E4548" s="1">
        <v>0</v>
      </c>
      <c r="F4548" s="1">
        <v>0</v>
      </c>
      <c r="G4548" s="1">
        <v>0</v>
      </c>
      <c r="H4548" s="1">
        <v>0</v>
      </c>
      <c r="I4548" s="1">
        <v>0</v>
      </c>
    </row>
    <row r="4549" spans="1:9" ht="23.25">
      <c r="A4549" s="5" t="s">
        <v>11</v>
      </c>
      <c r="B4549" s="5"/>
      <c r="C4549" s="5" t="s">
        <v>85</v>
      </c>
      <c r="D4549" s="5"/>
      <c r="E4549" s="1">
        <v>-44074229</v>
      </c>
      <c r="F4549" s="1">
        <v>0</v>
      </c>
      <c r="G4549" s="1">
        <v>0</v>
      </c>
      <c r="H4549" s="1">
        <v>0</v>
      </c>
      <c r="I4549" s="1">
        <v>-44074229</v>
      </c>
    </row>
    <row r="4550" spans="1:9" ht="23.25">
      <c r="A4550" s="5" t="s">
        <v>12</v>
      </c>
      <c r="B4550" s="5"/>
      <c r="C4550" s="5" t="s">
        <v>85</v>
      </c>
      <c r="D4550" s="5"/>
      <c r="E4550" s="1">
        <v>-53783216</v>
      </c>
      <c r="F4550" s="1">
        <v>0</v>
      </c>
      <c r="G4550" s="1">
        <v>0</v>
      </c>
      <c r="H4550" s="1">
        <v>0</v>
      </c>
      <c r="I4550" s="1">
        <v>-53783216</v>
      </c>
    </row>
    <row r="4551" spans="1:9" ht="23.25">
      <c r="A4551" s="5" t="s">
        <v>13</v>
      </c>
      <c r="B4551" s="5"/>
      <c r="C4551" s="5" t="s">
        <v>85</v>
      </c>
      <c r="D4551" s="5"/>
      <c r="E4551" s="1">
        <v>-2</v>
      </c>
      <c r="F4551" s="1">
        <v>0</v>
      </c>
      <c r="G4551" s="1">
        <v>0</v>
      </c>
      <c r="H4551" s="1">
        <v>0</v>
      </c>
      <c r="I4551" s="1">
        <v>-2</v>
      </c>
    </row>
    <row r="4552" spans="1:9" ht="23.25">
      <c r="A4552" s="5" t="s">
        <v>14</v>
      </c>
      <c r="B4552" s="5"/>
      <c r="C4552" s="5" t="s">
        <v>85</v>
      </c>
      <c r="D4552" s="5"/>
      <c r="E4552" s="1">
        <v>-149467</v>
      </c>
      <c r="F4552" s="1">
        <v>0</v>
      </c>
      <c r="G4552" s="1">
        <v>0</v>
      </c>
      <c r="H4552" s="1">
        <v>0</v>
      </c>
      <c r="I4552" s="1">
        <v>-149467</v>
      </c>
    </row>
    <row r="4553" spans="1:9" ht="23.25">
      <c r="A4553" s="5" t="s">
        <v>15</v>
      </c>
      <c r="B4553" s="5"/>
      <c r="C4553" s="5" t="s">
        <v>85</v>
      </c>
      <c r="D4553" s="5"/>
      <c r="E4553" s="1">
        <v>-53774415</v>
      </c>
      <c r="F4553" s="1">
        <v>0</v>
      </c>
      <c r="G4553" s="1">
        <v>0</v>
      </c>
      <c r="H4553" s="1">
        <v>0</v>
      </c>
      <c r="I4553" s="1">
        <v>-53774415</v>
      </c>
    </row>
    <row r="4554" spans="1:9" ht="23.25">
      <c r="A4554" s="5" t="s">
        <v>16</v>
      </c>
      <c r="B4554" s="5"/>
      <c r="C4554" s="5" t="s">
        <v>85</v>
      </c>
      <c r="D4554" s="5"/>
      <c r="E4554" s="1">
        <v>-5733873</v>
      </c>
      <c r="F4554" s="1">
        <v>0</v>
      </c>
      <c r="G4554" s="1">
        <v>0</v>
      </c>
      <c r="H4554" s="1">
        <v>0</v>
      </c>
      <c r="I4554" s="1">
        <v>-5733873</v>
      </c>
    </row>
    <row r="4555" spans="1:9" ht="23.25">
      <c r="A4555" s="5" t="s">
        <v>17</v>
      </c>
      <c r="B4555" s="5"/>
      <c r="C4555" s="5" t="s">
        <v>85</v>
      </c>
      <c r="D4555" s="5"/>
      <c r="E4555" s="1">
        <v>-2931772</v>
      </c>
      <c r="F4555" s="1">
        <v>0</v>
      </c>
      <c r="G4555" s="1">
        <v>0</v>
      </c>
      <c r="H4555" s="1">
        <v>0</v>
      </c>
      <c r="I4555" s="1">
        <v>-2931772</v>
      </c>
    </row>
    <row r="4556" spans="1:9" ht="23.25">
      <c r="A4556" s="5" t="s">
        <v>18</v>
      </c>
      <c r="B4556" s="5"/>
      <c r="C4556" s="5" t="s">
        <v>85</v>
      </c>
      <c r="D4556" s="5"/>
      <c r="E4556" s="1">
        <v>-11403238</v>
      </c>
      <c r="F4556" s="1">
        <v>0</v>
      </c>
      <c r="G4556" s="1">
        <v>0</v>
      </c>
      <c r="H4556" s="1">
        <v>0</v>
      </c>
      <c r="I4556" s="1">
        <v>-11403238</v>
      </c>
    </row>
    <row r="4557" spans="1:9" ht="23.25">
      <c r="A4557" s="5" t="s">
        <v>19</v>
      </c>
      <c r="B4557" s="5"/>
      <c r="C4557" s="5" t="s">
        <v>85</v>
      </c>
      <c r="D4557" s="5"/>
      <c r="E4557" s="1">
        <v>-1014344238</v>
      </c>
      <c r="F4557" s="1">
        <v>0</v>
      </c>
      <c r="G4557" s="1">
        <v>0</v>
      </c>
      <c r="H4557" s="1">
        <v>0</v>
      </c>
      <c r="I4557" s="1">
        <v>-1014344238</v>
      </c>
    </row>
    <row r="4558" spans="1:9" ht="23.25">
      <c r="A4558" s="5" t="s">
        <v>20</v>
      </c>
      <c r="B4558" s="5"/>
      <c r="C4558" s="5" t="s">
        <v>85</v>
      </c>
      <c r="D4558" s="5"/>
      <c r="E4558" s="1">
        <v>-19069227</v>
      </c>
      <c r="F4558" s="1">
        <v>0</v>
      </c>
      <c r="G4558" s="1">
        <v>0</v>
      </c>
      <c r="H4558" s="1">
        <v>0</v>
      </c>
      <c r="I4558" s="1">
        <v>-19069227</v>
      </c>
    </row>
    <row r="4559" spans="1:9" ht="23.25">
      <c r="A4559" s="5" t="s">
        <v>21</v>
      </c>
      <c r="B4559" s="5"/>
      <c r="C4559" s="5" t="s">
        <v>85</v>
      </c>
      <c r="D4559" s="5"/>
      <c r="E4559" s="1">
        <v>-11087069</v>
      </c>
      <c r="F4559" s="1">
        <v>0</v>
      </c>
      <c r="G4559" s="1">
        <v>0</v>
      </c>
      <c r="H4559" s="1">
        <v>0</v>
      </c>
      <c r="I4559" s="1">
        <v>-11087069</v>
      </c>
    </row>
    <row r="4560" spans="1:9" ht="23.25">
      <c r="A4560" s="5" t="s">
        <v>22</v>
      </c>
      <c r="B4560" s="5"/>
      <c r="C4560" s="5" t="s">
        <v>85</v>
      </c>
      <c r="D4560" s="5"/>
      <c r="E4560" s="1">
        <v>-509394</v>
      </c>
      <c r="F4560" s="1">
        <v>0</v>
      </c>
      <c r="G4560" s="1">
        <v>0</v>
      </c>
      <c r="H4560" s="1">
        <v>0</v>
      </c>
      <c r="I4560" s="1">
        <v>-509394</v>
      </c>
    </row>
    <row r="4561" spans="1:9" ht="23.25">
      <c r="A4561" s="5" t="s">
        <v>23</v>
      </c>
      <c r="B4561" s="5"/>
      <c r="C4561" s="5" t="s">
        <v>85</v>
      </c>
      <c r="D4561" s="5"/>
      <c r="E4561" s="1">
        <v>-271840804</v>
      </c>
      <c r="F4561" s="1">
        <v>0</v>
      </c>
      <c r="G4561" s="1">
        <v>0</v>
      </c>
      <c r="H4561" s="1">
        <v>0</v>
      </c>
      <c r="I4561" s="1">
        <v>-271840804</v>
      </c>
    </row>
    <row r="4562" spans="1:9" ht="23.25">
      <c r="A4562" s="5" t="s">
        <v>24</v>
      </c>
      <c r="B4562" s="5"/>
      <c r="C4562" s="5" t="s">
        <v>85</v>
      </c>
      <c r="D4562" s="5"/>
      <c r="E4562" s="1">
        <v>-35342525</v>
      </c>
      <c r="F4562" s="1">
        <v>0</v>
      </c>
      <c r="G4562" s="1">
        <v>0</v>
      </c>
      <c r="H4562" s="1">
        <v>0</v>
      </c>
      <c r="I4562" s="1">
        <v>-35342525</v>
      </c>
    </row>
    <row r="4563" spans="1:9" ht="23.25">
      <c r="A4563" s="5" t="s">
        <v>25</v>
      </c>
      <c r="B4563" s="5"/>
      <c r="C4563" s="5" t="s">
        <v>85</v>
      </c>
      <c r="D4563" s="5"/>
      <c r="E4563" s="1">
        <v>-14196220</v>
      </c>
      <c r="F4563" s="1">
        <v>0</v>
      </c>
      <c r="G4563" s="1">
        <v>0</v>
      </c>
      <c r="H4563" s="1">
        <v>0</v>
      </c>
      <c r="I4563" s="1">
        <v>-14196220</v>
      </c>
    </row>
    <row r="4564" spans="1:9" ht="23.25">
      <c r="A4564" s="5" t="s">
        <v>26</v>
      </c>
      <c r="B4564" s="5"/>
      <c r="C4564" s="5" t="s">
        <v>85</v>
      </c>
      <c r="D4564" s="5"/>
      <c r="E4564" s="1">
        <v>-89411754</v>
      </c>
      <c r="F4564" s="1">
        <v>0</v>
      </c>
      <c r="G4564" s="1">
        <v>0</v>
      </c>
      <c r="H4564" s="1">
        <v>0</v>
      </c>
      <c r="I4564" s="1">
        <v>-89411754</v>
      </c>
    </row>
    <row r="4565" spans="1:9" ht="23.25">
      <c r="A4565" s="5" t="s">
        <v>27</v>
      </c>
      <c r="B4565" s="5"/>
      <c r="C4565" s="5" t="s">
        <v>85</v>
      </c>
      <c r="D4565" s="5"/>
      <c r="E4565" s="1">
        <v>-26374473</v>
      </c>
      <c r="F4565" s="1">
        <v>0</v>
      </c>
      <c r="G4565" s="1">
        <v>0</v>
      </c>
      <c r="H4565" s="1">
        <v>0</v>
      </c>
      <c r="I4565" s="1">
        <v>-26374473</v>
      </c>
    </row>
    <row r="4566" spans="1:9" ht="23.25">
      <c r="A4566" s="5" t="s">
        <v>28</v>
      </c>
      <c r="B4566" s="5"/>
      <c r="C4566" s="5" t="s">
        <v>85</v>
      </c>
      <c r="D4566" s="5"/>
      <c r="E4566" s="1">
        <v>-23779347</v>
      </c>
      <c r="F4566" s="1">
        <v>0</v>
      </c>
      <c r="G4566" s="1">
        <v>0</v>
      </c>
      <c r="H4566" s="1">
        <v>0</v>
      </c>
      <c r="I4566" s="1">
        <v>-23779347</v>
      </c>
    </row>
    <row r="4567" spans="1:9" ht="23.25">
      <c r="A4567" s="5" t="s">
        <v>29</v>
      </c>
      <c r="B4567" s="5"/>
      <c r="C4567" s="5" t="s">
        <v>85</v>
      </c>
      <c r="D4567" s="5"/>
      <c r="E4567" s="1">
        <v>-17947685</v>
      </c>
      <c r="F4567" s="1">
        <v>0</v>
      </c>
      <c r="G4567" s="1">
        <v>0</v>
      </c>
      <c r="H4567" s="1">
        <v>0</v>
      </c>
      <c r="I4567" s="1">
        <v>-17947685</v>
      </c>
    </row>
    <row r="4568" spans="1:9" ht="23.25">
      <c r="A4568" s="5" t="s">
        <v>30</v>
      </c>
      <c r="B4568" s="5"/>
      <c r="C4568" s="5" t="s">
        <v>85</v>
      </c>
      <c r="D4568" s="5"/>
      <c r="E4568" s="1">
        <v>-79058399</v>
      </c>
      <c r="F4568" s="1">
        <v>0</v>
      </c>
      <c r="G4568" s="1">
        <v>0</v>
      </c>
      <c r="H4568" s="1">
        <v>0</v>
      </c>
      <c r="I4568" s="1">
        <v>-79058399</v>
      </c>
    </row>
    <row r="4569" spans="1:9" ht="23.25">
      <c r="A4569" s="5" t="s">
        <v>31</v>
      </c>
      <c r="B4569" s="5"/>
      <c r="C4569" s="5" t="s">
        <v>85</v>
      </c>
      <c r="D4569" s="5"/>
      <c r="E4569" s="1">
        <v>-96241121</v>
      </c>
      <c r="F4569" s="1">
        <v>0</v>
      </c>
      <c r="G4569" s="1">
        <v>0</v>
      </c>
      <c r="H4569" s="1">
        <v>0</v>
      </c>
      <c r="I4569" s="1">
        <v>-96241121</v>
      </c>
    </row>
    <row r="4570" spans="1:9" ht="23.25">
      <c r="A4570" s="5" t="s">
        <v>32</v>
      </c>
      <c r="B4570" s="5"/>
      <c r="C4570" s="5" t="s">
        <v>85</v>
      </c>
      <c r="D4570" s="5"/>
      <c r="E4570" s="1">
        <v>-109186861</v>
      </c>
      <c r="F4570" s="1">
        <v>0</v>
      </c>
      <c r="G4570" s="1">
        <v>0</v>
      </c>
      <c r="H4570" s="1">
        <v>0</v>
      </c>
      <c r="I4570" s="1">
        <v>-109186861</v>
      </c>
    </row>
    <row r="4571" spans="1:9" ht="23.25">
      <c r="A4571" s="5" t="s">
        <v>33</v>
      </c>
      <c r="B4571" s="5"/>
      <c r="C4571" s="5" t="s">
        <v>85</v>
      </c>
      <c r="D4571" s="5"/>
      <c r="E4571" s="1">
        <v>-63147360</v>
      </c>
      <c r="F4571" s="1">
        <v>0</v>
      </c>
      <c r="G4571" s="1">
        <v>0</v>
      </c>
      <c r="H4571" s="1">
        <v>0</v>
      </c>
      <c r="I4571" s="1">
        <v>-63147360</v>
      </c>
    </row>
    <row r="4572" spans="1:9" ht="23.25">
      <c r="A4572" s="5" t="s">
        <v>34</v>
      </c>
      <c r="B4572" s="5"/>
      <c r="C4572" s="5" t="s">
        <v>85</v>
      </c>
      <c r="D4572" s="5"/>
      <c r="E4572" s="1">
        <v>-621492716</v>
      </c>
      <c r="F4572" s="1">
        <v>0</v>
      </c>
      <c r="G4572" s="1">
        <v>0</v>
      </c>
      <c r="H4572" s="1">
        <v>0</v>
      </c>
      <c r="I4572" s="1">
        <v>-621492716</v>
      </c>
    </row>
    <row r="4573" spans="1:9" ht="23.25">
      <c r="A4573" s="5" t="s">
        <v>35</v>
      </c>
      <c r="B4573" s="5"/>
      <c r="C4573" s="5" t="s">
        <v>85</v>
      </c>
      <c r="D4573" s="5"/>
      <c r="E4573" s="1">
        <v>-102906459</v>
      </c>
      <c r="F4573" s="1">
        <v>0</v>
      </c>
      <c r="G4573" s="1">
        <v>0</v>
      </c>
      <c r="H4573" s="1">
        <v>0</v>
      </c>
      <c r="I4573" s="1">
        <v>-102906459</v>
      </c>
    </row>
    <row r="4574" spans="1:9" ht="23.25">
      <c r="A4574" s="5" t="s">
        <v>36</v>
      </c>
      <c r="B4574" s="5"/>
      <c r="C4574" s="5" t="s">
        <v>85</v>
      </c>
      <c r="D4574" s="5"/>
      <c r="E4574" s="1">
        <v>-374734940</v>
      </c>
      <c r="F4574" s="1">
        <v>0</v>
      </c>
      <c r="G4574" s="1">
        <v>0</v>
      </c>
      <c r="H4574" s="1">
        <v>0</v>
      </c>
      <c r="I4574" s="1">
        <v>-374734940</v>
      </c>
    </row>
    <row r="4575" spans="1:9" ht="23.25">
      <c r="A4575" s="5" t="s">
        <v>37</v>
      </c>
      <c r="B4575" s="5"/>
      <c r="C4575" s="5" t="s">
        <v>85</v>
      </c>
      <c r="D4575" s="5"/>
      <c r="E4575" s="1">
        <v>-274197987</v>
      </c>
      <c r="F4575" s="1">
        <v>0</v>
      </c>
      <c r="G4575" s="1">
        <v>0</v>
      </c>
      <c r="H4575" s="1">
        <v>0</v>
      </c>
      <c r="I4575" s="1">
        <v>-274197987</v>
      </c>
    </row>
    <row r="4576" spans="1:9" ht="23.25">
      <c r="A4576" s="5" t="s">
        <v>38</v>
      </c>
      <c r="B4576" s="5"/>
      <c r="C4576" s="5" t="s">
        <v>85</v>
      </c>
      <c r="D4576" s="5"/>
      <c r="E4576" s="1">
        <v>-62448315</v>
      </c>
      <c r="F4576" s="1">
        <v>0</v>
      </c>
      <c r="G4576" s="1">
        <v>0</v>
      </c>
      <c r="H4576" s="1">
        <v>0</v>
      </c>
      <c r="I4576" s="1">
        <v>-62448315</v>
      </c>
    </row>
    <row r="4577" spans="1:9" ht="23.25">
      <c r="A4577" s="5" t="s">
        <v>39</v>
      </c>
      <c r="B4577" s="5"/>
      <c r="C4577" s="5" t="s">
        <v>85</v>
      </c>
      <c r="D4577" s="5"/>
      <c r="E4577" s="1">
        <v>-166461222</v>
      </c>
      <c r="F4577" s="1">
        <v>0</v>
      </c>
      <c r="G4577" s="1">
        <v>0</v>
      </c>
      <c r="H4577" s="1">
        <v>0</v>
      </c>
      <c r="I4577" s="1">
        <v>-166461222</v>
      </c>
    </row>
    <row r="4578" spans="1:9" ht="23.25">
      <c r="A4578" s="5" t="s">
        <v>40</v>
      </c>
      <c r="B4578" s="5"/>
      <c r="C4578" s="5" t="s">
        <v>85</v>
      </c>
      <c r="D4578" s="5"/>
      <c r="E4578" s="1">
        <v>-2272390</v>
      </c>
      <c r="F4578" s="1">
        <v>0</v>
      </c>
      <c r="G4578" s="1">
        <v>0</v>
      </c>
      <c r="H4578" s="1">
        <v>0</v>
      </c>
      <c r="I4578" s="1">
        <v>-2272390</v>
      </c>
    </row>
    <row r="4579" spans="1:9" ht="23.25">
      <c r="A4579" s="5" t="s">
        <v>41</v>
      </c>
      <c r="B4579" s="5"/>
      <c r="C4579" s="5" t="s">
        <v>85</v>
      </c>
      <c r="D4579" s="5"/>
      <c r="E4579" s="1">
        <v>-77561476</v>
      </c>
      <c r="F4579" s="1">
        <v>0</v>
      </c>
      <c r="G4579" s="1">
        <v>0</v>
      </c>
      <c r="H4579" s="1">
        <v>0</v>
      </c>
      <c r="I4579" s="1">
        <v>-77561476</v>
      </c>
    </row>
    <row r="4580" spans="1:9" ht="23.25">
      <c r="A4580" s="5" t="s">
        <v>42</v>
      </c>
      <c r="B4580" s="5"/>
      <c r="C4580" s="5" t="s">
        <v>85</v>
      </c>
      <c r="D4580" s="5"/>
      <c r="E4580" s="1">
        <v>-606077811</v>
      </c>
      <c r="F4580" s="1">
        <v>0</v>
      </c>
      <c r="G4580" s="1">
        <v>0</v>
      </c>
      <c r="H4580" s="1">
        <v>0</v>
      </c>
      <c r="I4580" s="1">
        <v>-606077811</v>
      </c>
    </row>
    <row r="4581" spans="1:9" ht="23.25">
      <c r="A4581" s="5" t="s">
        <v>43</v>
      </c>
      <c r="B4581" s="5"/>
      <c r="C4581" s="5" t="s">
        <v>85</v>
      </c>
      <c r="D4581" s="5"/>
      <c r="E4581" s="1">
        <v>-683456919</v>
      </c>
      <c r="F4581" s="1">
        <v>0</v>
      </c>
      <c r="G4581" s="1">
        <v>0</v>
      </c>
      <c r="H4581" s="1">
        <v>0</v>
      </c>
      <c r="I4581" s="1">
        <v>-683456919</v>
      </c>
    </row>
    <row r="4582" spans="1:9" ht="23.25">
      <c r="A4582" s="5" t="s">
        <v>44</v>
      </c>
      <c r="B4582" s="5"/>
      <c r="C4582" s="5" t="s">
        <v>85</v>
      </c>
      <c r="D4582" s="5"/>
      <c r="E4582" s="1">
        <v>-378158131</v>
      </c>
      <c r="F4582" s="1">
        <v>0</v>
      </c>
      <c r="G4582" s="1">
        <v>0</v>
      </c>
      <c r="H4582" s="1">
        <v>0</v>
      </c>
      <c r="I4582" s="1">
        <v>-378158131</v>
      </c>
    </row>
    <row r="4583" spans="1:9" ht="23.25">
      <c r="A4583" s="5" t="s">
        <v>45</v>
      </c>
      <c r="B4583" s="5"/>
      <c r="C4583" s="5" t="s">
        <v>85</v>
      </c>
      <c r="D4583" s="5"/>
      <c r="E4583" s="1">
        <v>-577672991</v>
      </c>
      <c r="F4583" s="1">
        <v>0</v>
      </c>
      <c r="G4583" s="1">
        <v>0</v>
      </c>
      <c r="H4583" s="1">
        <v>0</v>
      </c>
      <c r="I4583" s="1">
        <v>-577672991</v>
      </c>
    </row>
    <row r="4584" spans="1:9" ht="23.25">
      <c r="A4584" s="5" t="s">
        <v>46</v>
      </c>
      <c r="B4584" s="5"/>
      <c r="C4584" s="5" t="s">
        <v>85</v>
      </c>
      <c r="D4584" s="5"/>
      <c r="E4584" s="1">
        <v>-2048258372</v>
      </c>
      <c r="F4584" s="1">
        <v>0</v>
      </c>
      <c r="G4584" s="1">
        <v>0</v>
      </c>
      <c r="H4584" s="1">
        <v>0</v>
      </c>
      <c r="I4584" s="1">
        <v>-2048258372</v>
      </c>
    </row>
    <row r="4585" spans="1:9" ht="23.25">
      <c r="A4585" s="5" t="s">
        <v>47</v>
      </c>
      <c r="B4585" s="5"/>
      <c r="C4585" s="5" t="s">
        <v>85</v>
      </c>
      <c r="D4585" s="5"/>
      <c r="E4585" s="1">
        <v>-455890940</v>
      </c>
      <c r="F4585" s="1">
        <v>0</v>
      </c>
      <c r="G4585" s="1">
        <v>0</v>
      </c>
      <c r="H4585" s="1">
        <v>0</v>
      </c>
      <c r="I4585" s="1">
        <v>-455890940</v>
      </c>
    </row>
    <row r="4586" spans="1:9" ht="23.25">
      <c r="A4586" s="5" t="s">
        <v>48</v>
      </c>
      <c r="B4586" s="5"/>
      <c r="C4586" s="5" t="s">
        <v>85</v>
      </c>
      <c r="D4586" s="5"/>
      <c r="E4586" s="1">
        <v>-69828366</v>
      </c>
      <c r="F4586" s="1">
        <v>0</v>
      </c>
      <c r="G4586" s="1">
        <v>0</v>
      </c>
      <c r="H4586" s="1">
        <v>0</v>
      </c>
      <c r="I4586" s="1">
        <v>-69828366</v>
      </c>
    </row>
    <row r="4587" spans="1:9" ht="23.25">
      <c r="A4587" s="5" t="s">
        <v>49</v>
      </c>
      <c r="B4587" s="5"/>
      <c r="C4587" s="5" t="s">
        <v>85</v>
      </c>
      <c r="D4587" s="5"/>
      <c r="E4587" s="1">
        <v>-64863839</v>
      </c>
      <c r="F4587" s="1">
        <v>0</v>
      </c>
      <c r="G4587" s="1">
        <v>0</v>
      </c>
      <c r="H4587" s="1">
        <v>0</v>
      </c>
      <c r="I4587" s="1">
        <v>-64863839</v>
      </c>
    </row>
    <row r="4588" spans="1:9" ht="23.25">
      <c r="A4588" s="5" t="s">
        <v>50</v>
      </c>
      <c r="B4588" s="5"/>
      <c r="C4588" s="5" t="s">
        <v>85</v>
      </c>
      <c r="D4588" s="5"/>
      <c r="E4588" s="1">
        <v>-23122978</v>
      </c>
      <c r="F4588" s="1">
        <v>0</v>
      </c>
      <c r="G4588" s="1">
        <v>0</v>
      </c>
      <c r="H4588" s="1">
        <v>0</v>
      </c>
      <c r="I4588" s="1">
        <v>-23122978</v>
      </c>
    </row>
    <row r="4589" spans="1:9" ht="23.25">
      <c r="A4589" s="5" t="s">
        <v>51</v>
      </c>
      <c r="B4589" s="5"/>
      <c r="C4589" s="5" t="s">
        <v>85</v>
      </c>
      <c r="D4589" s="5"/>
      <c r="E4589" s="1">
        <v>-391997376</v>
      </c>
      <c r="F4589" s="1">
        <v>0</v>
      </c>
      <c r="G4589" s="1">
        <v>0</v>
      </c>
      <c r="H4589" s="1">
        <v>0</v>
      </c>
      <c r="I4589" s="1">
        <v>-391997376</v>
      </c>
    </row>
    <row r="4590" spans="1:9" ht="23.25">
      <c r="A4590" s="5" t="s">
        <v>52</v>
      </c>
      <c r="B4590" s="5"/>
      <c r="C4590" s="5" t="s">
        <v>85</v>
      </c>
      <c r="D4590" s="5"/>
      <c r="E4590" s="1">
        <v>-142248466</v>
      </c>
      <c r="F4590" s="1">
        <v>0</v>
      </c>
      <c r="G4590" s="1">
        <v>0</v>
      </c>
      <c r="H4590" s="1">
        <v>0</v>
      </c>
      <c r="I4590" s="1">
        <v>-142248466</v>
      </c>
    </row>
    <row r="4591" spans="1:9" ht="23.25">
      <c r="A4591" s="5" t="s">
        <v>53</v>
      </c>
      <c r="B4591" s="5"/>
      <c r="C4591" s="5" t="s">
        <v>85</v>
      </c>
      <c r="D4591" s="5"/>
      <c r="E4591" s="1">
        <v>0</v>
      </c>
      <c r="F4591" s="1">
        <v>0</v>
      </c>
      <c r="G4591" s="1">
        <v>0</v>
      </c>
      <c r="H4591" s="1">
        <v>0</v>
      </c>
      <c r="I4591" s="1">
        <v>0</v>
      </c>
    </row>
    <row r="4592" spans="1:9" ht="23.25">
      <c r="A4592" s="5" t="s">
        <v>54</v>
      </c>
      <c r="B4592" s="5"/>
      <c r="C4592" s="5" t="s">
        <v>85</v>
      </c>
      <c r="D4592" s="5"/>
      <c r="E4592" s="1">
        <v>0</v>
      </c>
      <c r="F4592" s="1">
        <v>0</v>
      </c>
      <c r="G4592" s="1">
        <v>0</v>
      </c>
      <c r="H4592" s="1">
        <v>0</v>
      </c>
      <c r="I4592" s="1">
        <v>0</v>
      </c>
    </row>
    <row r="4593" spans="1:9" ht="23.25">
      <c r="A4593" s="5" t="s">
        <v>55</v>
      </c>
      <c r="B4593" s="5"/>
      <c r="C4593" s="5" t="s">
        <v>85</v>
      </c>
      <c r="D4593" s="5"/>
      <c r="E4593" s="1">
        <v>0</v>
      </c>
      <c r="F4593" s="1">
        <v>0</v>
      </c>
      <c r="G4593" s="1">
        <v>0</v>
      </c>
      <c r="H4593" s="1">
        <v>0</v>
      </c>
      <c r="I4593" s="1">
        <v>0</v>
      </c>
    </row>
    <row r="4594" spans="1:9" ht="23.25">
      <c r="A4594" s="5" t="s">
        <v>56</v>
      </c>
      <c r="B4594" s="5"/>
      <c r="C4594" s="5" t="s">
        <v>85</v>
      </c>
      <c r="D4594" s="5"/>
      <c r="E4594" s="1">
        <v>0</v>
      </c>
      <c r="F4594" s="1">
        <v>0</v>
      </c>
      <c r="G4594" s="1">
        <v>0</v>
      </c>
      <c r="H4594" s="1">
        <v>0</v>
      </c>
      <c r="I4594" s="1">
        <v>0</v>
      </c>
    </row>
    <row r="4595" spans="1:9" ht="23.25">
      <c r="A4595" s="5" t="s">
        <v>57</v>
      </c>
      <c r="B4595" s="5"/>
      <c r="C4595" s="5" t="s">
        <v>85</v>
      </c>
      <c r="D4595" s="5"/>
      <c r="E4595" s="1">
        <v>-65700431</v>
      </c>
      <c r="F4595" s="1">
        <v>0</v>
      </c>
      <c r="G4595" s="1">
        <v>0</v>
      </c>
      <c r="H4595" s="1">
        <v>0</v>
      </c>
      <c r="I4595" s="1">
        <v>-65700431</v>
      </c>
    </row>
    <row r="4596" spans="1:9" ht="23.25">
      <c r="A4596" s="5" t="s">
        <v>58</v>
      </c>
      <c r="B4596" s="5"/>
      <c r="C4596" s="5" t="s">
        <v>85</v>
      </c>
      <c r="D4596" s="5"/>
      <c r="E4596" s="1">
        <v>-117143924</v>
      </c>
      <c r="F4596" s="1">
        <v>0</v>
      </c>
      <c r="G4596" s="1">
        <v>0</v>
      </c>
      <c r="H4596" s="1">
        <v>0</v>
      </c>
      <c r="I4596" s="1">
        <v>-117143924</v>
      </c>
    </row>
    <row r="4597" spans="1:9" ht="23.25">
      <c r="A4597" s="5" t="s">
        <v>59</v>
      </c>
      <c r="B4597" s="5"/>
      <c r="C4597" s="5" t="s">
        <v>85</v>
      </c>
      <c r="D4597" s="5"/>
      <c r="E4597" s="1">
        <v>-55188867</v>
      </c>
      <c r="F4597" s="1">
        <v>0</v>
      </c>
      <c r="G4597" s="1">
        <v>0</v>
      </c>
      <c r="H4597" s="1">
        <v>0</v>
      </c>
      <c r="I4597" s="1">
        <v>-55188867</v>
      </c>
    </row>
    <row r="4598" spans="1:9" ht="23.25">
      <c r="A4598" s="5" t="s">
        <v>60</v>
      </c>
      <c r="B4598" s="5"/>
      <c r="C4598" s="5" t="s">
        <v>85</v>
      </c>
      <c r="D4598" s="5"/>
      <c r="E4598" s="1">
        <v>-81709813</v>
      </c>
      <c r="F4598" s="1">
        <v>0</v>
      </c>
      <c r="G4598" s="1">
        <v>0</v>
      </c>
      <c r="H4598" s="1">
        <v>0</v>
      </c>
      <c r="I4598" s="1">
        <v>-81709813</v>
      </c>
    </row>
    <row r="4599" spans="1:9" ht="23.25">
      <c r="A4599" s="5" t="s">
        <v>61</v>
      </c>
      <c r="B4599" s="5"/>
      <c r="C4599" s="5" t="s">
        <v>85</v>
      </c>
      <c r="D4599" s="5"/>
      <c r="E4599" s="1">
        <v>-101724443</v>
      </c>
      <c r="F4599" s="1">
        <v>0</v>
      </c>
      <c r="G4599" s="1">
        <v>0</v>
      </c>
      <c r="H4599" s="1">
        <v>0</v>
      </c>
      <c r="I4599" s="1">
        <v>-101724443</v>
      </c>
    </row>
    <row r="4600" spans="1:9" ht="23.25">
      <c r="A4600" s="5" t="s">
        <v>62</v>
      </c>
      <c r="B4600" s="5"/>
      <c r="C4600" s="5" t="s">
        <v>85</v>
      </c>
      <c r="D4600" s="5"/>
      <c r="E4600" s="1">
        <v>-318173520</v>
      </c>
      <c r="F4600" s="1">
        <v>0</v>
      </c>
      <c r="G4600" s="1">
        <v>0</v>
      </c>
      <c r="H4600" s="1">
        <v>0</v>
      </c>
      <c r="I4600" s="1">
        <v>-318173520</v>
      </c>
    </row>
    <row r="4601" spans="1:9" ht="23.25">
      <c r="A4601" s="5" t="s">
        <v>63</v>
      </c>
      <c r="B4601" s="5"/>
      <c r="C4601" s="5" t="s">
        <v>85</v>
      </c>
      <c r="D4601" s="5"/>
      <c r="E4601" s="1">
        <v>-86220627</v>
      </c>
      <c r="F4601" s="1">
        <v>0</v>
      </c>
      <c r="G4601" s="1">
        <v>0</v>
      </c>
      <c r="H4601" s="1">
        <v>0</v>
      </c>
      <c r="I4601" s="1">
        <v>-86220627</v>
      </c>
    </row>
    <row r="4602" spans="1:9" ht="23.25">
      <c r="A4602" s="5" t="s">
        <v>64</v>
      </c>
      <c r="B4602" s="5"/>
      <c r="C4602" s="5" t="s">
        <v>85</v>
      </c>
      <c r="D4602" s="5"/>
      <c r="E4602" s="1">
        <v>-16876564</v>
      </c>
      <c r="F4602" s="1">
        <v>0</v>
      </c>
      <c r="G4602" s="1">
        <v>0</v>
      </c>
      <c r="H4602" s="1">
        <v>0</v>
      </c>
      <c r="I4602" s="1">
        <v>-16876564</v>
      </c>
    </row>
    <row r="4603" spans="1:9" ht="23.25">
      <c r="A4603" s="5" t="s">
        <v>65</v>
      </c>
      <c r="B4603" s="5"/>
      <c r="C4603" s="5" t="s">
        <v>85</v>
      </c>
      <c r="D4603" s="5"/>
      <c r="E4603" s="1">
        <v>-21911156</v>
      </c>
      <c r="F4603" s="1">
        <v>0</v>
      </c>
      <c r="G4603" s="1">
        <v>0</v>
      </c>
      <c r="H4603" s="1">
        <v>0</v>
      </c>
      <c r="I4603" s="1">
        <v>-21911156</v>
      </c>
    </row>
    <row r="4604" spans="1:9" ht="23.25">
      <c r="A4604" s="5" t="s">
        <v>66</v>
      </c>
      <c r="B4604" s="5"/>
      <c r="C4604" s="5" t="s">
        <v>85</v>
      </c>
      <c r="D4604" s="5"/>
      <c r="E4604" s="1">
        <v>-10046718641</v>
      </c>
      <c r="F4604" s="1">
        <v>0</v>
      </c>
      <c r="G4604" s="1">
        <v>0</v>
      </c>
      <c r="H4604" s="1">
        <v>0</v>
      </c>
      <c r="I4604" s="1">
        <v>-10046718641</v>
      </c>
    </row>
    <row r="4605" spans="1:9" ht="23.25">
      <c r="A4605" s="5" t="s">
        <v>8</v>
      </c>
      <c r="B4605" s="5"/>
      <c r="C4605" s="5" t="s">
        <v>86</v>
      </c>
      <c r="D4605" s="5"/>
      <c r="E4605" s="1">
        <v>-10756134</v>
      </c>
      <c r="F4605" s="1">
        <v>-10756134</v>
      </c>
      <c r="G4605" s="1">
        <v>0</v>
      </c>
      <c r="H4605" s="1">
        <v>0</v>
      </c>
      <c r="I4605" s="1">
        <v>0</v>
      </c>
    </row>
    <row r="4606" spans="1:9" ht="23.25">
      <c r="A4606" s="5" t="s">
        <v>9</v>
      </c>
      <c r="B4606" s="5"/>
      <c r="C4606" s="5" t="s">
        <v>86</v>
      </c>
      <c r="D4606" s="5"/>
      <c r="E4606" s="1">
        <v>-2251541</v>
      </c>
      <c r="F4606" s="1">
        <v>-2251541</v>
      </c>
      <c r="G4606" s="1">
        <v>0</v>
      </c>
      <c r="H4606" s="1">
        <v>0</v>
      </c>
      <c r="I4606" s="1">
        <v>0</v>
      </c>
    </row>
    <row r="4607" spans="1:9" ht="23.25">
      <c r="A4607" s="5" t="s">
        <v>10</v>
      </c>
      <c r="B4607" s="5"/>
      <c r="C4607" s="5" t="s">
        <v>86</v>
      </c>
      <c r="D4607" s="5"/>
      <c r="E4607" s="1">
        <v>-2122820</v>
      </c>
      <c r="F4607" s="1">
        <v>-2122820</v>
      </c>
      <c r="G4607" s="1">
        <v>0</v>
      </c>
      <c r="H4607" s="1">
        <v>0</v>
      </c>
      <c r="I4607" s="1">
        <v>0</v>
      </c>
    </row>
    <row r="4608" spans="1:9" ht="23.25">
      <c r="A4608" s="5" t="s">
        <v>11</v>
      </c>
      <c r="B4608" s="5"/>
      <c r="C4608" s="5" t="s">
        <v>86</v>
      </c>
      <c r="D4608" s="5"/>
      <c r="E4608" s="1">
        <v>-1122621</v>
      </c>
      <c r="F4608" s="1">
        <v>-1122621</v>
      </c>
      <c r="G4608" s="1">
        <v>0</v>
      </c>
      <c r="H4608" s="1">
        <v>0</v>
      </c>
      <c r="I4608" s="1">
        <v>0</v>
      </c>
    </row>
    <row r="4609" spans="1:9" ht="23.25">
      <c r="A4609" s="5" t="s">
        <v>12</v>
      </c>
      <c r="B4609" s="5"/>
      <c r="C4609" s="5" t="s">
        <v>86</v>
      </c>
      <c r="D4609" s="5"/>
      <c r="E4609" s="1">
        <v>-114494467</v>
      </c>
      <c r="F4609" s="1">
        <v>-114494467</v>
      </c>
      <c r="G4609" s="1">
        <v>0</v>
      </c>
      <c r="H4609" s="1">
        <v>0</v>
      </c>
      <c r="I4609" s="1">
        <v>0</v>
      </c>
    </row>
    <row r="4610" spans="1:9" ht="23.25">
      <c r="A4610" s="5" t="s">
        <v>13</v>
      </c>
      <c r="B4610" s="5"/>
      <c r="C4610" s="5" t="s">
        <v>86</v>
      </c>
      <c r="D4610" s="5"/>
      <c r="E4610" s="1">
        <v>-3338345</v>
      </c>
      <c r="F4610" s="1">
        <v>-3338345</v>
      </c>
      <c r="G4610" s="1">
        <v>0</v>
      </c>
      <c r="H4610" s="1">
        <v>0</v>
      </c>
      <c r="I4610" s="1">
        <v>0</v>
      </c>
    </row>
    <row r="4611" spans="1:9" ht="23.25">
      <c r="A4611" s="5" t="s">
        <v>14</v>
      </c>
      <c r="B4611" s="5"/>
      <c r="C4611" s="5" t="s">
        <v>86</v>
      </c>
      <c r="D4611" s="5"/>
      <c r="E4611" s="1">
        <v>-13165354</v>
      </c>
      <c r="F4611" s="1">
        <v>-13165354</v>
      </c>
      <c r="G4611" s="1">
        <v>0</v>
      </c>
      <c r="H4611" s="1">
        <v>0</v>
      </c>
      <c r="I4611" s="1">
        <v>0</v>
      </c>
    </row>
    <row r="4612" spans="1:9" ht="23.25">
      <c r="A4612" s="5" t="s">
        <v>15</v>
      </c>
      <c r="B4612" s="5"/>
      <c r="C4612" s="5" t="s">
        <v>86</v>
      </c>
      <c r="D4612" s="5"/>
      <c r="E4612" s="1">
        <v>-14993310</v>
      </c>
      <c r="F4612" s="1">
        <v>-14993310</v>
      </c>
      <c r="G4612" s="1">
        <v>0</v>
      </c>
      <c r="H4612" s="1">
        <v>0</v>
      </c>
      <c r="I4612" s="1">
        <v>0</v>
      </c>
    </row>
    <row r="4613" spans="1:9" ht="23.25">
      <c r="A4613" s="5" t="s">
        <v>16</v>
      </c>
      <c r="B4613" s="5"/>
      <c r="C4613" s="5" t="s">
        <v>86</v>
      </c>
      <c r="D4613" s="5"/>
      <c r="E4613" s="1">
        <v>-36985660</v>
      </c>
      <c r="F4613" s="1">
        <v>-36985660</v>
      </c>
      <c r="G4613" s="1">
        <v>0</v>
      </c>
      <c r="H4613" s="1">
        <v>0</v>
      </c>
      <c r="I4613" s="1">
        <v>0</v>
      </c>
    </row>
    <row r="4614" spans="1:9" ht="23.25">
      <c r="A4614" s="5" t="s">
        <v>17</v>
      </c>
      <c r="B4614" s="5"/>
      <c r="C4614" s="5" t="s">
        <v>86</v>
      </c>
      <c r="D4614" s="5"/>
      <c r="E4614" s="1">
        <v>-4021847</v>
      </c>
      <c r="F4614" s="1">
        <v>-4021847</v>
      </c>
      <c r="G4614" s="1">
        <v>0</v>
      </c>
      <c r="H4614" s="1">
        <v>0</v>
      </c>
      <c r="I4614" s="1">
        <v>0</v>
      </c>
    </row>
    <row r="4615" spans="1:9" ht="23.25">
      <c r="A4615" s="5" t="s">
        <v>18</v>
      </c>
      <c r="B4615" s="5"/>
      <c r="C4615" s="5" t="s">
        <v>86</v>
      </c>
      <c r="D4615" s="5"/>
      <c r="E4615" s="1">
        <v>-31308028</v>
      </c>
      <c r="F4615" s="1">
        <v>-31308028</v>
      </c>
      <c r="G4615" s="1">
        <v>0</v>
      </c>
      <c r="H4615" s="1">
        <v>0</v>
      </c>
      <c r="I4615" s="1">
        <v>0</v>
      </c>
    </row>
    <row r="4616" spans="1:9" ht="23.25">
      <c r="A4616" s="5" t="s">
        <v>19</v>
      </c>
      <c r="B4616" s="5"/>
      <c r="C4616" s="5" t="s">
        <v>86</v>
      </c>
      <c r="D4616" s="5"/>
      <c r="E4616" s="1">
        <v>-877229</v>
      </c>
      <c r="F4616" s="1">
        <v>-877229</v>
      </c>
      <c r="G4616" s="1">
        <v>0</v>
      </c>
      <c r="H4616" s="1">
        <v>0</v>
      </c>
      <c r="I4616" s="1">
        <v>0</v>
      </c>
    </row>
    <row r="4617" spans="1:9" ht="23.25">
      <c r="A4617" s="5" t="s">
        <v>20</v>
      </c>
      <c r="B4617" s="5"/>
      <c r="C4617" s="5" t="s">
        <v>86</v>
      </c>
      <c r="D4617" s="5"/>
      <c r="E4617" s="1">
        <v>-1297161</v>
      </c>
      <c r="F4617" s="1">
        <v>-1297161</v>
      </c>
      <c r="G4617" s="1">
        <v>0</v>
      </c>
      <c r="H4617" s="1">
        <v>0</v>
      </c>
      <c r="I4617" s="1">
        <v>0</v>
      </c>
    </row>
    <row r="4618" spans="1:9" ht="23.25">
      <c r="A4618" s="5" t="s">
        <v>21</v>
      </c>
      <c r="B4618" s="5"/>
      <c r="C4618" s="5" t="s">
        <v>86</v>
      </c>
      <c r="D4618" s="5"/>
      <c r="E4618" s="1">
        <v>-9157107</v>
      </c>
      <c r="F4618" s="1">
        <v>-9157107</v>
      </c>
      <c r="G4618" s="1">
        <v>0</v>
      </c>
      <c r="H4618" s="1">
        <v>0</v>
      </c>
      <c r="I4618" s="1">
        <v>0</v>
      </c>
    </row>
    <row r="4619" spans="1:9" ht="23.25">
      <c r="A4619" s="5" t="s">
        <v>22</v>
      </c>
      <c r="B4619" s="5"/>
      <c r="C4619" s="5" t="s">
        <v>86</v>
      </c>
      <c r="D4619" s="5"/>
      <c r="E4619" s="1">
        <v>-13084995</v>
      </c>
      <c r="F4619" s="1">
        <v>-13084995</v>
      </c>
      <c r="G4619" s="1">
        <v>0</v>
      </c>
      <c r="H4619" s="1">
        <v>0</v>
      </c>
      <c r="I4619" s="1">
        <v>0</v>
      </c>
    </row>
    <row r="4620" spans="1:9" ht="23.25">
      <c r="A4620" s="5" t="s">
        <v>23</v>
      </c>
      <c r="B4620" s="5"/>
      <c r="C4620" s="5" t="s">
        <v>86</v>
      </c>
      <c r="D4620" s="5"/>
      <c r="E4620" s="1">
        <v>-39816180</v>
      </c>
      <c r="F4620" s="1">
        <v>-39816180</v>
      </c>
      <c r="G4620" s="1">
        <v>0</v>
      </c>
      <c r="H4620" s="1">
        <v>0</v>
      </c>
      <c r="I4620" s="1">
        <v>0</v>
      </c>
    </row>
    <row r="4621" spans="1:9" ht="23.25">
      <c r="A4621" s="5" t="s">
        <v>24</v>
      </c>
      <c r="B4621" s="5"/>
      <c r="C4621" s="5" t="s">
        <v>86</v>
      </c>
      <c r="D4621" s="5"/>
      <c r="E4621" s="1">
        <v>-36096656</v>
      </c>
      <c r="F4621" s="1">
        <v>-36096656</v>
      </c>
      <c r="G4621" s="1">
        <v>0</v>
      </c>
      <c r="H4621" s="1">
        <v>0</v>
      </c>
      <c r="I4621" s="1">
        <v>0</v>
      </c>
    </row>
    <row r="4622" spans="1:9" ht="23.25">
      <c r="A4622" s="5" t="s">
        <v>25</v>
      </c>
      <c r="B4622" s="5"/>
      <c r="C4622" s="5" t="s">
        <v>86</v>
      </c>
      <c r="D4622" s="5"/>
      <c r="E4622" s="1">
        <v>-5296688</v>
      </c>
      <c r="F4622" s="1">
        <v>-5296688</v>
      </c>
      <c r="G4622" s="1">
        <v>0</v>
      </c>
      <c r="H4622" s="1">
        <v>0</v>
      </c>
      <c r="I4622" s="1">
        <v>0</v>
      </c>
    </row>
    <row r="4623" spans="1:9" ht="23.25">
      <c r="A4623" s="5" t="s">
        <v>26</v>
      </c>
      <c r="B4623" s="5"/>
      <c r="C4623" s="5" t="s">
        <v>86</v>
      </c>
      <c r="D4623" s="5"/>
      <c r="E4623" s="1">
        <v>-25110643</v>
      </c>
      <c r="F4623" s="1">
        <v>-25110643</v>
      </c>
      <c r="G4623" s="1">
        <v>0</v>
      </c>
      <c r="H4623" s="1">
        <v>0</v>
      </c>
      <c r="I4623" s="1">
        <v>0</v>
      </c>
    </row>
    <row r="4624" spans="1:9" ht="23.25">
      <c r="A4624" s="5" t="s">
        <v>27</v>
      </c>
      <c r="B4624" s="5"/>
      <c r="C4624" s="5" t="s">
        <v>86</v>
      </c>
      <c r="D4624" s="5"/>
      <c r="E4624" s="1">
        <v>-8690674</v>
      </c>
      <c r="F4624" s="1">
        <v>-8690674</v>
      </c>
      <c r="G4624" s="1">
        <v>0</v>
      </c>
      <c r="H4624" s="1">
        <v>0</v>
      </c>
      <c r="I4624" s="1">
        <v>0</v>
      </c>
    </row>
    <row r="4625" spans="1:9" ht="23.25">
      <c r="A4625" s="5" t="s">
        <v>28</v>
      </c>
      <c r="B4625" s="5"/>
      <c r="C4625" s="5" t="s">
        <v>86</v>
      </c>
      <c r="D4625" s="5"/>
      <c r="E4625" s="1">
        <v>-41800787</v>
      </c>
      <c r="F4625" s="1">
        <v>-41800787</v>
      </c>
      <c r="G4625" s="1">
        <v>0</v>
      </c>
      <c r="H4625" s="1">
        <v>0</v>
      </c>
      <c r="I4625" s="1">
        <v>0</v>
      </c>
    </row>
    <row r="4626" spans="1:9" ht="23.25">
      <c r="A4626" s="5" t="s">
        <v>29</v>
      </c>
      <c r="B4626" s="5"/>
      <c r="C4626" s="5" t="s">
        <v>86</v>
      </c>
      <c r="D4626" s="5"/>
      <c r="E4626" s="1">
        <v>-4814026</v>
      </c>
      <c r="F4626" s="1">
        <v>-4814026</v>
      </c>
      <c r="G4626" s="1">
        <v>0</v>
      </c>
      <c r="H4626" s="1">
        <v>0</v>
      </c>
      <c r="I4626" s="1">
        <v>0</v>
      </c>
    </row>
    <row r="4627" spans="1:9" ht="23.25">
      <c r="A4627" s="5" t="s">
        <v>30</v>
      </c>
      <c r="B4627" s="5"/>
      <c r="C4627" s="5" t="s">
        <v>86</v>
      </c>
      <c r="D4627" s="5"/>
      <c r="E4627" s="1">
        <v>-27553924</v>
      </c>
      <c r="F4627" s="1">
        <v>-27553924</v>
      </c>
      <c r="G4627" s="1">
        <v>0</v>
      </c>
      <c r="H4627" s="1">
        <v>0</v>
      </c>
      <c r="I4627" s="1">
        <v>0</v>
      </c>
    </row>
    <row r="4628" spans="1:9" ht="23.25">
      <c r="A4628" s="5" t="s">
        <v>31</v>
      </c>
      <c r="B4628" s="5"/>
      <c r="C4628" s="5" t="s">
        <v>86</v>
      </c>
      <c r="D4628" s="5"/>
      <c r="E4628" s="1">
        <v>-26922463</v>
      </c>
      <c r="F4628" s="1">
        <v>-26922463</v>
      </c>
      <c r="G4628" s="1">
        <v>0</v>
      </c>
      <c r="H4628" s="1">
        <v>0</v>
      </c>
      <c r="I4628" s="1">
        <v>0</v>
      </c>
    </row>
    <row r="4629" spans="1:9" ht="23.25">
      <c r="A4629" s="5" t="s">
        <v>32</v>
      </c>
      <c r="B4629" s="5"/>
      <c r="C4629" s="5" t="s">
        <v>86</v>
      </c>
      <c r="D4629" s="5"/>
      <c r="E4629" s="1">
        <v>-30012818</v>
      </c>
      <c r="F4629" s="1">
        <v>-30012818</v>
      </c>
      <c r="G4629" s="1">
        <v>0</v>
      </c>
      <c r="H4629" s="1">
        <v>0</v>
      </c>
      <c r="I4629" s="1">
        <v>0</v>
      </c>
    </row>
    <row r="4630" spans="1:9" ht="23.25">
      <c r="A4630" s="5" t="s">
        <v>33</v>
      </c>
      <c r="B4630" s="5"/>
      <c r="C4630" s="5" t="s">
        <v>86</v>
      </c>
      <c r="D4630" s="5"/>
      <c r="E4630" s="1">
        <v>-9395166</v>
      </c>
      <c r="F4630" s="1">
        <v>-9395166</v>
      </c>
      <c r="G4630" s="1">
        <v>0</v>
      </c>
      <c r="H4630" s="1">
        <v>0</v>
      </c>
      <c r="I4630" s="1">
        <v>0</v>
      </c>
    </row>
    <row r="4631" spans="1:9" ht="23.25">
      <c r="A4631" s="5" t="s">
        <v>34</v>
      </c>
      <c r="B4631" s="5"/>
      <c r="C4631" s="5" t="s">
        <v>86</v>
      </c>
      <c r="D4631" s="5"/>
      <c r="E4631" s="1">
        <v>-160445953</v>
      </c>
      <c r="F4631" s="1">
        <v>-160445953</v>
      </c>
      <c r="G4631" s="1">
        <v>0</v>
      </c>
      <c r="H4631" s="1">
        <v>0</v>
      </c>
      <c r="I4631" s="1">
        <v>0</v>
      </c>
    </row>
    <row r="4632" spans="1:9" ht="23.25">
      <c r="A4632" s="5" t="s">
        <v>35</v>
      </c>
      <c r="B4632" s="5"/>
      <c r="C4632" s="5" t="s">
        <v>86</v>
      </c>
      <c r="D4632" s="5"/>
      <c r="E4632" s="1">
        <v>-25406707</v>
      </c>
      <c r="F4632" s="1">
        <v>-25406707</v>
      </c>
      <c r="G4632" s="1">
        <v>0</v>
      </c>
      <c r="H4632" s="1">
        <v>0</v>
      </c>
      <c r="I4632" s="1">
        <v>0</v>
      </c>
    </row>
    <row r="4633" spans="1:9" ht="23.25">
      <c r="A4633" s="5" t="s">
        <v>36</v>
      </c>
      <c r="B4633" s="5"/>
      <c r="C4633" s="5" t="s">
        <v>86</v>
      </c>
      <c r="D4633" s="5"/>
      <c r="E4633" s="1">
        <v>-115310141</v>
      </c>
      <c r="F4633" s="1">
        <v>-115310141</v>
      </c>
      <c r="G4633" s="1">
        <v>0</v>
      </c>
      <c r="H4633" s="1">
        <v>0</v>
      </c>
      <c r="I4633" s="1">
        <v>0</v>
      </c>
    </row>
    <row r="4634" spans="1:9" ht="23.25">
      <c r="A4634" s="5" t="s">
        <v>37</v>
      </c>
      <c r="B4634" s="5"/>
      <c r="C4634" s="5" t="s">
        <v>86</v>
      </c>
      <c r="D4634" s="5"/>
      <c r="E4634" s="1">
        <v>-91155724</v>
      </c>
      <c r="F4634" s="1">
        <v>-91155724</v>
      </c>
      <c r="G4634" s="1">
        <v>0</v>
      </c>
      <c r="H4634" s="1">
        <v>0</v>
      </c>
      <c r="I4634" s="1">
        <v>0</v>
      </c>
    </row>
    <row r="4635" spans="1:9" ht="23.25">
      <c r="A4635" s="5" t="s">
        <v>38</v>
      </c>
      <c r="B4635" s="5"/>
      <c r="C4635" s="5" t="s">
        <v>86</v>
      </c>
      <c r="D4635" s="5"/>
      <c r="E4635" s="1">
        <v>-47807100</v>
      </c>
      <c r="F4635" s="1">
        <v>-47807100</v>
      </c>
      <c r="G4635" s="1">
        <v>0</v>
      </c>
      <c r="H4635" s="1">
        <v>0</v>
      </c>
      <c r="I4635" s="1">
        <v>0</v>
      </c>
    </row>
    <row r="4636" spans="1:9" ht="23.25">
      <c r="A4636" s="5" t="s">
        <v>39</v>
      </c>
      <c r="B4636" s="5"/>
      <c r="C4636" s="5" t="s">
        <v>86</v>
      </c>
      <c r="D4636" s="5"/>
      <c r="E4636" s="1">
        <v>-29728449</v>
      </c>
      <c r="F4636" s="1">
        <v>-29728449</v>
      </c>
      <c r="G4636" s="1">
        <v>0</v>
      </c>
      <c r="H4636" s="1">
        <v>0</v>
      </c>
      <c r="I4636" s="1">
        <v>0</v>
      </c>
    </row>
    <row r="4637" spans="1:9" ht="23.25">
      <c r="A4637" s="5" t="s">
        <v>40</v>
      </c>
      <c r="B4637" s="5"/>
      <c r="C4637" s="5" t="s">
        <v>86</v>
      </c>
      <c r="D4637" s="5"/>
      <c r="E4637" s="1">
        <v>-13607989</v>
      </c>
      <c r="F4637" s="1">
        <v>-13607989</v>
      </c>
      <c r="G4637" s="1">
        <v>0</v>
      </c>
      <c r="H4637" s="1">
        <v>0</v>
      </c>
      <c r="I4637" s="1">
        <v>0</v>
      </c>
    </row>
    <row r="4638" spans="1:9" ht="23.25">
      <c r="A4638" s="5" t="s">
        <v>41</v>
      </c>
      <c r="B4638" s="5"/>
      <c r="C4638" s="5" t="s">
        <v>86</v>
      </c>
      <c r="D4638" s="5"/>
      <c r="E4638" s="1">
        <v>-27842213</v>
      </c>
      <c r="F4638" s="1">
        <v>-27842213</v>
      </c>
      <c r="G4638" s="1">
        <v>0</v>
      </c>
      <c r="H4638" s="1">
        <v>0</v>
      </c>
      <c r="I4638" s="1">
        <v>0</v>
      </c>
    </row>
    <row r="4639" spans="1:9" ht="23.25">
      <c r="A4639" s="5" t="s">
        <v>42</v>
      </c>
      <c r="B4639" s="5"/>
      <c r="C4639" s="5" t="s">
        <v>86</v>
      </c>
      <c r="D4639" s="5"/>
      <c r="E4639" s="1">
        <v>-39355111</v>
      </c>
      <c r="F4639" s="1">
        <v>-39355111</v>
      </c>
      <c r="G4639" s="1">
        <v>0</v>
      </c>
      <c r="H4639" s="1">
        <v>0</v>
      </c>
      <c r="I4639" s="1">
        <v>0</v>
      </c>
    </row>
    <row r="4640" spans="1:9" ht="23.25">
      <c r="A4640" s="5" t="s">
        <v>43</v>
      </c>
      <c r="B4640" s="5"/>
      <c r="C4640" s="5" t="s">
        <v>86</v>
      </c>
      <c r="D4640" s="5"/>
      <c r="E4640" s="1">
        <v>-39762234</v>
      </c>
      <c r="F4640" s="1">
        <v>-39762234</v>
      </c>
      <c r="G4640" s="1">
        <v>0</v>
      </c>
      <c r="H4640" s="1">
        <v>0</v>
      </c>
      <c r="I4640" s="1">
        <v>0</v>
      </c>
    </row>
    <row r="4641" spans="1:9" ht="23.25">
      <c r="A4641" s="5" t="s">
        <v>44</v>
      </c>
      <c r="B4641" s="5"/>
      <c r="C4641" s="5" t="s">
        <v>86</v>
      </c>
      <c r="D4641" s="5"/>
      <c r="E4641" s="1">
        <v>-20892489</v>
      </c>
      <c r="F4641" s="1">
        <v>-20892489</v>
      </c>
      <c r="G4641" s="1">
        <v>0</v>
      </c>
      <c r="H4641" s="1">
        <v>0</v>
      </c>
      <c r="I4641" s="1">
        <v>0</v>
      </c>
    </row>
    <row r="4642" spans="1:9" ht="23.25">
      <c r="A4642" s="5" t="s">
        <v>45</v>
      </c>
      <c r="B4642" s="5"/>
      <c r="C4642" s="5" t="s">
        <v>86</v>
      </c>
      <c r="D4642" s="5"/>
      <c r="E4642" s="1">
        <v>-102624075</v>
      </c>
      <c r="F4642" s="1">
        <v>-102624075</v>
      </c>
      <c r="G4642" s="1">
        <v>0</v>
      </c>
      <c r="H4642" s="1">
        <v>0</v>
      </c>
      <c r="I4642" s="1">
        <v>0</v>
      </c>
    </row>
    <row r="4643" spans="1:9" ht="23.25">
      <c r="A4643" s="5" t="s">
        <v>46</v>
      </c>
      <c r="B4643" s="5"/>
      <c r="C4643" s="5" t="s">
        <v>86</v>
      </c>
      <c r="D4643" s="5"/>
      <c r="E4643" s="1">
        <v>-303621563</v>
      </c>
      <c r="F4643" s="1">
        <v>-303621563</v>
      </c>
      <c r="G4643" s="1">
        <v>0</v>
      </c>
      <c r="H4643" s="1">
        <v>0</v>
      </c>
      <c r="I4643" s="1">
        <v>0</v>
      </c>
    </row>
    <row r="4644" spans="1:9" ht="23.25">
      <c r="A4644" s="5" t="s">
        <v>47</v>
      </c>
      <c r="B4644" s="5"/>
      <c r="C4644" s="5" t="s">
        <v>86</v>
      </c>
      <c r="D4644" s="5"/>
      <c r="E4644" s="1">
        <v>-160472892</v>
      </c>
      <c r="F4644" s="1">
        <v>-160472892</v>
      </c>
      <c r="G4644" s="1">
        <v>0</v>
      </c>
      <c r="H4644" s="1">
        <v>0</v>
      </c>
      <c r="I4644" s="1">
        <v>0</v>
      </c>
    </row>
    <row r="4645" spans="1:9" ht="23.25">
      <c r="A4645" s="5" t="s">
        <v>48</v>
      </c>
      <c r="B4645" s="5"/>
      <c r="C4645" s="5" t="s">
        <v>86</v>
      </c>
      <c r="D4645" s="5"/>
      <c r="E4645" s="1">
        <v>-7145384</v>
      </c>
      <c r="F4645" s="1">
        <v>-7145384</v>
      </c>
      <c r="G4645" s="1">
        <v>0</v>
      </c>
      <c r="H4645" s="1">
        <v>0</v>
      </c>
      <c r="I4645" s="1">
        <v>0</v>
      </c>
    </row>
    <row r="4646" spans="1:9" ht="23.25">
      <c r="A4646" s="5" t="s">
        <v>49</v>
      </c>
      <c r="B4646" s="5"/>
      <c r="C4646" s="5" t="s">
        <v>86</v>
      </c>
      <c r="D4646" s="5"/>
      <c r="E4646" s="1">
        <v>-10045245</v>
      </c>
      <c r="F4646" s="1">
        <v>-10045245</v>
      </c>
      <c r="G4646" s="1">
        <v>0</v>
      </c>
      <c r="H4646" s="1">
        <v>0</v>
      </c>
      <c r="I4646" s="1">
        <v>0</v>
      </c>
    </row>
    <row r="4647" spans="1:9" ht="23.25">
      <c r="A4647" s="5" t="s">
        <v>50</v>
      </c>
      <c r="B4647" s="5"/>
      <c r="C4647" s="5" t="s">
        <v>86</v>
      </c>
      <c r="D4647" s="5"/>
      <c r="E4647" s="1">
        <v>-28799344</v>
      </c>
      <c r="F4647" s="1">
        <v>-28799344</v>
      </c>
      <c r="G4647" s="1">
        <v>0</v>
      </c>
      <c r="H4647" s="1">
        <v>0</v>
      </c>
      <c r="I4647" s="1">
        <v>0</v>
      </c>
    </row>
    <row r="4648" spans="1:9" ht="23.25">
      <c r="A4648" s="5" t="s">
        <v>51</v>
      </c>
      <c r="B4648" s="5"/>
      <c r="C4648" s="5" t="s">
        <v>86</v>
      </c>
      <c r="D4648" s="5"/>
      <c r="E4648" s="1">
        <v>-96610091</v>
      </c>
      <c r="F4648" s="1">
        <v>-96610091</v>
      </c>
      <c r="G4648" s="1">
        <v>0</v>
      </c>
      <c r="H4648" s="1">
        <v>0</v>
      </c>
      <c r="I4648" s="1">
        <v>0</v>
      </c>
    </row>
    <row r="4649" spans="1:9" ht="23.25">
      <c r="A4649" s="5" t="s">
        <v>52</v>
      </c>
      <c r="B4649" s="5"/>
      <c r="C4649" s="5" t="s">
        <v>86</v>
      </c>
      <c r="D4649" s="5"/>
      <c r="E4649" s="1">
        <v>-5223352</v>
      </c>
      <c r="F4649" s="1">
        <v>-5223352</v>
      </c>
      <c r="G4649" s="1">
        <v>0</v>
      </c>
      <c r="H4649" s="1">
        <v>0</v>
      </c>
      <c r="I4649" s="1">
        <v>0</v>
      </c>
    </row>
    <row r="4650" spans="1:9" ht="23.25">
      <c r="A4650" s="5" t="s">
        <v>53</v>
      </c>
      <c r="B4650" s="5"/>
      <c r="C4650" s="5" t="s">
        <v>86</v>
      </c>
      <c r="D4650" s="5"/>
      <c r="E4650" s="1">
        <v>0</v>
      </c>
      <c r="F4650" s="1">
        <v>0</v>
      </c>
      <c r="G4650" s="1">
        <v>0</v>
      </c>
      <c r="H4650" s="1">
        <v>0</v>
      </c>
      <c r="I4650" s="1">
        <v>0</v>
      </c>
    </row>
    <row r="4651" spans="1:9" ht="23.25">
      <c r="A4651" s="5" t="s">
        <v>54</v>
      </c>
      <c r="B4651" s="5"/>
      <c r="C4651" s="5" t="s">
        <v>86</v>
      </c>
      <c r="D4651" s="5"/>
      <c r="E4651" s="1">
        <v>0</v>
      </c>
      <c r="F4651" s="1">
        <v>0</v>
      </c>
      <c r="G4651" s="1">
        <v>0</v>
      </c>
      <c r="H4651" s="1">
        <v>0</v>
      </c>
      <c r="I4651" s="1">
        <v>0</v>
      </c>
    </row>
    <row r="4652" spans="1:9" ht="23.25">
      <c r="A4652" s="5" t="s">
        <v>55</v>
      </c>
      <c r="B4652" s="5"/>
      <c r="C4652" s="5" t="s">
        <v>86</v>
      </c>
      <c r="D4652" s="5"/>
      <c r="E4652" s="1">
        <v>0</v>
      </c>
      <c r="F4652" s="1">
        <v>0</v>
      </c>
      <c r="G4652" s="1">
        <v>0</v>
      </c>
      <c r="H4652" s="1">
        <v>0</v>
      </c>
      <c r="I4652" s="1">
        <v>0</v>
      </c>
    </row>
    <row r="4653" spans="1:9" ht="23.25">
      <c r="A4653" s="5" t="s">
        <v>56</v>
      </c>
      <c r="B4653" s="5"/>
      <c r="C4653" s="5" t="s">
        <v>86</v>
      </c>
      <c r="D4653" s="5"/>
      <c r="E4653" s="1">
        <v>1840342700</v>
      </c>
      <c r="F4653" s="1">
        <v>1840342700</v>
      </c>
      <c r="G4653" s="1">
        <v>0</v>
      </c>
      <c r="H4653" s="1">
        <v>0</v>
      </c>
      <c r="I4653" s="1">
        <v>0</v>
      </c>
    </row>
    <row r="4654" spans="1:9" ht="23.25">
      <c r="A4654" s="5" t="s">
        <v>57</v>
      </c>
      <c r="B4654" s="5"/>
      <c r="C4654" s="5" t="s">
        <v>86</v>
      </c>
      <c r="D4654" s="5"/>
      <c r="E4654" s="1">
        <v>0</v>
      </c>
      <c r="F4654" s="1">
        <v>0</v>
      </c>
      <c r="G4654" s="1">
        <v>0</v>
      </c>
      <c r="H4654" s="1">
        <v>0</v>
      </c>
      <c r="I4654" s="1">
        <v>0</v>
      </c>
    </row>
    <row r="4655" spans="1:9" ht="23.25">
      <c r="A4655" s="5" t="s">
        <v>58</v>
      </c>
      <c r="B4655" s="5"/>
      <c r="C4655" s="5" t="s">
        <v>86</v>
      </c>
      <c r="D4655" s="5"/>
      <c r="E4655" s="1">
        <v>0</v>
      </c>
      <c r="F4655" s="1">
        <v>0</v>
      </c>
      <c r="G4655" s="1">
        <v>0</v>
      </c>
      <c r="H4655" s="1">
        <v>0</v>
      </c>
      <c r="I4655" s="1">
        <v>0</v>
      </c>
    </row>
    <row r="4656" spans="1:9" ht="23.25">
      <c r="A4656" s="5" t="s">
        <v>59</v>
      </c>
      <c r="B4656" s="5"/>
      <c r="C4656" s="5" t="s">
        <v>86</v>
      </c>
      <c r="D4656" s="5"/>
      <c r="E4656" s="1">
        <v>0</v>
      </c>
      <c r="F4656" s="1">
        <v>0</v>
      </c>
      <c r="G4656" s="1">
        <v>0</v>
      </c>
      <c r="H4656" s="1">
        <v>0</v>
      </c>
      <c r="I4656" s="1">
        <v>0</v>
      </c>
    </row>
    <row r="4657" spans="1:9" ht="23.25">
      <c r="A4657" s="5" t="s">
        <v>60</v>
      </c>
      <c r="B4657" s="5"/>
      <c r="C4657" s="5" t="s">
        <v>86</v>
      </c>
      <c r="D4657" s="5"/>
      <c r="E4657" s="1">
        <v>0</v>
      </c>
      <c r="F4657" s="1">
        <v>0</v>
      </c>
      <c r="G4657" s="1">
        <v>0</v>
      </c>
      <c r="H4657" s="1">
        <v>0</v>
      </c>
      <c r="I4657" s="1">
        <v>0</v>
      </c>
    </row>
    <row r="4658" spans="1:9" ht="23.25">
      <c r="A4658" s="5" t="s">
        <v>61</v>
      </c>
      <c r="B4658" s="5"/>
      <c r="C4658" s="5" t="s">
        <v>86</v>
      </c>
      <c r="D4658" s="5"/>
      <c r="E4658" s="1">
        <v>0</v>
      </c>
      <c r="F4658" s="1">
        <v>0</v>
      </c>
      <c r="G4658" s="1">
        <v>0</v>
      </c>
      <c r="H4658" s="1">
        <v>0</v>
      </c>
      <c r="I4658" s="1">
        <v>0</v>
      </c>
    </row>
    <row r="4659" spans="1:9" ht="23.25">
      <c r="A4659" s="5" t="s">
        <v>62</v>
      </c>
      <c r="B4659" s="5"/>
      <c r="C4659" s="5" t="s">
        <v>86</v>
      </c>
      <c r="D4659" s="5"/>
      <c r="E4659" s="1">
        <v>0</v>
      </c>
      <c r="F4659" s="1">
        <v>0</v>
      </c>
      <c r="G4659" s="1">
        <v>0</v>
      </c>
      <c r="H4659" s="1">
        <v>0</v>
      </c>
      <c r="I4659" s="1">
        <v>0</v>
      </c>
    </row>
    <row r="4660" spans="1:9" ht="23.25">
      <c r="A4660" s="5" t="s">
        <v>63</v>
      </c>
      <c r="B4660" s="5"/>
      <c r="C4660" s="5" t="s">
        <v>86</v>
      </c>
      <c r="D4660" s="5"/>
      <c r="E4660" s="1">
        <v>0</v>
      </c>
      <c r="F4660" s="1">
        <v>0</v>
      </c>
      <c r="G4660" s="1">
        <v>0</v>
      </c>
      <c r="H4660" s="1">
        <v>0</v>
      </c>
      <c r="I4660" s="1">
        <v>0</v>
      </c>
    </row>
    <row r="4661" spans="1:9" ht="23.25">
      <c r="A4661" s="5" t="s">
        <v>64</v>
      </c>
      <c r="B4661" s="5"/>
      <c r="C4661" s="5" t="s">
        <v>86</v>
      </c>
      <c r="D4661" s="5"/>
      <c r="E4661" s="1">
        <v>0</v>
      </c>
      <c r="F4661" s="1">
        <v>0</v>
      </c>
      <c r="G4661" s="1">
        <v>0</v>
      </c>
      <c r="H4661" s="1">
        <v>0</v>
      </c>
      <c r="I4661" s="1">
        <v>0</v>
      </c>
    </row>
    <row r="4662" spans="1:9" ht="23.25">
      <c r="A4662" s="5" t="s">
        <v>65</v>
      </c>
      <c r="B4662" s="5"/>
      <c r="C4662" s="5" t="s">
        <v>86</v>
      </c>
      <c r="D4662" s="5"/>
      <c r="E4662" s="1">
        <v>0</v>
      </c>
      <c r="F4662" s="1">
        <v>0</v>
      </c>
      <c r="G4662" s="1">
        <v>0</v>
      </c>
      <c r="H4662" s="1">
        <v>0</v>
      </c>
      <c r="I4662" s="1">
        <v>0</v>
      </c>
    </row>
    <row r="4663" spans="1:9" ht="23.25">
      <c r="A4663" s="5" t="s">
        <v>66</v>
      </c>
      <c r="B4663" s="5"/>
      <c r="C4663" s="5" t="s">
        <v>86</v>
      </c>
      <c r="D4663" s="5"/>
      <c r="E4663" s="1">
        <v>0</v>
      </c>
      <c r="F4663" s="1">
        <v>0</v>
      </c>
      <c r="G4663" s="1">
        <v>0</v>
      </c>
      <c r="H4663" s="1">
        <v>0</v>
      </c>
      <c r="I4663" s="1">
        <v>0</v>
      </c>
    </row>
    <row r="4664" spans="1:9" ht="23.25">
      <c r="A4664" s="5" t="s">
        <v>8</v>
      </c>
      <c r="B4664" s="5"/>
      <c r="C4664" s="5" t="s">
        <v>87</v>
      </c>
      <c r="D4664" s="5"/>
      <c r="E4664" s="1">
        <v>-676903</v>
      </c>
      <c r="F4664" s="1">
        <v>0</v>
      </c>
      <c r="G4664" s="1">
        <v>-676903</v>
      </c>
      <c r="H4664" s="1">
        <v>0</v>
      </c>
      <c r="I4664" s="1">
        <v>0</v>
      </c>
    </row>
    <row r="4665" spans="1:9" ht="23.25">
      <c r="A4665" s="5" t="s">
        <v>9</v>
      </c>
      <c r="B4665" s="5"/>
      <c r="C4665" s="5" t="s">
        <v>87</v>
      </c>
      <c r="D4665" s="5"/>
      <c r="E4665" s="1">
        <v>-555919</v>
      </c>
      <c r="F4665" s="1">
        <v>0</v>
      </c>
      <c r="G4665" s="1">
        <v>-555919</v>
      </c>
      <c r="H4665" s="1">
        <v>0</v>
      </c>
      <c r="I4665" s="1">
        <v>0</v>
      </c>
    </row>
    <row r="4666" spans="1:9" ht="23.25">
      <c r="A4666" s="5" t="s">
        <v>10</v>
      </c>
      <c r="B4666" s="5"/>
      <c r="C4666" s="5" t="s">
        <v>87</v>
      </c>
      <c r="D4666" s="5"/>
      <c r="E4666" s="1">
        <v>-174398</v>
      </c>
      <c r="F4666" s="1">
        <v>0</v>
      </c>
      <c r="G4666" s="1">
        <v>-174398</v>
      </c>
      <c r="H4666" s="1">
        <v>0</v>
      </c>
      <c r="I4666" s="1">
        <v>0</v>
      </c>
    </row>
    <row r="4667" spans="1:9" ht="23.25">
      <c r="A4667" s="5" t="s">
        <v>11</v>
      </c>
      <c r="B4667" s="5"/>
      <c r="C4667" s="5" t="s">
        <v>87</v>
      </c>
      <c r="D4667" s="5"/>
      <c r="E4667" s="1">
        <v>-949787</v>
      </c>
      <c r="F4667" s="1">
        <v>0</v>
      </c>
      <c r="G4667" s="1">
        <v>-949787</v>
      </c>
      <c r="H4667" s="1">
        <v>0</v>
      </c>
      <c r="I4667" s="1">
        <v>0</v>
      </c>
    </row>
    <row r="4668" spans="1:9" ht="23.25">
      <c r="A4668" s="5" t="s">
        <v>12</v>
      </c>
      <c r="B4668" s="5"/>
      <c r="C4668" s="5" t="s">
        <v>87</v>
      </c>
      <c r="D4668" s="5"/>
      <c r="E4668" s="1">
        <v>-139827431</v>
      </c>
      <c r="F4668" s="1">
        <v>0</v>
      </c>
      <c r="G4668" s="1">
        <v>-139827431</v>
      </c>
      <c r="H4668" s="1">
        <v>0</v>
      </c>
      <c r="I4668" s="1">
        <v>0</v>
      </c>
    </row>
    <row r="4669" spans="1:9" ht="23.25">
      <c r="A4669" s="5" t="s">
        <v>13</v>
      </c>
      <c r="B4669" s="5"/>
      <c r="C4669" s="5" t="s">
        <v>87</v>
      </c>
      <c r="D4669" s="5"/>
      <c r="E4669" s="1">
        <v>-1849</v>
      </c>
      <c r="F4669" s="1">
        <v>0</v>
      </c>
      <c r="G4669" s="1">
        <v>-1849</v>
      </c>
      <c r="H4669" s="1">
        <v>0</v>
      </c>
      <c r="I4669" s="1">
        <v>0</v>
      </c>
    </row>
    <row r="4670" spans="1:9" ht="23.25">
      <c r="A4670" s="5" t="s">
        <v>14</v>
      </c>
      <c r="B4670" s="5"/>
      <c r="C4670" s="5" t="s">
        <v>87</v>
      </c>
      <c r="D4670" s="5"/>
      <c r="E4670" s="1">
        <v>0</v>
      </c>
      <c r="F4670" s="1">
        <v>0</v>
      </c>
      <c r="G4670" s="1">
        <v>0</v>
      </c>
      <c r="H4670" s="1">
        <v>0</v>
      </c>
      <c r="I4670" s="1">
        <v>0</v>
      </c>
    </row>
    <row r="4671" spans="1:9" ht="23.25">
      <c r="A4671" s="5" t="s">
        <v>15</v>
      </c>
      <c r="B4671" s="5"/>
      <c r="C4671" s="5" t="s">
        <v>87</v>
      </c>
      <c r="D4671" s="5"/>
      <c r="E4671" s="1">
        <v>-8180463</v>
      </c>
      <c r="F4671" s="1">
        <v>0</v>
      </c>
      <c r="G4671" s="1">
        <v>-8180463</v>
      </c>
      <c r="H4671" s="1">
        <v>0</v>
      </c>
      <c r="I4671" s="1">
        <v>0</v>
      </c>
    </row>
    <row r="4672" spans="1:9" ht="23.25">
      <c r="A4672" s="5" t="s">
        <v>16</v>
      </c>
      <c r="B4672" s="5"/>
      <c r="C4672" s="5" t="s">
        <v>87</v>
      </c>
      <c r="D4672" s="5"/>
      <c r="E4672" s="1">
        <v>-4414998</v>
      </c>
      <c r="F4672" s="1">
        <v>0</v>
      </c>
      <c r="G4672" s="1">
        <v>-4414998</v>
      </c>
      <c r="H4672" s="1">
        <v>0</v>
      </c>
      <c r="I4672" s="1">
        <v>0</v>
      </c>
    </row>
    <row r="4673" spans="1:9" ht="23.25">
      <c r="A4673" s="5" t="s">
        <v>17</v>
      </c>
      <c r="B4673" s="5"/>
      <c r="C4673" s="5" t="s">
        <v>87</v>
      </c>
      <c r="D4673" s="5"/>
      <c r="E4673" s="1">
        <v>-1697316</v>
      </c>
      <c r="F4673" s="1">
        <v>0</v>
      </c>
      <c r="G4673" s="1">
        <v>-1697316</v>
      </c>
      <c r="H4673" s="1">
        <v>0</v>
      </c>
      <c r="I4673" s="1">
        <v>0</v>
      </c>
    </row>
    <row r="4674" spans="1:9" ht="23.25">
      <c r="A4674" s="5" t="s">
        <v>18</v>
      </c>
      <c r="B4674" s="5"/>
      <c r="C4674" s="5" t="s">
        <v>87</v>
      </c>
      <c r="D4674" s="5"/>
      <c r="E4674" s="1">
        <v>-31178009</v>
      </c>
      <c r="F4674" s="1">
        <v>0</v>
      </c>
      <c r="G4674" s="1">
        <v>-31178009</v>
      </c>
      <c r="H4674" s="1">
        <v>0</v>
      </c>
      <c r="I4674" s="1">
        <v>0</v>
      </c>
    </row>
    <row r="4675" spans="1:9" ht="23.25">
      <c r="A4675" s="5" t="s">
        <v>19</v>
      </c>
      <c r="B4675" s="5"/>
      <c r="C4675" s="5" t="s">
        <v>87</v>
      </c>
      <c r="D4675" s="5"/>
      <c r="E4675" s="1">
        <v>0</v>
      </c>
      <c r="F4675" s="1">
        <v>0</v>
      </c>
      <c r="G4675" s="1">
        <v>0</v>
      </c>
      <c r="H4675" s="1">
        <v>0</v>
      </c>
      <c r="I4675" s="1">
        <v>0</v>
      </c>
    </row>
    <row r="4676" spans="1:9" ht="23.25">
      <c r="A4676" s="5" t="s">
        <v>20</v>
      </c>
      <c r="B4676" s="5"/>
      <c r="C4676" s="5" t="s">
        <v>87</v>
      </c>
      <c r="D4676" s="5"/>
      <c r="E4676" s="1">
        <v>0</v>
      </c>
      <c r="F4676" s="1">
        <v>0</v>
      </c>
      <c r="G4676" s="1">
        <v>0</v>
      </c>
      <c r="H4676" s="1">
        <v>0</v>
      </c>
      <c r="I4676" s="1">
        <v>0</v>
      </c>
    </row>
    <row r="4677" spans="1:9" ht="23.25">
      <c r="A4677" s="5" t="s">
        <v>21</v>
      </c>
      <c r="B4677" s="5"/>
      <c r="C4677" s="5" t="s">
        <v>87</v>
      </c>
      <c r="D4677" s="5"/>
      <c r="E4677" s="1">
        <v>-1920783</v>
      </c>
      <c r="F4677" s="1">
        <v>0</v>
      </c>
      <c r="G4677" s="1">
        <v>-1920783</v>
      </c>
      <c r="H4677" s="1">
        <v>0</v>
      </c>
      <c r="I4677" s="1">
        <v>0</v>
      </c>
    </row>
    <row r="4678" spans="1:9" ht="23.25">
      <c r="A4678" s="5" t="s">
        <v>22</v>
      </c>
      <c r="B4678" s="5"/>
      <c r="C4678" s="5" t="s">
        <v>87</v>
      </c>
      <c r="D4678" s="5"/>
      <c r="E4678" s="1">
        <v>-21152829</v>
      </c>
      <c r="F4678" s="1">
        <v>0</v>
      </c>
      <c r="G4678" s="1">
        <v>-21152829</v>
      </c>
      <c r="H4678" s="1">
        <v>0</v>
      </c>
      <c r="I4678" s="1">
        <v>0</v>
      </c>
    </row>
    <row r="4679" spans="1:9" ht="23.25">
      <c r="A4679" s="5" t="s">
        <v>23</v>
      </c>
      <c r="B4679" s="5"/>
      <c r="C4679" s="5" t="s">
        <v>87</v>
      </c>
      <c r="D4679" s="5"/>
      <c r="E4679" s="1">
        <v>-34044951</v>
      </c>
      <c r="F4679" s="1">
        <v>0</v>
      </c>
      <c r="G4679" s="1">
        <v>-34044951</v>
      </c>
      <c r="H4679" s="1">
        <v>0</v>
      </c>
      <c r="I4679" s="1">
        <v>0</v>
      </c>
    </row>
    <row r="4680" spans="1:9" ht="23.25">
      <c r="A4680" s="5" t="s">
        <v>24</v>
      </c>
      <c r="B4680" s="5"/>
      <c r="C4680" s="5" t="s">
        <v>87</v>
      </c>
      <c r="D4680" s="5"/>
      <c r="E4680" s="1">
        <v>-39116970</v>
      </c>
      <c r="F4680" s="1">
        <v>0</v>
      </c>
      <c r="G4680" s="1">
        <v>-39116970</v>
      </c>
      <c r="H4680" s="1">
        <v>0</v>
      </c>
      <c r="I4680" s="1">
        <v>0</v>
      </c>
    </row>
    <row r="4681" spans="1:9" ht="23.25">
      <c r="A4681" s="5" t="s">
        <v>25</v>
      </c>
      <c r="B4681" s="5"/>
      <c r="C4681" s="5" t="s">
        <v>87</v>
      </c>
      <c r="D4681" s="5"/>
      <c r="E4681" s="1">
        <v>-4788649</v>
      </c>
      <c r="F4681" s="1">
        <v>0</v>
      </c>
      <c r="G4681" s="1">
        <v>-4788649</v>
      </c>
      <c r="H4681" s="1">
        <v>0</v>
      </c>
      <c r="I4681" s="1">
        <v>0</v>
      </c>
    </row>
    <row r="4682" spans="1:9" ht="23.25">
      <c r="A4682" s="5" t="s">
        <v>26</v>
      </c>
      <c r="B4682" s="5"/>
      <c r="C4682" s="5" t="s">
        <v>87</v>
      </c>
      <c r="D4682" s="5"/>
      <c r="E4682" s="1">
        <v>-24109300</v>
      </c>
      <c r="F4682" s="1">
        <v>0</v>
      </c>
      <c r="G4682" s="1">
        <v>-24109300</v>
      </c>
      <c r="H4682" s="1">
        <v>0</v>
      </c>
      <c r="I4682" s="1">
        <v>0</v>
      </c>
    </row>
    <row r="4683" spans="1:9" ht="23.25">
      <c r="A4683" s="5" t="s">
        <v>27</v>
      </c>
      <c r="B4683" s="5"/>
      <c r="C4683" s="5" t="s">
        <v>87</v>
      </c>
      <c r="D4683" s="5"/>
      <c r="E4683" s="1">
        <v>-7305285</v>
      </c>
      <c r="F4683" s="1">
        <v>0</v>
      </c>
      <c r="G4683" s="1">
        <v>-7305285</v>
      </c>
      <c r="H4683" s="1">
        <v>0</v>
      </c>
      <c r="I4683" s="1">
        <v>0</v>
      </c>
    </row>
    <row r="4684" spans="1:9" ht="23.25">
      <c r="A4684" s="5" t="s">
        <v>28</v>
      </c>
      <c r="B4684" s="5"/>
      <c r="C4684" s="5" t="s">
        <v>87</v>
      </c>
      <c r="D4684" s="5"/>
      <c r="E4684" s="1">
        <v>-38776919</v>
      </c>
      <c r="F4684" s="1">
        <v>0</v>
      </c>
      <c r="G4684" s="1">
        <v>-38776919</v>
      </c>
      <c r="H4684" s="1">
        <v>0</v>
      </c>
      <c r="I4684" s="1">
        <v>0</v>
      </c>
    </row>
    <row r="4685" spans="1:9" ht="23.25">
      <c r="A4685" s="5" t="s">
        <v>29</v>
      </c>
      <c r="B4685" s="5"/>
      <c r="C4685" s="5" t="s">
        <v>87</v>
      </c>
      <c r="D4685" s="5"/>
      <c r="E4685" s="1">
        <v>-5310511</v>
      </c>
      <c r="F4685" s="1">
        <v>0</v>
      </c>
      <c r="G4685" s="1">
        <v>-5310511</v>
      </c>
      <c r="H4685" s="1">
        <v>0</v>
      </c>
      <c r="I4685" s="1">
        <v>0</v>
      </c>
    </row>
    <row r="4686" spans="1:9" ht="23.25">
      <c r="A4686" s="5" t="s">
        <v>30</v>
      </c>
      <c r="B4686" s="5"/>
      <c r="C4686" s="5" t="s">
        <v>87</v>
      </c>
      <c r="D4686" s="5"/>
      <c r="E4686" s="1">
        <v>-13813345</v>
      </c>
      <c r="F4686" s="1">
        <v>0</v>
      </c>
      <c r="G4686" s="1">
        <v>-13813345</v>
      </c>
      <c r="H4686" s="1">
        <v>0</v>
      </c>
      <c r="I4686" s="1">
        <v>0</v>
      </c>
    </row>
    <row r="4687" spans="1:9" ht="23.25">
      <c r="A4687" s="5" t="s">
        <v>31</v>
      </c>
      <c r="B4687" s="5"/>
      <c r="C4687" s="5" t="s">
        <v>87</v>
      </c>
      <c r="D4687" s="5"/>
      <c r="E4687" s="1">
        <v>-33332153</v>
      </c>
      <c r="F4687" s="1">
        <v>0</v>
      </c>
      <c r="G4687" s="1">
        <v>-33332153</v>
      </c>
      <c r="H4687" s="1">
        <v>0</v>
      </c>
      <c r="I4687" s="1">
        <v>0</v>
      </c>
    </row>
    <row r="4688" spans="1:9" ht="23.25">
      <c r="A4688" s="5" t="s">
        <v>32</v>
      </c>
      <c r="B4688" s="5"/>
      <c r="C4688" s="5" t="s">
        <v>87</v>
      </c>
      <c r="D4688" s="5"/>
      <c r="E4688" s="1">
        <v>-17781873</v>
      </c>
      <c r="F4688" s="1">
        <v>0</v>
      </c>
      <c r="G4688" s="1">
        <v>-17781873</v>
      </c>
      <c r="H4688" s="1">
        <v>0</v>
      </c>
      <c r="I4688" s="1">
        <v>0</v>
      </c>
    </row>
    <row r="4689" spans="1:9" ht="23.25">
      <c r="A4689" s="5" t="s">
        <v>33</v>
      </c>
      <c r="B4689" s="5"/>
      <c r="C4689" s="5" t="s">
        <v>87</v>
      </c>
      <c r="D4689" s="5"/>
      <c r="E4689" s="1">
        <v>-15207647</v>
      </c>
      <c r="F4689" s="1">
        <v>0</v>
      </c>
      <c r="G4689" s="1">
        <v>-15207647</v>
      </c>
      <c r="H4689" s="1">
        <v>0</v>
      </c>
      <c r="I4689" s="1">
        <v>0</v>
      </c>
    </row>
    <row r="4690" spans="1:9" ht="23.25">
      <c r="A4690" s="5" t="s">
        <v>34</v>
      </c>
      <c r="B4690" s="5"/>
      <c r="C4690" s="5" t="s">
        <v>87</v>
      </c>
      <c r="D4690" s="5"/>
      <c r="E4690" s="1">
        <v>-39163725</v>
      </c>
      <c r="F4690" s="1">
        <v>0</v>
      </c>
      <c r="G4690" s="1">
        <v>-39163725</v>
      </c>
      <c r="H4690" s="1">
        <v>0</v>
      </c>
      <c r="I4690" s="1">
        <v>0</v>
      </c>
    </row>
    <row r="4691" spans="1:9" ht="23.25">
      <c r="A4691" s="5" t="s">
        <v>35</v>
      </c>
      <c r="B4691" s="5"/>
      <c r="C4691" s="5" t="s">
        <v>87</v>
      </c>
      <c r="D4691" s="5"/>
      <c r="E4691" s="1">
        <v>-21075109</v>
      </c>
      <c r="F4691" s="1">
        <v>0</v>
      </c>
      <c r="G4691" s="1">
        <v>-21075109</v>
      </c>
      <c r="H4691" s="1">
        <v>0</v>
      </c>
      <c r="I4691" s="1">
        <v>0</v>
      </c>
    </row>
    <row r="4692" spans="1:9" ht="23.25">
      <c r="A4692" s="5" t="s">
        <v>36</v>
      </c>
      <c r="B4692" s="5"/>
      <c r="C4692" s="5" t="s">
        <v>87</v>
      </c>
      <c r="D4692" s="5"/>
      <c r="E4692" s="1">
        <v>-117133478</v>
      </c>
      <c r="F4692" s="1">
        <v>0</v>
      </c>
      <c r="G4692" s="1">
        <v>-117133478</v>
      </c>
      <c r="H4692" s="1">
        <v>0</v>
      </c>
      <c r="I4692" s="1">
        <v>0</v>
      </c>
    </row>
    <row r="4693" spans="1:9" ht="23.25">
      <c r="A4693" s="5" t="s">
        <v>37</v>
      </c>
      <c r="B4693" s="5"/>
      <c r="C4693" s="5" t="s">
        <v>87</v>
      </c>
      <c r="D4693" s="5"/>
      <c r="E4693" s="1">
        <v>-86904200</v>
      </c>
      <c r="F4693" s="1">
        <v>0</v>
      </c>
      <c r="G4693" s="1">
        <v>-86904200</v>
      </c>
      <c r="H4693" s="1">
        <v>0</v>
      </c>
      <c r="I4693" s="1">
        <v>0</v>
      </c>
    </row>
    <row r="4694" spans="1:9" ht="23.25">
      <c r="A4694" s="5" t="s">
        <v>38</v>
      </c>
      <c r="B4694" s="5"/>
      <c r="C4694" s="5" t="s">
        <v>87</v>
      </c>
      <c r="D4694" s="5"/>
      <c r="E4694" s="1">
        <v>-20352697</v>
      </c>
      <c r="F4694" s="1">
        <v>0</v>
      </c>
      <c r="G4694" s="1">
        <v>-20352697</v>
      </c>
      <c r="H4694" s="1">
        <v>0</v>
      </c>
      <c r="I4694" s="1">
        <v>0</v>
      </c>
    </row>
    <row r="4695" spans="1:9" ht="23.25">
      <c r="A4695" s="5" t="s">
        <v>39</v>
      </c>
      <c r="B4695" s="5"/>
      <c r="C4695" s="5" t="s">
        <v>87</v>
      </c>
      <c r="D4695" s="5"/>
      <c r="E4695" s="1">
        <v>-24963693</v>
      </c>
      <c r="F4695" s="1">
        <v>0</v>
      </c>
      <c r="G4695" s="1">
        <v>-24963693</v>
      </c>
      <c r="H4695" s="1">
        <v>0</v>
      </c>
      <c r="I4695" s="1">
        <v>0</v>
      </c>
    </row>
    <row r="4696" spans="1:9" ht="23.25">
      <c r="A4696" s="5" t="s">
        <v>40</v>
      </c>
      <c r="B4696" s="5"/>
      <c r="C4696" s="5" t="s">
        <v>87</v>
      </c>
      <c r="D4696" s="5"/>
      <c r="E4696" s="1">
        <v>-11373117</v>
      </c>
      <c r="F4696" s="1">
        <v>0</v>
      </c>
      <c r="G4696" s="1">
        <v>-11373117</v>
      </c>
      <c r="H4696" s="1">
        <v>0</v>
      </c>
      <c r="I4696" s="1">
        <v>0</v>
      </c>
    </row>
    <row r="4697" spans="1:9" ht="23.25">
      <c r="A4697" s="5" t="s">
        <v>41</v>
      </c>
      <c r="B4697" s="5"/>
      <c r="C4697" s="5" t="s">
        <v>87</v>
      </c>
      <c r="D4697" s="5"/>
      <c r="E4697" s="1">
        <v>-20112761</v>
      </c>
      <c r="F4697" s="1">
        <v>0</v>
      </c>
      <c r="G4697" s="1">
        <v>-20112761</v>
      </c>
      <c r="H4697" s="1">
        <v>0</v>
      </c>
      <c r="I4697" s="1">
        <v>0</v>
      </c>
    </row>
    <row r="4698" spans="1:9" ht="23.25">
      <c r="A4698" s="5" t="s">
        <v>42</v>
      </c>
      <c r="B4698" s="5"/>
      <c r="C4698" s="5" t="s">
        <v>87</v>
      </c>
      <c r="D4698" s="5"/>
      <c r="E4698" s="1">
        <v>-30488443</v>
      </c>
      <c r="F4698" s="1">
        <v>0</v>
      </c>
      <c r="G4698" s="1">
        <v>-30488443</v>
      </c>
      <c r="H4698" s="1">
        <v>0</v>
      </c>
      <c r="I4698" s="1">
        <v>0</v>
      </c>
    </row>
    <row r="4699" spans="1:9" ht="23.25">
      <c r="A4699" s="5" t="s">
        <v>43</v>
      </c>
      <c r="B4699" s="5"/>
      <c r="C4699" s="5" t="s">
        <v>87</v>
      </c>
      <c r="D4699" s="5"/>
      <c r="E4699" s="1">
        <v>-17618090</v>
      </c>
      <c r="F4699" s="1">
        <v>0</v>
      </c>
      <c r="G4699" s="1">
        <v>-17618090</v>
      </c>
      <c r="H4699" s="1">
        <v>0</v>
      </c>
      <c r="I4699" s="1">
        <v>0</v>
      </c>
    </row>
    <row r="4700" spans="1:9" ht="23.25">
      <c r="A4700" s="5" t="s">
        <v>44</v>
      </c>
      <c r="B4700" s="5"/>
      <c r="C4700" s="5" t="s">
        <v>87</v>
      </c>
      <c r="D4700" s="5"/>
      <c r="E4700" s="1">
        <v>-29468338</v>
      </c>
      <c r="F4700" s="1">
        <v>0</v>
      </c>
      <c r="G4700" s="1">
        <v>-29468338</v>
      </c>
      <c r="H4700" s="1">
        <v>0</v>
      </c>
      <c r="I4700" s="1">
        <v>0</v>
      </c>
    </row>
    <row r="4701" spans="1:9" ht="23.25">
      <c r="A4701" s="5" t="s">
        <v>45</v>
      </c>
      <c r="B4701" s="5"/>
      <c r="C4701" s="5" t="s">
        <v>87</v>
      </c>
      <c r="D4701" s="5"/>
      <c r="E4701" s="1">
        <v>-37200798</v>
      </c>
      <c r="F4701" s="1">
        <v>0</v>
      </c>
      <c r="G4701" s="1">
        <v>-37200798</v>
      </c>
      <c r="H4701" s="1">
        <v>0</v>
      </c>
      <c r="I4701" s="1">
        <v>0</v>
      </c>
    </row>
    <row r="4702" spans="1:9" ht="23.25">
      <c r="A4702" s="5" t="s">
        <v>46</v>
      </c>
      <c r="B4702" s="5"/>
      <c r="C4702" s="5" t="s">
        <v>87</v>
      </c>
      <c r="D4702" s="5"/>
      <c r="E4702" s="1">
        <v>-226256260</v>
      </c>
      <c r="F4702" s="1">
        <v>0</v>
      </c>
      <c r="G4702" s="1">
        <v>-226256260</v>
      </c>
      <c r="H4702" s="1">
        <v>0</v>
      </c>
      <c r="I4702" s="1">
        <v>0</v>
      </c>
    </row>
    <row r="4703" spans="1:9" ht="23.25">
      <c r="A4703" s="5" t="s">
        <v>47</v>
      </c>
      <c r="B4703" s="5"/>
      <c r="C4703" s="5" t="s">
        <v>87</v>
      </c>
      <c r="D4703" s="5"/>
      <c r="E4703" s="1">
        <v>-157814937</v>
      </c>
      <c r="F4703" s="1">
        <v>0</v>
      </c>
      <c r="G4703" s="1">
        <v>-157814937</v>
      </c>
      <c r="H4703" s="1">
        <v>0</v>
      </c>
      <c r="I4703" s="1">
        <v>0</v>
      </c>
    </row>
    <row r="4704" spans="1:9" ht="23.25">
      <c r="A4704" s="5" t="s">
        <v>48</v>
      </c>
      <c r="B4704" s="5"/>
      <c r="C4704" s="5" t="s">
        <v>87</v>
      </c>
      <c r="D4704" s="5"/>
      <c r="E4704" s="1">
        <v>-990883</v>
      </c>
      <c r="F4704" s="1">
        <v>0</v>
      </c>
      <c r="G4704" s="1">
        <v>-990883</v>
      </c>
      <c r="H4704" s="1">
        <v>0</v>
      </c>
      <c r="I4704" s="1">
        <v>0</v>
      </c>
    </row>
    <row r="4705" spans="1:9" ht="23.25">
      <c r="A4705" s="5" t="s">
        <v>49</v>
      </c>
      <c r="B4705" s="5"/>
      <c r="C4705" s="5" t="s">
        <v>87</v>
      </c>
      <c r="D4705" s="5"/>
      <c r="E4705" s="1">
        <v>-9326243</v>
      </c>
      <c r="F4705" s="1">
        <v>0</v>
      </c>
      <c r="G4705" s="1">
        <v>-9326243</v>
      </c>
      <c r="H4705" s="1">
        <v>0</v>
      </c>
      <c r="I4705" s="1">
        <v>0</v>
      </c>
    </row>
    <row r="4706" spans="1:9" ht="23.25">
      <c r="A4706" s="5" t="s">
        <v>50</v>
      </c>
      <c r="B4706" s="5"/>
      <c r="C4706" s="5" t="s">
        <v>87</v>
      </c>
      <c r="D4706" s="5"/>
      <c r="E4706" s="1">
        <v>-22976201</v>
      </c>
      <c r="F4706" s="1">
        <v>0</v>
      </c>
      <c r="G4706" s="1">
        <v>-22976201</v>
      </c>
      <c r="H4706" s="1">
        <v>0</v>
      </c>
      <c r="I4706" s="1">
        <v>0</v>
      </c>
    </row>
    <row r="4707" spans="1:9" ht="23.25">
      <c r="A4707" s="5" t="s">
        <v>51</v>
      </c>
      <c r="B4707" s="5"/>
      <c r="C4707" s="5" t="s">
        <v>87</v>
      </c>
      <c r="D4707" s="5"/>
      <c r="E4707" s="1">
        <v>-109460565</v>
      </c>
      <c r="F4707" s="1">
        <v>0</v>
      </c>
      <c r="G4707" s="1">
        <v>-109460565</v>
      </c>
      <c r="H4707" s="1">
        <v>0</v>
      </c>
      <c r="I4707" s="1">
        <v>0</v>
      </c>
    </row>
    <row r="4708" spans="1:9" ht="23.25">
      <c r="A4708" s="5" t="s">
        <v>52</v>
      </c>
      <c r="B4708" s="5"/>
      <c r="C4708" s="5" t="s">
        <v>87</v>
      </c>
      <c r="D4708" s="5"/>
      <c r="E4708" s="1">
        <v>-7959250</v>
      </c>
      <c r="F4708" s="1">
        <v>0</v>
      </c>
      <c r="G4708" s="1">
        <v>-7959250</v>
      </c>
      <c r="H4708" s="1">
        <v>0</v>
      </c>
      <c r="I4708" s="1">
        <v>0</v>
      </c>
    </row>
    <row r="4709" spans="1:9" ht="23.25">
      <c r="A4709" s="5" t="s">
        <v>53</v>
      </c>
      <c r="B4709" s="5"/>
      <c r="C4709" s="5" t="s">
        <v>87</v>
      </c>
      <c r="D4709" s="5"/>
      <c r="E4709" s="1">
        <v>0</v>
      </c>
      <c r="F4709" s="1">
        <v>0</v>
      </c>
      <c r="G4709" s="1">
        <v>0</v>
      </c>
      <c r="H4709" s="1">
        <v>0</v>
      </c>
      <c r="I4709" s="1">
        <v>0</v>
      </c>
    </row>
    <row r="4710" spans="1:9" ht="23.25">
      <c r="A4710" s="5" t="s">
        <v>54</v>
      </c>
      <c r="B4710" s="5"/>
      <c r="C4710" s="5" t="s">
        <v>87</v>
      </c>
      <c r="D4710" s="5"/>
      <c r="E4710" s="1">
        <v>0</v>
      </c>
      <c r="F4710" s="1">
        <v>0</v>
      </c>
      <c r="G4710" s="1">
        <v>0</v>
      </c>
      <c r="H4710" s="1">
        <v>0</v>
      </c>
      <c r="I4710" s="1">
        <v>0</v>
      </c>
    </row>
    <row r="4711" spans="1:9" ht="23.25">
      <c r="A4711" s="5" t="s">
        <v>55</v>
      </c>
      <c r="B4711" s="5"/>
      <c r="C4711" s="5" t="s">
        <v>87</v>
      </c>
      <c r="D4711" s="5"/>
      <c r="E4711" s="1">
        <v>0</v>
      </c>
      <c r="F4711" s="1">
        <v>0</v>
      </c>
      <c r="G4711" s="1">
        <v>0</v>
      </c>
      <c r="H4711" s="1">
        <v>0</v>
      </c>
      <c r="I4711" s="1">
        <v>0</v>
      </c>
    </row>
    <row r="4712" spans="1:9" ht="23.25">
      <c r="A4712" s="5" t="s">
        <v>56</v>
      </c>
      <c r="B4712" s="5"/>
      <c r="C4712" s="5" t="s">
        <v>87</v>
      </c>
      <c r="D4712" s="5"/>
      <c r="E4712" s="1">
        <v>1434957076</v>
      </c>
      <c r="F4712" s="1">
        <v>0</v>
      </c>
      <c r="G4712" s="1">
        <v>1434957076</v>
      </c>
      <c r="H4712" s="1">
        <v>0</v>
      </c>
      <c r="I4712" s="1">
        <v>0</v>
      </c>
    </row>
    <row r="4713" spans="1:9" ht="23.25">
      <c r="A4713" s="5" t="s">
        <v>57</v>
      </c>
      <c r="B4713" s="5"/>
      <c r="C4713" s="5" t="s">
        <v>87</v>
      </c>
      <c r="D4713" s="5"/>
      <c r="E4713" s="1">
        <v>0</v>
      </c>
      <c r="F4713" s="1">
        <v>0</v>
      </c>
      <c r="G4713" s="1">
        <v>0</v>
      </c>
      <c r="H4713" s="1">
        <v>0</v>
      </c>
      <c r="I4713" s="1">
        <v>0</v>
      </c>
    </row>
    <row r="4714" spans="1:9" ht="23.25">
      <c r="A4714" s="5" t="s">
        <v>58</v>
      </c>
      <c r="B4714" s="5"/>
      <c r="C4714" s="5" t="s">
        <v>87</v>
      </c>
      <c r="D4714" s="5"/>
      <c r="E4714" s="1">
        <v>0</v>
      </c>
      <c r="F4714" s="1">
        <v>0</v>
      </c>
      <c r="G4714" s="1">
        <v>0</v>
      </c>
      <c r="H4714" s="1">
        <v>0</v>
      </c>
      <c r="I4714" s="1">
        <v>0</v>
      </c>
    </row>
    <row r="4715" spans="1:9" ht="23.25">
      <c r="A4715" s="5" t="s">
        <v>59</v>
      </c>
      <c r="B4715" s="5"/>
      <c r="C4715" s="5" t="s">
        <v>87</v>
      </c>
      <c r="D4715" s="5"/>
      <c r="E4715" s="1">
        <v>0</v>
      </c>
      <c r="F4715" s="1">
        <v>0</v>
      </c>
      <c r="G4715" s="1">
        <v>0</v>
      </c>
      <c r="H4715" s="1">
        <v>0</v>
      </c>
      <c r="I4715" s="1">
        <v>0</v>
      </c>
    </row>
    <row r="4716" spans="1:9" ht="23.25">
      <c r="A4716" s="5" t="s">
        <v>60</v>
      </c>
      <c r="B4716" s="5"/>
      <c r="C4716" s="5" t="s">
        <v>87</v>
      </c>
      <c r="D4716" s="5"/>
      <c r="E4716" s="1">
        <v>0</v>
      </c>
      <c r="F4716" s="1">
        <v>0</v>
      </c>
      <c r="G4716" s="1">
        <v>0</v>
      </c>
      <c r="H4716" s="1">
        <v>0</v>
      </c>
      <c r="I4716" s="1">
        <v>0</v>
      </c>
    </row>
    <row r="4717" spans="1:9" ht="23.25">
      <c r="A4717" s="5" t="s">
        <v>61</v>
      </c>
      <c r="B4717" s="5"/>
      <c r="C4717" s="5" t="s">
        <v>87</v>
      </c>
      <c r="D4717" s="5"/>
      <c r="E4717" s="1">
        <v>0</v>
      </c>
      <c r="F4717" s="1">
        <v>0</v>
      </c>
      <c r="G4717" s="1">
        <v>0</v>
      </c>
      <c r="H4717" s="1">
        <v>0</v>
      </c>
      <c r="I4717" s="1">
        <v>0</v>
      </c>
    </row>
    <row r="4718" spans="1:9" ht="23.25">
      <c r="A4718" s="5" t="s">
        <v>62</v>
      </c>
      <c r="B4718" s="5"/>
      <c r="C4718" s="5" t="s">
        <v>87</v>
      </c>
      <c r="D4718" s="5"/>
      <c r="E4718" s="1">
        <v>0</v>
      </c>
      <c r="F4718" s="1">
        <v>0</v>
      </c>
      <c r="G4718" s="1">
        <v>0</v>
      </c>
      <c r="H4718" s="1">
        <v>0</v>
      </c>
      <c r="I4718" s="1">
        <v>0</v>
      </c>
    </row>
    <row r="4719" spans="1:9" ht="23.25">
      <c r="A4719" s="5" t="s">
        <v>63</v>
      </c>
      <c r="B4719" s="5"/>
      <c r="C4719" s="5" t="s">
        <v>87</v>
      </c>
      <c r="D4719" s="5"/>
      <c r="E4719" s="1">
        <v>0</v>
      </c>
      <c r="F4719" s="1">
        <v>0</v>
      </c>
      <c r="G4719" s="1">
        <v>0</v>
      </c>
      <c r="H4719" s="1">
        <v>0</v>
      </c>
      <c r="I4719" s="1">
        <v>0</v>
      </c>
    </row>
    <row r="4720" spans="1:9" ht="23.25">
      <c r="A4720" s="5" t="s">
        <v>64</v>
      </c>
      <c r="B4720" s="5"/>
      <c r="C4720" s="5" t="s">
        <v>87</v>
      </c>
      <c r="D4720" s="5"/>
      <c r="E4720" s="1">
        <v>0</v>
      </c>
      <c r="F4720" s="1">
        <v>0</v>
      </c>
      <c r="G4720" s="1">
        <v>0</v>
      </c>
      <c r="H4720" s="1">
        <v>0</v>
      </c>
      <c r="I4720" s="1">
        <v>0</v>
      </c>
    </row>
    <row r="4721" spans="1:9" ht="23.25">
      <c r="A4721" s="5" t="s">
        <v>65</v>
      </c>
      <c r="B4721" s="5"/>
      <c r="C4721" s="5" t="s">
        <v>87</v>
      </c>
      <c r="D4721" s="5"/>
      <c r="E4721" s="1">
        <v>0</v>
      </c>
      <c r="F4721" s="1">
        <v>0</v>
      </c>
      <c r="G4721" s="1">
        <v>0</v>
      </c>
      <c r="H4721" s="1">
        <v>0</v>
      </c>
      <c r="I4721" s="1">
        <v>0</v>
      </c>
    </row>
    <row r="4722" spans="1:9" ht="23.25">
      <c r="A4722" s="5" t="s">
        <v>66</v>
      </c>
      <c r="B4722" s="5"/>
      <c r="C4722" s="5" t="s">
        <v>87</v>
      </c>
      <c r="D4722" s="5"/>
      <c r="E4722" s="1">
        <v>0</v>
      </c>
      <c r="F4722" s="1">
        <v>0</v>
      </c>
      <c r="G4722" s="1">
        <v>0</v>
      </c>
      <c r="H4722" s="1">
        <v>0</v>
      </c>
      <c r="I4722" s="1">
        <v>0</v>
      </c>
    </row>
    <row r="4723" spans="1:9" ht="23.25">
      <c r="A4723" s="5" t="s">
        <v>8</v>
      </c>
      <c r="B4723" s="5"/>
      <c r="C4723" s="5" t="s">
        <v>88</v>
      </c>
      <c r="D4723" s="5"/>
      <c r="E4723" s="1">
        <v>-1876161</v>
      </c>
      <c r="F4723" s="1">
        <v>0</v>
      </c>
      <c r="G4723" s="1">
        <v>0</v>
      </c>
      <c r="H4723" s="1">
        <v>-1876161</v>
      </c>
      <c r="I4723" s="1">
        <v>0</v>
      </c>
    </row>
    <row r="4724" spans="1:9" ht="23.25">
      <c r="A4724" s="5" t="s">
        <v>9</v>
      </c>
      <c r="B4724" s="5"/>
      <c r="C4724" s="5" t="s">
        <v>88</v>
      </c>
      <c r="D4724" s="5"/>
      <c r="E4724" s="1">
        <v>-480603</v>
      </c>
      <c r="F4724" s="1">
        <v>0</v>
      </c>
      <c r="G4724" s="1">
        <v>0</v>
      </c>
      <c r="H4724" s="1">
        <v>-480603</v>
      </c>
      <c r="I4724" s="1">
        <v>0</v>
      </c>
    </row>
    <row r="4725" spans="1:9" ht="23.25">
      <c r="A4725" s="5" t="s">
        <v>10</v>
      </c>
      <c r="B4725" s="5"/>
      <c r="C4725" s="5" t="s">
        <v>88</v>
      </c>
      <c r="D4725" s="5"/>
      <c r="E4725" s="1">
        <v>-520955</v>
      </c>
      <c r="F4725" s="1">
        <v>0</v>
      </c>
      <c r="G4725" s="1">
        <v>0</v>
      </c>
      <c r="H4725" s="1">
        <v>-520955</v>
      </c>
      <c r="I4725" s="1">
        <v>0</v>
      </c>
    </row>
    <row r="4726" spans="1:9" ht="23.25">
      <c r="A4726" s="5" t="s">
        <v>11</v>
      </c>
      <c r="B4726" s="5"/>
      <c r="C4726" s="5" t="s">
        <v>88</v>
      </c>
      <c r="D4726" s="5"/>
      <c r="E4726" s="1">
        <v>-76695</v>
      </c>
      <c r="F4726" s="1">
        <v>0</v>
      </c>
      <c r="G4726" s="1">
        <v>0</v>
      </c>
      <c r="H4726" s="1">
        <v>-76695</v>
      </c>
      <c r="I4726" s="1">
        <v>0</v>
      </c>
    </row>
    <row r="4727" spans="1:9" ht="23.25">
      <c r="A4727" s="5" t="s">
        <v>12</v>
      </c>
      <c r="B4727" s="5"/>
      <c r="C4727" s="5" t="s">
        <v>88</v>
      </c>
      <c r="D4727" s="5"/>
      <c r="E4727" s="1">
        <v>-15436605</v>
      </c>
      <c r="F4727" s="1">
        <v>0</v>
      </c>
      <c r="G4727" s="1">
        <v>0</v>
      </c>
      <c r="H4727" s="1">
        <v>-15436605</v>
      </c>
      <c r="I4727" s="1">
        <v>0</v>
      </c>
    </row>
    <row r="4728" spans="1:9" ht="23.25">
      <c r="A4728" s="5" t="s">
        <v>13</v>
      </c>
      <c r="B4728" s="5"/>
      <c r="C4728" s="5" t="s">
        <v>88</v>
      </c>
      <c r="D4728" s="5"/>
      <c r="E4728" s="1">
        <v>-2252169</v>
      </c>
      <c r="F4728" s="1">
        <v>0</v>
      </c>
      <c r="G4728" s="1">
        <v>0</v>
      </c>
      <c r="H4728" s="1">
        <v>-2252169</v>
      </c>
      <c r="I4728" s="1">
        <v>0</v>
      </c>
    </row>
    <row r="4729" spans="1:9" ht="23.25">
      <c r="A4729" s="5" t="s">
        <v>14</v>
      </c>
      <c r="B4729" s="5"/>
      <c r="C4729" s="5" t="s">
        <v>88</v>
      </c>
      <c r="D4729" s="5"/>
      <c r="E4729" s="1">
        <v>-1416395</v>
      </c>
      <c r="F4729" s="1">
        <v>0</v>
      </c>
      <c r="G4729" s="1">
        <v>0</v>
      </c>
      <c r="H4729" s="1">
        <v>-1416395</v>
      </c>
      <c r="I4729" s="1">
        <v>0</v>
      </c>
    </row>
    <row r="4730" spans="1:9" ht="23.25">
      <c r="A4730" s="5" t="s">
        <v>15</v>
      </c>
      <c r="B4730" s="5"/>
      <c r="C4730" s="5" t="s">
        <v>88</v>
      </c>
      <c r="D4730" s="5"/>
      <c r="E4730" s="1">
        <v>-3058595</v>
      </c>
      <c r="F4730" s="1">
        <v>0</v>
      </c>
      <c r="G4730" s="1">
        <v>0</v>
      </c>
      <c r="H4730" s="1">
        <v>-3058595</v>
      </c>
      <c r="I4730" s="1">
        <v>0</v>
      </c>
    </row>
    <row r="4731" spans="1:9" ht="23.25">
      <c r="A4731" s="5" t="s">
        <v>16</v>
      </c>
      <c r="B4731" s="5"/>
      <c r="C4731" s="5" t="s">
        <v>88</v>
      </c>
      <c r="D4731" s="5"/>
      <c r="E4731" s="1">
        <v>-2394924</v>
      </c>
      <c r="F4731" s="1">
        <v>0</v>
      </c>
      <c r="G4731" s="1">
        <v>0</v>
      </c>
      <c r="H4731" s="1">
        <v>-2394924</v>
      </c>
      <c r="I4731" s="1">
        <v>0</v>
      </c>
    </row>
    <row r="4732" spans="1:9" ht="23.25">
      <c r="A4732" s="5" t="s">
        <v>17</v>
      </c>
      <c r="B4732" s="5"/>
      <c r="C4732" s="5" t="s">
        <v>88</v>
      </c>
      <c r="D4732" s="5"/>
      <c r="E4732" s="1">
        <v>-479105</v>
      </c>
      <c r="F4732" s="1">
        <v>0</v>
      </c>
      <c r="G4732" s="1">
        <v>0</v>
      </c>
      <c r="H4732" s="1">
        <v>-479105</v>
      </c>
      <c r="I4732" s="1">
        <v>0</v>
      </c>
    </row>
    <row r="4733" spans="1:9" ht="23.25">
      <c r="A4733" s="5" t="s">
        <v>18</v>
      </c>
      <c r="B4733" s="5"/>
      <c r="C4733" s="5" t="s">
        <v>88</v>
      </c>
      <c r="D4733" s="5"/>
      <c r="E4733" s="1">
        <v>-5422074</v>
      </c>
      <c r="F4733" s="1">
        <v>0</v>
      </c>
      <c r="G4733" s="1">
        <v>0</v>
      </c>
      <c r="H4733" s="1">
        <v>-5422074</v>
      </c>
      <c r="I4733" s="1">
        <v>0</v>
      </c>
    </row>
    <row r="4734" spans="1:9" ht="23.25">
      <c r="A4734" s="5" t="s">
        <v>19</v>
      </c>
      <c r="B4734" s="5"/>
      <c r="C4734" s="5" t="s">
        <v>88</v>
      </c>
      <c r="D4734" s="5"/>
      <c r="E4734" s="1">
        <v>-819088</v>
      </c>
      <c r="F4734" s="1">
        <v>0</v>
      </c>
      <c r="G4734" s="1">
        <v>0</v>
      </c>
      <c r="H4734" s="1">
        <v>-819088</v>
      </c>
      <c r="I4734" s="1">
        <v>0</v>
      </c>
    </row>
    <row r="4735" spans="1:9" ht="23.25">
      <c r="A4735" s="5" t="s">
        <v>20</v>
      </c>
      <c r="B4735" s="5"/>
      <c r="C4735" s="5" t="s">
        <v>88</v>
      </c>
      <c r="D4735" s="5"/>
      <c r="E4735" s="1">
        <v>-543782</v>
      </c>
      <c r="F4735" s="1">
        <v>0</v>
      </c>
      <c r="G4735" s="1">
        <v>0</v>
      </c>
      <c r="H4735" s="1">
        <v>-543782</v>
      </c>
      <c r="I4735" s="1">
        <v>0</v>
      </c>
    </row>
    <row r="4736" spans="1:9" ht="23.25">
      <c r="A4736" s="5" t="s">
        <v>21</v>
      </c>
      <c r="B4736" s="5"/>
      <c r="C4736" s="5" t="s">
        <v>88</v>
      </c>
      <c r="D4736" s="5"/>
      <c r="E4736" s="1">
        <v>-20416045</v>
      </c>
      <c r="F4736" s="1">
        <v>0</v>
      </c>
      <c r="G4736" s="1">
        <v>0</v>
      </c>
      <c r="H4736" s="1">
        <v>-20416045</v>
      </c>
      <c r="I4736" s="1">
        <v>0</v>
      </c>
    </row>
    <row r="4737" spans="1:9" ht="23.25">
      <c r="A4737" s="5" t="s">
        <v>22</v>
      </c>
      <c r="B4737" s="5"/>
      <c r="C4737" s="5" t="s">
        <v>88</v>
      </c>
      <c r="D4737" s="5"/>
      <c r="E4737" s="1">
        <v>-1655254</v>
      </c>
      <c r="F4737" s="1">
        <v>0</v>
      </c>
      <c r="G4737" s="1">
        <v>0</v>
      </c>
      <c r="H4737" s="1">
        <v>-1655254</v>
      </c>
      <c r="I4737" s="1">
        <v>0</v>
      </c>
    </row>
    <row r="4738" spans="1:9" ht="23.25">
      <c r="A4738" s="5" t="s">
        <v>23</v>
      </c>
      <c r="B4738" s="5"/>
      <c r="C4738" s="5" t="s">
        <v>88</v>
      </c>
      <c r="D4738" s="5"/>
      <c r="E4738" s="1">
        <v>-8879747</v>
      </c>
      <c r="F4738" s="1">
        <v>0</v>
      </c>
      <c r="G4738" s="1">
        <v>0</v>
      </c>
      <c r="H4738" s="1">
        <v>-8879747</v>
      </c>
      <c r="I4738" s="1">
        <v>0</v>
      </c>
    </row>
    <row r="4739" spans="1:9" ht="23.25">
      <c r="A4739" s="5" t="s">
        <v>24</v>
      </c>
      <c r="B4739" s="5"/>
      <c r="C4739" s="5" t="s">
        <v>88</v>
      </c>
      <c r="D4739" s="5"/>
      <c r="E4739" s="1">
        <v>-11495429</v>
      </c>
      <c r="F4739" s="1">
        <v>0</v>
      </c>
      <c r="G4739" s="1">
        <v>0</v>
      </c>
      <c r="H4739" s="1">
        <v>-11495429</v>
      </c>
      <c r="I4739" s="1">
        <v>0</v>
      </c>
    </row>
    <row r="4740" spans="1:9" ht="23.25">
      <c r="A4740" s="5" t="s">
        <v>25</v>
      </c>
      <c r="B4740" s="5"/>
      <c r="C4740" s="5" t="s">
        <v>88</v>
      </c>
      <c r="D4740" s="5"/>
      <c r="E4740" s="1">
        <v>-2408655</v>
      </c>
      <c r="F4740" s="1">
        <v>0</v>
      </c>
      <c r="G4740" s="1">
        <v>0</v>
      </c>
      <c r="H4740" s="1">
        <v>-2408655</v>
      </c>
      <c r="I4740" s="1">
        <v>0</v>
      </c>
    </row>
    <row r="4741" spans="1:9" ht="23.25">
      <c r="A4741" s="5" t="s">
        <v>26</v>
      </c>
      <c r="B4741" s="5"/>
      <c r="C4741" s="5" t="s">
        <v>88</v>
      </c>
      <c r="D4741" s="5"/>
      <c r="E4741" s="1">
        <v>-6751606</v>
      </c>
      <c r="F4741" s="1">
        <v>0</v>
      </c>
      <c r="G4741" s="1">
        <v>0</v>
      </c>
      <c r="H4741" s="1">
        <v>-6751606</v>
      </c>
      <c r="I4741" s="1">
        <v>0</v>
      </c>
    </row>
    <row r="4742" spans="1:9" ht="23.25">
      <c r="A4742" s="5" t="s">
        <v>27</v>
      </c>
      <c r="B4742" s="5"/>
      <c r="C4742" s="5" t="s">
        <v>88</v>
      </c>
      <c r="D4742" s="5"/>
      <c r="E4742" s="1">
        <v>-1073127</v>
      </c>
      <c r="F4742" s="1">
        <v>0</v>
      </c>
      <c r="G4742" s="1">
        <v>0</v>
      </c>
      <c r="H4742" s="1">
        <v>-1073127</v>
      </c>
      <c r="I4742" s="1">
        <v>0</v>
      </c>
    </row>
    <row r="4743" spans="1:9" ht="23.25">
      <c r="A4743" s="5" t="s">
        <v>28</v>
      </c>
      <c r="B4743" s="5"/>
      <c r="C4743" s="5" t="s">
        <v>88</v>
      </c>
      <c r="D4743" s="5"/>
      <c r="E4743" s="1">
        <v>-9290670</v>
      </c>
      <c r="F4743" s="1">
        <v>0</v>
      </c>
      <c r="G4743" s="1">
        <v>0</v>
      </c>
      <c r="H4743" s="1">
        <v>-9290670</v>
      </c>
      <c r="I4743" s="1">
        <v>0</v>
      </c>
    </row>
    <row r="4744" spans="1:9" ht="23.25">
      <c r="A4744" s="5" t="s">
        <v>29</v>
      </c>
      <c r="B4744" s="5"/>
      <c r="C4744" s="5" t="s">
        <v>88</v>
      </c>
      <c r="D4744" s="5"/>
      <c r="E4744" s="1">
        <v>-700887</v>
      </c>
      <c r="F4744" s="1">
        <v>0</v>
      </c>
      <c r="G4744" s="1">
        <v>0</v>
      </c>
      <c r="H4744" s="1">
        <v>-700887</v>
      </c>
      <c r="I4744" s="1">
        <v>0</v>
      </c>
    </row>
    <row r="4745" spans="1:9" ht="23.25">
      <c r="A4745" s="5" t="s">
        <v>30</v>
      </c>
      <c r="B4745" s="5"/>
      <c r="C4745" s="5" t="s">
        <v>88</v>
      </c>
      <c r="D4745" s="5"/>
      <c r="E4745" s="1">
        <v>-2551180</v>
      </c>
      <c r="F4745" s="1">
        <v>0</v>
      </c>
      <c r="G4745" s="1">
        <v>0</v>
      </c>
      <c r="H4745" s="1">
        <v>-2551180</v>
      </c>
      <c r="I4745" s="1">
        <v>0</v>
      </c>
    </row>
    <row r="4746" spans="1:9" ht="23.25">
      <c r="A4746" s="5" t="s">
        <v>31</v>
      </c>
      <c r="B4746" s="5"/>
      <c r="C4746" s="5" t="s">
        <v>88</v>
      </c>
      <c r="D4746" s="5"/>
      <c r="E4746" s="1">
        <v>-2338715</v>
      </c>
      <c r="F4746" s="1">
        <v>0</v>
      </c>
      <c r="G4746" s="1">
        <v>0</v>
      </c>
      <c r="H4746" s="1">
        <v>-2338715</v>
      </c>
      <c r="I4746" s="1">
        <v>0</v>
      </c>
    </row>
    <row r="4747" spans="1:9" ht="23.25">
      <c r="A4747" s="5" t="s">
        <v>32</v>
      </c>
      <c r="B4747" s="5"/>
      <c r="C4747" s="5" t="s">
        <v>88</v>
      </c>
      <c r="D4747" s="5"/>
      <c r="E4747" s="1">
        <v>-5439285</v>
      </c>
      <c r="F4747" s="1">
        <v>0</v>
      </c>
      <c r="G4747" s="1">
        <v>0</v>
      </c>
      <c r="H4747" s="1">
        <v>-5439285</v>
      </c>
      <c r="I4747" s="1">
        <v>0</v>
      </c>
    </row>
    <row r="4748" spans="1:9" ht="23.25">
      <c r="A4748" s="5" t="s">
        <v>33</v>
      </c>
      <c r="B4748" s="5"/>
      <c r="C4748" s="5" t="s">
        <v>88</v>
      </c>
      <c r="D4748" s="5"/>
      <c r="E4748" s="1">
        <v>-1355216</v>
      </c>
      <c r="F4748" s="1">
        <v>0</v>
      </c>
      <c r="G4748" s="1">
        <v>0</v>
      </c>
      <c r="H4748" s="1">
        <v>-1355216</v>
      </c>
      <c r="I4748" s="1">
        <v>0</v>
      </c>
    </row>
    <row r="4749" spans="1:9" ht="23.25">
      <c r="A4749" s="5" t="s">
        <v>34</v>
      </c>
      <c r="B4749" s="5"/>
      <c r="C4749" s="5" t="s">
        <v>88</v>
      </c>
      <c r="D4749" s="5"/>
      <c r="E4749" s="1">
        <v>-20603146</v>
      </c>
      <c r="F4749" s="1">
        <v>0</v>
      </c>
      <c r="G4749" s="1">
        <v>0</v>
      </c>
      <c r="H4749" s="1">
        <v>-20603146</v>
      </c>
      <c r="I4749" s="1">
        <v>0</v>
      </c>
    </row>
    <row r="4750" spans="1:9" ht="23.25">
      <c r="A4750" s="5" t="s">
        <v>35</v>
      </c>
      <c r="B4750" s="5"/>
      <c r="C4750" s="5" t="s">
        <v>88</v>
      </c>
      <c r="D4750" s="5"/>
      <c r="E4750" s="1">
        <v>-8023767</v>
      </c>
      <c r="F4750" s="1">
        <v>0</v>
      </c>
      <c r="G4750" s="1">
        <v>0</v>
      </c>
      <c r="H4750" s="1">
        <v>-8023767</v>
      </c>
      <c r="I4750" s="1">
        <v>0</v>
      </c>
    </row>
    <row r="4751" spans="1:9" ht="23.25">
      <c r="A4751" s="5" t="s">
        <v>36</v>
      </c>
      <c r="B4751" s="5"/>
      <c r="C4751" s="5" t="s">
        <v>88</v>
      </c>
      <c r="D4751" s="5"/>
      <c r="E4751" s="1">
        <v>-11180022</v>
      </c>
      <c r="F4751" s="1">
        <v>0</v>
      </c>
      <c r="G4751" s="1">
        <v>0</v>
      </c>
      <c r="H4751" s="1">
        <v>-11180022</v>
      </c>
      <c r="I4751" s="1">
        <v>0</v>
      </c>
    </row>
    <row r="4752" spans="1:9" ht="23.25">
      <c r="A4752" s="5" t="s">
        <v>37</v>
      </c>
      <c r="B4752" s="5"/>
      <c r="C4752" s="5" t="s">
        <v>88</v>
      </c>
      <c r="D4752" s="5"/>
      <c r="E4752" s="1">
        <v>-15207914</v>
      </c>
      <c r="F4752" s="1">
        <v>0</v>
      </c>
      <c r="G4752" s="1">
        <v>0</v>
      </c>
      <c r="H4752" s="1">
        <v>-15207914</v>
      </c>
      <c r="I4752" s="1">
        <v>0</v>
      </c>
    </row>
    <row r="4753" spans="1:9" ht="23.25">
      <c r="A4753" s="5" t="s">
        <v>38</v>
      </c>
      <c r="B4753" s="5"/>
      <c r="C4753" s="5" t="s">
        <v>88</v>
      </c>
      <c r="D4753" s="5"/>
      <c r="E4753" s="1">
        <v>-10175798</v>
      </c>
      <c r="F4753" s="1">
        <v>0</v>
      </c>
      <c r="G4753" s="1">
        <v>0</v>
      </c>
      <c r="H4753" s="1">
        <v>-10175798</v>
      </c>
      <c r="I4753" s="1">
        <v>0</v>
      </c>
    </row>
    <row r="4754" spans="1:9" ht="23.25">
      <c r="A4754" s="5" t="s">
        <v>39</v>
      </c>
      <c r="B4754" s="5"/>
      <c r="C4754" s="5" t="s">
        <v>88</v>
      </c>
      <c r="D4754" s="5"/>
      <c r="E4754" s="1">
        <v>-5002813</v>
      </c>
      <c r="F4754" s="1">
        <v>0</v>
      </c>
      <c r="G4754" s="1">
        <v>0</v>
      </c>
      <c r="H4754" s="1">
        <v>-5002813</v>
      </c>
      <c r="I4754" s="1">
        <v>0</v>
      </c>
    </row>
    <row r="4755" spans="1:9" ht="23.25">
      <c r="A4755" s="5" t="s">
        <v>40</v>
      </c>
      <c r="B4755" s="5"/>
      <c r="C4755" s="5" t="s">
        <v>88</v>
      </c>
      <c r="D4755" s="5"/>
      <c r="E4755" s="1">
        <v>-3640001</v>
      </c>
      <c r="F4755" s="1">
        <v>0</v>
      </c>
      <c r="G4755" s="1">
        <v>0</v>
      </c>
      <c r="H4755" s="1">
        <v>-3640001</v>
      </c>
      <c r="I4755" s="1">
        <v>0</v>
      </c>
    </row>
    <row r="4756" spans="1:9" ht="23.25">
      <c r="A4756" s="5" t="s">
        <v>41</v>
      </c>
      <c r="B4756" s="5"/>
      <c r="C4756" s="5" t="s">
        <v>88</v>
      </c>
      <c r="D4756" s="5"/>
      <c r="E4756" s="1">
        <v>-5063986</v>
      </c>
      <c r="F4756" s="1">
        <v>0</v>
      </c>
      <c r="G4756" s="1">
        <v>0</v>
      </c>
      <c r="H4756" s="1">
        <v>-5063986</v>
      </c>
      <c r="I4756" s="1">
        <v>0</v>
      </c>
    </row>
    <row r="4757" spans="1:9" ht="23.25">
      <c r="A4757" s="5" t="s">
        <v>42</v>
      </c>
      <c r="B4757" s="5"/>
      <c r="C4757" s="5" t="s">
        <v>88</v>
      </c>
      <c r="D4757" s="5"/>
      <c r="E4757" s="1">
        <v>-8720267</v>
      </c>
      <c r="F4757" s="1">
        <v>0</v>
      </c>
      <c r="G4757" s="1">
        <v>0</v>
      </c>
      <c r="H4757" s="1">
        <v>-8720267</v>
      </c>
      <c r="I4757" s="1">
        <v>0</v>
      </c>
    </row>
    <row r="4758" spans="1:9" ht="23.25">
      <c r="A4758" s="5" t="s">
        <v>43</v>
      </c>
      <c r="B4758" s="5"/>
      <c r="C4758" s="5" t="s">
        <v>88</v>
      </c>
      <c r="D4758" s="5"/>
      <c r="E4758" s="1">
        <v>-1384258</v>
      </c>
      <c r="F4758" s="1">
        <v>0</v>
      </c>
      <c r="G4758" s="1">
        <v>0</v>
      </c>
      <c r="H4758" s="1">
        <v>-1384258</v>
      </c>
      <c r="I4758" s="1">
        <v>0</v>
      </c>
    </row>
    <row r="4759" spans="1:9" ht="23.25">
      <c r="A4759" s="5" t="s">
        <v>44</v>
      </c>
      <c r="B4759" s="5"/>
      <c r="C4759" s="5" t="s">
        <v>88</v>
      </c>
      <c r="D4759" s="5"/>
      <c r="E4759" s="1">
        <v>-3033144</v>
      </c>
      <c r="F4759" s="1">
        <v>0</v>
      </c>
      <c r="G4759" s="1">
        <v>0</v>
      </c>
      <c r="H4759" s="1">
        <v>-3033144</v>
      </c>
      <c r="I4759" s="1">
        <v>0</v>
      </c>
    </row>
    <row r="4760" spans="1:9" ht="23.25">
      <c r="A4760" s="5" t="s">
        <v>45</v>
      </c>
      <c r="B4760" s="5"/>
      <c r="C4760" s="5" t="s">
        <v>88</v>
      </c>
      <c r="D4760" s="5"/>
      <c r="E4760" s="1">
        <v>-12953748</v>
      </c>
      <c r="F4760" s="1">
        <v>0</v>
      </c>
      <c r="G4760" s="1">
        <v>0</v>
      </c>
      <c r="H4760" s="1">
        <v>-12953748</v>
      </c>
      <c r="I4760" s="1">
        <v>0</v>
      </c>
    </row>
    <row r="4761" spans="1:9" ht="23.25">
      <c r="A4761" s="5" t="s">
        <v>46</v>
      </c>
      <c r="B4761" s="5"/>
      <c r="C4761" s="5" t="s">
        <v>88</v>
      </c>
      <c r="D4761" s="5"/>
      <c r="E4761" s="1">
        <v>-47314118</v>
      </c>
      <c r="F4761" s="1">
        <v>0</v>
      </c>
      <c r="G4761" s="1">
        <v>0</v>
      </c>
      <c r="H4761" s="1">
        <v>-47314118</v>
      </c>
      <c r="I4761" s="1">
        <v>0</v>
      </c>
    </row>
    <row r="4762" spans="1:9" ht="23.25">
      <c r="A4762" s="5" t="s">
        <v>47</v>
      </c>
      <c r="B4762" s="5"/>
      <c r="C4762" s="5" t="s">
        <v>88</v>
      </c>
      <c r="D4762" s="5"/>
      <c r="E4762" s="1">
        <v>-20049789</v>
      </c>
      <c r="F4762" s="1">
        <v>0</v>
      </c>
      <c r="G4762" s="1">
        <v>0</v>
      </c>
      <c r="H4762" s="1">
        <v>-20049789</v>
      </c>
      <c r="I4762" s="1">
        <v>0</v>
      </c>
    </row>
    <row r="4763" spans="1:9" ht="23.25">
      <c r="A4763" s="5" t="s">
        <v>48</v>
      </c>
      <c r="B4763" s="5"/>
      <c r="C4763" s="5" t="s">
        <v>88</v>
      </c>
      <c r="D4763" s="5"/>
      <c r="E4763" s="1">
        <v>-1164748</v>
      </c>
      <c r="F4763" s="1">
        <v>0</v>
      </c>
      <c r="G4763" s="1">
        <v>0</v>
      </c>
      <c r="H4763" s="1">
        <v>-1164748</v>
      </c>
      <c r="I4763" s="1">
        <v>0</v>
      </c>
    </row>
    <row r="4764" spans="1:9" ht="23.25">
      <c r="A4764" s="5" t="s">
        <v>49</v>
      </c>
      <c r="B4764" s="5"/>
      <c r="C4764" s="5" t="s">
        <v>88</v>
      </c>
      <c r="D4764" s="5"/>
      <c r="E4764" s="1">
        <v>-941154</v>
      </c>
      <c r="F4764" s="1">
        <v>0</v>
      </c>
      <c r="G4764" s="1">
        <v>0</v>
      </c>
      <c r="H4764" s="1">
        <v>-941154</v>
      </c>
      <c r="I4764" s="1">
        <v>0</v>
      </c>
    </row>
    <row r="4765" spans="1:9" ht="23.25">
      <c r="A4765" s="5" t="s">
        <v>50</v>
      </c>
      <c r="B4765" s="5"/>
      <c r="C4765" s="5" t="s">
        <v>88</v>
      </c>
      <c r="D4765" s="5"/>
      <c r="E4765" s="1">
        <v>-3114669</v>
      </c>
      <c r="F4765" s="1">
        <v>0</v>
      </c>
      <c r="G4765" s="1">
        <v>0</v>
      </c>
      <c r="H4765" s="1">
        <v>-3114669</v>
      </c>
      <c r="I4765" s="1">
        <v>0</v>
      </c>
    </row>
    <row r="4766" spans="1:9" ht="23.25">
      <c r="A4766" s="5" t="s">
        <v>51</v>
      </c>
      <c r="B4766" s="5"/>
      <c r="C4766" s="5" t="s">
        <v>88</v>
      </c>
      <c r="D4766" s="5"/>
      <c r="E4766" s="1">
        <v>-7589209</v>
      </c>
      <c r="F4766" s="1">
        <v>0</v>
      </c>
      <c r="G4766" s="1">
        <v>0</v>
      </c>
      <c r="H4766" s="1">
        <v>-7589209</v>
      </c>
      <c r="I4766" s="1">
        <v>0</v>
      </c>
    </row>
    <row r="4767" spans="1:9" ht="23.25">
      <c r="A4767" s="5" t="s">
        <v>52</v>
      </c>
      <c r="B4767" s="5"/>
      <c r="C4767" s="5" t="s">
        <v>88</v>
      </c>
      <c r="D4767" s="5"/>
      <c r="E4767" s="1">
        <v>-1341292</v>
      </c>
      <c r="F4767" s="1">
        <v>0</v>
      </c>
      <c r="G4767" s="1">
        <v>0</v>
      </c>
      <c r="H4767" s="1">
        <v>-1341292</v>
      </c>
      <c r="I4767" s="1">
        <v>0</v>
      </c>
    </row>
    <row r="4768" spans="1:9" ht="23.25">
      <c r="A4768" s="5" t="s">
        <v>53</v>
      </c>
      <c r="B4768" s="5"/>
      <c r="C4768" s="5" t="s">
        <v>88</v>
      </c>
      <c r="D4768" s="5"/>
      <c r="E4768" s="1">
        <v>0</v>
      </c>
      <c r="F4768" s="1">
        <v>0</v>
      </c>
      <c r="G4768" s="1">
        <v>0</v>
      </c>
      <c r="H4768" s="1">
        <v>0</v>
      </c>
      <c r="I4768" s="1">
        <v>0</v>
      </c>
    </row>
    <row r="4769" spans="1:9" ht="23.25">
      <c r="A4769" s="5" t="s">
        <v>54</v>
      </c>
      <c r="B4769" s="5"/>
      <c r="C4769" s="5" t="s">
        <v>88</v>
      </c>
      <c r="D4769" s="5"/>
      <c r="E4769" s="1">
        <v>-3674</v>
      </c>
      <c r="F4769" s="1">
        <v>0</v>
      </c>
      <c r="G4769" s="1">
        <v>0</v>
      </c>
      <c r="H4769" s="1">
        <v>-3674</v>
      </c>
      <c r="I4769" s="1">
        <v>0</v>
      </c>
    </row>
    <row r="4770" spans="1:9" ht="23.25">
      <c r="A4770" s="5" t="s">
        <v>55</v>
      </c>
      <c r="B4770" s="5"/>
      <c r="C4770" s="5" t="s">
        <v>88</v>
      </c>
      <c r="D4770" s="5"/>
      <c r="E4770" s="1">
        <v>0</v>
      </c>
      <c r="F4770" s="1">
        <v>0</v>
      </c>
      <c r="G4770" s="1">
        <v>0</v>
      </c>
      <c r="H4770" s="1">
        <v>0</v>
      </c>
      <c r="I4770" s="1">
        <v>0</v>
      </c>
    </row>
    <row r="4771" spans="1:9" ht="23.25">
      <c r="A4771" s="5" t="s">
        <v>56</v>
      </c>
      <c r="B4771" s="5"/>
      <c r="C4771" s="5" t="s">
        <v>88</v>
      </c>
      <c r="D4771" s="5"/>
      <c r="E4771" s="1">
        <v>0</v>
      </c>
      <c r="F4771" s="1">
        <v>0</v>
      </c>
      <c r="G4771" s="1">
        <v>0</v>
      </c>
      <c r="H4771" s="1">
        <v>0</v>
      </c>
      <c r="I4771" s="1">
        <v>0</v>
      </c>
    </row>
    <row r="4772" spans="1:9" ht="23.25">
      <c r="A4772" s="5" t="s">
        <v>57</v>
      </c>
      <c r="B4772" s="5"/>
      <c r="C4772" s="5" t="s">
        <v>88</v>
      </c>
      <c r="D4772" s="5"/>
      <c r="E4772" s="1">
        <v>0</v>
      </c>
      <c r="F4772" s="1">
        <v>0</v>
      </c>
      <c r="G4772" s="1">
        <v>0</v>
      </c>
      <c r="H4772" s="1">
        <v>0</v>
      </c>
      <c r="I4772" s="1">
        <v>0</v>
      </c>
    </row>
    <row r="4773" spans="1:9" ht="23.25">
      <c r="A4773" s="5" t="s">
        <v>58</v>
      </c>
      <c r="B4773" s="5"/>
      <c r="C4773" s="5" t="s">
        <v>88</v>
      </c>
      <c r="D4773" s="5"/>
      <c r="E4773" s="1">
        <v>295640484</v>
      </c>
      <c r="F4773" s="1">
        <v>0</v>
      </c>
      <c r="G4773" s="1">
        <v>0</v>
      </c>
      <c r="H4773" s="1">
        <v>295640484</v>
      </c>
      <c r="I4773" s="1">
        <v>0</v>
      </c>
    </row>
    <row r="4774" spans="1:9" ht="23.25">
      <c r="A4774" s="5" t="s">
        <v>59</v>
      </c>
      <c r="B4774" s="5"/>
      <c r="C4774" s="5" t="s">
        <v>88</v>
      </c>
      <c r="D4774" s="5"/>
      <c r="E4774" s="1">
        <v>0</v>
      </c>
      <c r="F4774" s="1">
        <v>0</v>
      </c>
      <c r="G4774" s="1">
        <v>0</v>
      </c>
      <c r="H4774" s="1">
        <v>0</v>
      </c>
      <c r="I4774" s="1">
        <v>0</v>
      </c>
    </row>
    <row r="4775" spans="1:9" ht="23.25">
      <c r="A4775" s="5" t="s">
        <v>60</v>
      </c>
      <c r="B4775" s="5"/>
      <c r="C4775" s="5" t="s">
        <v>88</v>
      </c>
      <c r="D4775" s="5"/>
      <c r="E4775" s="1">
        <v>0</v>
      </c>
      <c r="F4775" s="1">
        <v>0</v>
      </c>
      <c r="G4775" s="1">
        <v>0</v>
      </c>
      <c r="H4775" s="1">
        <v>0</v>
      </c>
      <c r="I4775" s="1">
        <v>0</v>
      </c>
    </row>
    <row r="4776" spans="1:9" ht="23.25">
      <c r="A4776" s="5" t="s">
        <v>61</v>
      </c>
      <c r="B4776" s="5"/>
      <c r="C4776" s="5" t="s">
        <v>88</v>
      </c>
      <c r="D4776" s="5"/>
      <c r="E4776" s="1">
        <v>0</v>
      </c>
      <c r="F4776" s="1">
        <v>0</v>
      </c>
      <c r="G4776" s="1">
        <v>0</v>
      </c>
      <c r="H4776" s="1">
        <v>0</v>
      </c>
      <c r="I4776" s="1">
        <v>0</v>
      </c>
    </row>
    <row r="4777" spans="1:9" ht="23.25">
      <c r="A4777" s="5" t="s">
        <v>62</v>
      </c>
      <c r="B4777" s="5"/>
      <c r="C4777" s="5" t="s">
        <v>88</v>
      </c>
      <c r="D4777" s="5"/>
      <c r="E4777" s="1">
        <v>0</v>
      </c>
      <c r="F4777" s="1">
        <v>0</v>
      </c>
      <c r="G4777" s="1">
        <v>0</v>
      </c>
      <c r="H4777" s="1">
        <v>0</v>
      </c>
      <c r="I4777" s="1">
        <v>0</v>
      </c>
    </row>
    <row r="4778" spans="1:9" ht="23.25">
      <c r="A4778" s="5" t="s">
        <v>63</v>
      </c>
      <c r="B4778" s="5"/>
      <c r="C4778" s="5" t="s">
        <v>88</v>
      </c>
      <c r="D4778" s="5"/>
      <c r="E4778" s="1">
        <v>0</v>
      </c>
      <c r="F4778" s="1">
        <v>0</v>
      </c>
      <c r="G4778" s="1">
        <v>0</v>
      </c>
      <c r="H4778" s="1">
        <v>0</v>
      </c>
      <c r="I4778" s="1">
        <v>0</v>
      </c>
    </row>
    <row r="4779" spans="1:9" ht="23.25">
      <c r="A4779" s="5" t="s">
        <v>64</v>
      </c>
      <c r="B4779" s="5"/>
      <c r="C4779" s="5" t="s">
        <v>88</v>
      </c>
      <c r="D4779" s="5"/>
      <c r="E4779" s="1">
        <v>0</v>
      </c>
      <c r="F4779" s="1">
        <v>0</v>
      </c>
      <c r="G4779" s="1">
        <v>0</v>
      </c>
      <c r="H4779" s="1">
        <v>0</v>
      </c>
      <c r="I4779" s="1">
        <v>0</v>
      </c>
    </row>
    <row r="4780" spans="1:9" ht="23.25">
      <c r="A4780" s="5" t="s">
        <v>65</v>
      </c>
      <c r="B4780" s="5"/>
      <c r="C4780" s="5" t="s">
        <v>88</v>
      </c>
      <c r="D4780" s="5"/>
      <c r="E4780" s="1">
        <v>0</v>
      </c>
      <c r="F4780" s="1">
        <v>0</v>
      </c>
      <c r="G4780" s="1">
        <v>0</v>
      </c>
      <c r="H4780" s="1">
        <v>0</v>
      </c>
      <c r="I4780" s="1">
        <v>0</v>
      </c>
    </row>
    <row r="4781" spans="1:9" ht="23.25">
      <c r="A4781" s="5" t="s">
        <v>66</v>
      </c>
      <c r="B4781" s="5"/>
      <c r="C4781" s="5" t="s">
        <v>88</v>
      </c>
      <c r="D4781" s="5"/>
      <c r="E4781" s="1">
        <v>0</v>
      </c>
      <c r="F4781" s="1">
        <v>0</v>
      </c>
      <c r="G4781" s="1">
        <v>0</v>
      </c>
      <c r="H4781" s="1">
        <v>0</v>
      </c>
      <c r="I4781" s="1">
        <v>0</v>
      </c>
    </row>
    <row r="4782" spans="1:9" ht="23.25">
      <c r="A4782" s="5" t="s">
        <v>8</v>
      </c>
      <c r="B4782" s="5"/>
      <c r="C4782" s="5" t="s">
        <v>89</v>
      </c>
      <c r="D4782" s="5"/>
      <c r="E4782" s="1">
        <v>-13309198</v>
      </c>
      <c r="F4782" s="1">
        <v>-10756134</v>
      </c>
      <c r="G4782" s="1">
        <v>-676903</v>
      </c>
      <c r="H4782" s="1">
        <v>-1876161</v>
      </c>
      <c r="I4782" s="1">
        <v>0</v>
      </c>
    </row>
    <row r="4783" spans="1:9" ht="23.25">
      <c r="A4783" s="5" t="s">
        <v>9</v>
      </c>
      <c r="B4783" s="5"/>
      <c r="C4783" s="5" t="s">
        <v>89</v>
      </c>
      <c r="D4783" s="5"/>
      <c r="E4783" s="1">
        <v>-3288063</v>
      </c>
      <c r="F4783" s="1">
        <v>-2251541</v>
      </c>
      <c r="G4783" s="1">
        <v>-555919</v>
      </c>
      <c r="H4783" s="1">
        <v>-480603</v>
      </c>
      <c r="I4783" s="1">
        <v>0</v>
      </c>
    </row>
    <row r="4784" spans="1:9" ht="23.25">
      <c r="A4784" s="5" t="s">
        <v>10</v>
      </c>
      <c r="B4784" s="5"/>
      <c r="C4784" s="5" t="s">
        <v>89</v>
      </c>
      <c r="D4784" s="5"/>
      <c r="E4784" s="1">
        <v>-2818173</v>
      </c>
      <c r="F4784" s="1">
        <v>-2122820</v>
      </c>
      <c r="G4784" s="1">
        <v>-174398</v>
      </c>
      <c r="H4784" s="1">
        <v>-520955</v>
      </c>
      <c r="I4784" s="1">
        <v>0</v>
      </c>
    </row>
    <row r="4785" spans="1:9" ht="23.25">
      <c r="A4785" s="5" t="s">
        <v>11</v>
      </c>
      <c r="B4785" s="5"/>
      <c r="C4785" s="5" t="s">
        <v>89</v>
      </c>
      <c r="D4785" s="5"/>
      <c r="E4785" s="1">
        <v>-2149103</v>
      </c>
      <c r="F4785" s="1">
        <v>-1122621</v>
      </c>
      <c r="G4785" s="1">
        <v>-949787</v>
      </c>
      <c r="H4785" s="1">
        <v>-76695</v>
      </c>
      <c r="I4785" s="1">
        <v>0</v>
      </c>
    </row>
    <row r="4786" spans="1:9" ht="23.25">
      <c r="A4786" s="5" t="s">
        <v>12</v>
      </c>
      <c r="B4786" s="5"/>
      <c r="C4786" s="5" t="s">
        <v>89</v>
      </c>
      <c r="D4786" s="5"/>
      <c r="E4786" s="1">
        <v>-269758503</v>
      </c>
      <c r="F4786" s="1">
        <v>-114494467</v>
      </c>
      <c r="G4786" s="1">
        <v>-139827431</v>
      </c>
      <c r="H4786" s="1">
        <v>-15436605</v>
      </c>
      <c r="I4786" s="1">
        <v>0</v>
      </c>
    </row>
    <row r="4787" spans="1:9" ht="23.25">
      <c r="A4787" s="5" t="s">
        <v>13</v>
      </c>
      <c r="B4787" s="5"/>
      <c r="C4787" s="5" t="s">
        <v>89</v>
      </c>
      <c r="D4787" s="5"/>
      <c r="E4787" s="1">
        <v>-5592363</v>
      </c>
      <c r="F4787" s="1">
        <v>-3338345</v>
      </c>
      <c r="G4787" s="1">
        <v>-1849</v>
      </c>
      <c r="H4787" s="1">
        <v>-2252169</v>
      </c>
      <c r="I4787" s="1">
        <v>0</v>
      </c>
    </row>
    <row r="4788" spans="1:9" ht="23.25">
      <c r="A4788" s="5" t="s">
        <v>14</v>
      </c>
      <c r="B4788" s="5"/>
      <c r="C4788" s="5" t="s">
        <v>89</v>
      </c>
      <c r="D4788" s="5"/>
      <c r="E4788" s="1">
        <v>-14581749</v>
      </c>
      <c r="F4788" s="1">
        <v>-13165354</v>
      </c>
      <c r="G4788" s="1">
        <v>0</v>
      </c>
      <c r="H4788" s="1">
        <v>-1416395</v>
      </c>
      <c r="I4788" s="1">
        <v>0</v>
      </c>
    </row>
    <row r="4789" spans="1:9" ht="23.25">
      <c r="A4789" s="5" t="s">
        <v>15</v>
      </c>
      <c r="B4789" s="5"/>
      <c r="C4789" s="5" t="s">
        <v>89</v>
      </c>
      <c r="D4789" s="5"/>
      <c r="E4789" s="1">
        <v>-26232368</v>
      </c>
      <c r="F4789" s="1">
        <v>-14993310</v>
      </c>
      <c r="G4789" s="1">
        <v>-8180463</v>
      </c>
      <c r="H4789" s="1">
        <v>-3058595</v>
      </c>
      <c r="I4789" s="1">
        <v>0</v>
      </c>
    </row>
    <row r="4790" spans="1:9" ht="23.25">
      <c r="A4790" s="5" t="s">
        <v>16</v>
      </c>
      <c r="B4790" s="5"/>
      <c r="C4790" s="5" t="s">
        <v>89</v>
      </c>
      <c r="D4790" s="5"/>
      <c r="E4790" s="1">
        <v>-43795582</v>
      </c>
      <c r="F4790" s="1">
        <v>-36985660</v>
      </c>
      <c r="G4790" s="1">
        <v>-4414998</v>
      </c>
      <c r="H4790" s="1">
        <v>-2394924</v>
      </c>
      <c r="I4790" s="1">
        <v>0</v>
      </c>
    </row>
    <row r="4791" spans="1:9" ht="23.25">
      <c r="A4791" s="5" t="s">
        <v>17</v>
      </c>
      <c r="B4791" s="5"/>
      <c r="C4791" s="5" t="s">
        <v>89</v>
      </c>
      <c r="D4791" s="5"/>
      <c r="E4791" s="1">
        <v>-6198268</v>
      </c>
      <c r="F4791" s="1">
        <v>-4021847</v>
      </c>
      <c r="G4791" s="1">
        <v>-1697316</v>
      </c>
      <c r="H4791" s="1">
        <v>-479105</v>
      </c>
      <c r="I4791" s="1">
        <v>0</v>
      </c>
    </row>
    <row r="4792" spans="1:9" ht="23.25">
      <c r="A4792" s="5" t="s">
        <v>18</v>
      </c>
      <c r="B4792" s="5"/>
      <c r="C4792" s="5" t="s">
        <v>89</v>
      </c>
      <c r="D4792" s="5"/>
      <c r="E4792" s="1">
        <v>-67908111</v>
      </c>
      <c r="F4792" s="1">
        <v>-31308028</v>
      </c>
      <c r="G4792" s="1">
        <v>-31178009</v>
      </c>
      <c r="H4792" s="1">
        <v>-5422074</v>
      </c>
      <c r="I4792" s="1">
        <v>0</v>
      </c>
    </row>
    <row r="4793" spans="1:9" ht="23.25">
      <c r="A4793" s="5" t="s">
        <v>19</v>
      </c>
      <c r="B4793" s="5"/>
      <c r="C4793" s="5" t="s">
        <v>89</v>
      </c>
      <c r="D4793" s="5"/>
      <c r="E4793" s="1">
        <v>-1696317</v>
      </c>
      <c r="F4793" s="1">
        <v>-877229</v>
      </c>
      <c r="G4793" s="1">
        <v>0</v>
      </c>
      <c r="H4793" s="1">
        <v>-819088</v>
      </c>
      <c r="I4793" s="1">
        <v>0</v>
      </c>
    </row>
    <row r="4794" spans="1:9" ht="23.25">
      <c r="A4794" s="5" t="s">
        <v>20</v>
      </c>
      <c r="B4794" s="5"/>
      <c r="C4794" s="5" t="s">
        <v>89</v>
      </c>
      <c r="D4794" s="5"/>
      <c r="E4794" s="1">
        <v>-1840943</v>
      </c>
      <c r="F4794" s="1">
        <v>-1297161</v>
      </c>
      <c r="G4794" s="1">
        <v>0</v>
      </c>
      <c r="H4794" s="1">
        <v>-543782</v>
      </c>
      <c r="I4794" s="1">
        <v>0</v>
      </c>
    </row>
    <row r="4795" spans="1:9" ht="23.25">
      <c r="A4795" s="5" t="s">
        <v>21</v>
      </c>
      <c r="B4795" s="5"/>
      <c r="C4795" s="5" t="s">
        <v>89</v>
      </c>
      <c r="D4795" s="5"/>
      <c r="E4795" s="1">
        <v>-31493935</v>
      </c>
      <c r="F4795" s="1">
        <v>-9157107</v>
      </c>
      <c r="G4795" s="1">
        <v>-1920783</v>
      </c>
      <c r="H4795" s="1">
        <v>-20416045</v>
      </c>
      <c r="I4795" s="1">
        <v>0</v>
      </c>
    </row>
    <row r="4796" spans="1:9" ht="23.25">
      <c r="A4796" s="5" t="s">
        <v>22</v>
      </c>
      <c r="B4796" s="5"/>
      <c r="C4796" s="5" t="s">
        <v>89</v>
      </c>
      <c r="D4796" s="5"/>
      <c r="E4796" s="1">
        <v>-35893078</v>
      </c>
      <c r="F4796" s="1">
        <v>-13084995</v>
      </c>
      <c r="G4796" s="1">
        <v>-21152829</v>
      </c>
      <c r="H4796" s="1">
        <v>-1655254</v>
      </c>
      <c r="I4796" s="1">
        <v>0</v>
      </c>
    </row>
    <row r="4797" spans="1:9" ht="23.25">
      <c r="A4797" s="5" t="s">
        <v>23</v>
      </c>
      <c r="B4797" s="5"/>
      <c r="C4797" s="5" t="s">
        <v>89</v>
      </c>
      <c r="D4797" s="5"/>
      <c r="E4797" s="1">
        <v>-82740878</v>
      </c>
      <c r="F4797" s="1">
        <v>-39816180</v>
      </c>
      <c r="G4797" s="1">
        <v>-34044951</v>
      </c>
      <c r="H4797" s="1">
        <v>-8879747</v>
      </c>
      <c r="I4797" s="1">
        <v>0</v>
      </c>
    </row>
    <row r="4798" spans="1:9" ht="23.25">
      <c r="A4798" s="5" t="s">
        <v>24</v>
      </c>
      <c r="B4798" s="5"/>
      <c r="C4798" s="5" t="s">
        <v>89</v>
      </c>
      <c r="D4798" s="5"/>
      <c r="E4798" s="1">
        <v>-86709055</v>
      </c>
      <c r="F4798" s="1">
        <v>-36096656</v>
      </c>
      <c r="G4798" s="1">
        <v>-39116970</v>
      </c>
      <c r="H4798" s="1">
        <v>-11495429</v>
      </c>
      <c r="I4798" s="1">
        <v>0</v>
      </c>
    </row>
    <row r="4799" spans="1:9" ht="23.25">
      <c r="A4799" s="5" t="s">
        <v>25</v>
      </c>
      <c r="B4799" s="5"/>
      <c r="C4799" s="5" t="s">
        <v>89</v>
      </c>
      <c r="D4799" s="5"/>
      <c r="E4799" s="1">
        <v>-12493992</v>
      </c>
      <c r="F4799" s="1">
        <v>-5296688</v>
      </c>
      <c r="G4799" s="1">
        <v>-4788649</v>
      </c>
      <c r="H4799" s="1">
        <v>-2408655</v>
      </c>
      <c r="I4799" s="1">
        <v>0</v>
      </c>
    </row>
    <row r="4800" spans="1:9" ht="23.25">
      <c r="A4800" s="5" t="s">
        <v>26</v>
      </c>
      <c r="B4800" s="5"/>
      <c r="C4800" s="5" t="s">
        <v>89</v>
      </c>
      <c r="D4800" s="5"/>
      <c r="E4800" s="1">
        <v>-55971549</v>
      </c>
      <c r="F4800" s="1">
        <v>-25110643</v>
      </c>
      <c r="G4800" s="1">
        <v>-24109300</v>
      </c>
      <c r="H4800" s="1">
        <v>-6751606</v>
      </c>
      <c r="I4800" s="1">
        <v>0</v>
      </c>
    </row>
    <row r="4801" spans="1:9" ht="23.25">
      <c r="A4801" s="5" t="s">
        <v>27</v>
      </c>
      <c r="B4801" s="5"/>
      <c r="C4801" s="5" t="s">
        <v>89</v>
      </c>
      <c r="D4801" s="5"/>
      <c r="E4801" s="1">
        <v>-17069086</v>
      </c>
      <c r="F4801" s="1">
        <v>-8690674</v>
      </c>
      <c r="G4801" s="1">
        <v>-7305285</v>
      </c>
      <c r="H4801" s="1">
        <v>-1073127</v>
      </c>
      <c r="I4801" s="1">
        <v>0</v>
      </c>
    </row>
    <row r="4802" spans="1:9" ht="23.25">
      <c r="A4802" s="5" t="s">
        <v>28</v>
      </c>
      <c r="B4802" s="5"/>
      <c r="C4802" s="5" t="s">
        <v>89</v>
      </c>
      <c r="D4802" s="5"/>
      <c r="E4802" s="1">
        <v>-89868376</v>
      </c>
      <c r="F4802" s="1">
        <v>-41800787</v>
      </c>
      <c r="G4802" s="1">
        <v>-38776919</v>
      </c>
      <c r="H4802" s="1">
        <v>-9290670</v>
      </c>
      <c r="I4802" s="1">
        <v>0</v>
      </c>
    </row>
    <row r="4803" spans="1:9" ht="23.25">
      <c r="A4803" s="5" t="s">
        <v>29</v>
      </c>
      <c r="B4803" s="5"/>
      <c r="C4803" s="5" t="s">
        <v>89</v>
      </c>
      <c r="D4803" s="5"/>
      <c r="E4803" s="1">
        <v>-10825424</v>
      </c>
      <c r="F4803" s="1">
        <v>-4814026</v>
      </c>
      <c r="G4803" s="1">
        <v>-5310511</v>
      </c>
      <c r="H4803" s="1">
        <v>-700887</v>
      </c>
      <c r="I4803" s="1">
        <v>0</v>
      </c>
    </row>
    <row r="4804" spans="1:9" ht="23.25">
      <c r="A4804" s="5" t="s">
        <v>30</v>
      </c>
      <c r="B4804" s="5"/>
      <c r="C4804" s="5" t="s">
        <v>89</v>
      </c>
      <c r="D4804" s="5"/>
      <c r="E4804" s="1">
        <v>-43918449</v>
      </c>
      <c r="F4804" s="1">
        <v>-27553924</v>
      </c>
      <c r="G4804" s="1">
        <v>-13813345</v>
      </c>
      <c r="H4804" s="1">
        <v>-2551180</v>
      </c>
      <c r="I4804" s="1">
        <v>0</v>
      </c>
    </row>
    <row r="4805" spans="1:9" ht="23.25">
      <c r="A4805" s="5" t="s">
        <v>31</v>
      </c>
      <c r="B4805" s="5"/>
      <c r="C4805" s="5" t="s">
        <v>89</v>
      </c>
      <c r="D4805" s="5"/>
      <c r="E4805" s="1">
        <v>-62593331</v>
      </c>
      <c r="F4805" s="1">
        <v>-26922463</v>
      </c>
      <c r="G4805" s="1">
        <v>-33332153</v>
      </c>
      <c r="H4805" s="1">
        <v>-2338715</v>
      </c>
      <c r="I4805" s="1">
        <v>0</v>
      </c>
    </row>
    <row r="4806" spans="1:9" ht="23.25">
      <c r="A4806" s="5" t="s">
        <v>32</v>
      </c>
      <c r="B4806" s="5"/>
      <c r="C4806" s="5" t="s">
        <v>89</v>
      </c>
      <c r="D4806" s="5"/>
      <c r="E4806" s="1">
        <v>-53233976</v>
      </c>
      <c r="F4806" s="1">
        <v>-30012818</v>
      </c>
      <c r="G4806" s="1">
        <v>-17781873</v>
      </c>
      <c r="H4806" s="1">
        <v>-5439285</v>
      </c>
      <c r="I4806" s="1">
        <v>0</v>
      </c>
    </row>
    <row r="4807" spans="1:9" ht="23.25">
      <c r="A4807" s="5" t="s">
        <v>33</v>
      </c>
      <c r="B4807" s="5"/>
      <c r="C4807" s="5" t="s">
        <v>89</v>
      </c>
      <c r="D4807" s="5"/>
      <c r="E4807" s="1">
        <v>-25958029</v>
      </c>
      <c r="F4807" s="1">
        <v>-9395166</v>
      </c>
      <c r="G4807" s="1">
        <v>-15207647</v>
      </c>
      <c r="H4807" s="1">
        <v>-1355216</v>
      </c>
      <c r="I4807" s="1">
        <v>0</v>
      </c>
    </row>
    <row r="4808" spans="1:9" ht="23.25">
      <c r="A4808" s="5" t="s">
        <v>34</v>
      </c>
      <c r="B4808" s="5"/>
      <c r="C4808" s="5" t="s">
        <v>89</v>
      </c>
      <c r="D4808" s="5"/>
      <c r="E4808" s="1">
        <v>-220212824</v>
      </c>
      <c r="F4808" s="1">
        <v>-160445953</v>
      </c>
      <c r="G4808" s="1">
        <v>-39163725</v>
      </c>
      <c r="H4808" s="1">
        <v>-20603146</v>
      </c>
      <c r="I4808" s="1">
        <v>0</v>
      </c>
    </row>
    <row r="4809" spans="1:9" ht="23.25">
      <c r="A4809" s="5" t="s">
        <v>35</v>
      </c>
      <c r="B4809" s="5"/>
      <c r="C4809" s="5" t="s">
        <v>89</v>
      </c>
      <c r="D4809" s="5"/>
      <c r="E4809" s="1">
        <v>-54505583</v>
      </c>
      <c r="F4809" s="1">
        <v>-25406707</v>
      </c>
      <c r="G4809" s="1">
        <v>-21075109</v>
      </c>
      <c r="H4809" s="1">
        <v>-8023767</v>
      </c>
      <c r="I4809" s="1">
        <v>0</v>
      </c>
    </row>
    <row r="4810" spans="1:9" ht="23.25">
      <c r="A4810" s="5" t="s">
        <v>36</v>
      </c>
      <c r="B4810" s="5"/>
      <c r="C4810" s="5" t="s">
        <v>89</v>
      </c>
      <c r="D4810" s="5"/>
      <c r="E4810" s="1">
        <v>-243623641</v>
      </c>
      <c r="F4810" s="1">
        <v>-115310141</v>
      </c>
      <c r="G4810" s="1">
        <v>-117133478</v>
      </c>
      <c r="H4810" s="1">
        <v>-11180022</v>
      </c>
      <c r="I4810" s="1">
        <v>0</v>
      </c>
    </row>
    <row r="4811" spans="1:9" ht="23.25">
      <c r="A4811" s="5" t="s">
        <v>37</v>
      </c>
      <c r="B4811" s="5"/>
      <c r="C4811" s="5" t="s">
        <v>89</v>
      </c>
      <c r="D4811" s="5"/>
      <c r="E4811" s="1">
        <v>-193267838</v>
      </c>
      <c r="F4811" s="1">
        <v>-91155724</v>
      </c>
      <c r="G4811" s="1">
        <v>-86904200</v>
      </c>
      <c r="H4811" s="1">
        <v>-15207914</v>
      </c>
      <c r="I4811" s="1">
        <v>0</v>
      </c>
    </row>
    <row r="4812" spans="1:9" ht="23.25">
      <c r="A4812" s="5" t="s">
        <v>38</v>
      </c>
      <c r="B4812" s="5"/>
      <c r="C4812" s="5" t="s">
        <v>89</v>
      </c>
      <c r="D4812" s="5"/>
      <c r="E4812" s="1">
        <v>-78335595</v>
      </c>
      <c r="F4812" s="1">
        <v>-47807100</v>
      </c>
      <c r="G4812" s="1">
        <v>-20352697</v>
      </c>
      <c r="H4812" s="1">
        <v>-10175798</v>
      </c>
      <c r="I4812" s="1">
        <v>0</v>
      </c>
    </row>
    <row r="4813" spans="1:9" ht="23.25">
      <c r="A4813" s="5" t="s">
        <v>39</v>
      </c>
      <c r="B4813" s="5"/>
      <c r="C4813" s="5" t="s">
        <v>89</v>
      </c>
      <c r="D4813" s="5"/>
      <c r="E4813" s="1">
        <v>-59694955</v>
      </c>
      <c r="F4813" s="1">
        <v>-29728449</v>
      </c>
      <c r="G4813" s="1">
        <v>-24963693</v>
      </c>
      <c r="H4813" s="1">
        <v>-5002813</v>
      </c>
      <c r="I4813" s="1">
        <v>0</v>
      </c>
    </row>
    <row r="4814" spans="1:9" ht="23.25">
      <c r="A4814" s="5" t="s">
        <v>40</v>
      </c>
      <c r="B4814" s="5"/>
      <c r="C4814" s="5" t="s">
        <v>89</v>
      </c>
      <c r="D4814" s="5"/>
      <c r="E4814" s="1">
        <v>-28621107</v>
      </c>
      <c r="F4814" s="1">
        <v>-13607989</v>
      </c>
      <c r="G4814" s="1">
        <v>-11373117</v>
      </c>
      <c r="H4814" s="1">
        <v>-3640001</v>
      </c>
      <c r="I4814" s="1">
        <v>0</v>
      </c>
    </row>
    <row r="4815" spans="1:9" ht="23.25">
      <c r="A4815" s="5" t="s">
        <v>41</v>
      </c>
      <c r="B4815" s="5"/>
      <c r="C4815" s="5" t="s">
        <v>89</v>
      </c>
      <c r="D4815" s="5"/>
      <c r="E4815" s="1">
        <v>-53018960</v>
      </c>
      <c r="F4815" s="1">
        <v>-27842213</v>
      </c>
      <c r="G4815" s="1">
        <v>-20112761</v>
      </c>
      <c r="H4815" s="1">
        <v>-5063986</v>
      </c>
      <c r="I4815" s="1">
        <v>0</v>
      </c>
    </row>
    <row r="4816" spans="1:9" ht="23.25">
      <c r="A4816" s="5" t="s">
        <v>42</v>
      </c>
      <c r="B4816" s="5"/>
      <c r="C4816" s="5" t="s">
        <v>89</v>
      </c>
      <c r="D4816" s="5"/>
      <c r="E4816" s="1">
        <v>-78563821</v>
      </c>
      <c r="F4816" s="1">
        <v>-39355111</v>
      </c>
      <c r="G4816" s="1">
        <v>-30488443</v>
      </c>
      <c r="H4816" s="1">
        <v>-8720267</v>
      </c>
      <c r="I4816" s="1">
        <v>0</v>
      </c>
    </row>
    <row r="4817" spans="1:9" ht="23.25">
      <c r="A4817" s="5" t="s">
        <v>43</v>
      </c>
      <c r="B4817" s="5"/>
      <c r="C4817" s="5" t="s">
        <v>89</v>
      </c>
      <c r="D4817" s="5"/>
      <c r="E4817" s="1">
        <v>-58764582</v>
      </c>
      <c r="F4817" s="1">
        <v>-39762234</v>
      </c>
      <c r="G4817" s="1">
        <v>-17618090</v>
      </c>
      <c r="H4817" s="1">
        <v>-1384258</v>
      </c>
      <c r="I4817" s="1">
        <v>0</v>
      </c>
    </row>
    <row r="4818" spans="1:9" ht="23.25">
      <c r="A4818" s="5" t="s">
        <v>44</v>
      </c>
      <c r="B4818" s="5"/>
      <c r="C4818" s="5" t="s">
        <v>89</v>
      </c>
      <c r="D4818" s="5"/>
      <c r="E4818" s="1">
        <v>-53393971</v>
      </c>
      <c r="F4818" s="1">
        <v>-20892489</v>
      </c>
      <c r="G4818" s="1">
        <v>-29468338</v>
      </c>
      <c r="H4818" s="1">
        <v>-3033144</v>
      </c>
      <c r="I4818" s="1">
        <v>0</v>
      </c>
    </row>
    <row r="4819" spans="1:9" ht="23.25">
      <c r="A4819" s="5" t="s">
        <v>45</v>
      </c>
      <c r="B4819" s="5"/>
      <c r="C4819" s="5" t="s">
        <v>89</v>
      </c>
      <c r="D4819" s="5"/>
      <c r="E4819" s="1">
        <v>-152778621</v>
      </c>
      <c r="F4819" s="1">
        <v>-102624075</v>
      </c>
      <c r="G4819" s="1">
        <v>-37200798</v>
      </c>
      <c r="H4819" s="1">
        <v>-12953748</v>
      </c>
      <c r="I4819" s="1">
        <v>0</v>
      </c>
    </row>
    <row r="4820" spans="1:9" ht="23.25">
      <c r="A4820" s="5" t="s">
        <v>46</v>
      </c>
      <c r="B4820" s="5"/>
      <c r="C4820" s="5" t="s">
        <v>89</v>
      </c>
      <c r="D4820" s="5"/>
      <c r="E4820" s="1">
        <v>-577191941</v>
      </c>
      <c r="F4820" s="1">
        <v>-303621563</v>
      </c>
      <c r="G4820" s="1">
        <v>-226256260</v>
      </c>
      <c r="H4820" s="1">
        <v>-47314118</v>
      </c>
      <c r="I4820" s="1">
        <v>0</v>
      </c>
    </row>
    <row r="4821" spans="1:9" ht="23.25">
      <c r="A4821" s="5" t="s">
        <v>47</v>
      </c>
      <c r="B4821" s="5"/>
      <c r="C4821" s="5" t="s">
        <v>89</v>
      </c>
      <c r="D4821" s="5"/>
      <c r="E4821" s="1">
        <v>-338337618</v>
      </c>
      <c r="F4821" s="1">
        <v>-160472892</v>
      </c>
      <c r="G4821" s="1">
        <v>-157814937</v>
      </c>
      <c r="H4821" s="1">
        <v>-20049789</v>
      </c>
      <c r="I4821" s="1">
        <v>0</v>
      </c>
    </row>
    <row r="4822" spans="1:9" ht="23.25">
      <c r="A4822" s="5" t="s">
        <v>48</v>
      </c>
      <c r="B4822" s="5"/>
      <c r="C4822" s="5" t="s">
        <v>89</v>
      </c>
      <c r="D4822" s="5"/>
      <c r="E4822" s="1">
        <v>-9301015</v>
      </c>
      <c r="F4822" s="1">
        <v>-7145384</v>
      </c>
      <c r="G4822" s="1">
        <v>-990883</v>
      </c>
      <c r="H4822" s="1">
        <v>-1164748</v>
      </c>
      <c r="I4822" s="1">
        <v>0</v>
      </c>
    </row>
    <row r="4823" spans="1:9" ht="23.25">
      <c r="A4823" s="5" t="s">
        <v>49</v>
      </c>
      <c r="B4823" s="5"/>
      <c r="C4823" s="5" t="s">
        <v>89</v>
      </c>
      <c r="D4823" s="5"/>
      <c r="E4823" s="1">
        <v>-20312642</v>
      </c>
      <c r="F4823" s="1">
        <v>-10045245</v>
      </c>
      <c r="G4823" s="1">
        <v>-9326243</v>
      </c>
      <c r="H4823" s="1">
        <v>-941154</v>
      </c>
      <c r="I4823" s="1">
        <v>0</v>
      </c>
    </row>
    <row r="4824" spans="1:9" ht="23.25">
      <c r="A4824" s="5" t="s">
        <v>50</v>
      </c>
      <c r="B4824" s="5"/>
      <c r="C4824" s="5" t="s">
        <v>89</v>
      </c>
      <c r="D4824" s="5"/>
      <c r="E4824" s="1">
        <v>-54890214</v>
      </c>
      <c r="F4824" s="1">
        <v>-28799344</v>
      </c>
      <c r="G4824" s="1">
        <v>-22976201</v>
      </c>
      <c r="H4824" s="1">
        <v>-3114669</v>
      </c>
      <c r="I4824" s="1">
        <v>0</v>
      </c>
    </row>
    <row r="4825" spans="1:9" ht="23.25">
      <c r="A4825" s="5" t="s">
        <v>51</v>
      </c>
      <c r="B4825" s="5"/>
      <c r="C4825" s="5" t="s">
        <v>89</v>
      </c>
      <c r="D4825" s="5"/>
      <c r="E4825" s="1">
        <v>-213659865</v>
      </c>
      <c r="F4825" s="1">
        <v>-96610091</v>
      </c>
      <c r="G4825" s="1">
        <v>-109460565</v>
      </c>
      <c r="H4825" s="1">
        <v>-7589209</v>
      </c>
      <c r="I4825" s="1">
        <v>0</v>
      </c>
    </row>
    <row r="4826" spans="1:9" ht="23.25">
      <c r="A4826" s="5" t="s">
        <v>52</v>
      </c>
      <c r="B4826" s="5"/>
      <c r="C4826" s="5" t="s">
        <v>89</v>
      </c>
      <c r="D4826" s="5"/>
      <c r="E4826" s="1">
        <v>-14523894</v>
      </c>
      <c r="F4826" s="1">
        <v>-5223352</v>
      </c>
      <c r="G4826" s="1">
        <v>-7959250</v>
      </c>
      <c r="H4826" s="1">
        <v>-1341292</v>
      </c>
      <c r="I4826" s="1">
        <v>0</v>
      </c>
    </row>
    <row r="4827" spans="1:9" ht="23.25">
      <c r="A4827" s="5" t="s">
        <v>53</v>
      </c>
      <c r="B4827" s="5"/>
      <c r="C4827" s="5" t="s">
        <v>89</v>
      </c>
      <c r="D4827" s="5"/>
      <c r="E4827" s="1">
        <v>0</v>
      </c>
      <c r="F4827" s="1">
        <v>0</v>
      </c>
      <c r="G4827" s="1">
        <v>0</v>
      </c>
      <c r="H4827" s="1">
        <v>0</v>
      </c>
      <c r="I4827" s="1">
        <v>0</v>
      </c>
    </row>
    <row r="4828" spans="1:9" ht="23.25">
      <c r="A4828" s="5" t="s">
        <v>54</v>
      </c>
      <c r="B4828" s="5"/>
      <c r="C4828" s="5" t="s">
        <v>89</v>
      </c>
      <c r="D4828" s="5"/>
      <c r="E4828" s="1">
        <v>-3674</v>
      </c>
      <c r="F4828" s="1">
        <v>0</v>
      </c>
      <c r="G4828" s="1">
        <v>0</v>
      </c>
      <c r="H4828" s="1">
        <v>-3674</v>
      </c>
      <c r="I4828" s="1">
        <v>0</v>
      </c>
    </row>
    <row r="4829" spans="1:9" ht="23.25">
      <c r="A4829" s="5" t="s">
        <v>55</v>
      </c>
      <c r="B4829" s="5"/>
      <c r="C4829" s="5" t="s">
        <v>89</v>
      </c>
      <c r="D4829" s="5"/>
      <c r="E4829" s="1">
        <v>0</v>
      </c>
      <c r="F4829" s="1">
        <v>0</v>
      </c>
      <c r="G4829" s="1">
        <v>0</v>
      </c>
      <c r="H4829" s="1">
        <v>0</v>
      </c>
      <c r="I4829" s="1">
        <v>0</v>
      </c>
    </row>
    <row r="4830" spans="1:9" ht="23.25">
      <c r="A4830" s="5" t="s">
        <v>56</v>
      </c>
      <c r="B4830" s="5"/>
      <c r="C4830" s="5" t="s">
        <v>89</v>
      </c>
      <c r="D4830" s="5"/>
      <c r="E4830" s="1">
        <v>3275299776</v>
      </c>
      <c r="F4830" s="1">
        <v>1840342700</v>
      </c>
      <c r="G4830" s="1">
        <v>1434957076</v>
      </c>
      <c r="H4830" s="1">
        <v>0</v>
      </c>
      <c r="I4830" s="1">
        <v>0</v>
      </c>
    </row>
    <row r="4831" spans="1:9" ht="23.25">
      <c r="A4831" s="5" t="s">
        <v>57</v>
      </c>
      <c r="B4831" s="5"/>
      <c r="C4831" s="5" t="s">
        <v>89</v>
      </c>
      <c r="D4831" s="5"/>
      <c r="E4831" s="1">
        <v>0</v>
      </c>
      <c r="F4831" s="1">
        <v>0</v>
      </c>
      <c r="G4831" s="1">
        <v>0</v>
      </c>
      <c r="H4831" s="1">
        <v>0</v>
      </c>
      <c r="I4831" s="1">
        <v>0</v>
      </c>
    </row>
    <row r="4832" spans="1:9" ht="23.25">
      <c r="A4832" s="5" t="s">
        <v>58</v>
      </c>
      <c r="B4832" s="5"/>
      <c r="C4832" s="5" t="s">
        <v>89</v>
      </c>
      <c r="D4832" s="5"/>
      <c r="E4832" s="1">
        <v>295640484</v>
      </c>
      <c r="F4832" s="1">
        <v>0</v>
      </c>
      <c r="G4832" s="1">
        <v>0</v>
      </c>
      <c r="H4832" s="1">
        <v>295640484</v>
      </c>
      <c r="I4832" s="1">
        <v>0</v>
      </c>
    </row>
    <row r="4833" spans="1:9" ht="23.25">
      <c r="A4833" s="5" t="s">
        <v>59</v>
      </c>
      <c r="B4833" s="5"/>
      <c r="C4833" s="5" t="s">
        <v>89</v>
      </c>
      <c r="D4833" s="5"/>
      <c r="E4833" s="1">
        <v>0</v>
      </c>
      <c r="F4833" s="1">
        <v>0</v>
      </c>
      <c r="G4833" s="1">
        <v>0</v>
      </c>
      <c r="H4833" s="1">
        <v>0</v>
      </c>
      <c r="I4833" s="1">
        <v>0</v>
      </c>
    </row>
    <row r="4834" spans="1:9" ht="23.25">
      <c r="A4834" s="5" t="s">
        <v>60</v>
      </c>
      <c r="B4834" s="5"/>
      <c r="C4834" s="5" t="s">
        <v>89</v>
      </c>
      <c r="D4834" s="5"/>
      <c r="E4834" s="1">
        <v>0</v>
      </c>
      <c r="F4834" s="1">
        <v>0</v>
      </c>
      <c r="G4834" s="1">
        <v>0</v>
      </c>
      <c r="H4834" s="1">
        <v>0</v>
      </c>
      <c r="I4834" s="1">
        <v>0</v>
      </c>
    </row>
    <row r="4835" spans="1:9" ht="23.25">
      <c r="A4835" s="5" t="s">
        <v>61</v>
      </c>
      <c r="B4835" s="5"/>
      <c r="C4835" s="5" t="s">
        <v>89</v>
      </c>
      <c r="D4835" s="5"/>
      <c r="E4835" s="1">
        <v>0</v>
      </c>
      <c r="F4835" s="1">
        <v>0</v>
      </c>
      <c r="G4835" s="1">
        <v>0</v>
      </c>
      <c r="H4835" s="1">
        <v>0</v>
      </c>
      <c r="I4835" s="1">
        <v>0</v>
      </c>
    </row>
    <row r="4836" spans="1:9" ht="23.25">
      <c r="A4836" s="5" t="s">
        <v>62</v>
      </c>
      <c r="B4836" s="5"/>
      <c r="C4836" s="5" t="s">
        <v>89</v>
      </c>
      <c r="D4836" s="5"/>
      <c r="E4836" s="1">
        <v>0</v>
      </c>
      <c r="F4836" s="1">
        <v>0</v>
      </c>
      <c r="G4836" s="1">
        <v>0</v>
      </c>
      <c r="H4836" s="1">
        <v>0</v>
      </c>
      <c r="I4836" s="1">
        <v>0</v>
      </c>
    </row>
    <row r="4837" spans="1:9" ht="23.25">
      <c r="A4837" s="5" t="s">
        <v>63</v>
      </c>
      <c r="B4837" s="5"/>
      <c r="C4837" s="5" t="s">
        <v>89</v>
      </c>
      <c r="D4837" s="5"/>
      <c r="E4837" s="1">
        <v>0</v>
      </c>
      <c r="F4837" s="1">
        <v>0</v>
      </c>
      <c r="G4837" s="1">
        <v>0</v>
      </c>
      <c r="H4837" s="1">
        <v>0</v>
      </c>
      <c r="I4837" s="1">
        <v>0</v>
      </c>
    </row>
    <row r="4838" spans="1:9" ht="23.25">
      <c r="A4838" s="5" t="s">
        <v>64</v>
      </c>
      <c r="B4838" s="5"/>
      <c r="C4838" s="5" t="s">
        <v>89</v>
      </c>
      <c r="D4838" s="5"/>
      <c r="E4838" s="1">
        <v>0</v>
      </c>
      <c r="F4838" s="1">
        <v>0</v>
      </c>
      <c r="G4838" s="1">
        <v>0</v>
      </c>
      <c r="H4838" s="1">
        <v>0</v>
      </c>
      <c r="I4838" s="1">
        <v>0</v>
      </c>
    </row>
    <row r="4839" spans="1:9" ht="23.25">
      <c r="A4839" s="5" t="s">
        <v>65</v>
      </c>
      <c r="B4839" s="5"/>
      <c r="C4839" s="5" t="s">
        <v>89</v>
      </c>
      <c r="D4839" s="5"/>
      <c r="E4839" s="1">
        <v>0</v>
      </c>
      <c r="F4839" s="1">
        <v>0</v>
      </c>
      <c r="G4839" s="1">
        <v>0</v>
      </c>
      <c r="H4839" s="1">
        <v>0</v>
      </c>
      <c r="I4839" s="1">
        <v>0</v>
      </c>
    </row>
    <row r="4840" spans="1:9" ht="23.25">
      <c r="A4840" s="5" t="s">
        <v>66</v>
      </c>
      <c r="B4840" s="5"/>
      <c r="C4840" s="5" t="s">
        <v>89</v>
      </c>
      <c r="D4840" s="5"/>
      <c r="E4840" s="1">
        <v>0</v>
      </c>
      <c r="F4840" s="1">
        <v>0</v>
      </c>
      <c r="G4840" s="1">
        <v>0</v>
      </c>
      <c r="H4840" s="1">
        <v>0</v>
      </c>
      <c r="I4840" s="1">
        <v>0</v>
      </c>
    </row>
    <row r="4841" spans="1:9" ht="23.25">
      <c r="A4841" s="5" t="s">
        <v>8</v>
      </c>
      <c r="B4841" s="5"/>
      <c r="C4841" s="5" t="s">
        <v>90</v>
      </c>
      <c r="D4841" s="5"/>
      <c r="E4841" s="1">
        <v>300805457</v>
      </c>
      <c r="F4841" s="1">
        <v>0</v>
      </c>
      <c r="G4841" s="1">
        <v>0</v>
      </c>
      <c r="H4841" s="1">
        <v>0</v>
      </c>
      <c r="I4841" s="1">
        <v>0</v>
      </c>
    </row>
    <row r="4842" spans="1:9" ht="23.25">
      <c r="A4842" s="5" t="s">
        <v>9</v>
      </c>
      <c r="B4842" s="5"/>
      <c r="C4842" s="5" t="s">
        <v>90</v>
      </c>
      <c r="D4842" s="5"/>
      <c r="E4842" s="1">
        <v>41908055</v>
      </c>
      <c r="F4842" s="1">
        <v>0</v>
      </c>
      <c r="G4842" s="1">
        <v>0</v>
      </c>
      <c r="H4842" s="1">
        <v>0</v>
      </c>
      <c r="I4842" s="1">
        <v>0</v>
      </c>
    </row>
    <row r="4843" spans="1:9" ht="23.25">
      <c r="A4843" s="5" t="s">
        <v>10</v>
      </c>
      <c r="B4843" s="5"/>
      <c r="C4843" s="5" t="s">
        <v>90</v>
      </c>
      <c r="D4843" s="5"/>
      <c r="E4843" s="1">
        <v>74000253</v>
      </c>
      <c r="F4843" s="1">
        <v>0</v>
      </c>
      <c r="G4843" s="1">
        <v>0</v>
      </c>
      <c r="H4843" s="1">
        <v>0</v>
      </c>
      <c r="I4843" s="1">
        <v>0</v>
      </c>
    </row>
    <row r="4844" spans="1:9" ht="23.25">
      <c r="A4844" s="5" t="s">
        <v>11</v>
      </c>
      <c r="B4844" s="5"/>
      <c r="C4844" s="5" t="s">
        <v>90</v>
      </c>
      <c r="D4844" s="5"/>
      <c r="E4844" s="1">
        <v>4382638</v>
      </c>
      <c r="F4844" s="1">
        <v>0</v>
      </c>
      <c r="G4844" s="1">
        <v>0</v>
      </c>
      <c r="H4844" s="1">
        <v>0</v>
      </c>
      <c r="I4844" s="1">
        <v>0</v>
      </c>
    </row>
    <row r="4845" spans="1:9" ht="23.25">
      <c r="A4845" s="5" t="s">
        <v>12</v>
      </c>
      <c r="B4845" s="5"/>
      <c r="C4845" s="5" t="s">
        <v>90</v>
      </c>
      <c r="D4845" s="5"/>
      <c r="E4845" s="1">
        <v>645639471</v>
      </c>
      <c r="F4845" s="1">
        <v>0</v>
      </c>
      <c r="G4845" s="1">
        <v>0</v>
      </c>
      <c r="H4845" s="1">
        <v>0</v>
      </c>
      <c r="I4845" s="1">
        <v>0</v>
      </c>
    </row>
    <row r="4846" spans="1:9" ht="23.25">
      <c r="A4846" s="5" t="s">
        <v>13</v>
      </c>
      <c r="B4846" s="5"/>
      <c r="C4846" s="5" t="s">
        <v>90</v>
      </c>
      <c r="D4846" s="5"/>
      <c r="E4846" s="1">
        <v>67805401</v>
      </c>
      <c r="F4846" s="1">
        <v>0</v>
      </c>
      <c r="G4846" s="1">
        <v>0</v>
      </c>
      <c r="H4846" s="1">
        <v>0</v>
      </c>
      <c r="I4846" s="1">
        <v>0</v>
      </c>
    </row>
    <row r="4847" spans="1:9" ht="23.25">
      <c r="A4847" s="5" t="s">
        <v>14</v>
      </c>
      <c r="B4847" s="5"/>
      <c r="C4847" s="5" t="s">
        <v>90</v>
      </c>
      <c r="D4847" s="5"/>
      <c r="E4847" s="1">
        <v>221042403</v>
      </c>
      <c r="F4847" s="1">
        <v>0</v>
      </c>
      <c r="G4847" s="1">
        <v>0</v>
      </c>
      <c r="H4847" s="1">
        <v>0</v>
      </c>
      <c r="I4847" s="1">
        <v>0</v>
      </c>
    </row>
    <row r="4848" spans="1:9" ht="23.25">
      <c r="A4848" s="5" t="s">
        <v>15</v>
      </c>
      <c r="B4848" s="5"/>
      <c r="C4848" s="5" t="s">
        <v>90</v>
      </c>
      <c r="D4848" s="5"/>
      <c r="E4848" s="1">
        <v>198730045</v>
      </c>
      <c r="F4848" s="1">
        <v>0</v>
      </c>
      <c r="G4848" s="1">
        <v>0</v>
      </c>
      <c r="H4848" s="1">
        <v>0</v>
      </c>
      <c r="I4848" s="1">
        <v>0</v>
      </c>
    </row>
    <row r="4849" spans="1:9" ht="23.25">
      <c r="A4849" s="5" t="s">
        <v>16</v>
      </c>
      <c r="B4849" s="5"/>
      <c r="C4849" s="5" t="s">
        <v>90</v>
      </c>
      <c r="D4849" s="5"/>
      <c r="E4849" s="1">
        <v>414580102</v>
      </c>
      <c r="F4849" s="1">
        <v>0</v>
      </c>
      <c r="G4849" s="1">
        <v>0</v>
      </c>
      <c r="H4849" s="1">
        <v>0</v>
      </c>
      <c r="I4849" s="1">
        <v>0</v>
      </c>
    </row>
    <row r="4850" spans="1:9" ht="23.25">
      <c r="A4850" s="5" t="s">
        <v>17</v>
      </c>
      <c r="B4850" s="5"/>
      <c r="C4850" s="5" t="s">
        <v>90</v>
      </c>
      <c r="D4850" s="5"/>
      <c r="E4850" s="1">
        <v>24034788</v>
      </c>
      <c r="F4850" s="1">
        <v>0</v>
      </c>
      <c r="G4850" s="1">
        <v>0</v>
      </c>
      <c r="H4850" s="1">
        <v>0</v>
      </c>
      <c r="I4850" s="1">
        <v>0</v>
      </c>
    </row>
    <row r="4851" spans="1:9" ht="23.25">
      <c r="A4851" s="5" t="s">
        <v>18</v>
      </c>
      <c r="B4851" s="5"/>
      <c r="C4851" s="5" t="s">
        <v>90</v>
      </c>
      <c r="D4851" s="5"/>
      <c r="E4851" s="1">
        <v>200006620</v>
      </c>
      <c r="F4851" s="1">
        <v>0</v>
      </c>
      <c r="G4851" s="1">
        <v>0</v>
      </c>
      <c r="H4851" s="1">
        <v>0</v>
      </c>
      <c r="I4851" s="1">
        <v>0</v>
      </c>
    </row>
    <row r="4852" spans="1:9" ht="23.25">
      <c r="A4852" s="5" t="s">
        <v>19</v>
      </c>
      <c r="B4852" s="5"/>
      <c r="C4852" s="5" t="s">
        <v>90</v>
      </c>
      <c r="D4852" s="5"/>
      <c r="E4852" s="1">
        <v>366401666</v>
      </c>
      <c r="F4852" s="1">
        <v>0</v>
      </c>
      <c r="G4852" s="1">
        <v>0</v>
      </c>
      <c r="H4852" s="1">
        <v>0</v>
      </c>
      <c r="I4852" s="1">
        <v>0</v>
      </c>
    </row>
    <row r="4853" spans="1:9" ht="23.25">
      <c r="A4853" s="5" t="s">
        <v>20</v>
      </c>
      <c r="B4853" s="5"/>
      <c r="C4853" s="5" t="s">
        <v>90</v>
      </c>
      <c r="D4853" s="5"/>
      <c r="E4853" s="1">
        <v>188947</v>
      </c>
      <c r="F4853" s="1">
        <v>0</v>
      </c>
      <c r="G4853" s="1">
        <v>0</v>
      </c>
      <c r="H4853" s="1">
        <v>0</v>
      </c>
      <c r="I4853" s="1">
        <v>0</v>
      </c>
    </row>
    <row r="4854" spans="1:9" ht="23.25">
      <c r="A4854" s="5" t="s">
        <v>21</v>
      </c>
      <c r="B4854" s="5"/>
      <c r="C4854" s="5" t="s">
        <v>90</v>
      </c>
      <c r="D4854" s="5"/>
      <c r="E4854" s="1">
        <v>128619782</v>
      </c>
      <c r="F4854" s="1">
        <v>0</v>
      </c>
      <c r="G4854" s="1">
        <v>0</v>
      </c>
      <c r="H4854" s="1">
        <v>0</v>
      </c>
      <c r="I4854" s="1">
        <v>0</v>
      </c>
    </row>
    <row r="4855" spans="1:9" ht="23.25">
      <c r="A4855" s="5" t="s">
        <v>22</v>
      </c>
      <c r="B4855" s="5"/>
      <c r="C4855" s="5" t="s">
        <v>90</v>
      </c>
      <c r="D4855" s="5"/>
      <c r="E4855" s="1">
        <v>528708608</v>
      </c>
      <c r="F4855" s="1">
        <v>0</v>
      </c>
      <c r="G4855" s="1">
        <v>0</v>
      </c>
      <c r="H4855" s="1">
        <v>0</v>
      </c>
      <c r="I4855" s="1">
        <v>0</v>
      </c>
    </row>
    <row r="4856" spans="1:9" ht="23.25">
      <c r="A4856" s="5" t="s">
        <v>23</v>
      </c>
      <c r="B4856" s="5"/>
      <c r="C4856" s="5" t="s">
        <v>90</v>
      </c>
      <c r="D4856" s="5"/>
      <c r="E4856" s="1">
        <v>770908850</v>
      </c>
      <c r="F4856" s="1">
        <v>0</v>
      </c>
      <c r="G4856" s="1">
        <v>0</v>
      </c>
      <c r="H4856" s="1">
        <v>0</v>
      </c>
      <c r="I4856" s="1">
        <v>0</v>
      </c>
    </row>
    <row r="4857" spans="1:9" ht="23.25">
      <c r="A4857" s="5" t="s">
        <v>24</v>
      </c>
      <c r="B4857" s="5"/>
      <c r="C4857" s="5" t="s">
        <v>90</v>
      </c>
      <c r="D4857" s="5"/>
      <c r="E4857" s="1">
        <v>526833171</v>
      </c>
      <c r="F4857" s="1">
        <v>0</v>
      </c>
      <c r="G4857" s="1">
        <v>0</v>
      </c>
      <c r="H4857" s="1">
        <v>0</v>
      </c>
      <c r="I4857" s="1">
        <v>0</v>
      </c>
    </row>
    <row r="4858" spans="1:9" ht="23.25">
      <c r="A4858" s="5" t="s">
        <v>25</v>
      </c>
      <c r="B4858" s="5"/>
      <c r="C4858" s="5" t="s">
        <v>90</v>
      </c>
      <c r="D4858" s="5"/>
      <c r="E4858" s="1">
        <v>150131346</v>
      </c>
      <c r="F4858" s="1">
        <v>0</v>
      </c>
      <c r="G4858" s="1">
        <v>0</v>
      </c>
      <c r="H4858" s="1">
        <v>0</v>
      </c>
      <c r="I4858" s="1">
        <v>0</v>
      </c>
    </row>
    <row r="4859" spans="1:9" ht="23.25">
      <c r="A4859" s="5" t="s">
        <v>26</v>
      </c>
      <c r="B4859" s="5"/>
      <c r="C4859" s="5" t="s">
        <v>90</v>
      </c>
      <c r="D4859" s="5"/>
      <c r="E4859" s="1">
        <v>304173412</v>
      </c>
      <c r="F4859" s="1">
        <v>0</v>
      </c>
      <c r="G4859" s="1">
        <v>0</v>
      </c>
      <c r="H4859" s="1">
        <v>0</v>
      </c>
      <c r="I4859" s="1">
        <v>0</v>
      </c>
    </row>
    <row r="4860" spans="1:9" ht="23.25">
      <c r="A4860" s="5" t="s">
        <v>27</v>
      </c>
      <c r="B4860" s="5"/>
      <c r="C4860" s="5" t="s">
        <v>90</v>
      </c>
      <c r="D4860" s="5"/>
      <c r="E4860" s="1">
        <v>71308883</v>
      </c>
      <c r="F4860" s="1">
        <v>0</v>
      </c>
      <c r="G4860" s="1">
        <v>0</v>
      </c>
      <c r="H4860" s="1">
        <v>0</v>
      </c>
      <c r="I4860" s="1">
        <v>0</v>
      </c>
    </row>
    <row r="4861" spans="1:9" ht="23.25">
      <c r="A4861" s="5" t="s">
        <v>28</v>
      </c>
      <c r="B4861" s="5"/>
      <c r="C4861" s="5" t="s">
        <v>90</v>
      </c>
      <c r="D4861" s="5"/>
      <c r="E4861" s="1">
        <v>557946323</v>
      </c>
      <c r="F4861" s="1">
        <v>0</v>
      </c>
      <c r="G4861" s="1">
        <v>0</v>
      </c>
      <c r="H4861" s="1">
        <v>0</v>
      </c>
      <c r="I4861" s="1">
        <v>0</v>
      </c>
    </row>
    <row r="4862" spans="1:9" ht="23.25">
      <c r="A4862" s="5" t="s">
        <v>29</v>
      </c>
      <c r="B4862" s="5"/>
      <c r="C4862" s="5" t="s">
        <v>90</v>
      </c>
      <c r="D4862" s="5"/>
      <c r="E4862" s="1">
        <v>50115905</v>
      </c>
      <c r="F4862" s="1">
        <v>0</v>
      </c>
      <c r="G4862" s="1">
        <v>0</v>
      </c>
      <c r="H4862" s="1">
        <v>0</v>
      </c>
      <c r="I4862" s="1">
        <v>0</v>
      </c>
    </row>
    <row r="4863" spans="1:9" ht="23.25">
      <c r="A4863" s="5" t="s">
        <v>30</v>
      </c>
      <c r="B4863" s="5"/>
      <c r="C4863" s="5" t="s">
        <v>90</v>
      </c>
      <c r="D4863" s="5"/>
      <c r="E4863" s="1">
        <v>187820243</v>
      </c>
      <c r="F4863" s="1">
        <v>0</v>
      </c>
      <c r="G4863" s="1">
        <v>0</v>
      </c>
      <c r="H4863" s="1">
        <v>0</v>
      </c>
      <c r="I4863" s="1">
        <v>0</v>
      </c>
    </row>
    <row r="4864" spans="1:9" ht="23.25">
      <c r="A4864" s="5" t="s">
        <v>31</v>
      </c>
      <c r="B4864" s="5"/>
      <c r="C4864" s="5" t="s">
        <v>90</v>
      </c>
      <c r="D4864" s="5"/>
      <c r="E4864" s="1">
        <v>291830405</v>
      </c>
      <c r="F4864" s="1">
        <v>0</v>
      </c>
      <c r="G4864" s="1">
        <v>0</v>
      </c>
      <c r="H4864" s="1">
        <v>0</v>
      </c>
      <c r="I4864" s="1">
        <v>0</v>
      </c>
    </row>
    <row r="4865" spans="1:9" ht="23.25">
      <c r="A4865" s="5" t="s">
        <v>32</v>
      </c>
      <c r="B4865" s="5"/>
      <c r="C4865" s="5" t="s">
        <v>90</v>
      </c>
      <c r="D4865" s="5"/>
      <c r="E4865" s="1">
        <v>200582571</v>
      </c>
      <c r="F4865" s="1">
        <v>0</v>
      </c>
      <c r="G4865" s="1">
        <v>0</v>
      </c>
      <c r="H4865" s="1">
        <v>0</v>
      </c>
      <c r="I4865" s="1">
        <v>0</v>
      </c>
    </row>
    <row r="4866" spans="1:9" ht="23.25">
      <c r="A4866" s="5" t="s">
        <v>33</v>
      </c>
      <c r="B4866" s="5"/>
      <c r="C4866" s="5" t="s">
        <v>90</v>
      </c>
      <c r="D4866" s="5"/>
      <c r="E4866" s="1">
        <v>78315320</v>
      </c>
      <c r="F4866" s="1">
        <v>0</v>
      </c>
      <c r="G4866" s="1">
        <v>0</v>
      </c>
      <c r="H4866" s="1">
        <v>0</v>
      </c>
      <c r="I4866" s="1">
        <v>0</v>
      </c>
    </row>
    <row r="4867" spans="1:9" ht="23.25">
      <c r="A4867" s="5" t="s">
        <v>34</v>
      </c>
      <c r="B4867" s="5"/>
      <c r="C4867" s="5" t="s">
        <v>90</v>
      </c>
      <c r="D4867" s="5"/>
      <c r="E4867" s="1">
        <v>835162844</v>
      </c>
      <c r="F4867" s="1">
        <v>0</v>
      </c>
      <c r="G4867" s="1">
        <v>0</v>
      </c>
      <c r="H4867" s="1">
        <v>0</v>
      </c>
      <c r="I4867" s="1">
        <v>0</v>
      </c>
    </row>
    <row r="4868" spans="1:9" ht="23.25">
      <c r="A4868" s="5" t="s">
        <v>35</v>
      </c>
      <c r="B4868" s="5"/>
      <c r="C4868" s="5" t="s">
        <v>90</v>
      </c>
      <c r="D4868" s="5"/>
      <c r="E4868" s="1">
        <v>70240032</v>
      </c>
      <c r="F4868" s="1">
        <v>0</v>
      </c>
      <c r="G4868" s="1">
        <v>0</v>
      </c>
      <c r="H4868" s="1">
        <v>0</v>
      </c>
      <c r="I4868" s="1">
        <v>0</v>
      </c>
    </row>
    <row r="4869" spans="1:9" ht="23.25">
      <c r="A4869" s="5" t="s">
        <v>36</v>
      </c>
      <c r="B4869" s="5"/>
      <c r="C4869" s="5" t="s">
        <v>90</v>
      </c>
      <c r="D4869" s="5"/>
      <c r="E4869" s="1">
        <v>472756822</v>
      </c>
      <c r="F4869" s="1">
        <v>0</v>
      </c>
      <c r="G4869" s="1">
        <v>0</v>
      </c>
      <c r="H4869" s="1">
        <v>0</v>
      </c>
      <c r="I4869" s="1">
        <v>0</v>
      </c>
    </row>
    <row r="4870" spans="1:9" ht="23.25">
      <c r="A4870" s="5" t="s">
        <v>37</v>
      </c>
      <c r="B4870" s="5"/>
      <c r="C4870" s="5" t="s">
        <v>90</v>
      </c>
      <c r="D4870" s="5"/>
      <c r="E4870" s="1">
        <v>1262474068</v>
      </c>
      <c r="F4870" s="1">
        <v>0</v>
      </c>
      <c r="G4870" s="1">
        <v>0</v>
      </c>
      <c r="H4870" s="1">
        <v>0</v>
      </c>
      <c r="I4870" s="1">
        <v>0</v>
      </c>
    </row>
    <row r="4871" spans="1:9" ht="23.25">
      <c r="A4871" s="5" t="s">
        <v>38</v>
      </c>
      <c r="B4871" s="5"/>
      <c r="C4871" s="5" t="s">
        <v>90</v>
      </c>
      <c r="D4871" s="5"/>
      <c r="E4871" s="1">
        <v>365360836</v>
      </c>
      <c r="F4871" s="1">
        <v>0</v>
      </c>
      <c r="G4871" s="1">
        <v>0</v>
      </c>
      <c r="H4871" s="1">
        <v>0</v>
      </c>
      <c r="I4871" s="1">
        <v>0</v>
      </c>
    </row>
    <row r="4872" spans="1:9" ht="23.25">
      <c r="A4872" s="5" t="s">
        <v>39</v>
      </c>
      <c r="B4872" s="5"/>
      <c r="C4872" s="5" t="s">
        <v>90</v>
      </c>
      <c r="D4872" s="5"/>
      <c r="E4872" s="1">
        <v>500929197</v>
      </c>
      <c r="F4872" s="1">
        <v>0</v>
      </c>
      <c r="G4872" s="1">
        <v>0</v>
      </c>
      <c r="H4872" s="1">
        <v>0</v>
      </c>
      <c r="I4872" s="1">
        <v>0</v>
      </c>
    </row>
    <row r="4873" spans="1:9" ht="23.25">
      <c r="A4873" s="5" t="s">
        <v>40</v>
      </c>
      <c r="B4873" s="5"/>
      <c r="C4873" s="5" t="s">
        <v>90</v>
      </c>
      <c r="D4873" s="5"/>
      <c r="E4873" s="1">
        <v>206232636</v>
      </c>
      <c r="F4873" s="1">
        <v>0</v>
      </c>
      <c r="G4873" s="1">
        <v>0</v>
      </c>
      <c r="H4873" s="1">
        <v>0</v>
      </c>
      <c r="I4873" s="1">
        <v>0</v>
      </c>
    </row>
    <row r="4874" spans="1:9" ht="23.25">
      <c r="A4874" s="5" t="s">
        <v>41</v>
      </c>
      <c r="B4874" s="5"/>
      <c r="C4874" s="5" t="s">
        <v>90</v>
      </c>
      <c r="D4874" s="5"/>
      <c r="E4874" s="1">
        <v>281633963</v>
      </c>
      <c r="F4874" s="1">
        <v>0</v>
      </c>
      <c r="G4874" s="1">
        <v>0</v>
      </c>
      <c r="H4874" s="1">
        <v>0</v>
      </c>
      <c r="I4874" s="1">
        <v>0</v>
      </c>
    </row>
    <row r="4875" spans="1:9" ht="23.25">
      <c r="A4875" s="5" t="s">
        <v>42</v>
      </c>
      <c r="B4875" s="5"/>
      <c r="C4875" s="5" t="s">
        <v>90</v>
      </c>
      <c r="D4875" s="5"/>
      <c r="E4875" s="1">
        <v>261753647</v>
      </c>
      <c r="F4875" s="1">
        <v>0</v>
      </c>
      <c r="G4875" s="1">
        <v>0</v>
      </c>
      <c r="H4875" s="1">
        <v>0</v>
      </c>
      <c r="I4875" s="1">
        <v>0</v>
      </c>
    </row>
    <row r="4876" spans="1:9" ht="23.25">
      <c r="A4876" s="5" t="s">
        <v>43</v>
      </c>
      <c r="B4876" s="5"/>
      <c r="C4876" s="5" t="s">
        <v>90</v>
      </c>
      <c r="D4876" s="5"/>
      <c r="E4876" s="1">
        <v>138423162</v>
      </c>
      <c r="F4876" s="1">
        <v>0</v>
      </c>
      <c r="G4876" s="1">
        <v>0</v>
      </c>
      <c r="H4876" s="1">
        <v>0</v>
      </c>
      <c r="I4876" s="1">
        <v>0</v>
      </c>
    </row>
    <row r="4877" spans="1:9" ht="23.25">
      <c r="A4877" s="5" t="s">
        <v>44</v>
      </c>
      <c r="B4877" s="5"/>
      <c r="C4877" s="5" t="s">
        <v>90</v>
      </c>
      <c r="D4877" s="5"/>
      <c r="E4877" s="1">
        <v>510119284</v>
      </c>
      <c r="F4877" s="1">
        <v>0</v>
      </c>
      <c r="G4877" s="1">
        <v>0</v>
      </c>
      <c r="H4877" s="1">
        <v>0</v>
      </c>
      <c r="I4877" s="1">
        <v>0</v>
      </c>
    </row>
    <row r="4878" spans="1:9" ht="23.25">
      <c r="A4878" s="5" t="s">
        <v>45</v>
      </c>
      <c r="B4878" s="5"/>
      <c r="C4878" s="5" t="s">
        <v>90</v>
      </c>
      <c r="D4878" s="5"/>
      <c r="E4878" s="1">
        <v>574716406</v>
      </c>
      <c r="F4878" s="1">
        <v>0</v>
      </c>
      <c r="G4878" s="1">
        <v>0</v>
      </c>
      <c r="H4878" s="1">
        <v>0</v>
      </c>
      <c r="I4878" s="1">
        <v>0</v>
      </c>
    </row>
    <row r="4879" spans="1:9" ht="23.25">
      <c r="A4879" s="5" t="s">
        <v>46</v>
      </c>
      <c r="B4879" s="5"/>
      <c r="C4879" s="5" t="s">
        <v>90</v>
      </c>
      <c r="D4879" s="5"/>
      <c r="E4879" s="1">
        <v>3407251645</v>
      </c>
      <c r="F4879" s="1">
        <v>0</v>
      </c>
      <c r="G4879" s="1">
        <v>0</v>
      </c>
      <c r="H4879" s="1">
        <v>0</v>
      </c>
      <c r="I4879" s="1">
        <v>0</v>
      </c>
    </row>
    <row r="4880" spans="1:9" ht="23.25">
      <c r="A4880" s="5" t="s">
        <v>47</v>
      </c>
      <c r="B4880" s="5"/>
      <c r="C4880" s="5" t="s">
        <v>90</v>
      </c>
      <c r="D4880" s="5"/>
      <c r="E4880" s="1">
        <v>2183201855</v>
      </c>
      <c r="F4880" s="1">
        <v>0</v>
      </c>
      <c r="G4880" s="1">
        <v>0</v>
      </c>
      <c r="H4880" s="1">
        <v>0</v>
      </c>
      <c r="I4880" s="1">
        <v>0</v>
      </c>
    </row>
    <row r="4881" spans="1:9" ht="23.25">
      <c r="A4881" s="5" t="s">
        <v>48</v>
      </c>
      <c r="B4881" s="5"/>
      <c r="C4881" s="5" t="s">
        <v>90</v>
      </c>
      <c r="D4881" s="5"/>
      <c r="E4881" s="1">
        <v>113026657</v>
      </c>
      <c r="F4881" s="1">
        <v>0</v>
      </c>
      <c r="G4881" s="1">
        <v>0</v>
      </c>
      <c r="H4881" s="1">
        <v>0</v>
      </c>
      <c r="I4881" s="1">
        <v>0</v>
      </c>
    </row>
    <row r="4882" spans="1:9" ht="23.25">
      <c r="A4882" s="5" t="s">
        <v>49</v>
      </c>
      <c r="B4882" s="5"/>
      <c r="C4882" s="5" t="s">
        <v>90</v>
      </c>
      <c r="D4882" s="5"/>
      <c r="E4882" s="1">
        <v>87487804</v>
      </c>
      <c r="F4882" s="1">
        <v>0</v>
      </c>
      <c r="G4882" s="1">
        <v>0</v>
      </c>
      <c r="H4882" s="1">
        <v>0</v>
      </c>
      <c r="I4882" s="1">
        <v>0</v>
      </c>
    </row>
    <row r="4883" spans="1:9" ht="23.25">
      <c r="A4883" s="5" t="s">
        <v>50</v>
      </c>
      <c r="B4883" s="5"/>
      <c r="C4883" s="5" t="s">
        <v>90</v>
      </c>
      <c r="D4883" s="5"/>
      <c r="E4883" s="1">
        <v>266246557</v>
      </c>
      <c r="F4883" s="1">
        <v>0</v>
      </c>
      <c r="G4883" s="1">
        <v>0</v>
      </c>
      <c r="H4883" s="1">
        <v>0</v>
      </c>
      <c r="I4883" s="1">
        <v>0</v>
      </c>
    </row>
    <row r="4884" spans="1:9" ht="23.25">
      <c r="A4884" s="5" t="s">
        <v>51</v>
      </c>
      <c r="B4884" s="5"/>
      <c r="C4884" s="5" t="s">
        <v>90</v>
      </c>
      <c r="D4884" s="5"/>
      <c r="E4884" s="1">
        <v>1293376165</v>
      </c>
      <c r="F4884" s="1">
        <v>0</v>
      </c>
      <c r="G4884" s="1">
        <v>0</v>
      </c>
      <c r="H4884" s="1">
        <v>0</v>
      </c>
      <c r="I4884" s="1">
        <v>0</v>
      </c>
    </row>
    <row r="4885" spans="1:9" ht="23.25">
      <c r="A4885" s="5" t="s">
        <v>52</v>
      </c>
      <c r="B4885" s="5"/>
      <c r="C4885" s="5" t="s">
        <v>90</v>
      </c>
      <c r="D4885" s="5"/>
      <c r="E4885" s="1">
        <v>1540392449</v>
      </c>
      <c r="F4885" s="1">
        <v>0</v>
      </c>
      <c r="G4885" s="1">
        <v>0</v>
      </c>
      <c r="H4885" s="1">
        <v>0</v>
      </c>
      <c r="I4885" s="1">
        <v>0</v>
      </c>
    </row>
    <row r="4886" spans="1:9" ht="23.25">
      <c r="A4886" s="5" t="s">
        <v>53</v>
      </c>
      <c r="B4886" s="5"/>
      <c r="C4886" s="5" t="s">
        <v>90</v>
      </c>
      <c r="D4886" s="5"/>
      <c r="E4886" s="1">
        <v>71263534</v>
      </c>
      <c r="F4886" s="1">
        <v>0</v>
      </c>
      <c r="G4886" s="1">
        <v>0</v>
      </c>
      <c r="H4886" s="1">
        <v>0</v>
      </c>
      <c r="I4886" s="1">
        <v>0</v>
      </c>
    </row>
    <row r="4887" spans="1:9" ht="23.25">
      <c r="A4887" s="5" t="s">
        <v>54</v>
      </c>
      <c r="B4887" s="5"/>
      <c r="C4887" s="5" t="s">
        <v>90</v>
      </c>
      <c r="D4887" s="5"/>
      <c r="E4887" s="1">
        <v>612713300</v>
      </c>
      <c r="F4887" s="1">
        <v>0</v>
      </c>
      <c r="G4887" s="1">
        <v>0</v>
      </c>
      <c r="H4887" s="1">
        <v>0</v>
      </c>
      <c r="I4887" s="1">
        <v>0</v>
      </c>
    </row>
    <row r="4888" spans="1:9" ht="23.25">
      <c r="A4888" s="5" t="s">
        <v>55</v>
      </c>
      <c r="B4888" s="5"/>
      <c r="C4888" s="5" t="s">
        <v>90</v>
      </c>
      <c r="D4888" s="5"/>
      <c r="E4888" s="1">
        <v>758113275</v>
      </c>
      <c r="F4888" s="1">
        <v>0</v>
      </c>
      <c r="G4888" s="1">
        <v>0</v>
      </c>
      <c r="H4888" s="1">
        <v>0</v>
      </c>
      <c r="I4888" s="1">
        <v>0</v>
      </c>
    </row>
    <row r="4889" spans="1:9" ht="23.25">
      <c r="A4889" s="5" t="s">
        <v>56</v>
      </c>
      <c r="B4889" s="5"/>
      <c r="C4889" s="5" t="s">
        <v>90</v>
      </c>
      <c r="D4889" s="5"/>
      <c r="E4889" s="1">
        <v>3286326250</v>
      </c>
      <c r="F4889" s="1">
        <v>0</v>
      </c>
      <c r="G4889" s="1">
        <v>0</v>
      </c>
      <c r="H4889" s="1">
        <v>0</v>
      </c>
      <c r="I4889" s="1">
        <v>0</v>
      </c>
    </row>
    <row r="4890" spans="1:9" ht="23.25">
      <c r="A4890" s="5" t="s">
        <v>57</v>
      </c>
      <c r="B4890" s="5"/>
      <c r="C4890" s="5" t="s">
        <v>90</v>
      </c>
      <c r="D4890" s="5"/>
      <c r="E4890" s="1">
        <v>1292633303</v>
      </c>
      <c r="F4890" s="1">
        <v>0</v>
      </c>
      <c r="G4890" s="1">
        <v>0</v>
      </c>
      <c r="H4890" s="1">
        <v>0</v>
      </c>
      <c r="I4890" s="1">
        <v>0</v>
      </c>
    </row>
    <row r="4891" spans="1:9" ht="23.25">
      <c r="A4891" s="5" t="s">
        <v>58</v>
      </c>
      <c r="B4891" s="5"/>
      <c r="C4891" s="5" t="s">
        <v>90</v>
      </c>
      <c r="D4891" s="5"/>
      <c r="E4891" s="1">
        <v>1207624247</v>
      </c>
      <c r="F4891" s="1">
        <v>0</v>
      </c>
      <c r="G4891" s="1">
        <v>0</v>
      </c>
      <c r="H4891" s="1">
        <v>0</v>
      </c>
      <c r="I4891" s="1">
        <v>0</v>
      </c>
    </row>
    <row r="4892" spans="1:9" ht="23.25">
      <c r="A4892" s="5" t="s">
        <v>59</v>
      </c>
      <c r="B4892" s="5"/>
      <c r="C4892" s="5" t="s">
        <v>90</v>
      </c>
      <c r="D4892" s="5"/>
      <c r="E4892" s="1">
        <v>583806028</v>
      </c>
      <c r="F4892" s="1">
        <v>0</v>
      </c>
      <c r="G4892" s="1">
        <v>0</v>
      </c>
      <c r="H4892" s="1">
        <v>0</v>
      </c>
      <c r="I4892" s="1">
        <v>0</v>
      </c>
    </row>
    <row r="4893" spans="1:9" ht="23.25">
      <c r="A4893" s="5" t="s">
        <v>60</v>
      </c>
      <c r="B4893" s="5"/>
      <c r="C4893" s="5" t="s">
        <v>90</v>
      </c>
      <c r="D4893" s="5"/>
      <c r="E4893" s="1">
        <v>1726961453</v>
      </c>
      <c r="F4893" s="1">
        <v>0</v>
      </c>
      <c r="G4893" s="1">
        <v>0</v>
      </c>
      <c r="H4893" s="1">
        <v>0</v>
      </c>
      <c r="I4893" s="1">
        <v>0</v>
      </c>
    </row>
    <row r="4894" spans="1:9" ht="23.25">
      <c r="A4894" s="5" t="s">
        <v>61</v>
      </c>
      <c r="B4894" s="5"/>
      <c r="C4894" s="5" t="s">
        <v>90</v>
      </c>
      <c r="D4894" s="5"/>
      <c r="E4894" s="1">
        <v>651594480</v>
      </c>
      <c r="F4894" s="1">
        <v>0</v>
      </c>
      <c r="G4894" s="1">
        <v>0</v>
      </c>
      <c r="H4894" s="1">
        <v>0</v>
      </c>
      <c r="I4894" s="1">
        <v>0</v>
      </c>
    </row>
    <row r="4895" spans="1:9" ht="23.25">
      <c r="A4895" s="5" t="s">
        <v>62</v>
      </c>
      <c r="B4895" s="5"/>
      <c r="C4895" s="5" t="s">
        <v>90</v>
      </c>
      <c r="D4895" s="5"/>
      <c r="E4895" s="1">
        <v>1234049316</v>
      </c>
      <c r="F4895" s="1">
        <v>0</v>
      </c>
      <c r="G4895" s="1">
        <v>0</v>
      </c>
      <c r="H4895" s="1">
        <v>0</v>
      </c>
      <c r="I4895" s="1">
        <v>0</v>
      </c>
    </row>
    <row r="4896" spans="1:9" ht="23.25">
      <c r="A4896" s="5" t="s">
        <v>63</v>
      </c>
      <c r="B4896" s="5"/>
      <c r="C4896" s="5" t="s">
        <v>90</v>
      </c>
      <c r="D4896" s="5"/>
      <c r="E4896" s="1">
        <v>2844041169</v>
      </c>
      <c r="F4896" s="1">
        <v>0</v>
      </c>
      <c r="G4896" s="1">
        <v>0</v>
      </c>
      <c r="H4896" s="1">
        <v>0</v>
      </c>
      <c r="I4896" s="1">
        <v>0</v>
      </c>
    </row>
    <row r="4897" spans="1:9" ht="23.25">
      <c r="A4897" s="5" t="s">
        <v>64</v>
      </c>
      <c r="B4897" s="5"/>
      <c r="C4897" s="5" t="s">
        <v>90</v>
      </c>
      <c r="D4897" s="5"/>
      <c r="E4897" s="1">
        <v>982175371</v>
      </c>
      <c r="F4897" s="1">
        <v>0</v>
      </c>
      <c r="G4897" s="1">
        <v>0</v>
      </c>
      <c r="H4897" s="1">
        <v>0</v>
      </c>
      <c r="I4897" s="1">
        <v>0</v>
      </c>
    </row>
    <row r="4898" spans="1:9" ht="23.25">
      <c r="A4898" s="5" t="s">
        <v>65</v>
      </c>
      <c r="B4898" s="5"/>
      <c r="C4898" s="5" t="s">
        <v>90</v>
      </c>
      <c r="D4898" s="5"/>
      <c r="E4898" s="1">
        <v>272392784</v>
      </c>
      <c r="F4898" s="1">
        <v>0</v>
      </c>
      <c r="G4898" s="1">
        <v>0</v>
      </c>
      <c r="H4898" s="1">
        <v>0</v>
      </c>
      <c r="I4898" s="1">
        <v>0</v>
      </c>
    </row>
    <row r="4899" spans="1:9" ht="23.25">
      <c r="A4899" s="5" t="s">
        <v>66</v>
      </c>
      <c r="B4899" s="5"/>
      <c r="C4899" s="5" t="s">
        <v>90</v>
      </c>
      <c r="D4899" s="5"/>
      <c r="E4899" s="1">
        <v>36301301204</v>
      </c>
      <c r="F4899" s="1">
        <v>0</v>
      </c>
      <c r="G4899" s="1">
        <v>0</v>
      </c>
      <c r="H4899" s="1">
        <v>0</v>
      </c>
      <c r="I4899" s="1">
        <v>0</v>
      </c>
    </row>
    <row r="4900" spans="1:9" ht="23.25">
      <c r="A4900" s="5" t="s">
        <v>8</v>
      </c>
      <c r="B4900" s="5"/>
      <c r="C4900" s="5" t="s">
        <v>91</v>
      </c>
      <c r="D4900" s="5"/>
      <c r="E4900" s="1">
        <v>314114660</v>
      </c>
      <c r="F4900" s="1">
        <v>10756134</v>
      </c>
      <c r="G4900" s="1">
        <v>676903</v>
      </c>
      <c r="H4900" s="1">
        <v>1876161</v>
      </c>
      <c r="I4900" s="1">
        <v>5</v>
      </c>
    </row>
    <row r="4901" spans="1:9" ht="23.25">
      <c r="A4901" s="5" t="s">
        <v>9</v>
      </c>
      <c r="B4901" s="5"/>
      <c r="C4901" s="5" t="s">
        <v>91</v>
      </c>
      <c r="D4901" s="5"/>
      <c r="E4901" s="1">
        <v>60227026</v>
      </c>
      <c r="F4901" s="1">
        <v>2251541</v>
      </c>
      <c r="G4901" s="1">
        <v>555919</v>
      </c>
      <c r="H4901" s="1">
        <v>480603</v>
      </c>
      <c r="I4901" s="1">
        <v>15030908</v>
      </c>
    </row>
    <row r="4902" spans="1:9" ht="23.25">
      <c r="A4902" s="5" t="s">
        <v>10</v>
      </c>
      <c r="B4902" s="5"/>
      <c r="C4902" s="5" t="s">
        <v>91</v>
      </c>
      <c r="D4902" s="5"/>
      <c r="E4902" s="1">
        <v>76818426</v>
      </c>
      <c r="F4902" s="1">
        <v>2122820</v>
      </c>
      <c r="G4902" s="1">
        <v>174398</v>
      </c>
      <c r="H4902" s="1">
        <v>520955</v>
      </c>
      <c r="I4902" s="1">
        <v>0</v>
      </c>
    </row>
    <row r="4903" spans="1:9" ht="23.25">
      <c r="A4903" s="5" t="s">
        <v>11</v>
      </c>
      <c r="B4903" s="5"/>
      <c r="C4903" s="5" t="s">
        <v>91</v>
      </c>
      <c r="D4903" s="5"/>
      <c r="E4903" s="1">
        <v>50605970</v>
      </c>
      <c r="F4903" s="1">
        <v>1122621</v>
      </c>
      <c r="G4903" s="1">
        <v>949787</v>
      </c>
      <c r="H4903" s="1">
        <v>76695</v>
      </c>
      <c r="I4903" s="1">
        <v>44074229</v>
      </c>
    </row>
    <row r="4904" spans="1:9" ht="23.25">
      <c r="A4904" s="5" t="s">
        <v>12</v>
      </c>
      <c r="B4904" s="5"/>
      <c r="C4904" s="5" t="s">
        <v>91</v>
      </c>
      <c r="D4904" s="5"/>
      <c r="E4904" s="1">
        <v>969181190</v>
      </c>
      <c r="F4904" s="1">
        <v>114494467</v>
      </c>
      <c r="G4904" s="1">
        <v>139827431</v>
      </c>
      <c r="H4904" s="1">
        <v>15436605</v>
      </c>
      <c r="I4904" s="1">
        <v>53783216</v>
      </c>
    </row>
    <row r="4905" spans="1:9" ht="23.25">
      <c r="A4905" s="5" t="s">
        <v>13</v>
      </c>
      <c r="B4905" s="5"/>
      <c r="C4905" s="5" t="s">
        <v>91</v>
      </c>
      <c r="D4905" s="5"/>
      <c r="E4905" s="1">
        <v>73397766</v>
      </c>
      <c r="F4905" s="1">
        <v>3338345</v>
      </c>
      <c r="G4905" s="1">
        <v>1849</v>
      </c>
      <c r="H4905" s="1">
        <v>2252169</v>
      </c>
      <c r="I4905" s="1">
        <v>2</v>
      </c>
    </row>
    <row r="4906" spans="1:9" ht="23.25">
      <c r="A4906" s="5" t="s">
        <v>14</v>
      </c>
      <c r="B4906" s="5"/>
      <c r="C4906" s="5" t="s">
        <v>91</v>
      </c>
      <c r="D4906" s="5"/>
      <c r="E4906" s="1">
        <v>235773619</v>
      </c>
      <c r="F4906" s="1">
        <v>13165354</v>
      </c>
      <c r="G4906" s="1">
        <v>0</v>
      </c>
      <c r="H4906" s="1">
        <v>1416395</v>
      </c>
      <c r="I4906" s="1">
        <v>149467</v>
      </c>
    </row>
    <row r="4907" spans="1:9" ht="23.25">
      <c r="A4907" s="5" t="s">
        <v>15</v>
      </c>
      <c r="B4907" s="5"/>
      <c r="C4907" s="5" t="s">
        <v>91</v>
      </c>
      <c r="D4907" s="5"/>
      <c r="E4907" s="1">
        <v>278736828</v>
      </c>
      <c r="F4907" s="1">
        <v>14993310</v>
      </c>
      <c r="G4907" s="1">
        <v>8180463</v>
      </c>
      <c r="H4907" s="1">
        <v>3058595</v>
      </c>
      <c r="I4907" s="1">
        <v>53774415</v>
      </c>
    </row>
    <row r="4908" spans="1:9" ht="23.25">
      <c r="A4908" s="5" t="s">
        <v>16</v>
      </c>
      <c r="B4908" s="5"/>
      <c r="C4908" s="5" t="s">
        <v>91</v>
      </c>
      <c r="D4908" s="5"/>
      <c r="E4908" s="1">
        <v>464109557</v>
      </c>
      <c r="F4908" s="1">
        <v>36985660</v>
      </c>
      <c r="G4908" s="1">
        <v>4414998</v>
      </c>
      <c r="H4908" s="1">
        <v>2394924</v>
      </c>
      <c r="I4908" s="1">
        <v>5733873</v>
      </c>
    </row>
    <row r="4909" spans="1:9" ht="23.25">
      <c r="A4909" s="5" t="s">
        <v>17</v>
      </c>
      <c r="B4909" s="5"/>
      <c r="C4909" s="5" t="s">
        <v>91</v>
      </c>
      <c r="D4909" s="5"/>
      <c r="E4909" s="1">
        <v>33164828</v>
      </c>
      <c r="F4909" s="1">
        <v>4021847</v>
      </c>
      <c r="G4909" s="1">
        <v>1697316</v>
      </c>
      <c r="H4909" s="1">
        <v>479105</v>
      </c>
      <c r="I4909" s="1">
        <v>2931772</v>
      </c>
    </row>
    <row r="4910" spans="1:9" ht="23.25">
      <c r="A4910" s="5" t="s">
        <v>18</v>
      </c>
      <c r="B4910" s="5"/>
      <c r="C4910" s="5" t="s">
        <v>91</v>
      </c>
      <c r="D4910" s="5"/>
      <c r="E4910" s="1">
        <v>279317969</v>
      </c>
      <c r="F4910" s="1">
        <v>31308028</v>
      </c>
      <c r="G4910" s="1">
        <v>31178009</v>
      </c>
      <c r="H4910" s="1">
        <v>5422074</v>
      </c>
      <c r="I4910" s="1">
        <v>11403238</v>
      </c>
    </row>
    <row r="4911" spans="1:9" ht="23.25">
      <c r="A4911" s="5" t="s">
        <v>19</v>
      </c>
      <c r="B4911" s="5"/>
      <c r="C4911" s="5" t="s">
        <v>91</v>
      </c>
      <c r="D4911" s="5"/>
      <c r="E4911" s="1">
        <v>1382442221</v>
      </c>
      <c r="F4911" s="1">
        <v>877229</v>
      </c>
      <c r="G4911" s="1">
        <v>0</v>
      </c>
      <c r="H4911" s="1">
        <v>819088</v>
      </c>
      <c r="I4911" s="1">
        <v>1014344238</v>
      </c>
    </row>
    <row r="4912" spans="1:9" ht="23.25">
      <c r="A4912" s="5" t="s">
        <v>20</v>
      </c>
      <c r="B4912" s="5"/>
      <c r="C4912" s="5" t="s">
        <v>91</v>
      </c>
      <c r="D4912" s="5"/>
      <c r="E4912" s="1">
        <v>21099117</v>
      </c>
      <c r="F4912" s="1">
        <v>1297161</v>
      </c>
      <c r="G4912" s="1">
        <v>0</v>
      </c>
      <c r="H4912" s="1">
        <v>543782</v>
      </c>
      <c r="I4912" s="1">
        <v>19069227</v>
      </c>
    </row>
    <row r="4913" spans="1:9" ht="23.25">
      <c r="A4913" s="5" t="s">
        <v>21</v>
      </c>
      <c r="B4913" s="5"/>
      <c r="C4913" s="5" t="s">
        <v>91</v>
      </c>
      <c r="D4913" s="5"/>
      <c r="E4913" s="1">
        <v>171200786</v>
      </c>
      <c r="F4913" s="1">
        <v>9157107</v>
      </c>
      <c r="G4913" s="1">
        <v>1920783</v>
      </c>
      <c r="H4913" s="1">
        <v>20416045</v>
      </c>
      <c r="I4913" s="1">
        <v>11087069</v>
      </c>
    </row>
    <row r="4914" spans="1:9" ht="23.25">
      <c r="A4914" s="5" t="s">
        <v>22</v>
      </c>
      <c r="B4914" s="5"/>
      <c r="C4914" s="5" t="s">
        <v>91</v>
      </c>
      <c r="D4914" s="5"/>
      <c r="E4914" s="1">
        <v>565111080</v>
      </c>
      <c r="F4914" s="1">
        <v>13084995</v>
      </c>
      <c r="G4914" s="1">
        <v>21152829</v>
      </c>
      <c r="H4914" s="1">
        <v>1655254</v>
      </c>
      <c r="I4914" s="1">
        <v>509394</v>
      </c>
    </row>
    <row r="4915" spans="1:9" ht="23.25">
      <c r="A4915" s="5" t="s">
        <v>23</v>
      </c>
      <c r="B4915" s="5"/>
      <c r="C4915" s="5" t="s">
        <v>91</v>
      </c>
      <c r="D4915" s="5"/>
      <c r="E4915" s="1">
        <v>1125490532</v>
      </c>
      <c r="F4915" s="1">
        <v>39816180</v>
      </c>
      <c r="G4915" s="1">
        <v>34044951</v>
      </c>
      <c r="H4915" s="1">
        <v>8879747</v>
      </c>
      <c r="I4915" s="1">
        <v>271840804</v>
      </c>
    </row>
    <row r="4916" spans="1:9" ht="23.25">
      <c r="A4916" s="5" t="s">
        <v>24</v>
      </c>
      <c r="B4916" s="5"/>
      <c r="C4916" s="5" t="s">
        <v>91</v>
      </c>
      <c r="D4916" s="5"/>
      <c r="E4916" s="1">
        <v>648884751</v>
      </c>
      <c r="F4916" s="1">
        <v>36096656</v>
      </c>
      <c r="G4916" s="1">
        <v>39116970</v>
      </c>
      <c r="H4916" s="1">
        <v>11495429</v>
      </c>
      <c r="I4916" s="1">
        <v>35342525</v>
      </c>
    </row>
    <row r="4917" spans="1:9" ht="23.25">
      <c r="A4917" s="5" t="s">
        <v>25</v>
      </c>
      <c r="B4917" s="5"/>
      <c r="C4917" s="5" t="s">
        <v>91</v>
      </c>
      <c r="D4917" s="5"/>
      <c r="E4917" s="1">
        <v>176821558</v>
      </c>
      <c r="F4917" s="1">
        <v>5296688</v>
      </c>
      <c r="G4917" s="1">
        <v>4788649</v>
      </c>
      <c r="H4917" s="1">
        <v>2408655</v>
      </c>
      <c r="I4917" s="1">
        <v>14196220</v>
      </c>
    </row>
    <row r="4918" spans="1:9" ht="23.25">
      <c r="A4918" s="5" t="s">
        <v>26</v>
      </c>
      <c r="B4918" s="5"/>
      <c r="C4918" s="5" t="s">
        <v>91</v>
      </c>
      <c r="D4918" s="5"/>
      <c r="E4918" s="1">
        <v>449556715</v>
      </c>
      <c r="F4918" s="1">
        <v>25110643</v>
      </c>
      <c r="G4918" s="1">
        <v>24109300</v>
      </c>
      <c r="H4918" s="1">
        <v>6751606</v>
      </c>
      <c r="I4918" s="1">
        <v>89411754</v>
      </c>
    </row>
    <row r="4919" spans="1:9" ht="23.25">
      <c r="A4919" s="5" t="s">
        <v>27</v>
      </c>
      <c r="B4919" s="5"/>
      <c r="C4919" s="5" t="s">
        <v>91</v>
      </c>
      <c r="D4919" s="5"/>
      <c r="E4919" s="1">
        <v>114752442</v>
      </c>
      <c r="F4919" s="1">
        <v>8690674</v>
      </c>
      <c r="G4919" s="1">
        <v>7305285</v>
      </c>
      <c r="H4919" s="1">
        <v>1073127</v>
      </c>
      <c r="I4919" s="1">
        <v>26374473</v>
      </c>
    </row>
    <row r="4920" spans="1:9" ht="23.25">
      <c r="A4920" s="5" t="s">
        <v>28</v>
      </c>
      <c r="B4920" s="5"/>
      <c r="C4920" s="5" t="s">
        <v>91</v>
      </c>
      <c r="D4920" s="5"/>
      <c r="E4920" s="1">
        <v>671594046</v>
      </c>
      <c r="F4920" s="1">
        <v>41800787</v>
      </c>
      <c r="G4920" s="1">
        <v>38776919</v>
      </c>
      <c r="H4920" s="1">
        <v>9290670</v>
      </c>
      <c r="I4920" s="1">
        <v>23779347</v>
      </c>
    </row>
    <row r="4921" spans="1:9" ht="23.25">
      <c r="A4921" s="5" t="s">
        <v>29</v>
      </c>
      <c r="B4921" s="5"/>
      <c r="C4921" s="5" t="s">
        <v>91</v>
      </c>
      <c r="D4921" s="5"/>
      <c r="E4921" s="1">
        <v>78889014</v>
      </c>
      <c r="F4921" s="1">
        <v>4814026</v>
      </c>
      <c r="G4921" s="1">
        <v>5310511</v>
      </c>
      <c r="H4921" s="1">
        <v>700887</v>
      </c>
      <c r="I4921" s="1">
        <v>17947685</v>
      </c>
    </row>
    <row r="4922" spans="1:9" ht="23.25">
      <c r="A4922" s="5" t="s">
        <v>30</v>
      </c>
      <c r="B4922" s="5"/>
      <c r="C4922" s="5" t="s">
        <v>91</v>
      </c>
      <c r="D4922" s="5"/>
      <c r="E4922" s="1">
        <v>310797091</v>
      </c>
      <c r="F4922" s="1">
        <v>27553924</v>
      </c>
      <c r="G4922" s="1">
        <v>13813345</v>
      </c>
      <c r="H4922" s="1">
        <v>2551180</v>
      </c>
      <c r="I4922" s="1">
        <v>79058399</v>
      </c>
    </row>
    <row r="4923" spans="1:9" ht="23.25">
      <c r="A4923" s="5" t="s">
        <v>31</v>
      </c>
      <c r="B4923" s="5"/>
      <c r="C4923" s="5" t="s">
        <v>91</v>
      </c>
      <c r="D4923" s="5"/>
      <c r="E4923" s="1">
        <v>450664857</v>
      </c>
      <c r="F4923" s="1">
        <v>26922463</v>
      </c>
      <c r="G4923" s="1">
        <v>33332153</v>
      </c>
      <c r="H4923" s="1">
        <v>2338715</v>
      </c>
      <c r="I4923" s="1">
        <v>96241121</v>
      </c>
    </row>
    <row r="4924" spans="1:9" ht="23.25">
      <c r="A4924" s="5" t="s">
        <v>32</v>
      </c>
      <c r="B4924" s="5"/>
      <c r="C4924" s="5" t="s">
        <v>91</v>
      </c>
      <c r="D4924" s="5"/>
      <c r="E4924" s="1">
        <v>363003408</v>
      </c>
      <c r="F4924" s="1">
        <v>30012818</v>
      </c>
      <c r="G4924" s="1">
        <v>17781873</v>
      </c>
      <c r="H4924" s="1">
        <v>5439285</v>
      </c>
      <c r="I4924" s="1">
        <v>109186861</v>
      </c>
    </row>
    <row r="4925" spans="1:9" ht="23.25">
      <c r="A4925" s="5" t="s">
        <v>33</v>
      </c>
      <c r="B4925" s="5"/>
      <c r="C4925" s="5" t="s">
        <v>91</v>
      </c>
      <c r="D4925" s="5"/>
      <c r="E4925" s="1">
        <v>167420709</v>
      </c>
      <c r="F4925" s="1">
        <v>9395166</v>
      </c>
      <c r="G4925" s="1">
        <v>15207647</v>
      </c>
      <c r="H4925" s="1">
        <v>1355216</v>
      </c>
      <c r="I4925" s="1">
        <v>63147360</v>
      </c>
    </row>
    <row r="4926" spans="1:9" ht="23.25">
      <c r="A4926" s="5" t="s">
        <v>34</v>
      </c>
      <c r="B4926" s="5"/>
      <c r="C4926" s="5" t="s">
        <v>91</v>
      </c>
      <c r="D4926" s="5"/>
      <c r="E4926" s="1">
        <v>1676868384</v>
      </c>
      <c r="F4926" s="1">
        <v>160445953</v>
      </c>
      <c r="G4926" s="1">
        <v>39163725</v>
      </c>
      <c r="H4926" s="1">
        <v>20603146</v>
      </c>
      <c r="I4926" s="1">
        <v>621492716</v>
      </c>
    </row>
    <row r="4927" spans="1:9" ht="23.25">
      <c r="A4927" s="5" t="s">
        <v>35</v>
      </c>
      <c r="B4927" s="5"/>
      <c r="C4927" s="5" t="s">
        <v>91</v>
      </c>
      <c r="D4927" s="5"/>
      <c r="E4927" s="1">
        <v>227652074</v>
      </c>
      <c r="F4927" s="1">
        <v>25406707</v>
      </c>
      <c r="G4927" s="1">
        <v>21075109</v>
      </c>
      <c r="H4927" s="1">
        <v>8023767</v>
      </c>
      <c r="I4927" s="1">
        <v>102906459</v>
      </c>
    </row>
    <row r="4928" spans="1:9" ht="23.25">
      <c r="A4928" s="5" t="s">
        <v>36</v>
      </c>
      <c r="B4928" s="5"/>
      <c r="C4928" s="5" t="s">
        <v>91</v>
      </c>
      <c r="D4928" s="5"/>
      <c r="E4928" s="1">
        <v>1091115403</v>
      </c>
      <c r="F4928" s="1">
        <v>115310141</v>
      </c>
      <c r="G4928" s="1">
        <v>117133478</v>
      </c>
      <c r="H4928" s="1">
        <v>11180022</v>
      </c>
      <c r="I4928" s="1">
        <v>374734940</v>
      </c>
    </row>
    <row r="4929" spans="1:9" ht="23.25">
      <c r="A4929" s="5" t="s">
        <v>37</v>
      </c>
      <c r="B4929" s="5"/>
      <c r="C4929" s="5" t="s">
        <v>91</v>
      </c>
      <c r="D4929" s="5"/>
      <c r="E4929" s="1">
        <v>1729939893</v>
      </c>
      <c r="F4929" s="1">
        <v>91155724</v>
      </c>
      <c r="G4929" s="1">
        <v>86904200</v>
      </c>
      <c r="H4929" s="1">
        <v>15207914</v>
      </c>
      <c r="I4929" s="1">
        <v>274197987</v>
      </c>
    </row>
    <row r="4930" spans="1:9" ht="23.25">
      <c r="A4930" s="5" t="s">
        <v>38</v>
      </c>
      <c r="B4930" s="5"/>
      <c r="C4930" s="5" t="s">
        <v>91</v>
      </c>
      <c r="D4930" s="5"/>
      <c r="E4930" s="1">
        <v>506144746</v>
      </c>
      <c r="F4930" s="1">
        <v>47807100</v>
      </c>
      <c r="G4930" s="1">
        <v>20352697</v>
      </c>
      <c r="H4930" s="1">
        <v>10175798</v>
      </c>
      <c r="I4930" s="1">
        <v>62448315</v>
      </c>
    </row>
    <row r="4931" spans="1:9" ht="23.25">
      <c r="A4931" s="5" t="s">
        <v>39</v>
      </c>
      <c r="B4931" s="5"/>
      <c r="C4931" s="5" t="s">
        <v>91</v>
      </c>
      <c r="D4931" s="5"/>
      <c r="E4931" s="1">
        <v>727085374</v>
      </c>
      <c r="F4931" s="1">
        <v>29728449</v>
      </c>
      <c r="G4931" s="1">
        <v>24963693</v>
      </c>
      <c r="H4931" s="1">
        <v>5002813</v>
      </c>
      <c r="I4931" s="1">
        <v>166461222</v>
      </c>
    </row>
    <row r="4932" spans="1:9" ht="23.25">
      <c r="A4932" s="5" t="s">
        <v>40</v>
      </c>
      <c r="B4932" s="5"/>
      <c r="C4932" s="5" t="s">
        <v>91</v>
      </c>
      <c r="D4932" s="5"/>
      <c r="E4932" s="1">
        <v>237126133</v>
      </c>
      <c r="F4932" s="1">
        <v>13607989</v>
      </c>
      <c r="G4932" s="1">
        <v>11373117</v>
      </c>
      <c r="H4932" s="1">
        <v>3640001</v>
      </c>
      <c r="I4932" s="1">
        <v>2272390</v>
      </c>
    </row>
    <row r="4933" spans="1:9" ht="23.25">
      <c r="A4933" s="5" t="s">
        <v>41</v>
      </c>
      <c r="B4933" s="5"/>
      <c r="C4933" s="5" t="s">
        <v>91</v>
      </c>
      <c r="D4933" s="5"/>
      <c r="E4933" s="1">
        <v>412214399</v>
      </c>
      <c r="F4933" s="1">
        <v>27842213</v>
      </c>
      <c r="G4933" s="1">
        <v>20112761</v>
      </c>
      <c r="H4933" s="1">
        <v>5063986</v>
      </c>
      <c r="I4933" s="1">
        <v>77561476</v>
      </c>
    </row>
    <row r="4934" spans="1:9" ht="23.25">
      <c r="A4934" s="5" t="s">
        <v>42</v>
      </c>
      <c r="B4934" s="5"/>
      <c r="C4934" s="5" t="s">
        <v>91</v>
      </c>
      <c r="D4934" s="5"/>
      <c r="E4934" s="1">
        <v>946395279</v>
      </c>
      <c r="F4934" s="1">
        <v>39355111</v>
      </c>
      <c r="G4934" s="1">
        <v>30488443</v>
      </c>
      <c r="H4934" s="1">
        <v>8720267</v>
      </c>
      <c r="I4934" s="1">
        <v>606077811</v>
      </c>
    </row>
    <row r="4935" spans="1:9" ht="23.25">
      <c r="A4935" s="5" t="s">
        <v>43</v>
      </c>
      <c r="B4935" s="5"/>
      <c r="C4935" s="5" t="s">
        <v>91</v>
      </c>
      <c r="D4935" s="5"/>
      <c r="E4935" s="1">
        <v>880644663</v>
      </c>
      <c r="F4935" s="1">
        <v>39762234</v>
      </c>
      <c r="G4935" s="1">
        <v>17618090</v>
      </c>
      <c r="H4935" s="1">
        <v>1384258</v>
      </c>
      <c r="I4935" s="1">
        <v>683456919</v>
      </c>
    </row>
    <row r="4936" spans="1:9" ht="23.25">
      <c r="A4936" s="5" t="s">
        <v>44</v>
      </c>
      <c r="B4936" s="5"/>
      <c r="C4936" s="5" t="s">
        <v>91</v>
      </c>
      <c r="D4936" s="5"/>
      <c r="E4936" s="1">
        <v>941671386</v>
      </c>
      <c r="F4936" s="1">
        <v>20892489</v>
      </c>
      <c r="G4936" s="1">
        <v>29468338</v>
      </c>
      <c r="H4936" s="1">
        <v>3033144</v>
      </c>
      <c r="I4936" s="1">
        <v>378158131</v>
      </c>
    </row>
    <row r="4937" spans="1:9" ht="23.25">
      <c r="A4937" s="5" t="s">
        <v>45</v>
      </c>
      <c r="B4937" s="5"/>
      <c r="C4937" s="5" t="s">
        <v>91</v>
      </c>
      <c r="D4937" s="5"/>
      <c r="E4937" s="1">
        <v>1305168018</v>
      </c>
      <c r="F4937" s="1">
        <v>102624075</v>
      </c>
      <c r="G4937" s="1">
        <v>37200798</v>
      </c>
      <c r="H4937" s="1">
        <v>12953748</v>
      </c>
      <c r="I4937" s="1">
        <v>577672991</v>
      </c>
    </row>
    <row r="4938" spans="1:9" ht="23.25">
      <c r="A4938" s="5" t="s">
        <v>46</v>
      </c>
      <c r="B4938" s="5"/>
      <c r="C4938" s="5" t="s">
        <v>91</v>
      </c>
      <c r="D4938" s="5"/>
      <c r="E4938" s="1">
        <v>6032701958</v>
      </c>
      <c r="F4938" s="1">
        <v>303621563</v>
      </c>
      <c r="G4938" s="1">
        <v>226256260</v>
      </c>
      <c r="H4938" s="1">
        <v>47314118</v>
      </c>
      <c r="I4938" s="1">
        <v>2048258372</v>
      </c>
    </row>
    <row r="4939" spans="1:9" ht="23.25">
      <c r="A4939" s="5" t="s">
        <v>47</v>
      </c>
      <c r="B4939" s="5"/>
      <c r="C4939" s="5" t="s">
        <v>91</v>
      </c>
      <c r="D4939" s="5"/>
      <c r="E4939" s="1">
        <v>2977430413</v>
      </c>
      <c r="F4939" s="1">
        <v>160472892</v>
      </c>
      <c r="G4939" s="1">
        <v>157814937</v>
      </c>
      <c r="H4939" s="1">
        <v>20049789</v>
      </c>
      <c r="I4939" s="1">
        <v>455890940</v>
      </c>
    </row>
    <row r="4940" spans="1:9" ht="23.25">
      <c r="A4940" s="5" t="s">
        <v>48</v>
      </c>
      <c r="B4940" s="5"/>
      <c r="C4940" s="5" t="s">
        <v>91</v>
      </c>
      <c r="D4940" s="5"/>
      <c r="E4940" s="1">
        <v>192156038</v>
      </c>
      <c r="F4940" s="1">
        <v>7145384</v>
      </c>
      <c r="G4940" s="1">
        <v>990883</v>
      </c>
      <c r="H4940" s="1">
        <v>1164748</v>
      </c>
      <c r="I4940" s="1">
        <v>69828366</v>
      </c>
    </row>
    <row r="4941" spans="1:9" ht="23.25">
      <c r="A4941" s="5" t="s">
        <v>49</v>
      </c>
      <c r="B4941" s="5"/>
      <c r="C4941" s="5" t="s">
        <v>91</v>
      </c>
      <c r="D4941" s="5"/>
      <c r="E4941" s="1">
        <v>172664285</v>
      </c>
      <c r="F4941" s="1">
        <v>10045245</v>
      </c>
      <c r="G4941" s="1">
        <v>9326243</v>
      </c>
      <c r="H4941" s="1">
        <v>941154</v>
      </c>
      <c r="I4941" s="1">
        <v>64863839</v>
      </c>
    </row>
    <row r="4942" spans="1:9" ht="23.25">
      <c r="A4942" s="5" t="s">
        <v>50</v>
      </c>
      <c r="B4942" s="5"/>
      <c r="C4942" s="5" t="s">
        <v>91</v>
      </c>
      <c r="D4942" s="5"/>
      <c r="E4942" s="1">
        <v>344259749</v>
      </c>
      <c r="F4942" s="1">
        <v>28799344</v>
      </c>
      <c r="G4942" s="1">
        <v>22976201</v>
      </c>
      <c r="H4942" s="1">
        <v>3114669</v>
      </c>
      <c r="I4942" s="1">
        <v>23122978</v>
      </c>
    </row>
    <row r="4943" spans="1:9" ht="23.25">
      <c r="A4943" s="5" t="s">
        <v>51</v>
      </c>
      <c r="B4943" s="5"/>
      <c r="C4943" s="5" t="s">
        <v>91</v>
      </c>
      <c r="D4943" s="5"/>
      <c r="E4943" s="1">
        <v>1899033406</v>
      </c>
      <c r="F4943" s="1">
        <v>96610091</v>
      </c>
      <c r="G4943" s="1">
        <v>109460565</v>
      </c>
      <c r="H4943" s="1">
        <v>7589209</v>
      </c>
      <c r="I4943" s="1">
        <v>391997376</v>
      </c>
    </row>
    <row r="4944" spans="1:9" ht="23.25">
      <c r="A4944" s="5" t="s">
        <v>52</v>
      </c>
      <c r="B4944" s="5"/>
      <c r="C4944" s="5" t="s">
        <v>91</v>
      </c>
      <c r="D4944" s="5"/>
      <c r="E4944" s="1">
        <v>1697164809</v>
      </c>
      <c r="F4944" s="1">
        <v>5223352</v>
      </c>
      <c r="G4944" s="1">
        <v>7959250</v>
      </c>
      <c r="H4944" s="1">
        <v>1341292</v>
      </c>
      <c r="I4944" s="1">
        <v>142248466</v>
      </c>
    </row>
    <row r="4945" spans="1:9" ht="23.25">
      <c r="A4945" s="5" t="s">
        <v>53</v>
      </c>
      <c r="B4945" s="5"/>
      <c r="C4945" s="5" t="s">
        <v>91</v>
      </c>
      <c r="D4945" s="5"/>
      <c r="E4945" s="1">
        <v>71263534</v>
      </c>
      <c r="F4945" s="1">
        <v>0</v>
      </c>
      <c r="G4945" s="1">
        <v>0</v>
      </c>
      <c r="H4945" s="1">
        <v>0</v>
      </c>
      <c r="I4945" s="1">
        <v>0</v>
      </c>
    </row>
    <row r="4946" spans="1:9" ht="23.25">
      <c r="A4946" s="5" t="s">
        <v>54</v>
      </c>
      <c r="B4946" s="5"/>
      <c r="C4946" s="5" t="s">
        <v>91</v>
      </c>
      <c r="D4946" s="5"/>
      <c r="E4946" s="1">
        <v>612716974</v>
      </c>
      <c r="F4946" s="1">
        <v>0</v>
      </c>
      <c r="G4946" s="1">
        <v>0</v>
      </c>
      <c r="H4946" s="1">
        <v>3674</v>
      </c>
      <c r="I4946" s="1">
        <v>0</v>
      </c>
    </row>
    <row r="4947" spans="1:9" ht="23.25">
      <c r="A4947" s="5" t="s">
        <v>55</v>
      </c>
      <c r="B4947" s="5"/>
      <c r="C4947" s="5" t="s">
        <v>91</v>
      </c>
      <c r="D4947" s="5"/>
      <c r="E4947" s="1">
        <v>758113275</v>
      </c>
      <c r="F4947" s="1">
        <v>0</v>
      </c>
      <c r="G4947" s="1">
        <v>0</v>
      </c>
      <c r="H4947" s="1">
        <v>0</v>
      </c>
      <c r="I4947" s="1">
        <v>0</v>
      </c>
    </row>
    <row r="4948" spans="1:9" ht="23.25">
      <c r="A4948" s="5" t="s">
        <v>56</v>
      </c>
      <c r="B4948" s="5"/>
      <c r="C4948" s="5" t="s">
        <v>91</v>
      </c>
      <c r="D4948" s="5"/>
      <c r="E4948" s="1">
        <v>11026474</v>
      </c>
      <c r="F4948" s="1">
        <v>-1840342700</v>
      </c>
      <c r="G4948" s="1">
        <v>-1434957076</v>
      </c>
      <c r="H4948" s="1">
        <v>0</v>
      </c>
      <c r="I4948" s="1">
        <v>0</v>
      </c>
    </row>
    <row r="4949" spans="1:9" ht="23.25">
      <c r="A4949" s="5" t="s">
        <v>57</v>
      </c>
      <c r="B4949" s="5"/>
      <c r="C4949" s="5" t="s">
        <v>91</v>
      </c>
      <c r="D4949" s="5"/>
      <c r="E4949" s="1">
        <v>1358333734</v>
      </c>
      <c r="F4949" s="1">
        <v>0</v>
      </c>
      <c r="G4949" s="1">
        <v>0</v>
      </c>
      <c r="H4949" s="1">
        <v>0</v>
      </c>
      <c r="I4949" s="1">
        <v>65700431</v>
      </c>
    </row>
    <row r="4950" spans="1:9" ht="23.25">
      <c r="A4950" s="5" t="s">
        <v>58</v>
      </c>
      <c r="B4950" s="5"/>
      <c r="C4950" s="5" t="s">
        <v>91</v>
      </c>
      <c r="D4950" s="5"/>
      <c r="E4950" s="1">
        <v>1029127687</v>
      </c>
      <c r="F4950" s="1">
        <v>0</v>
      </c>
      <c r="G4950" s="1">
        <v>0</v>
      </c>
      <c r="H4950" s="1">
        <v>-295640484</v>
      </c>
      <c r="I4950" s="1">
        <v>117143924</v>
      </c>
    </row>
    <row r="4951" spans="1:9" ht="23.25">
      <c r="A4951" s="5" t="s">
        <v>59</v>
      </c>
      <c r="B4951" s="5"/>
      <c r="C4951" s="5" t="s">
        <v>91</v>
      </c>
      <c r="D4951" s="5"/>
      <c r="E4951" s="1">
        <v>638994895</v>
      </c>
      <c r="F4951" s="1">
        <v>0</v>
      </c>
      <c r="G4951" s="1">
        <v>0</v>
      </c>
      <c r="H4951" s="1">
        <v>0</v>
      </c>
      <c r="I4951" s="1">
        <v>55188867</v>
      </c>
    </row>
    <row r="4952" spans="1:9" ht="23.25">
      <c r="A4952" s="5" t="s">
        <v>60</v>
      </c>
      <c r="B4952" s="5"/>
      <c r="C4952" s="5" t="s">
        <v>91</v>
      </c>
      <c r="D4952" s="5"/>
      <c r="E4952" s="1">
        <v>1808671266</v>
      </c>
      <c r="F4952" s="1">
        <v>0</v>
      </c>
      <c r="G4952" s="1">
        <v>0</v>
      </c>
      <c r="H4952" s="1">
        <v>0</v>
      </c>
      <c r="I4952" s="1">
        <v>81709813</v>
      </c>
    </row>
    <row r="4953" spans="1:9" ht="23.25">
      <c r="A4953" s="5" t="s">
        <v>61</v>
      </c>
      <c r="B4953" s="5"/>
      <c r="C4953" s="5" t="s">
        <v>91</v>
      </c>
      <c r="D4953" s="5"/>
      <c r="E4953" s="1">
        <v>753318923</v>
      </c>
      <c r="F4953" s="1">
        <v>0</v>
      </c>
      <c r="G4953" s="1">
        <v>0</v>
      </c>
      <c r="H4953" s="1">
        <v>0</v>
      </c>
      <c r="I4953" s="1">
        <v>101724443</v>
      </c>
    </row>
    <row r="4954" spans="1:9" ht="23.25">
      <c r="A4954" s="5" t="s">
        <v>62</v>
      </c>
      <c r="B4954" s="5"/>
      <c r="C4954" s="5" t="s">
        <v>91</v>
      </c>
      <c r="D4954" s="5"/>
      <c r="E4954" s="1">
        <v>1552222836</v>
      </c>
      <c r="F4954" s="1">
        <v>0</v>
      </c>
      <c r="G4954" s="1">
        <v>0</v>
      </c>
      <c r="H4954" s="1">
        <v>0</v>
      </c>
      <c r="I4954" s="1">
        <v>318173520</v>
      </c>
    </row>
    <row r="4955" spans="1:9" ht="23.25">
      <c r="A4955" s="5" t="s">
        <v>63</v>
      </c>
      <c r="B4955" s="5"/>
      <c r="C4955" s="5" t="s">
        <v>91</v>
      </c>
      <c r="D4955" s="5"/>
      <c r="E4955" s="1">
        <v>2930261796</v>
      </c>
      <c r="F4955" s="1">
        <v>0</v>
      </c>
      <c r="G4955" s="1">
        <v>0</v>
      </c>
      <c r="H4955" s="1">
        <v>0</v>
      </c>
      <c r="I4955" s="1">
        <v>86220627</v>
      </c>
    </row>
    <row r="4956" spans="1:9" ht="23.25">
      <c r="A4956" s="5" t="s">
        <v>64</v>
      </c>
      <c r="B4956" s="5"/>
      <c r="C4956" s="5" t="s">
        <v>91</v>
      </c>
      <c r="D4956" s="5"/>
      <c r="E4956" s="1">
        <v>999051935</v>
      </c>
      <c r="F4956" s="1">
        <v>0</v>
      </c>
      <c r="G4956" s="1">
        <v>0</v>
      </c>
      <c r="H4956" s="1">
        <v>0</v>
      </c>
      <c r="I4956" s="1">
        <v>16876564</v>
      </c>
    </row>
    <row r="4957" spans="1:9" ht="23.25">
      <c r="A4957" s="5" t="s">
        <v>65</v>
      </c>
      <c r="B4957" s="5"/>
      <c r="C4957" s="5" t="s">
        <v>91</v>
      </c>
      <c r="D4957" s="5"/>
      <c r="E4957" s="1">
        <v>294303940</v>
      </c>
      <c r="F4957" s="1">
        <v>0</v>
      </c>
      <c r="G4957" s="1">
        <v>0</v>
      </c>
      <c r="H4957" s="1">
        <v>0</v>
      </c>
      <c r="I4957" s="1">
        <v>21911156</v>
      </c>
    </row>
    <row r="4958" spans="1:9" ht="23.25">
      <c r="A4958" s="5" t="s">
        <v>66</v>
      </c>
      <c r="B4958" s="5"/>
      <c r="C4958" s="5" t="s">
        <v>91</v>
      </c>
      <c r="D4958" s="5"/>
      <c r="E4958" s="1">
        <v>46348019845</v>
      </c>
      <c r="F4958" s="1">
        <v>0</v>
      </c>
      <c r="G4958" s="1">
        <v>0</v>
      </c>
      <c r="H4958" s="1">
        <v>0</v>
      </c>
      <c r="I4958" s="1">
        <v>10046718641</v>
      </c>
    </row>
  </sheetData>
  <mergeCells count="1">
    <mergeCell ref="A1:I1"/>
  </mergeCells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</vt:lpstr>
      <vt:lpstr>proc</vt:lpstr>
      <vt:lpstr>Sheet2</vt:lpstr>
      <vt:lpstr>Export orient</vt:lpstr>
      <vt:lpstr>Sheet1</vt:lpstr>
      <vt:lpstr>processed</vt:lpstr>
      <vt:lpstr>DataIO2021x58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Supatchara Tepparos</dc:creator>
  <cp:lastModifiedBy>Csilla Lakatos</cp:lastModifiedBy>
  <dcterms:created xsi:type="dcterms:W3CDTF">2025-02-24T08:14:14Z</dcterms:created>
  <dcterms:modified xsi:type="dcterms:W3CDTF">2026-03-24T09:05:27Z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2026-03-21T07:26:40Z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98e30346-a9e6-4749-93c2-dc21750efa0e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